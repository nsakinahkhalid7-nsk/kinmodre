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Dropbox\MyProjects\kinmodre\data_packages\spnLHP26\"/>
    </mc:Choice>
  </mc:AlternateContent>
  <xr:revisionPtr revIDLastSave="0" documentId="13_ncr:1_{D5ED921B-2DEB-4ABE-AFC8-721DA95CE1D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Information" sheetId="1" r:id="rId1"/>
    <sheet name="Peptides" sheetId="2" r:id="rId2"/>
    <sheet name="EC number" sheetId="3" r:id="rId3"/>
    <sheet name="Metabolites" sheetId="4" r:id="rId4"/>
    <sheet name="Enzymes" sheetId="5" r:id="rId5"/>
    <sheet name="Reactions" sheetId="6" r:id="rId6"/>
  </sheets>
  <definedNames>
    <definedName name="_xlnm._FilterDatabase" localSheetId="4" hidden="1">Enzymes!$B:$B</definedName>
    <definedName name="_xlnm._FilterDatabase" localSheetId="5" hidden="1">Reactions!$H$1:$H$1696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7" i="6" l="1"/>
  <c r="J837" i="6"/>
  <c r="E837" i="6"/>
  <c r="K836" i="6"/>
  <c r="J836" i="6"/>
  <c r="E836" i="6"/>
  <c r="K835" i="6"/>
  <c r="J835" i="6"/>
  <c r="E835" i="6"/>
  <c r="K834" i="6"/>
  <c r="J834" i="6"/>
  <c r="E834" i="6"/>
  <c r="K833" i="6"/>
  <c r="J833" i="6"/>
  <c r="E833" i="6"/>
  <c r="K832" i="6"/>
  <c r="J832" i="6"/>
  <c r="E832" i="6"/>
  <c r="K831" i="6"/>
  <c r="J831" i="6"/>
  <c r="E831" i="6"/>
  <c r="K830" i="6"/>
  <c r="J830" i="6"/>
  <c r="E830" i="6"/>
  <c r="K829" i="6"/>
  <c r="J829" i="6"/>
  <c r="E829" i="6"/>
  <c r="K828" i="6"/>
  <c r="J828" i="6"/>
  <c r="E828" i="6"/>
  <c r="K827" i="6"/>
  <c r="J827" i="6"/>
  <c r="E827" i="6"/>
  <c r="K826" i="6"/>
  <c r="J826" i="6"/>
  <c r="E826" i="6"/>
  <c r="K825" i="6"/>
  <c r="J825" i="6"/>
  <c r="E825" i="6"/>
  <c r="K824" i="6"/>
  <c r="J824" i="6"/>
  <c r="E824" i="6"/>
  <c r="K823" i="6"/>
  <c r="J823" i="6"/>
  <c r="E823" i="6"/>
  <c r="K822" i="6"/>
  <c r="J822" i="6"/>
  <c r="E822" i="6"/>
  <c r="K821" i="6"/>
  <c r="J821" i="6"/>
  <c r="E821" i="6"/>
  <c r="K820" i="6"/>
  <c r="J820" i="6"/>
  <c r="E820" i="6"/>
  <c r="K819" i="6"/>
  <c r="J819" i="6"/>
  <c r="E819" i="6"/>
  <c r="K818" i="6"/>
  <c r="J818" i="6"/>
  <c r="E818" i="6"/>
  <c r="K817" i="6"/>
  <c r="J817" i="6"/>
  <c r="E817" i="6"/>
  <c r="K816" i="6"/>
  <c r="J816" i="6"/>
  <c r="E816" i="6"/>
  <c r="K815" i="6"/>
  <c r="J815" i="6"/>
  <c r="E815" i="6"/>
  <c r="K814" i="6"/>
  <c r="J814" i="6"/>
  <c r="E814" i="6"/>
  <c r="K813" i="6"/>
  <c r="J813" i="6"/>
  <c r="E813" i="6"/>
  <c r="K812" i="6"/>
  <c r="J812" i="6"/>
  <c r="E812" i="6"/>
  <c r="K811" i="6"/>
  <c r="J811" i="6"/>
  <c r="E811" i="6"/>
  <c r="K810" i="6"/>
  <c r="J810" i="6"/>
  <c r="E810" i="6"/>
  <c r="K809" i="6"/>
  <c r="J809" i="6"/>
  <c r="E809" i="6"/>
  <c r="K808" i="6"/>
  <c r="J808" i="6"/>
  <c r="E808" i="6"/>
  <c r="K807" i="6"/>
  <c r="J807" i="6"/>
  <c r="E807" i="6"/>
  <c r="K806" i="6"/>
  <c r="J806" i="6"/>
  <c r="E806" i="6"/>
  <c r="K805" i="6"/>
  <c r="J805" i="6"/>
  <c r="E805" i="6"/>
  <c r="K804" i="6"/>
  <c r="J804" i="6"/>
  <c r="E804" i="6"/>
  <c r="K803" i="6"/>
  <c r="J803" i="6"/>
  <c r="E803" i="6"/>
  <c r="K802" i="6"/>
  <c r="J802" i="6"/>
  <c r="E802" i="6"/>
  <c r="K801" i="6"/>
  <c r="J801" i="6"/>
  <c r="E801" i="6"/>
  <c r="K800" i="6"/>
  <c r="J800" i="6"/>
  <c r="E800" i="6"/>
  <c r="K799" i="6"/>
  <c r="J799" i="6"/>
  <c r="E799" i="6"/>
  <c r="K798" i="6"/>
  <c r="J798" i="6"/>
  <c r="E798" i="6"/>
  <c r="K797" i="6"/>
  <c r="J797" i="6"/>
  <c r="E797" i="6"/>
  <c r="K796" i="6"/>
  <c r="J796" i="6"/>
  <c r="E796" i="6"/>
  <c r="K795" i="6"/>
  <c r="J795" i="6"/>
  <c r="E795" i="6"/>
  <c r="K794" i="6"/>
  <c r="J794" i="6"/>
  <c r="E794" i="6"/>
  <c r="K793" i="6"/>
  <c r="J793" i="6"/>
  <c r="E793" i="6"/>
  <c r="K792" i="6"/>
  <c r="J792" i="6"/>
  <c r="E792" i="6"/>
  <c r="K791" i="6"/>
  <c r="J791" i="6"/>
  <c r="E791" i="6"/>
  <c r="K790" i="6"/>
  <c r="J790" i="6"/>
  <c r="E790" i="6"/>
  <c r="K789" i="6"/>
  <c r="J789" i="6"/>
  <c r="E789" i="6"/>
  <c r="K788" i="6"/>
  <c r="J788" i="6"/>
  <c r="E788" i="6"/>
  <c r="K787" i="6"/>
  <c r="J787" i="6"/>
  <c r="E787" i="6"/>
  <c r="K786" i="6"/>
  <c r="J786" i="6"/>
  <c r="E786" i="6"/>
  <c r="K785" i="6"/>
  <c r="J785" i="6"/>
  <c r="E785" i="6"/>
  <c r="K784" i="6"/>
  <c r="J784" i="6"/>
  <c r="E784" i="6"/>
  <c r="K783" i="6"/>
  <c r="J783" i="6"/>
  <c r="E783" i="6"/>
  <c r="K782" i="6"/>
  <c r="J782" i="6"/>
  <c r="E782" i="6"/>
  <c r="K781" i="6"/>
  <c r="J781" i="6"/>
  <c r="E781" i="6"/>
  <c r="K780" i="6"/>
  <c r="J780" i="6"/>
  <c r="E780" i="6"/>
  <c r="K779" i="6"/>
  <c r="J779" i="6"/>
  <c r="E779" i="6"/>
  <c r="K778" i="6"/>
  <c r="J778" i="6"/>
  <c r="E778" i="6"/>
  <c r="K777" i="6"/>
  <c r="J777" i="6"/>
  <c r="E777" i="6"/>
  <c r="K776" i="6"/>
  <c r="J776" i="6"/>
  <c r="E776" i="6"/>
  <c r="K775" i="6"/>
  <c r="J775" i="6"/>
  <c r="E775" i="6"/>
  <c r="K774" i="6"/>
  <c r="J774" i="6"/>
  <c r="E774" i="6"/>
  <c r="K773" i="6"/>
  <c r="J773" i="6"/>
  <c r="E773" i="6"/>
  <c r="K772" i="6"/>
  <c r="J772" i="6"/>
  <c r="E772" i="6"/>
  <c r="K771" i="6"/>
  <c r="J771" i="6"/>
  <c r="E771" i="6"/>
  <c r="K770" i="6"/>
  <c r="J770" i="6"/>
  <c r="E770" i="6"/>
  <c r="K769" i="6"/>
  <c r="J769" i="6"/>
  <c r="E769" i="6"/>
  <c r="K768" i="6"/>
  <c r="J768" i="6"/>
  <c r="E768" i="6"/>
  <c r="K767" i="6"/>
  <c r="J767" i="6"/>
  <c r="E767" i="6"/>
  <c r="K766" i="6"/>
  <c r="J766" i="6"/>
  <c r="E766" i="6"/>
  <c r="K765" i="6"/>
  <c r="J765" i="6"/>
  <c r="E765" i="6"/>
  <c r="K764" i="6"/>
  <c r="J764" i="6"/>
  <c r="E764" i="6"/>
  <c r="K763" i="6"/>
  <c r="J763" i="6"/>
  <c r="E763" i="6"/>
  <c r="K762" i="6"/>
  <c r="J762" i="6"/>
  <c r="E762" i="6"/>
  <c r="K761" i="6"/>
  <c r="J761" i="6"/>
  <c r="E761" i="6"/>
  <c r="K760" i="6"/>
  <c r="J760" i="6"/>
  <c r="E760" i="6"/>
  <c r="K759" i="6"/>
  <c r="J759" i="6"/>
  <c r="E759" i="6"/>
  <c r="K758" i="6"/>
  <c r="J758" i="6"/>
  <c r="E758" i="6"/>
  <c r="K757" i="6"/>
  <c r="J757" i="6"/>
  <c r="E757" i="6"/>
  <c r="K756" i="6"/>
  <c r="J756" i="6"/>
  <c r="E756" i="6"/>
  <c r="K755" i="6"/>
  <c r="J755" i="6"/>
  <c r="E755" i="6"/>
  <c r="K754" i="6"/>
  <c r="J754" i="6"/>
  <c r="E754" i="6"/>
  <c r="K753" i="6"/>
  <c r="J753" i="6"/>
  <c r="E753" i="6"/>
  <c r="K752" i="6"/>
  <c r="J752" i="6"/>
  <c r="E752" i="6"/>
  <c r="K751" i="6"/>
  <c r="J751" i="6"/>
  <c r="E751" i="6"/>
  <c r="K750" i="6"/>
  <c r="J750" i="6"/>
  <c r="E750" i="6"/>
  <c r="K749" i="6"/>
  <c r="J749" i="6"/>
  <c r="E749" i="6"/>
  <c r="K748" i="6"/>
  <c r="J748" i="6"/>
  <c r="E748" i="6"/>
  <c r="K747" i="6"/>
  <c r="J747" i="6"/>
  <c r="E747" i="6"/>
  <c r="K746" i="6"/>
  <c r="J746" i="6"/>
  <c r="E746" i="6"/>
  <c r="K745" i="6"/>
  <c r="J745" i="6"/>
  <c r="E745" i="6"/>
  <c r="K744" i="6"/>
  <c r="J744" i="6"/>
  <c r="E744" i="6"/>
  <c r="K743" i="6"/>
  <c r="J743" i="6"/>
  <c r="E743" i="6"/>
  <c r="K742" i="6"/>
  <c r="J742" i="6"/>
  <c r="E742" i="6"/>
  <c r="K741" i="6"/>
  <c r="J741" i="6"/>
  <c r="E741" i="6"/>
  <c r="K740" i="6"/>
  <c r="J740" i="6"/>
  <c r="E740" i="6"/>
  <c r="K739" i="6"/>
  <c r="J739" i="6"/>
  <c r="E739" i="6"/>
  <c r="K738" i="6"/>
  <c r="J738" i="6"/>
  <c r="E738" i="6"/>
  <c r="K737" i="6"/>
  <c r="J737" i="6"/>
  <c r="E737" i="6"/>
  <c r="K736" i="6"/>
  <c r="J736" i="6"/>
  <c r="E736" i="6"/>
  <c r="K735" i="6"/>
  <c r="J735" i="6"/>
  <c r="E735" i="6"/>
  <c r="K734" i="6"/>
  <c r="J734" i="6"/>
  <c r="E734" i="6"/>
  <c r="K733" i="6"/>
  <c r="J733" i="6"/>
  <c r="E733" i="6"/>
  <c r="K732" i="6"/>
  <c r="J732" i="6"/>
  <c r="E732" i="6"/>
  <c r="K731" i="6"/>
  <c r="J731" i="6"/>
  <c r="E731" i="6"/>
  <c r="K730" i="6"/>
  <c r="J730" i="6"/>
  <c r="E730" i="6"/>
  <c r="K729" i="6"/>
  <c r="J729" i="6"/>
  <c r="E729" i="6"/>
  <c r="K728" i="6"/>
  <c r="J728" i="6"/>
  <c r="E728" i="6"/>
  <c r="K727" i="6"/>
  <c r="J727" i="6"/>
  <c r="E727" i="6"/>
  <c r="K726" i="6"/>
  <c r="J726" i="6"/>
  <c r="E726" i="6"/>
  <c r="K725" i="6"/>
  <c r="J725" i="6"/>
  <c r="E725" i="6"/>
  <c r="K724" i="6"/>
  <c r="J724" i="6"/>
  <c r="E724" i="6"/>
  <c r="K723" i="6"/>
  <c r="J723" i="6"/>
  <c r="E723" i="6"/>
  <c r="K722" i="6"/>
  <c r="J722" i="6"/>
  <c r="E722" i="6"/>
  <c r="K721" i="6"/>
  <c r="J721" i="6"/>
  <c r="E721" i="6"/>
  <c r="K720" i="6"/>
  <c r="J720" i="6"/>
  <c r="E720" i="6"/>
  <c r="K719" i="6"/>
  <c r="J719" i="6"/>
  <c r="E719" i="6"/>
  <c r="K718" i="6"/>
  <c r="J718" i="6"/>
  <c r="E718" i="6"/>
  <c r="K717" i="6"/>
  <c r="J717" i="6"/>
  <c r="E717" i="6"/>
  <c r="K716" i="6"/>
  <c r="J716" i="6"/>
  <c r="E716" i="6"/>
  <c r="K715" i="6"/>
  <c r="J715" i="6"/>
  <c r="E715" i="6"/>
  <c r="K714" i="6"/>
  <c r="J714" i="6"/>
  <c r="E714" i="6"/>
  <c r="K713" i="6"/>
  <c r="J713" i="6"/>
  <c r="E713" i="6"/>
  <c r="J712" i="6"/>
  <c r="K712" i="6" s="1"/>
  <c r="E712" i="6"/>
  <c r="K711" i="6"/>
  <c r="J711" i="6"/>
  <c r="E711" i="6"/>
  <c r="K710" i="6"/>
  <c r="J710" i="6"/>
  <c r="E710" i="6"/>
  <c r="K709" i="6"/>
  <c r="J709" i="6"/>
  <c r="E709" i="6"/>
  <c r="K708" i="6"/>
  <c r="J708" i="6"/>
  <c r="E708" i="6"/>
  <c r="J707" i="6"/>
  <c r="K707" i="6" s="1"/>
  <c r="E707" i="6"/>
  <c r="K706" i="6"/>
  <c r="J706" i="6"/>
  <c r="E706" i="6"/>
  <c r="K705" i="6"/>
  <c r="J705" i="6"/>
  <c r="E705" i="6"/>
  <c r="K704" i="6"/>
  <c r="J704" i="6"/>
  <c r="E704" i="6"/>
  <c r="K703" i="6"/>
  <c r="J703" i="6"/>
  <c r="E703" i="6"/>
  <c r="K702" i="6"/>
  <c r="J702" i="6"/>
  <c r="E702" i="6"/>
  <c r="K701" i="6"/>
  <c r="J701" i="6"/>
  <c r="E701" i="6"/>
  <c r="K700" i="6"/>
  <c r="J700" i="6"/>
  <c r="E700" i="6"/>
  <c r="K699" i="6"/>
  <c r="J699" i="6"/>
  <c r="E699" i="6"/>
  <c r="K698" i="6"/>
  <c r="J698" i="6"/>
  <c r="E698" i="6"/>
  <c r="K697" i="6"/>
  <c r="J697" i="6"/>
  <c r="E697" i="6"/>
  <c r="K696" i="6"/>
  <c r="J696" i="6"/>
  <c r="E696" i="6"/>
  <c r="K695" i="6"/>
  <c r="J695" i="6"/>
  <c r="E695" i="6"/>
  <c r="K694" i="6"/>
  <c r="J694" i="6"/>
  <c r="E694" i="6"/>
  <c r="K693" i="6"/>
  <c r="J693" i="6"/>
  <c r="E693" i="6"/>
  <c r="K692" i="6"/>
  <c r="J692" i="6"/>
  <c r="E692" i="6"/>
  <c r="K691" i="6"/>
  <c r="J691" i="6"/>
  <c r="E691" i="6"/>
  <c r="K690" i="6"/>
  <c r="J690" i="6"/>
  <c r="E690" i="6"/>
  <c r="K689" i="6"/>
  <c r="J689" i="6"/>
  <c r="E689" i="6"/>
  <c r="K688" i="6"/>
  <c r="J688" i="6"/>
  <c r="E688" i="6"/>
  <c r="K687" i="6"/>
  <c r="J687" i="6"/>
  <c r="E687" i="6"/>
  <c r="K686" i="6"/>
  <c r="J686" i="6"/>
  <c r="E686" i="6"/>
  <c r="K685" i="6"/>
  <c r="J685" i="6"/>
  <c r="E685" i="6"/>
  <c r="K684" i="6"/>
  <c r="J684" i="6"/>
  <c r="E684" i="6"/>
  <c r="K683" i="6"/>
  <c r="J683" i="6"/>
  <c r="E683" i="6"/>
  <c r="K682" i="6"/>
  <c r="J682" i="6"/>
  <c r="E682" i="6"/>
  <c r="K681" i="6"/>
  <c r="J681" i="6"/>
  <c r="E681" i="6"/>
  <c r="K680" i="6"/>
  <c r="J680" i="6"/>
  <c r="E680" i="6"/>
  <c r="K679" i="6"/>
  <c r="J679" i="6"/>
  <c r="E679" i="6"/>
  <c r="K678" i="6"/>
  <c r="J678" i="6"/>
  <c r="E678" i="6"/>
  <c r="K677" i="6"/>
  <c r="J677" i="6"/>
  <c r="E677" i="6"/>
  <c r="K676" i="6"/>
  <c r="J676" i="6"/>
  <c r="E676" i="6"/>
  <c r="K675" i="6"/>
  <c r="J675" i="6"/>
  <c r="E675" i="6"/>
  <c r="K674" i="6"/>
  <c r="J674" i="6"/>
  <c r="E674" i="6"/>
  <c r="K673" i="6"/>
  <c r="J673" i="6"/>
  <c r="E673" i="6"/>
  <c r="K672" i="6"/>
  <c r="J672" i="6"/>
  <c r="E672" i="6"/>
  <c r="K671" i="6"/>
  <c r="J671" i="6"/>
  <c r="E671" i="6"/>
  <c r="K670" i="6"/>
  <c r="J670" i="6"/>
  <c r="E670" i="6"/>
  <c r="K669" i="6"/>
  <c r="J669" i="6"/>
  <c r="E669" i="6"/>
  <c r="K668" i="6"/>
  <c r="J668" i="6"/>
  <c r="E668" i="6"/>
  <c r="K667" i="6"/>
  <c r="J667" i="6"/>
  <c r="E667" i="6"/>
  <c r="K666" i="6"/>
  <c r="J666" i="6"/>
  <c r="E666" i="6"/>
  <c r="K665" i="6"/>
  <c r="J665" i="6"/>
  <c r="E665" i="6"/>
  <c r="K664" i="6"/>
  <c r="J664" i="6"/>
  <c r="E664" i="6"/>
  <c r="K663" i="6"/>
  <c r="J663" i="6"/>
  <c r="E663" i="6"/>
  <c r="K662" i="6"/>
  <c r="J662" i="6"/>
  <c r="E662" i="6"/>
  <c r="K661" i="6"/>
  <c r="J661" i="6"/>
  <c r="E661" i="6"/>
  <c r="K660" i="6"/>
  <c r="J660" i="6"/>
  <c r="E660" i="6"/>
  <c r="K659" i="6"/>
  <c r="J659" i="6"/>
  <c r="E659" i="6"/>
  <c r="K658" i="6"/>
  <c r="J658" i="6"/>
  <c r="E658" i="6"/>
  <c r="K657" i="6"/>
  <c r="J657" i="6"/>
  <c r="E657" i="6"/>
  <c r="K656" i="6"/>
  <c r="J656" i="6"/>
  <c r="E656" i="6"/>
  <c r="K655" i="6"/>
  <c r="J655" i="6"/>
  <c r="E655" i="6"/>
  <c r="K654" i="6"/>
  <c r="J654" i="6"/>
  <c r="E654" i="6"/>
  <c r="K653" i="6"/>
  <c r="J653" i="6"/>
  <c r="E653" i="6"/>
  <c r="K652" i="6"/>
  <c r="J652" i="6"/>
  <c r="E652" i="6"/>
  <c r="K651" i="6"/>
  <c r="J651" i="6"/>
  <c r="E651" i="6"/>
  <c r="K650" i="6"/>
  <c r="J650" i="6"/>
  <c r="E650" i="6"/>
  <c r="K649" i="6"/>
  <c r="J649" i="6"/>
  <c r="E649" i="6"/>
  <c r="K648" i="6"/>
  <c r="J648" i="6"/>
  <c r="E648" i="6"/>
  <c r="K647" i="6"/>
  <c r="J647" i="6"/>
  <c r="E647" i="6"/>
  <c r="K646" i="6"/>
  <c r="J646" i="6"/>
  <c r="E646" i="6"/>
  <c r="K645" i="6"/>
  <c r="J645" i="6"/>
  <c r="E645" i="6"/>
  <c r="K644" i="6"/>
  <c r="J644" i="6"/>
  <c r="E644" i="6"/>
  <c r="K643" i="6"/>
  <c r="J643" i="6"/>
  <c r="E643" i="6"/>
  <c r="K642" i="6"/>
  <c r="J642" i="6"/>
  <c r="E642" i="6"/>
  <c r="K641" i="6"/>
  <c r="J641" i="6"/>
  <c r="E641" i="6"/>
  <c r="K640" i="6"/>
  <c r="J640" i="6"/>
  <c r="E640" i="6"/>
  <c r="K639" i="6"/>
  <c r="J639" i="6"/>
  <c r="E639" i="6"/>
  <c r="K638" i="6"/>
  <c r="J638" i="6"/>
  <c r="E638" i="6"/>
  <c r="K637" i="6"/>
  <c r="J637" i="6"/>
  <c r="E637" i="6"/>
  <c r="K636" i="6"/>
  <c r="J636" i="6"/>
  <c r="E636" i="6"/>
  <c r="K635" i="6"/>
  <c r="J635" i="6"/>
  <c r="E635" i="6"/>
  <c r="K634" i="6"/>
  <c r="J634" i="6"/>
  <c r="E634" i="6"/>
  <c r="K633" i="6"/>
  <c r="J633" i="6"/>
  <c r="E633" i="6"/>
  <c r="K632" i="6"/>
  <c r="J632" i="6"/>
  <c r="E632" i="6"/>
  <c r="K631" i="6"/>
  <c r="J631" i="6"/>
  <c r="E631" i="6"/>
  <c r="K630" i="6"/>
  <c r="J630" i="6"/>
  <c r="E630" i="6"/>
  <c r="K629" i="6"/>
  <c r="J629" i="6"/>
  <c r="E629" i="6"/>
  <c r="K628" i="6"/>
  <c r="J628" i="6"/>
  <c r="E628" i="6"/>
  <c r="K627" i="6"/>
  <c r="J627" i="6"/>
  <c r="E627" i="6"/>
  <c r="K626" i="6"/>
  <c r="J626" i="6"/>
  <c r="E626" i="6"/>
  <c r="K625" i="6"/>
  <c r="J625" i="6"/>
  <c r="E625" i="6"/>
  <c r="K624" i="6"/>
  <c r="J624" i="6"/>
  <c r="E624" i="6"/>
  <c r="K623" i="6"/>
  <c r="J623" i="6"/>
  <c r="E623" i="6"/>
  <c r="K622" i="6"/>
  <c r="J622" i="6"/>
  <c r="E622" i="6"/>
  <c r="K621" i="6"/>
  <c r="J621" i="6"/>
  <c r="E621" i="6"/>
  <c r="K620" i="6"/>
  <c r="J620" i="6"/>
  <c r="E620" i="6"/>
  <c r="K619" i="6"/>
  <c r="J619" i="6"/>
  <c r="E619" i="6"/>
  <c r="K618" i="6"/>
  <c r="J618" i="6"/>
  <c r="E618" i="6"/>
  <c r="K617" i="6"/>
  <c r="J617" i="6"/>
  <c r="E617" i="6"/>
  <c r="K616" i="6"/>
  <c r="J616" i="6"/>
  <c r="E616" i="6"/>
  <c r="K615" i="6"/>
  <c r="J615" i="6"/>
  <c r="E615" i="6"/>
  <c r="K614" i="6"/>
  <c r="J614" i="6"/>
  <c r="E614" i="6"/>
  <c r="K613" i="6"/>
  <c r="J613" i="6"/>
  <c r="E613" i="6"/>
  <c r="K612" i="6"/>
  <c r="J612" i="6"/>
  <c r="E612" i="6"/>
  <c r="K611" i="6"/>
  <c r="J611" i="6"/>
  <c r="E611" i="6"/>
  <c r="J610" i="6"/>
  <c r="K610" i="6" s="1"/>
  <c r="E610" i="6"/>
  <c r="K609" i="6"/>
  <c r="J609" i="6"/>
  <c r="E609" i="6"/>
  <c r="K608" i="6"/>
  <c r="J608" i="6"/>
  <c r="E608" i="6"/>
  <c r="K607" i="6"/>
  <c r="J607" i="6"/>
  <c r="E607" i="6"/>
  <c r="K606" i="6"/>
  <c r="J606" i="6"/>
  <c r="E606" i="6"/>
  <c r="K605" i="6"/>
  <c r="J605" i="6"/>
  <c r="E605" i="6"/>
  <c r="K604" i="6"/>
  <c r="J604" i="6"/>
  <c r="E604" i="6"/>
  <c r="K603" i="6"/>
  <c r="J603" i="6"/>
  <c r="E603" i="6"/>
  <c r="K602" i="6"/>
  <c r="J602" i="6"/>
  <c r="E602" i="6"/>
  <c r="K601" i="6"/>
  <c r="J601" i="6"/>
  <c r="E601" i="6"/>
  <c r="K600" i="6"/>
  <c r="J600" i="6"/>
  <c r="E600" i="6"/>
  <c r="K599" i="6"/>
  <c r="J599" i="6"/>
  <c r="E599" i="6"/>
  <c r="K598" i="6"/>
  <c r="J598" i="6"/>
  <c r="E598" i="6"/>
  <c r="K597" i="6"/>
  <c r="J597" i="6"/>
  <c r="E597" i="6"/>
  <c r="K596" i="6"/>
  <c r="J596" i="6"/>
  <c r="E596" i="6"/>
  <c r="K595" i="6"/>
  <c r="J595" i="6"/>
  <c r="E595" i="6"/>
  <c r="K594" i="6"/>
  <c r="J594" i="6"/>
  <c r="E594" i="6"/>
  <c r="K593" i="6"/>
  <c r="J593" i="6"/>
  <c r="E593" i="6"/>
  <c r="K592" i="6"/>
  <c r="J592" i="6"/>
  <c r="E592" i="6"/>
  <c r="K591" i="6"/>
  <c r="J591" i="6"/>
  <c r="E591" i="6"/>
  <c r="K590" i="6"/>
  <c r="J590" i="6"/>
  <c r="E590" i="6"/>
  <c r="K589" i="6"/>
  <c r="J589" i="6"/>
  <c r="E589" i="6"/>
  <c r="K588" i="6"/>
  <c r="J588" i="6"/>
  <c r="E588" i="6"/>
  <c r="K587" i="6"/>
  <c r="J587" i="6"/>
  <c r="E587" i="6"/>
  <c r="K586" i="6"/>
  <c r="J586" i="6"/>
  <c r="E586" i="6"/>
  <c r="K585" i="6"/>
  <c r="J585" i="6"/>
  <c r="E585" i="6"/>
  <c r="K584" i="6"/>
  <c r="J584" i="6"/>
  <c r="E584" i="6"/>
  <c r="K583" i="6"/>
  <c r="J583" i="6"/>
  <c r="E583" i="6"/>
  <c r="K582" i="6"/>
  <c r="J582" i="6"/>
  <c r="E582" i="6"/>
  <c r="K581" i="6"/>
  <c r="J581" i="6"/>
  <c r="E581" i="6"/>
  <c r="K580" i="6"/>
  <c r="J580" i="6"/>
  <c r="E580" i="6"/>
  <c r="K579" i="6"/>
  <c r="J579" i="6"/>
  <c r="E579" i="6"/>
  <c r="K578" i="6"/>
  <c r="J578" i="6"/>
  <c r="E578" i="6"/>
  <c r="K577" i="6"/>
  <c r="J577" i="6"/>
  <c r="E577" i="6"/>
  <c r="K576" i="6"/>
  <c r="J576" i="6"/>
  <c r="E576" i="6"/>
  <c r="K575" i="6"/>
  <c r="J575" i="6"/>
  <c r="E575" i="6"/>
  <c r="K574" i="6"/>
  <c r="J574" i="6"/>
  <c r="E574" i="6"/>
  <c r="K573" i="6"/>
  <c r="J573" i="6"/>
  <c r="E573" i="6"/>
  <c r="K572" i="6"/>
  <c r="J572" i="6"/>
  <c r="E572" i="6"/>
  <c r="K571" i="6"/>
  <c r="J571" i="6"/>
  <c r="E571" i="6"/>
  <c r="K570" i="6"/>
  <c r="J570" i="6"/>
  <c r="E570" i="6"/>
  <c r="K569" i="6"/>
  <c r="J569" i="6"/>
  <c r="E569" i="6"/>
  <c r="K568" i="6"/>
  <c r="J568" i="6"/>
  <c r="E568" i="6"/>
  <c r="K567" i="6"/>
  <c r="J567" i="6"/>
  <c r="E567" i="6"/>
  <c r="K566" i="6"/>
  <c r="J566" i="6"/>
  <c r="E566" i="6"/>
  <c r="K565" i="6"/>
  <c r="J565" i="6"/>
  <c r="E565" i="6"/>
  <c r="K564" i="6"/>
  <c r="J564" i="6"/>
  <c r="E564" i="6"/>
  <c r="K563" i="6"/>
  <c r="J563" i="6"/>
  <c r="E563" i="6"/>
  <c r="K562" i="6"/>
  <c r="J562" i="6"/>
  <c r="E562" i="6"/>
  <c r="K561" i="6"/>
  <c r="J561" i="6"/>
  <c r="E561" i="6"/>
  <c r="K560" i="6"/>
  <c r="J560" i="6"/>
  <c r="E560" i="6"/>
  <c r="K559" i="6"/>
  <c r="J559" i="6"/>
  <c r="E559" i="6"/>
  <c r="K558" i="6"/>
  <c r="J558" i="6"/>
  <c r="E558" i="6"/>
  <c r="K557" i="6"/>
  <c r="J557" i="6"/>
  <c r="E557" i="6"/>
  <c r="K556" i="6"/>
  <c r="J556" i="6"/>
  <c r="E556" i="6"/>
  <c r="K555" i="6"/>
  <c r="J555" i="6"/>
  <c r="E555" i="6"/>
  <c r="K554" i="6"/>
  <c r="J554" i="6"/>
  <c r="E554" i="6"/>
  <c r="K553" i="6"/>
  <c r="J553" i="6"/>
  <c r="E553" i="6"/>
  <c r="K552" i="6"/>
  <c r="J552" i="6"/>
  <c r="E552" i="6"/>
  <c r="K551" i="6"/>
  <c r="J551" i="6"/>
  <c r="E551" i="6"/>
  <c r="K550" i="6"/>
  <c r="J550" i="6"/>
  <c r="E550" i="6"/>
  <c r="K549" i="6"/>
  <c r="J549" i="6"/>
  <c r="E549" i="6"/>
  <c r="K548" i="6"/>
  <c r="J548" i="6"/>
  <c r="E548" i="6"/>
  <c r="K547" i="6"/>
  <c r="J547" i="6"/>
  <c r="E547" i="6"/>
  <c r="K546" i="6"/>
  <c r="J546" i="6"/>
  <c r="E546" i="6"/>
  <c r="K545" i="6"/>
  <c r="J545" i="6"/>
  <c r="E545" i="6"/>
  <c r="K544" i="6"/>
  <c r="J544" i="6"/>
  <c r="E544" i="6"/>
  <c r="K543" i="6"/>
  <c r="J543" i="6"/>
  <c r="E543" i="6"/>
  <c r="K542" i="6"/>
  <c r="J542" i="6"/>
  <c r="E542" i="6"/>
  <c r="K541" i="6"/>
  <c r="J541" i="6"/>
  <c r="E541" i="6"/>
  <c r="K540" i="6"/>
  <c r="J540" i="6"/>
  <c r="E540" i="6"/>
  <c r="K539" i="6"/>
  <c r="J539" i="6"/>
  <c r="E539" i="6"/>
  <c r="K538" i="6"/>
  <c r="J538" i="6"/>
  <c r="E538" i="6"/>
  <c r="K537" i="6"/>
  <c r="J537" i="6"/>
  <c r="E537" i="6"/>
  <c r="K536" i="6"/>
  <c r="J536" i="6"/>
  <c r="E536" i="6"/>
  <c r="K535" i="6"/>
  <c r="J535" i="6"/>
  <c r="E535" i="6"/>
  <c r="K534" i="6"/>
  <c r="J534" i="6"/>
  <c r="E534" i="6"/>
  <c r="K533" i="6"/>
  <c r="J533" i="6"/>
  <c r="E533" i="6"/>
  <c r="K532" i="6"/>
  <c r="J532" i="6"/>
  <c r="E532" i="6"/>
  <c r="K531" i="6"/>
  <c r="J531" i="6"/>
  <c r="E531" i="6"/>
  <c r="K530" i="6"/>
  <c r="J530" i="6"/>
  <c r="E530" i="6"/>
  <c r="K529" i="6"/>
  <c r="J529" i="6"/>
  <c r="E529" i="6"/>
  <c r="K528" i="6"/>
  <c r="J528" i="6"/>
  <c r="E528" i="6"/>
  <c r="K527" i="6"/>
  <c r="J527" i="6"/>
  <c r="E527" i="6"/>
  <c r="K526" i="6"/>
  <c r="J526" i="6"/>
  <c r="E526" i="6"/>
  <c r="K525" i="6"/>
  <c r="J525" i="6"/>
  <c r="E525" i="6"/>
  <c r="K524" i="6"/>
  <c r="J524" i="6"/>
  <c r="E524" i="6"/>
  <c r="K523" i="6"/>
  <c r="J523" i="6"/>
  <c r="E523" i="6"/>
  <c r="K522" i="6"/>
  <c r="J522" i="6"/>
  <c r="E522" i="6"/>
  <c r="K521" i="6"/>
  <c r="J521" i="6"/>
  <c r="E521" i="6"/>
  <c r="K520" i="6"/>
  <c r="J520" i="6"/>
  <c r="E520" i="6"/>
  <c r="K519" i="6"/>
  <c r="J519" i="6"/>
  <c r="E519" i="6"/>
  <c r="K518" i="6"/>
  <c r="J518" i="6"/>
  <c r="E518" i="6"/>
  <c r="K517" i="6"/>
  <c r="J517" i="6"/>
  <c r="E517" i="6"/>
  <c r="K516" i="6"/>
  <c r="J516" i="6"/>
  <c r="E516" i="6"/>
  <c r="K515" i="6"/>
  <c r="J515" i="6"/>
  <c r="E515" i="6"/>
  <c r="K514" i="6"/>
  <c r="J514" i="6"/>
  <c r="E514" i="6"/>
  <c r="K513" i="6"/>
  <c r="J513" i="6"/>
  <c r="E513" i="6"/>
  <c r="K512" i="6"/>
  <c r="J512" i="6"/>
  <c r="E512" i="6"/>
  <c r="K511" i="6"/>
  <c r="J511" i="6"/>
  <c r="E511" i="6"/>
  <c r="K510" i="6"/>
  <c r="J510" i="6"/>
  <c r="E510" i="6"/>
  <c r="K509" i="6"/>
  <c r="J509" i="6"/>
  <c r="E509" i="6"/>
  <c r="K508" i="6"/>
  <c r="J508" i="6"/>
  <c r="E508" i="6"/>
  <c r="K507" i="6"/>
  <c r="J507" i="6"/>
  <c r="E507" i="6"/>
  <c r="K506" i="6"/>
  <c r="J506" i="6"/>
  <c r="E506" i="6"/>
  <c r="K505" i="6"/>
  <c r="J505" i="6"/>
  <c r="E505" i="6"/>
  <c r="K504" i="6"/>
  <c r="J504" i="6"/>
  <c r="E504" i="6"/>
  <c r="K503" i="6"/>
  <c r="J503" i="6"/>
  <c r="E503" i="6"/>
  <c r="K502" i="6"/>
  <c r="J502" i="6"/>
  <c r="E502" i="6"/>
  <c r="K501" i="6"/>
  <c r="J501" i="6"/>
  <c r="E501" i="6"/>
  <c r="K500" i="6"/>
  <c r="J500" i="6"/>
  <c r="E500" i="6"/>
  <c r="K499" i="6"/>
  <c r="J499" i="6"/>
  <c r="E499" i="6"/>
  <c r="K498" i="6"/>
  <c r="J498" i="6"/>
  <c r="E498" i="6"/>
  <c r="K497" i="6"/>
  <c r="J497" i="6"/>
  <c r="E497" i="6"/>
  <c r="K496" i="6"/>
  <c r="J496" i="6"/>
  <c r="E496" i="6"/>
  <c r="K495" i="6"/>
  <c r="J495" i="6"/>
  <c r="E495" i="6"/>
  <c r="K494" i="6"/>
  <c r="J494" i="6"/>
  <c r="E494" i="6"/>
  <c r="K493" i="6"/>
  <c r="J493" i="6"/>
  <c r="E493" i="6"/>
  <c r="K492" i="6"/>
  <c r="J492" i="6"/>
  <c r="E492" i="6"/>
  <c r="K491" i="6"/>
  <c r="J491" i="6"/>
  <c r="E491" i="6"/>
  <c r="K490" i="6"/>
  <c r="J490" i="6"/>
  <c r="E490" i="6"/>
  <c r="K489" i="6"/>
  <c r="J489" i="6"/>
  <c r="E489" i="6"/>
  <c r="K488" i="6"/>
  <c r="J488" i="6"/>
  <c r="E488" i="6"/>
  <c r="K487" i="6"/>
  <c r="J487" i="6"/>
  <c r="E487" i="6"/>
  <c r="K486" i="6"/>
  <c r="J486" i="6"/>
  <c r="E486" i="6"/>
  <c r="K485" i="6"/>
  <c r="J485" i="6"/>
  <c r="E485" i="6"/>
  <c r="K484" i="6"/>
  <c r="J484" i="6"/>
  <c r="E484" i="6"/>
  <c r="K483" i="6"/>
  <c r="J483" i="6"/>
  <c r="E483" i="6"/>
  <c r="K482" i="6"/>
  <c r="J482" i="6"/>
  <c r="E482" i="6"/>
  <c r="K481" i="6"/>
  <c r="J481" i="6"/>
  <c r="E481" i="6"/>
  <c r="K480" i="6"/>
  <c r="J480" i="6"/>
  <c r="E480" i="6"/>
  <c r="K479" i="6"/>
  <c r="J479" i="6"/>
  <c r="E479" i="6"/>
  <c r="K478" i="6"/>
  <c r="J478" i="6"/>
  <c r="E478" i="6"/>
  <c r="K477" i="6"/>
  <c r="J477" i="6"/>
  <c r="E477" i="6"/>
  <c r="K476" i="6"/>
  <c r="J476" i="6"/>
  <c r="E476" i="6"/>
  <c r="K475" i="6"/>
  <c r="J475" i="6"/>
  <c r="E475" i="6"/>
  <c r="K474" i="6"/>
  <c r="J474" i="6"/>
  <c r="E474" i="6"/>
  <c r="K473" i="6"/>
  <c r="J473" i="6"/>
  <c r="E473" i="6"/>
  <c r="K472" i="6"/>
  <c r="J472" i="6"/>
  <c r="E472" i="6"/>
  <c r="K471" i="6"/>
  <c r="J471" i="6"/>
  <c r="E471" i="6"/>
  <c r="K470" i="6"/>
  <c r="J470" i="6"/>
  <c r="E470" i="6"/>
  <c r="K469" i="6"/>
  <c r="J469" i="6"/>
  <c r="E469" i="6"/>
  <c r="K468" i="6"/>
  <c r="J468" i="6"/>
  <c r="E468" i="6"/>
  <c r="K467" i="6"/>
  <c r="J467" i="6"/>
  <c r="E467" i="6"/>
  <c r="K466" i="6"/>
  <c r="J466" i="6"/>
  <c r="E466" i="6"/>
  <c r="K465" i="6"/>
  <c r="J465" i="6"/>
  <c r="E465" i="6"/>
  <c r="K464" i="6"/>
  <c r="J464" i="6"/>
  <c r="E464" i="6"/>
  <c r="K463" i="6"/>
  <c r="J463" i="6"/>
  <c r="E463" i="6"/>
  <c r="K462" i="6"/>
  <c r="J462" i="6"/>
  <c r="E462" i="6"/>
  <c r="K461" i="6"/>
  <c r="J461" i="6"/>
  <c r="E461" i="6"/>
  <c r="K460" i="6"/>
  <c r="J460" i="6"/>
  <c r="E460" i="6"/>
  <c r="K459" i="6"/>
  <c r="J459" i="6"/>
  <c r="E459" i="6"/>
  <c r="K458" i="6"/>
  <c r="J458" i="6"/>
  <c r="E458" i="6"/>
  <c r="K457" i="6"/>
  <c r="J457" i="6"/>
  <c r="E457" i="6"/>
  <c r="K456" i="6"/>
  <c r="J456" i="6"/>
  <c r="E456" i="6"/>
  <c r="K455" i="6"/>
  <c r="J455" i="6"/>
  <c r="E455" i="6"/>
  <c r="K454" i="6"/>
  <c r="J454" i="6"/>
  <c r="E454" i="6"/>
  <c r="K453" i="6"/>
  <c r="J453" i="6"/>
  <c r="E453" i="6"/>
  <c r="K452" i="6"/>
  <c r="J452" i="6"/>
  <c r="E452" i="6"/>
  <c r="K451" i="6"/>
  <c r="J451" i="6"/>
  <c r="E451" i="6"/>
  <c r="K450" i="6"/>
  <c r="J450" i="6"/>
  <c r="E450" i="6"/>
  <c r="K449" i="6"/>
  <c r="J449" i="6"/>
  <c r="E449" i="6"/>
  <c r="K448" i="6"/>
  <c r="J448" i="6"/>
  <c r="E448" i="6"/>
  <c r="K447" i="6"/>
  <c r="J447" i="6"/>
  <c r="E447" i="6"/>
  <c r="K446" i="6"/>
  <c r="J446" i="6"/>
  <c r="E446" i="6"/>
  <c r="K445" i="6"/>
  <c r="J445" i="6"/>
  <c r="E445" i="6"/>
  <c r="K444" i="6"/>
  <c r="J444" i="6"/>
  <c r="E444" i="6"/>
  <c r="K443" i="6"/>
  <c r="J443" i="6"/>
  <c r="E443" i="6"/>
  <c r="K442" i="6"/>
  <c r="J442" i="6"/>
  <c r="E442" i="6"/>
  <c r="K441" i="6"/>
  <c r="J441" i="6"/>
  <c r="E441" i="6"/>
  <c r="K440" i="6"/>
  <c r="J440" i="6"/>
  <c r="E440" i="6"/>
  <c r="K439" i="6"/>
  <c r="J439" i="6"/>
  <c r="E439" i="6"/>
  <c r="K438" i="6"/>
  <c r="J438" i="6"/>
  <c r="E438" i="6"/>
  <c r="K437" i="6"/>
  <c r="J437" i="6"/>
  <c r="E437" i="6"/>
  <c r="K436" i="6"/>
  <c r="J436" i="6"/>
  <c r="E436" i="6"/>
  <c r="K435" i="6"/>
  <c r="J435" i="6"/>
  <c r="E435" i="6"/>
  <c r="K434" i="6"/>
  <c r="J434" i="6"/>
  <c r="E434" i="6"/>
  <c r="K433" i="6"/>
  <c r="J433" i="6"/>
  <c r="E433" i="6"/>
  <c r="K432" i="6"/>
  <c r="J432" i="6"/>
  <c r="E432" i="6"/>
  <c r="K431" i="6"/>
  <c r="J431" i="6"/>
  <c r="E431" i="6"/>
  <c r="K430" i="6"/>
  <c r="J430" i="6"/>
  <c r="E430" i="6"/>
  <c r="K429" i="6"/>
  <c r="J429" i="6"/>
  <c r="E429" i="6"/>
  <c r="K428" i="6"/>
  <c r="J428" i="6"/>
  <c r="E428" i="6"/>
  <c r="K427" i="6"/>
  <c r="J427" i="6"/>
  <c r="E427" i="6"/>
  <c r="K426" i="6"/>
  <c r="J426" i="6"/>
  <c r="E426" i="6"/>
  <c r="K425" i="6"/>
  <c r="J425" i="6"/>
  <c r="E425" i="6"/>
  <c r="K424" i="6"/>
  <c r="J424" i="6"/>
  <c r="E424" i="6"/>
  <c r="K423" i="6"/>
  <c r="J423" i="6"/>
  <c r="E423" i="6"/>
  <c r="K422" i="6"/>
  <c r="J422" i="6"/>
  <c r="E422" i="6"/>
  <c r="K421" i="6"/>
  <c r="J421" i="6"/>
  <c r="E421" i="6"/>
  <c r="K420" i="6"/>
  <c r="J420" i="6"/>
  <c r="E420" i="6"/>
  <c r="K419" i="6"/>
  <c r="J419" i="6"/>
  <c r="E419" i="6"/>
  <c r="K418" i="6"/>
  <c r="J418" i="6"/>
  <c r="E418" i="6"/>
  <c r="K417" i="6"/>
  <c r="J417" i="6"/>
  <c r="E417" i="6"/>
  <c r="K416" i="6"/>
  <c r="J416" i="6"/>
  <c r="E416" i="6"/>
  <c r="K415" i="6"/>
  <c r="J415" i="6"/>
  <c r="E415" i="6"/>
  <c r="K414" i="6"/>
  <c r="J414" i="6"/>
  <c r="E414" i="6"/>
  <c r="K413" i="6"/>
  <c r="J413" i="6"/>
  <c r="E413" i="6"/>
  <c r="K412" i="6"/>
  <c r="J412" i="6"/>
  <c r="E412" i="6"/>
  <c r="K411" i="6"/>
  <c r="J411" i="6"/>
  <c r="E411" i="6"/>
  <c r="K410" i="6"/>
  <c r="J410" i="6"/>
  <c r="E410" i="6"/>
  <c r="K409" i="6"/>
  <c r="J409" i="6"/>
  <c r="E409" i="6"/>
  <c r="K408" i="6"/>
  <c r="J408" i="6"/>
  <c r="E408" i="6"/>
  <c r="K407" i="6"/>
  <c r="J407" i="6"/>
  <c r="E407" i="6"/>
  <c r="K406" i="6"/>
  <c r="J406" i="6"/>
  <c r="E406" i="6"/>
  <c r="K405" i="6"/>
  <c r="J405" i="6"/>
  <c r="E405" i="6"/>
  <c r="K404" i="6"/>
  <c r="J404" i="6"/>
  <c r="E404" i="6"/>
  <c r="K403" i="6"/>
  <c r="J403" i="6"/>
  <c r="E403" i="6"/>
  <c r="K402" i="6"/>
  <c r="J402" i="6"/>
  <c r="E402" i="6"/>
  <c r="K401" i="6"/>
  <c r="J401" i="6"/>
  <c r="E401" i="6"/>
  <c r="K400" i="6"/>
  <c r="J400" i="6"/>
  <c r="E400" i="6"/>
  <c r="K399" i="6"/>
  <c r="J399" i="6"/>
  <c r="E399" i="6"/>
  <c r="K398" i="6"/>
  <c r="J398" i="6"/>
  <c r="E398" i="6"/>
  <c r="K397" i="6"/>
  <c r="J397" i="6"/>
  <c r="E397" i="6"/>
  <c r="K396" i="6"/>
  <c r="J396" i="6"/>
  <c r="E396" i="6"/>
  <c r="K395" i="6"/>
  <c r="J395" i="6"/>
  <c r="E395" i="6"/>
  <c r="K394" i="6"/>
  <c r="J394" i="6"/>
  <c r="E394" i="6"/>
  <c r="K393" i="6"/>
  <c r="J393" i="6"/>
  <c r="E393" i="6"/>
  <c r="K392" i="6"/>
  <c r="J392" i="6"/>
  <c r="E392" i="6"/>
  <c r="K391" i="6"/>
  <c r="J391" i="6"/>
  <c r="E391" i="6"/>
  <c r="K390" i="6"/>
  <c r="J390" i="6"/>
  <c r="E390" i="6"/>
  <c r="K389" i="6"/>
  <c r="J389" i="6"/>
  <c r="E389" i="6"/>
  <c r="K388" i="6"/>
  <c r="J388" i="6"/>
  <c r="E388" i="6"/>
  <c r="K387" i="6"/>
  <c r="J387" i="6"/>
  <c r="E387" i="6"/>
  <c r="K386" i="6"/>
  <c r="J386" i="6"/>
  <c r="E386" i="6"/>
  <c r="K385" i="6"/>
  <c r="J385" i="6"/>
  <c r="E385" i="6"/>
  <c r="K384" i="6"/>
  <c r="J384" i="6"/>
  <c r="E384" i="6"/>
  <c r="K383" i="6"/>
  <c r="J383" i="6"/>
  <c r="E383" i="6"/>
  <c r="K382" i="6"/>
  <c r="J382" i="6"/>
  <c r="E382" i="6"/>
  <c r="K381" i="6"/>
  <c r="J381" i="6"/>
  <c r="E381" i="6"/>
  <c r="K380" i="6"/>
  <c r="J380" i="6"/>
  <c r="E380" i="6"/>
  <c r="K379" i="6"/>
  <c r="J379" i="6"/>
  <c r="E379" i="6"/>
  <c r="K378" i="6"/>
  <c r="J378" i="6"/>
  <c r="E378" i="6"/>
  <c r="K377" i="6"/>
  <c r="J377" i="6"/>
  <c r="E377" i="6"/>
  <c r="K376" i="6"/>
  <c r="J376" i="6"/>
  <c r="E376" i="6"/>
  <c r="K375" i="6"/>
  <c r="J375" i="6"/>
  <c r="E375" i="6"/>
  <c r="K374" i="6"/>
  <c r="J374" i="6"/>
  <c r="E374" i="6"/>
  <c r="K373" i="6"/>
  <c r="J373" i="6"/>
  <c r="E373" i="6"/>
  <c r="K372" i="6"/>
  <c r="J372" i="6"/>
  <c r="E372" i="6"/>
  <c r="K371" i="6"/>
  <c r="J371" i="6"/>
  <c r="E371" i="6"/>
  <c r="K370" i="6"/>
  <c r="J370" i="6"/>
  <c r="E370" i="6"/>
  <c r="K369" i="6"/>
  <c r="J369" i="6"/>
  <c r="E369" i="6"/>
  <c r="K368" i="6"/>
  <c r="J368" i="6"/>
  <c r="E368" i="6"/>
  <c r="K367" i="6"/>
  <c r="J367" i="6"/>
  <c r="E367" i="6"/>
  <c r="K366" i="6"/>
  <c r="J366" i="6"/>
  <c r="E366" i="6"/>
  <c r="K365" i="6"/>
  <c r="J365" i="6"/>
  <c r="E365" i="6"/>
  <c r="K364" i="6"/>
  <c r="J364" i="6"/>
  <c r="E364" i="6"/>
  <c r="K363" i="6"/>
  <c r="J363" i="6"/>
  <c r="E363" i="6"/>
  <c r="K362" i="6"/>
  <c r="J362" i="6"/>
  <c r="E362" i="6"/>
  <c r="K361" i="6"/>
  <c r="J361" i="6"/>
  <c r="E361" i="6"/>
  <c r="K360" i="6"/>
  <c r="J360" i="6"/>
  <c r="E360" i="6"/>
  <c r="K359" i="6"/>
  <c r="J359" i="6"/>
  <c r="E359" i="6"/>
  <c r="K358" i="6"/>
  <c r="J358" i="6"/>
  <c r="E358" i="6"/>
  <c r="K357" i="6"/>
  <c r="J357" i="6"/>
  <c r="E357" i="6"/>
  <c r="K356" i="6"/>
  <c r="J356" i="6"/>
  <c r="E356" i="6"/>
  <c r="K355" i="6"/>
  <c r="J355" i="6"/>
  <c r="E355" i="6"/>
  <c r="K354" i="6"/>
  <c r="J354" i="6"/>
  <c r="E354" i="6"/>
  <c r="K353" i="6"/>
  <c r="J353" i="6"/>
  <c r="E353" i="6"/>
  <c r="K352" i="6"/>
  <c r="J352" i="6"/>
  <c r="E352" i="6"/>
  <c r="K351" i="6"/>
  <c r="J351" i="6"/>
  <c r="E351" i="6"/>
  <c r="K350" i="6"/>
  <c r="J350" i="6"/>
  <c r="E350" i="6"/>
  <c r="K349" i="6"/>
  <c r="J349" i="6"/>
  <c r="E349" i="6"/>
  <c r="K348" i="6"/>
  <c r="J348" i="6"/>
  <c r="E348" i="6"/>
  <c r="K347" i="6"/>
  <c r="J347" i="6"/>
  <c r="E347" i="6"/>
  <c r="K346" i="6"/>
  <c r="J346" i="6"/>
  <c r="E346" i="6"/>
  <c r="K345" i="6"/>
  <c r="J345" i="6"/>
  <c r="E345" i="6"/>
  <c r="K344" i="6"/>
  <c r="J344" i="6"/>
  <c r="E344" i="6"/>
  <c r="K343" i="6"/>
  <c r="J343" i="6"/>
  <c r="E343" i="6"/>
  <c r="K342" i="6"/>
  <c r="J342" i="6"/>
  <c r="E342" i="6"/>
  <c r="K341" i="6"/>
  <c r="J341" i="6"/>
  <c r="E341" i="6"/>
  <c r="K340" i="6"/>
  <c r="J340" i="6"/>
  <c r="E340" i="6"/>
  <c r="K339" i="6"/>
  <c r="J339" i="6"/>
  <c r="E339" i="6"/>
  <c r="K338" i="6"/>
  <c r="J338" i="6"/>
  <c r="E338" i="6"/>
  <c r="K337" i="6"/>
  <c r="J337" i="6"/>
  <c r="E337" i="6"/>
  <c r="K336" i="6"/>
  <c r="J336" i="6"/>
  <c r="E336" i="6"/>
  <c r="K335" i="6"/>
  <c r="J335" i="6"/>
  <c r="E335" i="6"/>
  <c r="K334" i="6"/>
  <c r="J334" i="6"/>
  <c r="E334" i="6"/>
  <c r="K333" i="6"/>
  <c r="J333" i="6"/>
  <c r="E333" i="6"/>
  <c r="K332" i="6"/>
  <c r="J332" i="6"/>
  <c r="E332" i="6"/>
  <c r="K331" i="6"/>
  <c r="J331" i="6"/>
  <c r="E331" i="6"/>
  <c r="K330" i="6"/>
  <c r="J330" i="6"/>
  <c r="E330" i="6"/>
  <c r="K329" i="6"/>
  <c r="J329" i="6"/>
  <c r="E329" i="6"/>
  <c r="K328" i="6"/>
  <c r="J328" i="6"/>
  <c r="E328" i="6"/>
  <c r="K327" i="6"/>
  <c r="J327" i="6"/>
  <c r="E327" i="6"/>
  <c r="K326" i="6"/>
  <c r="J326" i="6"/>
  <c r="E326" i="6"/>
  <c r="K325" i="6"/>
  <c r="J325" i="6"/>
  <c r="E325" i="6"/>
  <c r="K324" i="6"/>
  <c r="J324" i="6"/>
  <c r="E324" i="6"/>
  <c r="K323" i="6"/>
  <c r="J323" i="6"/>
  <c r="E323" i="6"/>
  <c r="K322" i="6"/>
  <c r="J322" i="6"/>
  <c r="E322" i="6"/>
  <c r="K321" i="6"/>
  <c r="J321" i="6"/>
  <c r="E321" i="6"/>
  <c r="K320" i="6"/>
  <c r="J320" i="6"/>
  <c r="E320" i="6"/>
  <c r="K319" i="6"/>
  <c r="J319" i="6"/>
  <c r="E319" i="6"/>
  <c r="K318" i="6"/>
  <c r="J318" i="6"/>
  <c r="E318" i="6"/>
  <c r="K317" i="6"/>
  <c r="J317" i="6"/>
  <c r="E317" i="6"/>
  <c r="K316" i="6"/>
  <c r="J316" i="6"/>
  <c r="E316" i="6"/>
  <c r="K315" i="6"/>
  <c r="J315" i="6"/>
  <c r="E315" i="6"/>
  <c r="K314" i="6"/>
  <c r="J314" i="6"/>
  <c r="E314" i="6"/>
  <c r="K313" i="6"/>
  <c r="J313" i="6"/>
  <c r="E313" i="6"/>
  <c r="K312" i="6"/>
  <c r="J312" i="6"/>
  <c r="E312" i="6"/>
  <c r="K311" i="6"/>
  <c r="J311" i="6"/>
  <c r="E311" i="6"/>
  <c r="K310" i="6"/>
  <c r="J310" i="6"/>
  <c r="E310" i="6"/>
  <c r="K309" i="6"/>
  <c r="J309" i="6"/>
  <c r="E309" i="6"/>
  <c r="K308" i="6"/>
  <c r="J308" i="6"/>
  <c r="E308" i="6"/>
  <c r="K307" i="6"/>
  <c r="J307" i="6"/>
  <c r="E307" i="6"/>
  <c r="K306" i="6"/>
  <c r="J306" i="6"/>
  <c r="E306" i="6"/>
  <c r="K305" i="6"/>
  <c r="J305" i="6"/>
  <c r="E305" i="6"/>
  <c r="K304" i="6"/>
  <c r="J304" i="6"/>
  <c r="E304" i="6"/>
  <c r="K303" i="6"/>
  <c r="J303" i="6"/>
  <c r="E303" i="6"/>
  <c r="K302" i="6"/>
  <c r="J302" i="6"/>
  <c r="E302" i="6"/>
  <c r="K301" i="6"/>
  <c r="J301" i="6"/>
  <c r="E301" i="6"/>
  <c r="K300" i="6"/>
  <c r="J300" i="6"/>
  <c r="E300" i="6"/>
  <c r="K299" i="6"/>
  <c r="J299" i="6"/>
  <c r="E299" i="6"/>
  <c r="K298" i="6"/>
  <c r="J298" i="6"/>
  <c r="E298" i="6"/>
  <c r="K297" i="6"/>
  <c r="J297" i="6"/>
  <c r="E297" i="6"/>
  <c r="K296" i="6"/>
  <c r="J296" i="6"/>
  <c r="E296" i="6"/>
  <c r="K295" i="6"/>
  <c r="J295" i="6"/>
  <c r="E295" i="6"/>
  <c r="K294" i="6"/>
  <c r="J294" i="6"/>
  <c r="E294" i="6"/>
  <c r="K293" i="6"/>
  <c r="J293" i="6"/>
  <c r="E293" i="6"/>
  <c r="K292" i="6"/>
  <c r="J292" i="6"/>
  <c r="E292" i="6"/>
  <c r="K291" i="6"/>
  <c r="J291" i="6"/>
  <c r="E291" i="6"/>
  <c r="K290" i="6"/>
  <c r="J290" i="6"/>
  <c r="E290" i="6"/>
  <c r="K289" i="6"/>
  <c r="J289" i="6"/>
  <c r="E289" i="6"/>
  <c r="K288" i="6"/>
  <c r="J288" i="6"/>
  <c r="E288" i="6"/>
  <c r="K287" i="6"/>
  <c r="J287" i="6"/>
  <c r="E287" i="6"/>
  <c r="K286" i="6"/>
  <c r="J286" i="6"/>
  <c r="E286" i="6"/>
  <c r="K285" i="6"/>
  <c r="J285" i="6"/>
  <c r="E285" i="6"/>
  <c r="K284" i="6"/>
  <c r="J284" i="6"/>
  <c r="E284" i="6"/>
  <c r="K283" i="6"/>
  <c r="J283" i="6"/>
  <c r="E283" i="6"/>
  <c r="K282" i="6"/>
  <c r="J282" i="6"/>
  <c r="E282" i="6"/>
  <c r="K281" i="6"/>
  <c r="J281" i="6"/>
  <c r="E281" i="6"/>
  <c r="K280" i="6"/>
  <c r="J280" i="6"/>
  <c r="E280" i="6"/>
  <c r="K279" i="6"/>
  <c r="J279" i="6"/>
  <c r="E279" i="6"/>
  <c r="K278" i="6"/>
  <c r="J278" i="6"/>
  <c r="E278" i="6"/>
  <c r="K277" i="6"/>
  <c r="J277" i="6"/>
  <c r="E277" i="6"/>
  <c r="K276" i="6"/>
  <c r="J276" i="6"/>
  <c r="E276" i="6"/>
  <c r="K275" i="6"/>
  <c r="J275" i="6"/>
  <c r="E275" i="6"/>
  <c r="K274" i="6"/>
  <c r="J274" i="6"/>
  <c r="E274" i="6"/>
  <c r="K273" i="6"/>
  <c r="J273" i="6"/>
  <c r="E273" i="6"/>
  <c r="K272" i="6"/>
  <c r="J272" i="6"/>
  <c r="E272" i="6"/>
  <c r="K271" i="6"/>
  <c r="J271" i="6"/>
  <c r="E271" i="6"/>
  <c r="K270" i="6"/>
  <c r="J270" i="6"/>
  <c r="E270" i="6"/>
  <c r="K269" i="6"/>
  <c r="J269" i="6"/>
  <c r="E269" i="6"/>
  <c r="K268" i="6"/>
  <c r="J268" i="6"/>
  <c r="E268" i="6"/>
  <c r="K267" i="6"/>
  <c r="J267" i="6"/>
  <c r="E267" i="6"/>
  <c r="K266" i="6"/>
  <c r="J266" i="6"/>
  <c r="E266" i="6"/>
  <c r="K265" i="6"/>
  <c r="J265" i="6"/>
  <c r="E265" i="6"/>
  <c r="K264" i="6"/>
  <c r="J264" i="6"/>
  <c r="E264" i="6"/>
  <c r="K263" i="6"/>
  <c r="J263" i="6"/>
  <c r="E263" i="6"/>
  <c r="K262" i="6"/>
  <c r="J262" i="6"/>
  <c r="E262" i="6"/>
  <c r="K261" i="6"/>
  <c r="J261" i="6"/>
  <c r="E261" i="6"/>
  <c r="K260" i="6"/>
  <c r="J260" i="6"/>
  <c r="E260" i="6"/>
  <c r="K259" i="6"/>
  <c r="J259" i="6"/>
  <c r="E259" i="6"/>
  <c r="K258" i="6"/>
  <c r="J258" i="6"/>
  <c r="E258" i="6"/>
  <c r="K257" i="6"/>
  <c r="J257" i="6"/>
  <c r="E257" i="6"/>
  <c r="K256" i="6"/>
  <c r="J256" i="6"/>
  <c r="E256" i="6"/>
  <c r="K255" i="6"/>
  <c r="J255" i="6"/>
  <c r="E255" i="6"/>
  <c r="K254" i="6"/>
  <c r="J254" i="6"/>
  <c r="E254" i="6"/>
  <c r="K253" i="6"/>
  <c r="J253" i="6"/>
  <c r="E253" i="6"/>
  <c r="K252" i="6"/>
  <c r="J252" i="6"/>
  <c r="E252" i="6"/>
  <c r="K251" i="6"/>
  <c r="J251" i="6"/>
  <c r="E251" i="6"/>
  <c r="K250" i="6"/>
  <c r="J250" i="6"/>
  <c r="E250" i="6"/>
  <c r="K249" i="6"/>
  <c r="J249" i="6"/>
  <c r="E249" i="6"/>
  <c r="K248" i="6"/>
  <c r="J248" i="6"/>
  <c r="E248" i="6"/>
  <c r="K247" i="6"/>
  <c r="J247" i="6"/>
  <c r="E247" i="6"/>
  <c r="K246" i="6"/>
  <c r="J246" i="6"/>
  <c r="E246" i="6"/>
  <c r="K245" i="6"/>
  <c r="J245" i="6"/>
  <c r="E245" i="6"/>
  <c r="K244" i="6"/>
  <c r="J244" i="6"/>
  <c r="E244" i="6"/>
  <c r="K243" i="6"/>
  <c r="J243" i="6"/>
  <c r="E243" i="6"/>
  <c r="K242" i="6"/>
  <c r="J242" i="6"/>
  <c r="E242" i="6"/>
  <c r="K241" i="6"/>
  <c r="J241" i="6"/>
  <c r="E241" i="6"/>
  <c r="K240" i="6"/>
  <c r="J240" i="6"/>
  <c r="E240" i="6"/>
  <c r="K239" i="6"/>
  <c r="J239" i="6"/>
  <c r="E239" i="6"/>
  <c r="K238" i="6"/>
  <c r="J238" i="6"/>
  <c r="E238" i="6"/>
  <c r="K237" i="6"/>
  <c r="J237" i="6"/>
  <c r="E237" i="6"/>
  <c r="K236" i="6"/>
  <c r="J236" i="6"/>
  <c r="E236" i="6"/>
  <c r="K235" i="6"/>
  <c r="J235" i="6"/>
  <c r="E235" i="6"/>
  <c r="K234" i="6"/>
  <c r="J234" i="6"/>
  <c r="E234" i="6"/>
  <c r="K233" i="6"/>
  <c r="J233" i="6"/>
  <c r="E233" i="6"/>
  <c r="K232" i="6"/>
  <c r="J232" i="6"/>
  <c r="E232" i="6"/>
  <c r="K231" i="6"/>
  <c r="J231" i="6"/>
  <c r="E231" i="6"/>
  <c r="K230" i="6"/>
  <c r="J230" i="6"/>
  <c r="E230" i="6"/>
  <c r="K229" i="6"/>
  <c r="J229" i="6"/>
  <c r="E229" i="6"/>
  <c r="K228" i="6"/>
  <c r="J228" i="6"/>
  <c r="E228" i="6"/>
  <c r="K227" i="6"/>
  <c r="J227" i="6"/>
  <c r="E227" i="6"/>
  <c r="J226" i="6"/>
  <c r="K226" i="6" s="1"/>
  <c r="E226" i="6"/>
  <c r="K225" i="6"/>
  <c r="J225" i="6"/>
  <c r="E225" i="6"/>
  <c r="K224" i="6"/>
  <c r="J224" i="6"/>
  <c r="E224" i="6"/>
  <c r="K223" i="6"/>
  <c r="J223" i="6"/>
  <c r="E223" i="6"/>
  <c r="K222" i="6"/>
  <c r="J222" i="6"/>
  <c r="E222" i="6"/>
  <c r="K221" i="6"/>
  <c r="J221" i="6"/>
  <c r="E221" i="6"/>
  <c r="K220" i="6"/>
  <c r="J220" i="6"/>
  <c r="E220" i="6"/>
  <c r="K219" i="6"/>
  <c r="J219" i="6"/>
  <c r="E219" i="6"/>
  <c r="K218" i="6"/>
  <c r="J218" i="6"/>
  <c r="E218" i="6"/>
  <c r="K217" i="6"/>
  <c r="J217" i="6"/>
  <c r="E217" i="6"/>
  <c r="K216" i="6"/>
  <c r="J216" i="6"/>
  <c r="E216" i="6"/>
  <c r="K215" i="6"/>
  <c r="J215" i="6"/>
  <c r="E215" i="6"/>
  <c r="K214" i="6"/>
  <c r="J214" i="6"/>
  <c r="E214" i="6"/>
  <c r="K213" i="6"/>
  <c r="J213" i="6"/>
  <c r="E213" i="6"/>
  <c r="K212" i="6"/>
  <c r="J212" i="6"/>
  <c r="E212" i="6"/>
  <c r="K211" i="6"/>
  <c r="J211" i="6"/>
  <c r="E211" i="6"/>
  <c r="K210" i="6"/>
  <c r="J210" i="6"/>
  <c r="E210" i="6"/>
  <c r="K209" i="6"/>
  <c r="J209" i="6"/>
  <c r="E209" i="6"/>
  <c r="K208" i="6"/>
  <c r="J208" i="6"/>
  <c r="E208" i="6"/>
  <c r="K207" i="6"/>
  <c r="J207" i="6"/>
  <c r="E207" i="6"/>
  <c r="K206" i="6"/>
  <c r="J206" i="6"/>
  <c r="E206" i="6"/>
  <c r="K205" i="6"/>
  <c r="J205" i="6"/>
  <c r="E205" i="6"/>
  <c r="K204" i="6"/>
  <c r="J204" i="6"/>
  <c r="E204" i="6"/>
  <c r="K203" i="6"/>
  <c r="J203" i="6"/>
  <c r="E203" i="6"/>
  <c r="K202" i="6"/>
  <c r="J202" i="6"/>
  <c r="E202" i="6"/>
  <c r="K201" i="6"/>
  <c r="J201" i="6"/>
  <c r="E201" i="6"/>
  <c r="K200" i="6"/>
  <c r="J200" i="6"/>
  <c r="E200" i="6"/>
  <c r="K199" i="6"/>
  <c r="J199" i="6"/>
  <c r="E199" i="6"/>
  <c r="K198" i="6"/>
  <c r="J198" i="6"/>
  <c r="E198" i="6"/>
  <c r="K197" i="6"/>
  <c r="J197" i="6"/>
  <c r="E197" i="6"/>
  <c r="K196" i="6"/>
  <c r="J196" i="6"/>
  <c r="E196" i="6"/>
  <c r="K195" i="6"/>
  <c r="J195" i="6"/>
  <c r="E195" i="6"/>
  <c r="K194" i="6"/>
  <c r="J194" i="6"/>
  <c r="E194" i="6"/>
  <c r="K193" i="6"/>
  <c r="J193" i="6"/>
  <c r="E193" i="6"/>
  <c r="K192" i="6"/>
  <c r="J192" i="6"/>
  <c r="E192" i="6"/>
  <c r="K191" i="6"/>
  <c r="J191" i="6"/>
  <c r="E191" i="6"/>
  <c r="K190" i="6"/>
  <c r="J190" i="6"/>
  <c r="E190" i="6"/>
  <c r="K189" i="6"/>
  <c r="J189" i="6"/>
  <c r="E189" i="6"/>
  <c r="K188" i="6"/>
  <c r="J188" i="6"/>
  <c r="E188" i="6"/>
  <c r="K187" i="6"/>
  <c r="J187" i="6"/>
  <c r="E187" i="6"/>
  <c r="K186" i="6"/>
  <c r="J186" i="6"/>
  <c r="E186" i="6"/>
  <c r="K185" i="6"/>
  <c r="J185" i="6"/>
  <c r="E185" i="6"/>
  <c r="K184" i="6"/>
  <c r="J184" i="6"/>
  <c r="E184" i="6"/>
  <c r="K183" i="6"/>
  <c r="J183" i="6"/>
  <c r="E183" i="6"/>
  <c r="K182" i="6"/>
  <c r="J182" i="6"/>
  <c r="E182" i="6"/>
  <c r="K181" i="6"/>
  <c r="J181" i="6"/>
  <c r="E181" i="6"/>
  <c r="K180" i="6"/>
  <c r="J180" i="6"/>
  <c r="E180" i="6"/>
  <c r="K179" i="6"/>
  <c r="J179" i="6"/>
  <c r="E179" i="6"/>
  <c r="K178" i="6"/>
  <c r="J178" i="6"/>
  <c r="E178" i="6"/>
  <c r="K177" i="6"/>
  <c r="J177" i="6"/>
  <c r="E177" i="6"/>
  <c r="K176" i="6"/>
  <c r="J176" i="6"/>
  <c r="E176" i="6"/>
  <c r="K175" i="6"/>
  <c r="J175" i="6"/>
  <c r="E175" i="6"/>
  <c r="K174" i="6"/>
  <c r="J174" i="6"/>
  <c r="E174" i="6"/>
  <c r="K173" i="6"/>
  <c r="J173" i="6"/>
  <c r="E173" i="6"/>
  <c r="K172" i="6"/>
  <c r="J172" i="6"/>
  <c r="E172" i="6"/>
  <c r="K171" i="6"/>
  <c r="J171" i="6"/>
  <c r="E171" i="6"/>
  <c r="K170" i="6"/>
  <c r="J170" i="6"/>
  <c r="E170" i="6"/>
  <c r="K169" i="6"/>
  <c r="J169" i="6"/>
  <c r="E169" i="6"/>
  <c r="K168" i="6"/>
  <c r="J168" i="6"/>
  <c r="E168" i="6"/>
  <c r="K167" i="6"/>
  <c r="J167" i="6"/>
  <c r="E167" i="6"/>
  <c r="K166" i="6"/>
  <c r="J166" i="6"/>
  <c r="E166" i="6"/>
  <c r="K165" i="6"/>
  <c r="J165" i="6"/>
  <c r="E165" i="6"/>
  <c r="K164" i="6"/>
  <c r="J164" i="6"/>
  <c r="E164" i="6"/>
  <c r="K163" i="6"/>
  <c r="J163" i="6"/>
  <c r="E163" i="6"/>
  <c r="K162" i="6"/>
  <c r="J162" i="6"/>
  <c r="E162" i="6"/>
  <c r="K161" i="6"/>
  <c r="J161" i="6"/>
  <c r="E161" i="6"/>
  <c r="K160" i="6"/>
  <c r="J160" i="6"/>
  <c r="E160" i="6"/>
  <c r="K159" i="6"/>
  <c r="J159" i="6"/>
  <c r="E159" i="6"/>
  <c r="K158" i="6"/>
  <c r="J158" i="6"/>
  <c r="E158" i="6"/>
  <c r="K157" i="6"/>
  <c r="J157" i="6"/>
  <c r="E157" i="6"/>
  <c r="K156" i="6"/>
  <c r="J156" i="6"/>
  <c r="E156" i="6"/>
  <c r="K155" i="6"/>
  <c r="J155" i="6"/>
  <c r="E155" i="6"/>
  <c r="K154" i="6"/>
  <c r="J154" i="6"/>
  <c r="E154" i="6"/>
  <c r="K153" i="6"/>
  <c r="J153" i="6"/>
  <c r="E153" i="6"/>
  <c r="K152" i="6"/>
  <c r="J152" i="6"/>
  <c r="E152" i="6"/>
  <c r="K151" i="6"/>
  <c r="J151" i="6"/>
  <c r="E151" i="6"/>
  <c r="K150" i="6"/>
  <c r="J150" i="6"/>
  <c r="E150" i="6"/>
  <c r="K149" i="6"/>
  <c r="J149" i="6"/>
  <c r="E149" i="6"/>
  <c r="K148" i="6"/>
  <c r="J148" i="6"/>
  <c r="E148" i="6"/>
  <c r="K147" i="6"/>
  <c r="J147" i="6"/>
  <c r="E147" i="6"/>
  <c r="K146" i="6"/>
  <c r="J146" i="6"/>
  <c r="E146" i="6"/>
  <c r="K145" i="6"/>
  <c r="J145" i="6"/>
  <c r="E145" i="6"/>
  <c r="K144" i="6"/>
  <c r="J144" i="6"/>
  <c r="E144" i="6"/>
  <c r="K143" i="6"/>
  <c r="J143" i="6"/>
  <c r="E143" i="6"/>
  <c r="K142" i="6"/>
  <c r="J142" i="6"/>
  <c r="E142" i="6"/>
  <c r="K141" i="6"/>
  <c r="J141" i="6"/>
  <c r="E141" i="6"/>
  <c r="K140" i="6"/>
  <c r="J140" i="6"/>
  <c r="E140" i="6"/>
  <c r="K139" i="6"/>
  <c r="J139" i="6"/>
  <c r="E139" i="6"/>
  <c r="K138" i="6"/>
  <c r="J138" i="6"/>
  <c r="E138" i="6"/>
  <c r="K137" i="6"/>
  <c r="J137" i="6"/>
  <c r="E137" i="6"/>
  <c r="K136" i="6"/>
  <c r="J136" i="6"/>
  <c r="E136" i="6"/>
  <c r="K135" i="6"/>
  <c r="J135" i="6"/>
  <c r="E135" i="6"/>
  <c r="K134" i="6"/>
  <c r="J134" i="6"/>
  <c r="E134" i="6"/>
  <c r="K133" i="6"/>
  <c r="J133" i="6"/>
  <c r="E133" i="6"/>
  <c r="K132" i="6"/>
  <c r="J132" i="6"/>
  <c r="E132" i="6"/>
  <c r="K131" i="6"/>
  <c r="J131" i="6"/>
  <c r="E131" i="6"/>
  <c r="K130" i="6"/>
  <c r="J130" i="6"/>
  <c r="E130" i="6"/>
  <c r="K129" i="6"/>
  <c r="J129" i="6"/>
  <c r="E129" i="6"/>
  <c r="K128" i="6"/>
  <c r="J128" i="6"/>
  <c r="E128" i="6"/>
  <c r="K127" i="6"/>
  <c r="J127" i="6"/>
  <c r="E127" i="6"/>
  <c r="K126" i="6"/>
  <c r="J126" i="6"/>
  <c r="E126" i="6"/>
  <c r="K125" i="6"/>
  <c r="J125" i="6"/>
  <c r="E125" i="6"/>
  <c r="K124" i="6"/>
  <c r="J124" i="6"/>
  <c r="E124" i="6"/>
  <c r="K123" i="6"/>
  <c r="J123" i="6"/>
  <c r="E123" i="6"/>
  <c r="K122" i="6"/>
  <c r="J122" i="6"/>
  <c r="E122" i="6"/>
  <c r="K121" i="6"/>
  <c r="J121" i="6"/>
  <c r="E121" i="6"/>
  <c r="K120" i="6"/>
  <c r="J120" i="6"/>
  <c r="E120" i="6"/>
  <c r="K119" i="6"/>
  <c r="J119" i="6"/>
  <c r="E119" i="6"/>
  <c r="K118" i="6"/>
  <c r="J118" i="6"/>
  <c r="E118" i="6"/>
  <c r="K117" i="6"/>
  <c r="J117" i="6"/>
  <c r="E117" i="6"/>
  <c r="K116" i="6"/>
  <c r="J116" i="6"/>
  <c r="E116" i="6"/>
  <c r="K115" i="6"/>
  <c r="J115" i="6"/>
  <c r="E115" i="6"/>
  <c r="K114" i="6"/>
  <c r="J114" i="6"/>
  <c r="E114" i="6"/>
  <c r="K113" i="6"/>
  <c r="J113" i="6"/>
  <c r="E113" i="6"/>
  <c r="K112" i="6"/>
  <c r="J112" i="6"/>
  <c r="E112" i="6"/>
  <c r="K111" i="6"/>
  <c r="J111" i="6"/>
  <c r="E111" i="6"/>
  <c r="K110" i="6"/>
  <c r="J110" i="6"/>
  <c r="E110" i="6"/>
  <c r="K109" i="6"/>
  <c r="J109" i="6"/>
  <c r="E109" i="6"/>
  <c r="K108" i="6"/>
  <c r="J108" i="6"/>
  <c r="E108" i="6"/>
  <c r="K107" i="6"/>
  <c r="J107" i="6"/>
  <c r="E107" i="6"/>
  <c r="K106" i="6"/>
  <c r="J106" i="6"/>
  <c r="E106" i="6"/>
  <c r="K105" i="6"/>
  <c r="J105" i="6"/>
  <c r="E105" i="6"/>
  <c r="K104" i="6"/>
  <c r="J104" i="6"/>
  <c r="E104" i="6"/>
  <c r="K103" i="6"/>
  <c r="J103" i="6"/>
  <c r="E103" i="6"/>
  <c r="K102" i="6"/>
  <c r="J102" i="6"/>
  <c r="E102" i="6"/>
  <c r="K101" i="6"/>
  <c r="J101" i="6"/>
  <c r="E101" i="6"/>
  <c r="K100" i="6"/>
  <c r="J100" i="6"/>
  <c r="E100" i="6"/>
  <c r="K99" i="6"/>
  <c r="J99" i="6"/>
  <c r="E99" i="6"/>
  <c r="K98" i="6"/>
  <c r="J98" i="6"/>
  <c r="E98" i="6"/>
  <c r="K97" i="6"/>
  <c r="J97" i="6"/>
  <c r="E97" i="6"/>
  <c r="K96" i="6"/>
  <c r="J96" i="6"/>
  <c r="E96" i="6"/>
  <c r="K95" i="6"/>
  <c r="J95" i="6"/>
  <c r="E95" i="6"/>
  <c r="K94" i="6"/>
  <c r="J94" i="6"/>
  <c r="E94" i="6"/>
  <c r="K93" i="6"/>
  <c r="J93" i="6"/>
  <c r="E93" i="6"/>
  <c r="K92" i="6"/>
  <c r="J92" i="6"/>
  <c r="E92" i="6"/>
  <c r="K91" i="6"/>
  <c r="J91" i="6"/>
  <c r="E91" i="6"/>
  <c r="K90" i="6"/>
  <c r="J90" i="6"/>
  <c r="E90" i="6"/>
  <c r="K89" i="6"/>
  <c r="J89" i="6"/>
  <c r="E89" i="6"/>
  <c r="K88" i="6"/>
  <c r="J88" i="6"/>
  <c r="E88" i="6"/>
  <c r="K87" i="6"/>
  <c r="J87" i="6"/>
  <c r="E87" i="6"/>
  <c r="K86" i="6"/>
  <c r="J86" i="6"/>
  <c r="E86" i="6"/>
  <c r="K85" i="6"/>
  <c r="J85" i="6"/>
  <c r="E85" i="6"/>
  <c r="K84" i="6"/>
  <c r="J84" i="6"/>
  <c r="E84" i="6"/>
  <c r="K83" i="6"/>
  <c r="J83" i="6"/>
  <c r="E83" i="6"/>
  <c r="K82" i="6"/>
  <c r="J82" i="6"/>
  <c r="E82" i="6"/>
  <c r="K81" i="6"/>
  <c r="J81" i="6"/>
  <c r="E81" i="6"/>
  <c r="K80" i="6"/>
  <c r="J80" i="6"/>
  <c r="E80" i="6"/>
  <c r="J79" i="6"/>
  <c r="K79" i="6" s="1"/>
  <c r="E79" i="6"/>
  <c r="K78" i="6"/>
  <c r="J78" i="6"/>
  <c r="E78" i="6"/>
  <c r="K77" i="6"/>
  <c r="J77" i="6"/>
  <c r="E77" i="6"/>
  <c r="K76" i="6"/>
  <c r="J76" i="6"/>
  <c r="E76" i="6"/>
  <c r="K75" i="6"/>
  <c r="J75" i="6"/>
  <c r="E75" i="6"/>
  <c r="K74" i="6"/>
  <c r="J74" i="6"/>
  <c r="E74" i="6"/>
  <c r="K73" i="6"/>
  <c r="J73" i="6"/>
  <c r="E73" i="6"/>
  <c r="K72" i="6"/>
  <c r="J72" i="6"/>
  <c r="E72" i="6"/>
  <c r="K71" i="6"/>
  <c r="J71" i="6"/>
  <c r="E71" i="6"/>
  <c r="K70" i="6"/>
  <c r="J70" i="6"/>
  <c r="E70" i="6"/>
  <c r="K69" i="6"/>
  <c r="J69" i="6"/>
  <c r="E69" i="6"/>
  <c r="K68" i="6"/>
  <c r="J68" i="6"/>
  <c r="E68" i="6"/>
  <c r="K67" i="6"/>
  <c r="J67" i="6"/>
  <c r="E67" i="6"/>
  <c r="K66" i="6"/>
  <c r="J66" i="6"/>
  <c r="E66" i="6"/>
  <c r="K65" i="6"/>
  <c r="J65" i="6"/>
  <c r="E65" i="6"/>
  <c r="K64" i="6"/>
  <c r="J64" i="6"/>
  <c r="E64" i="6"/>
  <c r="K63" i="6"/>
  <c r="J63" i="6"/>
  <c r="E63" i="6"/>
  <c r="K62" i="6"/>
  <c r="J62" i="6"/>
  <c r="E62" i="6"/>
  <c r="K61" i="6"/>
  <c r="J61" i="6"/>
  <c r="E61" i="6"/>
  <c r="K60" i="6"/>
  <c r="J60" i="6"/>
  <c r="E60" i="6"/>
  <c r="K59" i="6"/>
  <c r="J59" i="6"/>
  <c r="E59" i="6"/>
  <c r="K58" i="6"/>
  <c r="J58" i="6"/>
  <c r="E58" i="6"/>
  <c r="K57" i="6"/>
  <c r="J57" i="6"/>
  <c r="E57" i="6"/>
  <c r="K56" i="6"/>
  <c r="J56" i="6"/>
  <c r="E56" i="6"/>
  <c r="K55" i="6"/>
  <c r="J55" i="6"/>
  <c r="E55" i="6"/>
  <c r="K54" i="6"/>
  <c r="J54" i="6"/>
  <c r="E54" i="6"/>
  <c r="K53" i="6"/>
  <c r="J53" i="6"/>
  <c r="E53" i="6"/>
  <c r="K52" i="6"/>
  <c r="J52" i="6"/>
  <c r="E52" i="6"/>
  <c r="K51" i="6"/>
  <c r="J51" i="6"/>
  <c r="E51" i="6"/>
  <c r="K50" i="6"/>
  <c r="J50" i="6"/>
  <c r="E50" i="6"/>
  <c r="K49" i="6"/>
  <c r="J49" i="6"/>
  <c r="E49" i="6"/>
  <c r="K48" i="6"/>
  <c r="J48" i="6"/>
  <c r="E48" i="6"/>
  <c r="K47" i="6"/>
  <c r="J47" i="6"/>
  <c r="E47" i="6"/>
  <c r="K46" i="6"/>
  <c r="J46" i="6"/>
  <c r="E46" i="6"/>
  <c r="K45" i="6"/>
  <c r="J45" i="6"/>
  <c r="E45" i="6"/>
  <c r="K44" i="6"/>
  <c r="J44" i="6"/>
  <c r="E44" i="6"/>
  <c r="K43" i="6"/>
  <c r="J43" i="6"/>
  <c r="E43" i="6"/>
  <c r="K42" i="6"/>
  <c r="J42" i="6"/>
  <c r="E42" i="6"/>
  <c r="K41" i="6"/>
  <c r="J41" i="6"/>
  <c r="E41" i="6"/>
  <c r="K40" i="6"/>
  <c r="J40" i="6"/>
  <c r="E40" i="6"/>
  <c r="K39" i="6"/>
  <c r="J39" i="6"/>
  <c r="E39" i="6"/>
  <c r="K38" i="6"/>
  <c r="J38" i="6"/>
  <c r="E38" i="6"/>
  <c r="K37" i="6"/>
  <c r="J37" i="6"/>
  <c r="E37" i="6"/>
  <c r="K36" i="6"/>
  <c r="J36" i="6"/>
  <c r="E36" i="6"/>
  <c r="K35" i="6"/>
  <c r="J35" i="6"/>
  <c r="E35" i="6"/>
  <c r="K34" i="6"/>
  <c r="J34" i="6"/>
  <c r="E34" i="6"/>
  <c r="K33" i="6"/>
  <c r="J33" i="6"/>
  <c r="E33" i="6"/>
  <c r="K32" i="6"/>
  <c r="J32" i="6"/>
  <c r="E32" i="6"/>
  <c r="K31" i="6"/>
  <c r="J31" i="6"/>
  <c r="E31" i="6"/>
  <c r="K30" i="6"/>
  <c r="J30" i="6"/>
  <c r="E30" i="6"/>
  <c r="K29" i="6"/>
  <c r="J29" i="6"/>
  <c r="E29" i="6"/>
  <c r="K28" i="6"/>
  <c r="J28" i="6"/>
  <c r="E28" i="6"/>
  <c r="K27" i="6"/>
  <c r="J27" i="6"/>
  <c r="E27" i="6"/>
  <c r="K26" i="6"/>
  <c r="J26" i="6"/>
  <c r="E26" i="6"/>
  <c r="K25" i="6"/>
  <c r="J25" i="6"/>
  <c r="E25" i="6"/>
  <c r="K24" i="6"/>
  <c r="J24" i="6"/>
  <c r="E24" i="6"/>
  <c r="K23" i="6"/>
  <c r="J23" i="6"/>
  <c r="E23" i="6"/>
  <c r="K22" i="6"/>
  <c r="J22" i="6"/>
  <c r="E22" i="6"/>
  <c r="K21" i="6"/>
  <c r="J21" i="6"/>
  <c r="E21" i="6"/>
  <c r="K20" i="6"/>
  <c r="J20" i="6"/>
  <c r="E20" i="6"/>
  <c r="K19" i="6"/>
  <c r="J19" i="6"/>
  <c r="E19" i="6"/>
  <c r="K18" i="6"/>
  <c r="J18" i="6"/>
  <c r="E18" i="6"/>
  <c r="K17" i="6"/>
  <c r="J17" i="6"/>
  <c r="E17" i="6"/>
  <c r="K16" i="6"/>
  <c r="J16" i="6"/>
  <c r="E16" i="6"/>
  <c r="K15" i="6"/>
  <c r="J15" i="6"/>
  <c r="E15" i="6"/>
  <c r="K14" i="6"/>
  <c r="J14" i="6"/>
  <c r="E14" i="6"/>
  <c r="K13" i="6"/>
  <c r="J13" i="6"/>
  <c r="E13" i="6"/>
  <c r="K12" i="6"/>
  <c r="J12" i="6"/>
  <c r="E12" i="6"/>
  <c r="K11" i="6"/>
  <c r="J11" i="6"/>
  <c r="E11" i="6"/>
  <c r="K10" i="6"/>
  <c r="J10" i="6"/>
  <c r="E10" i="6"/>
  <c r="K9" i="6"/>
  <c r="J9" i="6"/>
  <c r="E9" i="6"/>
  <c r="K8" i="6"/>
  <c r="J8" i="6"/>
  <c r="E8" i="6"/>
  <c r="K7" i="6"/>
  <c r="J7" i="6"/>
  <c r="E7" i="6"/>
  <c r="K6" i="6"/>
  <c r="J6" i="6"/>
  <c r="E6" i="6"/>
  <c r="K5" i="6"/>
  <c r="J5" i="6"/>
  <c r="E5" i="6"/>
  <c r="K4" i="6"/>
  <c r="J4" i="6"/>
  <c r="E4" i="6"/>
  <c r="K3" i="6"/>
  <c r="J3" i="6"/>
  <c r="E3" i="6"/>
  <c r="K2" i="6"/>
  <c r="J2" i="6"/>
  <c r="E2" i="6"/>
  <c r="N461" i="5"/>
  <c r="M461" i="5"/>
  <c r="L461" i="5"/>
  <c r="K461" i="5"/>
  <c r="J461" i="5"/>
  <c r="I461" i="5"/>
  <c r="H461" i="5"/>
  <c r="G461" i="5"/>
  <c r="F461" i="5"/>
  <c r="E461" i="5"/>
  <c r="D461" i="5"/>
  <c r="C461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L93" i="5"/>
  <c r="K93" i="5"/>
  <c r="J93" i="5"/>
  <c r="I93" i="5"/>
  <c r="H93" i="5"/>
  <c r="G93" i="5"/>
  <c r="F93" i="5"/>
  <c r="E93" i="5"/>
  <c r="D93" i="5"/>
  <c r="C93" i="5"/>
  <c r="N92" i="5"/>
  <c r="M92" i="5"/>
  <c r="L92" i="5"/>
  <c r="K92" i="5"/>
  <c r="J92" i="5"/>
  <c r="I92" i="5"/>
  <c r="H92" i="5"/>
  <c r="G92" i="5"/>
  <c r="F92" i="5"/>
  <c r="E92" i="5"/>
  <c r="D92" i="5"/>
  <c r="C92" i="5"/>
  <c r="N91" i="5"/>
  <c r="M91" i="5"/>
  <c r="L91" i="5"/>
  <c r="K91" i="5"/>
  <c r="J91" i="5"/>
  <c r="I91" i="5"/>
  <c r="H91" i="5"/>
  <c r="G91" i="5"/>
  <c r="F91" i="5"/>
  <c r="E91" i="5"/>
  <c r="D91" i="5"/>
  <c r="C91" i="5"/>
  <c r="N90" i="5"/>
  <c r="M90" i="5"/>
  <c r="L90" i="5"/>
  <c r="K90" i="5"/>
  <c r="J90" i="5"/>
  <c r="I90" i="5"/>
  <c r="H90" i="5"/>
  <c r="G90" i="5"/>
  <c r="F90" i="5"/>
  <c r="E90" i="5"/>
  <c r="D90" i="5"/>
  <c r="C90" i="5"/>
  <c r="N89" i="5"/>
  <c r="M89" i="5"/>
  <c r="L89" i="5"/>
  <c r="K89" i="5"/>
  <c r="J89" i="5"/>
  <c r="I89" i="5"/>
  <c r="H89" i="5"/>
  <c r="G89" i="5"/>
  <c r="F89" i="5"/>
  <c r="E89" i="5"/>
  <c r="D89" i="5"/>
  <c r="C89" i="5"/>
  <c r="N88" i="5"/>
  <c r="M88" i="5"/>
  <c r="L88" i="5"/>
  <c r="K88" i="5"/>
  <c r="J88" i="5"/>
  <c r="I88" i="5"/>
  <c r="H88" i="5"/>
  <c r="G88" i="5"/>
  <c r="F88" i="5"/>
  <c r="E88" i="5"/>
  <c r="D88" i="5"/>
  <c r="C88" i="5"/>
  <c r="N87" i="5"/>
  <c r="M87" i="5"/>
  <c r="L87" i="5"/>
  <c r="K87" i="5"/>
  <c r="J87" i="5"/>
  <c r="I87" i="5"/>
  <c r="H87" i="5"/>
  <c r="G87" i="5"/>
  <c r="F87" i="5"/>
  <c r="E87" i="5"/>
  <c r="D87" i="5"/>
  <c r="C87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N82" i="5"/>
  <c r="M82" i="5"/>
  <c r="L82" i="5"/>
  <c r="K82" i="5"/>
  <c r="J82" i="5"/>
  <c r="I82" i="5"/>
  <c r="H82" i="5"/>
  <c r="G82" i="5"/>
  <c r="F82" i="5"/>
  <c r="E82" i="5"/>
  <c r="D82" i="5"/>
  <c r="C82" i="5"/>
  <c r="N81" i="5"/>
  <c r="M81" i="5"/>
  <c r="L81" i="5"/>
  <c r="K81" i="5"/>
  <c r="J81" i="5"/>
  <c r="I81" i="5"/>
  <c r="H81" i="5"/>
  <c r="G81" i="5"/>
  <c r="F81" i="5"/>
  <c r="E81" i="5"/>
  <c r="D81" i="5"/>
  <c r="C81" i="5"/>
  <c r="N80" i="5"/>
  <c r="M80" i="5"/>
  <c r="L80" i="5"/>
  <c r="K80" i="5"/>
  <c r="J80" i="5"/>
  <c r="I80" i="5"/>
  <c r="H80" i="5"/>
  <c r="G80" i="5"/>
  <c r="F80" i="5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N78" i="5"/>
  <c r="M78" i="5"/>
  <c r="L78" i="5"/>
  <c r="K78" i="5"/>
  <c r="J78" i="5"/>
  <c r="I78" i="5"/>
  <c r="H78" i="5"/>
  <c r="G78" i="5"/>
  <c r="F78" i="5"/>
  <c r="E78" i="5"/>
  <c r="D78" i="5"/>
  <c r="C78" i="5"/>
  <c r="N77" i="5"/>
  <c r="M77" i="5"/>
  <c r="L77" i="5"/>
  <c r="K77" i="5"/>
  <c r="J77" i="5"/>
  <c r="I77" i="5"/>
  <c r="H77" i="5"/>
  <c r="G77" i="5"/>
  <c r="F77" i="5"/>
  <c r="E77" i="5"/>
  <c r="D77" i="5"/>
  <c r="C77" i="5"/>
  <c r="N76" i="5"/>
  <c r="M76" i="5"/>
  <c r="L76" i="5"/>
  <c r="K76" i="5"/>
  <c r="J76" i="5"/>
  <c r="I76" i="5"/>
  <c r="H76" i="5"/>
  <c r="G76" i="5"/>
  <c r="F76" i="5"/>
  <c r="E76" i="5"/>
  <c r="D76" i="5"/>
  <c r="C76" i="5"/>
  <c r="N75" i="5"/>
  <c r="M75" i="5"/>
  <c r="L75" i="5"/>
  <c r="K75" i="5"/>
  <c r="J75" i="5"/>
  <c r="I75" i="5"/>
  <c r="H75" i="5"/>
  <c r="G75" i="5"/>
  <c r="F75" i="5"/>
  <c r="E75" i="5"/>
  <c r="D75" i="5"/>
  <c r="C75" i="5"/>
  <c r="N74" i="5"/>
  <c r="M74" i="5"/>
  <c r="L74" i="5"/>
  <c r="K74" i="5"/>
  <c r="J74" i="5"/>
  <c r="I74" i="5"/>
  <c r="H74" i="5"/>
  <c r="G74" i="5"/>
  <c r="F74" i="5"/>
  <c r="E74" i="5"/>
  <c r="D74" i="5"/>
  <c r="C74" i="5"/>
  <c r="N73" i="5"/>
  <c r="M73" i="5"/>
  <c r="L73" i="5"/>
  <c r="K73" i="5"/>
  <c r="J73" i="5"/>
  <c r="I73" i="5"/>
  <c r="H73" i="5"/>
  <c r="G73" i="5"/>
  <c r="F73" i="5"/>
  <c r="E73" i="5"/>
  <c r="D73" i="5"/>
  <c r="C73" i="5"/>
  <c r="N72" i="5"/>
  <c r="M72" i="5"/>
  <c r="L72" i="5"/>
  <c r="K72" i="5"/>
  <c r="J72" i="5"/>
  <c r="I72" i="5"/>
  <c r="H72" i="5"/>
  <c r="G72" i="5"/>
  <c r="F72" i="5"/>
  <c r="E72" i="5"/>
  <c r="D72" i="5"/>
  <c r="C72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N69" i="5"/>
  <c r="M69" i="5"/>
  <c r="L69" i="5"/>
  <c r="K69" i="5"/>
  <c r="J69" i="5"/>
  <c r="I69" i="5"/>
  <c r="H69" i="5"/>
  <c r="G69" i="5"/>
  <c r="F69" i="5"/>
  <c r="E69" i="5"/>
  <c r="D69" i="5"/>
  <c r="C69" i="5"/>
  <c r="N68" i="5"/>
  <c r="M68" i="5"/>
  <c r="L68" i="5"/>
  <c r="K68" i="5"/>
  <c r="J68" i="5"/>
  <c r="I68" i="5"/>
  <c r="H68" i="5"/>
  <c r="G68" i="5"/>
  <c r="F68" i="5"/>
  <c r="E68" i="5"/>
  <c r="D68" i="5"/>
  <c r="C68" i="5"/>
  <c r="N67" i="5"/>
  <c r="M67" i="5"/>
  <c r="L67" i="5"/>
  <c r="K67" i="5"/>
  <c r="J67" i="5"/>
  <c r="I67" i="5"/>
  <c r="H67" i="5"/>
  <c r="G67" i="5"/>
  <c r="F67" i="5"/>
  <c r="E67" i="5"/>
  <c r="D67" i="5"/>
  <c r="C67" i="5"/>
  <c r="N66" i="5"/>
  <c r="M66" i="5"/>
  <c r="L66" i="5"/>
  <c r="K66" i="5"/>
  <c r="J66" i="5"/>
  <c r="I66" i="5"/>
  <c r="H66" i="5"/>
  <c r="G66" i="5"/>
  <c r="F66" i="5"/>
  <c r="E66" i="5"/>
  <c r="D66" i="5"/>
  <c r="C66" i="5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N60" i="5"/>
  <c r="M60" i="5"/>
  <c r="L60" i="5"/>
  <c r="K60" i="5"/>
  <c r="J60" i="5"/>
  <c r="I60" i="5"/>
  <c r="H60" i="5"/>
  <c r="G60" i="5"/>
  <c r="F60" i="5"/>
  <c r="E60" i="5"/>
  <c r="D60" i="5"/>
  <c r="C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N56" i="5"/>
  <c r="M56" i="5"/>
  <c r="L56" i="5"/>
  <c r="K56" i="5"/>
  <c r="J56" i="5"/>
  <c r="I56" i="5"/>
  <c r="H56" i="5"/>
  <c r="G56" i="5"/>
  <c r="F56" i="5"/>
  <c r="E56" i="5"/>
  <c r="D56" i="5"/>
  <c r="C56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C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N47" i="5"/>
  <c r="M47" i="5"/>
  <c r="L47" i="5"/>
  <c r="K47" i="5"/>
  <c r="J47" i="5"/>
  <c r="I47" i="5"/>
  <c r="H47" i="5"/>
  <c r="G47" i="5"/>
  <c r="F47" i="5"/>
  <c r="E47" i="5"/>
  <c r="D47" i="5"/>
  <c r="C47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N44" i="5"/>
  <c r="M44" i="5"/>
  <c r="L44" i="5"/>
  <c r="K44" i="5"/>
  <c r="J44" i="5"/>
  <c r="I44" i="5"/>
  <c r="H44" i="5"/>
  <c r="G44" i="5"/>
  <c r="F44" i="5"/>
  <c r="E44" i="5"/>
  <c r="D44" i="5"/>
  <c r="C44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N41" i="5"/>
  <c r="M41" i="5"/>
  <c r="L41" i="5"/>
  <c r="K41" i="5"/>
  <c r="J41" i="5"/>
  <c r="I41" i="5"/>
  <c r="H41" i="5"/>
  <c r="G41" i="5"/>
  <c r="F41" i="5"/>
  <c r="E41" i="5"/>
  <c r="D41" i="5"/>
  <c r="C41" i="5"/>
  <c r="N40" i="5"/>
  <c r="M40" i="5"/>
  <c r="L40" i="5"/>
  <c r="K40" i="5"/>
  <c r="J40" i="5"/>
  <c r="I40" i="5"/>
  <c r="H40" i="5"/>
  <c r="G40" i="5"/>
  <c r="F40" i="5"/>
  <c r="E40" i="5"/>
  <c r="D40" i="5"/>
  <c r="C40" i="5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N9" i="5"/>
  <c r="M9" i="5"/>
  <c r="L9" i="5"/>
  <c r="K9" i="5"/>
  <c r="J9" i="5"/>
  <c r="I9" i="5"/>
  <c r="H9" i="5"/>
  <c r="G9" i="5"/>
  <c r="F9" i="5"/>
  <c r="E9" i="5"/>
  <c r="D9" i="5"/>
  <c r="C9" i="5"/>
  <c r="N8" i="5"/>
  <c r="M8" i="5"/>
  <c r="L8" i="5"/>
  <c r="K8" i="5"/>
  <c r="J8" i="5"/>
  <c r="I8" i="5"/>
  <c r="H8" i="5"/>
  <c r="G8" i="5"/>
  <c r="F8" i="5"/>
  <c r="E8" i="5"/>
  <c r="D8" i="5"/>
  <c r="C8" i="5"/>
  <c r="N7" i="5"/>
  <c r="M7" i="5"/>
  <c r="L7" i="5"/>
  <c r="K7" i="5"/>
  <c r="J7" i="5"/>
  <c r="I7" i="5"/>
  <c r="H7" i="5"/>
  <c r="G7" i="5"/>
  <c r="F7" i="5"/>
  <c r="E7" i="5"/>
  <c r="D7" i="5"/>
  <c r="C7" i="5"/>
  <c r="N6" i="5"/>
  <c r="M6" i="5"/>
  <c r="L6" i="5"/>
  <c r="K6" i="5"/>
  <c r="J6" i="5"/>
  <c r="I6" i="5"/>
  <c r="H6" i="5"/>
  <c r="G6" i="5"/>
  <c r="F6" i="5"/>
  <c r="E6" i="5"/>
  <c r="D6" i="5"/>
  <c r="C6" i="5"/>
  <c r="N5" i="5"/>
  <c r="M5" i="5"/>
  <c r="L5" i="5"/>
  <c r="K5" i="5"/>
  <c r="J5" i="5"/>
  <c r="I5" i="5"/>
  <c r="H5" i="5"/>
  <c r="G5" i="5"/>
  <c r="F5" i="5"/>
  <c r="E5" i="5"/>
  <c r="D5" i="5"/>
  <c r="C5" i="5"/>
  <c r="N4" i="5"/>
  <c r="M4" i="5"/>
  <c r="L4" i="5"/>
  <c r="K4" i="5"/>
  <c r="J4" i="5"/>
  <c r="I4" i="5"/>
  <c r="H4" i="5"/>
  <c r="G4" i="5"/>
  <c r="F4" i="5"/>
  <c r="E4" i="5"/>
  <c r="D4" i="5"/>
  <c r="C4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  <c r="D1015" i="4"/>
  <c r="C1015" i="4"/>
  <c r="D1014" i="4"/>
  <c r="C1014" i="4"/>
  <c r="D1013" i="4"/>
  <c r="C1013" i="4"/>
  <c r="D1012" i="4"/>
  <c r="C1012" i="4"/>
  <c r="D1011" i="4"/>
  <c r="C1011" i="4"/>
  <c r="D1010" i="4"/>
  <c r="C1010" i="4"/>
  <c r="D1009" i="4"/>
  <c r="C1009" i="4"/>
  <c r="D1008" i="4"/>
  <c r="C1008" i="4"/>
  <c r="D1007" i="4"/>
  <c r="C1007" i="4"/>
  <c r="D1006" i="4"/>
  <c r="C1006" i="4"/>
  <c r="D1005" i="4"/>
  <c r="C1005" i="4"/>
  <c r="D1004" i="4"/>
  <c r="C1004" i="4"/>
  <c r="D1003" i="4"/>
  <c r="C1003" i="4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</calcChain>
</file>

<file path=xl/sharedStrings.xml><?xml version="1.0" encoding="utf-8"?>
<sst xmlns="http://schemas.openxmlformats.org/spreadsheetml/2006/main" count="37621" uniqueCount="15558">
  <si>
    <t>URL</t>
  </si>
  <si>
    <t>https://www.ncbi.nlm.nih.gov/datasets/genome/GCF_001457635.1/</t>
  </si>
  <si>
    <t>NCBI RefSeq assembly</t>
  </si>
  <si>
    <t>GCF_001457635.1</t>
  </si>
  <si>
    <t>BioSample ID</t>
  </si>
  <si>
    <t>SAMEA2479568</t>
  </si>
  <si>
    <t>Sample name</t>
  </si>
  <si>
    <t>Assembly number</t>
  </si>
  <si>
    <t>NCTC7465</t>
  </si>
  <si>
    <t>Chromosome ref seq</t>
  </si>
  <si>
    <t>NZ_LN831051.1</t>
  </si>
  <si>
    <t>RefSeq</t>
  </si>
  <si>
    <t>GenBank</t>
  </si>
  <si>
    <t>Genome Size</t>
  </si>
  <si>
    <t>2.1 Mb</t>
  </si>
  <si>
    <t>Total ungapped length</t>
  </si>
  <si>
    <t>Number of chromosomes</t>
  </si>
  <si>
    <t>Number of scaffolds</t>
  </si>
  <si>
    <t>Scaffold N50</t>
  </si>
  <si>
    <t>Scaffold L50</t>
  </si>
  <si>
    <t>Number of contigs</t>
  </si>
  <si>
    <t>Contig N50</t>
  </si>
  <si>
    <t>Contig L50</t>
  </si>
  <si>
    <t>GC percent</t>
  </si>
  <si>
    <t>Assembly level</t>
  </si>
  <si>
    <t>Complete Genome</t>
  </si>
  <si>
    <t>Genes</t>
  </si>
  <si>
    <t>Protein-coding</t>
  </si>
  <si>
    <t>Chromosome</t>
  </si>
  <si>
    <t>LN831051.1</t>
  </si>
  <si>
    <t>CheckM analysis</t>
  </si>
  <si>
    <t>Completeness</t>
  </si>
  <si>
    <t>Contamination</t>
  </si>
  <si>
    <t>Accession</t>
  </si>
  <si>
    <t>Begin</t>
  </si>
  <si>
    <t>End</t>
  </si>
  <si>
    <t>Orientation</t>
  </si>
  <si>
    <t>Name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</si>
  <si>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</si>
  <si>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</si>
  <si>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</si>
  <si>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</si>
  <si>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</si>
  <si>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</si>
  <si>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</si>
  <si>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</si>
  <si>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</si>
  <si>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plus</t>
  </si>
  <si>
    <t>endo-beta-N-acetylglucosaminidase</t>
  </si>
  <si>
    <t>protein-coding</t>
  </si>
  <si>
    <t>COS95459.1</t>
  </si>
  <si>
    <t>ERS445053_00001</t>
  </si>
  <si>
    <t>COS95496.1</t>
  </si>
  <si>
    <t>ERS445053_00002</t>
  </si>
  <si>
    <t>Phosphoglycerate kinase</t>
  </si>
  <si>
    <t>pgk_1</t>
  </si>
  <si>
    <t>COS95512.1</t>
  </si>
  <si>
    <t>ERS445053_00003</t>
  </si>
  <si>
    <t>pgk_2</t>
  </si>
  <si>
    <t>COS95543.1</t>
  </si>
  <si>
    <t>ERS445053_00004</t>
  </si>
  <si>
    <t>phosphoglycerate kinase</t>
  </si>
  <si>
    <t>pgk_3</t>
  </si>
  <si>
    <t>COS95578.1</t>
  </si>
  <si>
    <t>ERS445053_00005</t>
  </si>
  <si>
    <t>membrane protein</t>
  </si>
  <si>
    <t>COS95603.1</t>
  </si>
  <si>
    <t>ERS445053_00006</t>
  </si>
  <si>
    <t>transcriptional repressor of the glutamine synthetase gene</t>
  </si>
  <si>
    <t>glnR_1</t>
  </si>
  <si>
    <t>COS95626.1</t>
  </si>
  <si>
    <t>ERS445053_00007</t>
  </si>
  <si>
    <t>glutamate-ammonia ligase</t>
  </si>
  <si>
    <t>glnA_1</t>
  </si>
  <si>
    <t>COS95652.1</t>
  </si>
  <si>
    <t>ERS445053_00008</t>
  </si>
  <si>
    <t>minus</t>
  </si>
  <si>
    <t>IS1380-Spn1 transposase</t>
  </si>
  <si>
    <t>COS95680.1</t>
  </si>
  <si>
    <t>ERS445053_00009</t>
  </si>
  <si>
    <t>type I restriction-modification system S protein</t>
  </si>
  <si>
    <t>hsdS_1</t>
  </si>
  <si>
    <t>COS95699.1</t>
  </si>
  <si>
    <t>ERS445053_00010</t>
  </si>
  <si>
    <t>integrase/recombinase%2C phage integrase family</t>
  </si>
  <si>
    <t>xerC_1</t>
  </si>
  <si>
    <t>COS95724.1</t>
  </si>
  <si>
    <t>ERS445053_00011</t>
  </si>
  <si>
    <t>type I restriction enzyme</t>
  </si>
  <si>
    <t>COS95747.1</t>
  </si>
  <si>
    <t>ERS445053_00012</t>
  </si>
  <si>
    <t>type I restriction-modification system%2C S subunit</t>
  </si>
  <si>
    <t>hsdS_2</t>
  </si>
  <si>
    <t>COS95770.1</t>
  </si>
  <si>
    <t>ERS445053_00013</t>
  </si>
  <si>
    <t>COS95795.1</t>
  </si>
  <si>
    <t>ERS445053_00014</t>
  </si>
  <si>
    <t>glnA_2</t>
  </si>
  <si>
    <t>COS95810.1</t>
  </si>
  <si>
    <t>ERS445053_00015</t>
  </si>
  <si>
    <t>glnR_2</t>
  </si>
  <si>
    <t>COS95833.1</t>
  </si>
  <si>
    <t>ERS445053_00016</t>
  </si>
  <si>
    <t>COS95863.1</t>
  </si>
  <si>
    <t>ERS445053_00017</t>
  </si>
  <si>
    <t>pgk_4</t>
  </si>
  <si>
    <t>COS95880.1</t>
  </si>
  <si>
    <t>ERS445053_00018</t>
  </si>
  <si>
    <t>strH_1</t>
  </si>
  <si>
    <t>COS95924.1</t>
  </si>
  <si>
    <t>ERS445053_00019</t>
  </si>
  <si>
    <t>sodium-dependent phosphate transporter</t>
  </si>
  <si>
    <t>COS95954.1</t>
  </si>
  <si>
    <t>ERS445053_00020</t>
  </si>
  <si>
    <t>CTP synthetase</t>
  </si>
  <si>
    <t>pyrG</t>
  </si>
  <si>
    <t>COS95968.1</t>
  </si>
  <si>
    <t>ERS445053_00021</t>
  </si>
  <si>
    <t>DNA-dependent RNA Polymerase%2C delta subunit (RNAP delta factor)</t>
  </si>
  <si>
    <t>rpoE</t>
  </si>
  <si>
    <t>COS96002.1</t>
  </si>
  <si>
    <t>ERS445053_00022</t>
  </si>
  <si>
    <t>sortase-like acyltransferase</t>
  </si>
  <si>
    <t>COS96026.1</t>
  </si>
  <si>
    <t>ERS445053_00023</t>
  </si>
  <si>
    <t>putative histone acetyltransferase</t>
  </si>
  <si>
    <t>COS96052.1</t>
  </si>
  <si>
    <t>ERS445053_00024</t>
  </si>
  <si>
    <t>phosphatase</t>
  </si>
  <si>
    <t>bcrC_1</t>
  </si>
  <si>
    <t>COS96084.1</t>
  </si>
  <si>
    <t>ERS445053_00025</t>
  </si>
  <si>
    <t>riboflavin transporter</t>
  </si>
  <si>
    <t>ribU</t>
  </si>
  <si>
    <t>COS96110.1</t>
  </si>
  <si>
    <t>ERS445053_00026</t>
  </si>
  <si>
    <t>RNA methyltransferase</t>
  </si>
  <si>
    <t>cspR</t>
  </si>
  <si>
    <t>COS96143.1</t>
  </si>
  <si>
    <t>ERS445053_00028</t>
  </si>
  <si>
    <t>ABC transporter permease</t>
  </si>
  <si>
    <t>cbiQ</t>
  </si>
  <si>
    <t>COS96174.1</t>
  </si>
  <si>
    <t>ERS445053_00030</t>
  </si>
  <si>
    <t>cobalt ABC transporter ATP-binding protein</t>
  </si>
  <si>
    <t>cbiO</t>
  </si>
  <si>
    <t>COS96189.1</t>
  </si>
  <si>
    <t>ERS445053_00031</t>
  </si>
  <si>
    <t>N-ethylammeline chlorohydrolase</t>
  </si>
  <si>
    <t>COS96218.1</t>
  </si>
  <si>
    <t>ERS445053_00032</t>
  </si>
  <si>
    <t>protein YdcD</t>
  </si>
  <si>
    <t>COS96236.1</t>
  </si>
  <si>
    <t>ERS445053_00033</t>
  </si>
  <si>
    <t>Molybdate/tungstate binding protein</t>
  </si>
  <si>
    <t>COS96258.1</t>
  </si>
  <si>
    <t>ERS445053_00034</t>
  </si>
  <si>
    <t>potassium uptake protein</t>
  </si>
  <si>
    <t>trkA2</t>
  </si>
  <si>
    <t>COS96278.1</t>
  </si>
  <si>
    <t>ERS445053_00035</t>
  </si>
  <si>
    <t>trkG2</t>
  </si>
  <si>
    <t>COS96323.1</t>
  </si>
  <si>
    <t>ERS445053_00036</t>
  </si>
  <si>
    <t>pts system lactose-specific transporter subunit EIIBC</t>
  </si>
  <si>
    <t>lacE_1</t>
  </si>
  <si>
    <t>COS96343.1</t>
  </si>
  <si>
    <t>ERS445053_00037</t>
  </si>
  <si>
    <t>6-phospho-beta-galactosidase</t>
  </si>
  <si>
    <t>lacG_1</t>
  </si>
  <si>
    <t>COS96377.1</t>
  </si>
  <si>
    <t>ERS445053_00038</t>
  </si>
  <si>
    <t>lactose-specific phosphotransferase EIIA</t>
  </si>
  <si>
    <t>lacF_1</t>
  </si>
  <si>
    <t>COS96413.1</t>
  </si>
  <si>
    <t>ERS445053_00039</t>
  </si>
  <si>
    <t>Uncharacterised protein</t>
  </si>
  <si>
    <t>COS96441.1</t>
  </si>
  <si>
    <t>ERS445053_00040</t>
  </si>
  <si>
    <t>PTS system cellobiose-specific IIC component</t>
  </si>
  <si>
    <t>PTS-EII_1</t>
  </si>
  <si>
    <t>COS96465.1</t>
  </si>
  <si>
    <t>ERS445053_00041</t>
  </si>
  <si>
    <t>ROK family protein</t>
  </si>
  <si>
    <t>mlc_1</t>
  </si>
  <si>
    <t>COS96501.1</t>
  </si>
  <si>
    <t>ERS445053_00042</t>
  </si>
  <si>
    <t>ISSpo8 transposase</t>
  </si>
  <si>
    <t>COS96527.1</t>
  </si>
  <si>
    <t>ERS445053_00043</t>
  </si>
  <si>
    <t>COS96551.1</t>
  </si>
  <si>
    <t>ERS445053_00044</t>
  </si>
  <si>
    <t>COS96576.1</t>
  </si>
  <si>
    <t>ERS445053_00045</t>
  </si>
  <si>
    <t>pyruvate formate-lyase</t>
  </si>
  <si>
    <t>pfl</t>
  </si>
  <si>
    <t>COS96595.1</t>
  </si>
  <si>
    <t>ERS445053_00046</t>
  </si>
  <si>
    <t>DNA polymerase IV</t>
  </si>
  <si>
    <t>dinP</t>
  </si>
  <si>
    <t>COS96603.1</t>
  </si>
  <si>
    <t>ERS445053_00047</t>
  </si>
  <si>
    <t>undecaprenol kinase</t>
  </si>
  <si>
    <t>bacA</t>
  </si>
  <si>
    <t>COS96617.1</t>
  </si>
  <si>
    <t>ERS445053_00048</t>
  </si>
  <si>
    <t>degenerate transposase</t>
  </si>
  <si>
    <t>COS96656.1</t>
  </si>
  <si>
    <t>ERS445053_00049</t>
  </si>
  <si>
    <t>COS96682.1</t>
  </si>
  <si>
    <t>ERS445053_00050</t>
  </si>
  <si>
    <t>FIG01114729: hypothetical protein</t>
  </si>
  <si>
    <t>COS96707.1</t>
  </si>
  <si>
    <t>ERS445053_00051</t>
  </si>
  <si>
    <t>ABC transporter-amino acid transport%3B amino acid-binding protein/permease protein</t>
  </si>
  <si>
    <t>yecS_1</t>
  </si>
  <si>
    <t>COS96735.1</t>
  </si>
  <si>
    <t>ERS445053_00052</t>
  </si>
  <si>
    <t>ABC transporter ATP-binding protein</t>
  </si>
  <si>
    <t>artM_1</t>
  </si>
  <si>
    <t>COS96760.1</t>
  </si>
  <si>
    <t>ERS445053_00053</t>
  </si>
  <si>
    <t>COS96785.1</t>
  </si>
  <si>
    <t>ERS445053_00054</t>
  </si>
  <si>
    <t>threonine dehydratase</t>
  </si>
  <si>
    <t>ilvA</t>
  </si>
  <si>
    <t>COS96807.1</t>
  </si>
  <si>
    <t>ERS445053_00055</t>
  </si>
  <si>
    <t>ketol-acid reductoisomerase</t>
  </si>
  <si>
    <t>COS96854.1</t>
  </si>
  <si>
    <t>ERS445053_00056</t>
  </si>
  <si>
    <t>COS96880.1</t>
  </si>
  <si>
    <t>ERS445053_00057</t>
  </si>
  <si>
    <t>ilvC</t>
  </si>
  <si>
    <t>COS96907.1</t>
  </si>
  <si>
    <t>ERS445053_00058</t>
  </si>
  <si>
    <t>acetolactate synthase 3 regulatory subunit</t>
  </si>
  <si>
    <t>ilvH</t>
  </si>
  <si>
    <t>COS96945.1</t>
  </si>
  <si>
    <t>ERS445053_00059</t>
  </si>
  <si>
    <t>acetolactate synthase large subunit</t>
  </si>
  <si>
    <t>ilvB</t>
  </si>
  <si>
    <t>COS96971.1</t>
  </si>
  <si>
    <t>ERS445053_00060</t>
  </si>
  <si>
    <t>kinase</t>
  </si>
  <si>
    <t>COS97002.1</t>
  </si>
  <si>
    <t>ERS445053_00061</t>
  </si>
  <si>
    <t>alkaline shock protein</t>
  </si>
  <si>
    <t>asp</t>
  </si>
  <si>
    <t>COS97029.1</t>
  </si>
  <si>
    <t>ERS445053_00062</t>
  </si>
  <si>
    <t>LSU ribosomal protein L28p</t>
  </si>
  <si>
    <t>rpmB</t>
  </si>
  <si>
    <t>COS97053.1</t>
  </si>
  <si>
    <t>ERS445053_00063</t>
  </si>
  <si>
    <t>glycosyl transferase</t>
  </si>
  <si>
    <t>gspA_1</t>
  </si>
  <si>
    <t>COS97103.1</t>
  </si>
  <si>
    <t>ERS445053_00064</t>
  </si>
  <si>
    <t>regulator of gtfB</t>
  </si>
  <si>
    <t>prfC</t>
  </si>
  <si>
    <t>COS97125.1</t>
  </si>
  <si>
    <t>ERS445053_00065</t>
  </si>
  <si>
    <t>aspartyl/glutamyl-tRNA amidotransferase subunit C</t>
  </si>
  <si>
    <t>gatC_1</t>
  </si>
  <si>
    <t>COS97158.1</t>
  </si>
  <si>
    <t>ERS445053_00066</t>
  </si>
  <si>
    <t>glutamyl-tRNA(Gln) amidotransferase%2C A subunit</t>
  </si>
  <si>
    <t>gatA</t>
  </si>
  <si>
    <t>COS97185.1</t>
  </si>
  <si>
    <t>ERS445053_00067</t>
  </si>
  <si>
    <t>glutamyl tRNA-Gln amidotransferase chain B</t>
  </si>
  <si>
    <t>gatB</t>
  </si>
  <si>
    <t>COS97213.1</t>
  </si>
  <si>
    <t>ERS445053_00068</t>
  </si>
  <si>
    <t>L-iditol 2-dehydrogenase</t>
  </si>
  <si>
    <t>gutB</t>
  </si>
  <si>
    <t>COS97237.1</t>
  </si>
  <si>
    <t>ERS445053_00069</t>
  </si>
  <si>
    <t>Translation elongation factor P</t>
  </si>
  <si>
    <t>efp</t>
  </si>
  <si>
    <t>COS97256.1</t>
  </si>
  <si>
    <t>ERS445053_00070</t>
  </si>
  <si>
    <t>general stress protein%2C Gls24 family</t>
  </si>
  <si>
    <t>COS97290.1</t>
  </si>
  <si>
    <t>ERS445053_00071</t>
  </si>
  <si>
    <t>transcription antitermination protein NusB</t>
  </si>
  <si>
    <t>nusB</t>
  </si>
  <si>
    <t>COS97301.1</t>
  </si>
  <si>
    <t>ERS445053_00072</t>
  </si>
  <si>
    <t>caax amino protease family protein</t>
  </si>
  <si>
    <t>COS97329.1</t>
  </si>
  <si>
    <t>ERS445053_00073</t>
  </si>
  <si>
    <t>COS97354.1</t>
  </si>
  <si>
    <t>ERS445053_00074</t>
  </si>
  <si>
    <t>acetyl co-enzyme A carboxylase carboxyltransferase alpha subunit</t>
  </si>
  <si>
    <t>accA</t>
  </si>
  <si>
    <t>COS97378.1</t>
  </si>
  <si>
    <t>ERS445053_00075</t>
  </si>
  <si>
    <t>acetyl-CoA carboxylase beta subunit</t>
  </si>
  <si>
    <t>accD</t>
  </si>
  <si>
    <t>COS97401.1</t>
  </si>
  <si>
    <t>ERS445053_00076</t>
  </si>
  <si>
    <t>acetyl-CoA carboxylase biotin carboxylase subunit</t>
  </si>
  <si>
    <t>accC</t>
  </si>
  <si>
    <t>COS97428.1</t>
  </si>
  <si>
    <t>ERS445053_00077</t>
  </si>
  <si>
    <t>(3R)-hydroxymyristoyl-ACP dehydratase</t>
  </si>
  <si>
    <t>fabZ</t>
  </si>
  <si>
    <t>COS97449.1</t>
  </si>
  <si>
    <t>ERS445053_00078</t>
  </si>
  <si>
    <t>acetyl-CoA carboxylase</t>
  </si>
  <si>
    <t>accB</t>
  </si>
  <si>
    <t>COS97478.1</t>
  </si>
  <si>
    <t>ERS445053_00079</t>
  </si>
  <si>
    <t>3-oxoacyl-(acyl carrier protein) synthase II</t>
  </si>
  <si>
    <t>fabF</t>
  </si>
  <si>
    <t>COS97503.1</t>
  </si>
  <si>
    <t>ERS445053_00080</t>
  </si>
  <si>
    <t>3-oxoacyl-ACP reductase</t>
  </si>
  <si>
    <t>fabG</t>
  </si>
  <si>
    <t>COS97525.1</t>
  </si>
  <si>
    <t>ERS445053_00081</t>
  </si>
  <si>
    <t>ACP S-malonyltransferase</t>
  </si>
  <si>
    <t>fabD</t>
  </si>
  <si>
    <t>COS97553.1</t>
  </si>
  <si>
    <t>ERS445053_00082</t>
  </si>
  <si>
    <t>putative enoyl-(acyl-carrier-protein) reductase II</t>
  </si>
  <si>
    <t>COS97583.1</t>
  </si>
  <si>
    <t>ERS445053_00083</t>
  </si>
  <si>
    <t>acyl carrier protein</t>
  </si>
  <si>
    <t>acpP_1</t>
  </si>
  <si>
    <t>COS97611.1</t>
  </si>
  <si>
    <t>ERS445053_00084</t>
  </si>
  <si>
    <t>3-oxoacyl-ACP synthase III</t>
  </si>
  <si>
    <t>fabH</t>
  </si>
  <si>
    <t>COS97639.1</t>
  </si>
  <si>
    <t>ERS445053_00085</t>
  </si>
  <si>
    <t>transcription regulator%2C MarR family</t>
  </si>
  <si>
    <t>marR</t>
  </si>
  <si>
    <t>COS97669.1</t>
  </si>
  <si>
    <t>ERS445053_00086</t>
  </si>
  <si>
    <t>enoyl-CoA hydratase</t>
  </si>
  <si>
    <t>fabM</t>
  </si>
  <si>
    <t>COS97702.1</t>
  </si>
  <si>
    <t>ERS445053_00087</t>
  </si>
  <si>
    <t>aspartate kinase</t>
  </si>
  <si>
    <t>thrA</t>
  </si>
  <si>
    <t>COS97732.1</t>
  </si>
  <si>
    <t>ERS445053_00088</t>
  </si>
  <si>
    <t>ManO</t>
  </si>
  <si>
    <t>COS97763.1</t>
  </si>
  <si>
    <t>ERS445053_00089</t>
  </si>
  <si>
    <t>seryl-tRNA synthetase</t>
  </si>
  <si>
    <t>serS</t>
  </si>
  <si>
    <t>COS97788.1</t>
  </si>
  <si>
    <t>ERS445053_00091</t>
  </si>
  <si>
    <t>exfoliative toxin</t>
  </si>
  <si>
    <t>shetA</t>
  </si>
  <si>
    <t>COS97815.1</t>
  </si>
  <si>
    <t>ERS445053_00092</t>
  </si>
  <si>
    <t>macrophage infectivity potentiator protein</t>
  </si>
  <si>
    <t>COS97842.1</t>
  </si>
  <si>
    <t>ERS445053_00093</t>
  </si>
  <si>
    <t>Na+/alanine symporter</t>
  </si>
  <si>
    <t>COS97877.1</t>
  </si>
  <si>
    <t>ERS445053_00094</t>
  </si>
  <si>
    <t>mismatch repair ATPase (MutS family)</t>
  </si>
  <si>
    <t>mutS2</t>
  </si>
  <si>
    <t>COS97891.1</t>
  </si>
  <si>
    <t>ERS445053_00096</t>
  </si>
  <si>
    <t>CvpA family protein</t>
  </si>
  <si>
    <t>cvpA</t>
  </si>
  <si>
    <t>COS97921.1</t>
  </si>
  <si>
    <t>ERS445053_00097</t>
  </si>
  <si>
    <t>COS97968.1</t>
  </si>
  <si>
    <t>ERS445053_00098</t>
  </si>
  <si>
    <t>ribonuclease HIII</t>
  </si>
  <si>
    <t>rnhC</t>
  </si>
  <si>
    <t>COS97997.1</t>
  </si>
  <si>
    <t>ERS445053_00099</t>
  </si>
  <si>
    <t>signal peptidase I</t>
  </si>
  <si>
    <t>spsB</t>
  </si>
  <si>
    <t>COS98030.1</t>
  </si>
  <si>
    <t>ERS445053_00100</t>
  </si>
  <si>
    <t>recombinase D</t>
  </si>
  <si>
    <t>recD</t>
  </si>
  <si>
    <t>COS98074.1</t>
  </si>
  <si>
    <t>ERS445053_00101</t>
  </si>
  <si>
    <t>FKBP-type peptidyl-prolyl cis-trans isomerase (trigger factor)</t>
  </si>
  <si>
    <t>tig</t>
  </si>
  <si>
    <t>COS98094.1</t>
  </si>
  <si>
    <t>ERS445053_00102</t>
  </si>
  <si>
    <t>integrase</t>
  </si>
  <si>
    <t>COS98121.1</t>
  </si>
  <si>
    <t>ERS445053_00103</t>
  </si>
  <si>
    <t>choline binding protein G</t>
  </si>
  <si>
    <t>COS98150.1</t>
  </si>
  <si>
    <t>ERS445053_00104</t>
  </si>
  <si>
    <t>cbpG</t>
  </si>
  <si>
    <t>COS98167.1</t>
  </si>
  <si>
    <t>ERS445053_00105</t>
  </si>
  <si>
    <t>V8-like Glu-specific endopeptidase</t>
  </si>
  <si>
    <t>COS98194.1</t>
  </si>
  <si>
    <t>ERS445053_00106</t>
  </si>
  <si>
    <t>response regulator</t>
  </si>
  <si>
    <t>vraR_1</t>
  </si>
  <si>
    <t>COS98215.1</t>
  </si>
  <si>
    <t>ERS445053_00107</t>
  </si>
  <si>
    <t>histidine kinase</t>
  </si>
  <si>
    <t>vraS</t>
  </si>
  <si>
    <t>COS98240.1</t>
  </si>
  <si>
    <t>ERS445053_00108</t>
  </si>
  <si>
    <t>transporter</t>
  </si>
  <si>
    <t>COS98266.1</t>
  </si>
  <si>
    <t>ERS445053_00109</t>
  </si>
  <si>
    <t>isopentenyl-diphosphate:dimethylallyl diphosphate isomerase type 2</t>
  </si>
  <si>
    <t>fni</t>
  </si>
  <si>
    <t>COS98290.1</t>
  </si>
  <si>
    <t>ERS445053_00110</t>
  </si>
  <si>
    <t>phosphomevalonate kinase</t>
  </si>
  <si>
    <t>COS98319.1</t>
  </si>
  <si>
    <t>ERS445053_00111</t>
  </si>
  <si>
    <t>diphosphomevalonate decarboxylase</t>
  </si>
  <si>
    <t>mvd1</t>
  </si>
  <si>
    <t>COS98343.1</t>
  </si>
  <si>
    <t>ERS445053_00112</t>
  </si>
  <si>
    <t>mevalonate kinase</t>
  </si>
  <si>
    <t>COS98374.1</t>
  </si>
  <si>
    <t>ERS445053_00113</t>
  </si>
  <si>
    <t>choline binding protein C</t>
  </si>
  <si>
    <t>COS98389.1</t>
  </si>
  <si>
    <t>ERS445053_00114</t>
  </si>
  <si>
    <t>lantibiotic modifying enzyme</t>
  </si>
  <si>
    <t>COS98414.1</t>
  </si>
  <si>
    <t>ERS445053_00115</t>
  </si>
  <si>
    <t>major facilitator superfamily permease</t>
  </si>
  <si>
    <t>COS98422.1</t>
  </si>
  <si>
    <t>ERS445053_00116</t>
  </si>
  <si>
    <t>choline-binding protein F%2C point mutation</t>
  </si>
  <si>
    <t>lytA_1</t>
  </si>
  <si>
    <t>COS98449.1</t>
  </si>
  <si>
    <t>ERS445053_00117</t>
  </si>
  <si>
    <t>choline binding protein J</t>
  </si>
  <si>
    <t>cbpJ_1</t>
  </si>
  <si>
    <t>COS98477.1</t>
  </si>
  <si>
    <t>ERS445053_00118</t>
  </si>
  <si>
    <t>cbpJ_2</t>
  </si>
  <si>
    <t>COS98497.1</t>
  </si>
  <si>
    <t>ERS445053_00119</t>
  </si>
  <si>
    <t>cbpJ_3</t>
  </si>
  <si>
    <t>COS98504.1</t>
  </si>
  <si>
    <t>ERS445053_00120</t>
  </si>
  <si>
    <t>Holliday junction-specific endonuclease</t>
  </si>
  <si>
    <t>COS98533.1</t>
  </si>
  <si>
    <t>ERS445053_00121</t>
  </si>
  <si>
    <t>N-6 adenine-specific DNA methylase</t>
  </si>
  <si>
    <t>rlmL</t>
  </si>
  <si>
    <t>COS98561.1</t>
  </si>
  <si>
    <t>ERS445053_00122</t>
  </si>
  <si>
    <t>cell division initiation protein</t>
  </si>
  <si>
    <t>gpsB</t>
  </si>
  <si>
    <t>COS98618.1</t>
  </si>
  <si>
    <t>ERS445053_00124</t>
  </si>
  <si>
    <t>UPF0398 protein SSU05</t>
  </si>
  <si>
    <t>ypsA</t>
  </si>
  <si>
    <t>COS98662.1</t>
  </si>
  <si>
    <t>ERS445053_00125</t>
  </si>
  <si>
    <t>recombination protein U</t>
  </si>
  <si>
    <t>recU</t>
  </si>
  <si>
    <t>COS98708.1</t>
  </si>
  <si>
    <t>ERS445053_00126</t>
  </si>
  <si>
    <t>penicillin-binding protein 1A</t>
  </si>
  <si>
    <t>pbp1A</t>
  </si>
  <si>
    <t>COS98735.1</t>
  </si>
  <si>
    <t>ERS445053_00127</t>
  </si>
  <si>
    <t>endo-alpha-N-acetylgalactosaminidase</t>
  </si>
  <si>
    <t>COS98757.1</t>
  </si>
  <si>
    <t>ERS445053_00128</t>
  </si>
  <si>
    <t>oligopeptide ABC transporter oligopeptide-binding protein AliA</t>
  </si>
  <si>
    <t>aliA</t>
  </si>
  <si>
    <t>COS98777.1</t>
  </si>
  <si>
    <t>ERS445053_00129</t>
  </si>
  <si>
    <t>transposase</t>
  </si>
  <si>
    <t>COS98795.1</t>
  </si>
  <si>
    <t>ERS445053_00130</t>
  </si>
  <si>
    <t>dTDP-4-keto-L-rhamnose reductase</t>
  </si>
  <si>
    <t>rmlD</t>
  </si>
  <si>
    <t>COS98818.1</t>
  </si>
  <si>
    <t>ERS445053_00131</t>
  </si>
  <si>
    <t>dTDP-4-keto-L-rhamnose reductase RmlD</t>
  </si>
  <si>
    <t>strL</t>
  </si>
  <si>
    <t>COS98838.1</t>
  </si>
  <si>
    <t>ERS445053_00132</t>
  </si>
  <si>
    <t>dTDP-glucose 4%2C6-dehydratase</t>
  </si>
  <si>
    <t>rmlB</t>
  </si>
  <si>
    <t>COS98858.1</t>
  </si>
  <si>
    <t>ERS445053_00133</t>
  </si>
  <si>
    <t>dTDP-4-dehydrorhamnose 3%2C5-epimerase</t>
  </si>
  <si>
    <t>rfbC</t>
  </si>
  <si>
    <t>COS98871.1</t>
  </si>
  <si>
    <t>ERS445053_00134</t>
  </si>
  <si>
    <t>glucose-1-phosphate thymidylyltransferase</t>
  </si>
  <si>
    <t>cps2L</t>
  </si>
  <si>
    <t>COS98908.1</t>
  </si>
  <si>
    <t>ERS445053_00135</t>
  </si>
  <si>
    <t>COS98939.1</t>
  </si>
  <si>
    <t>ERS445053_00136</t>
  </si>
  <si>
    <t>COS98956.1</t>
  </si>
  <si>
    <t>ERS445053_00137</t>
  </si>
  <si>
    <t>transposase-like protein%2C IS1167</t>
  </si>
  <si>
    <t>COS98975.1</t>
  </si>
  <si>
    <t>ERS445053_00138</t>
  </si>
  <si>
    <t>heme-based aerotactic transducer</t>
  </si>
  <si>
    <t>COS98996.1</t>
  </si>
  <si>
    <t>ERS445053_00139</t>
  </si>
  <si>
    <t>UDP-glucose 6-dehydrogenase</t>
  </si>
  <si>
    <t>ugd_1</t>
  </si>
  <si>
    <t>COS99018.1</t>
  </si>
  <si>
    <t>ERS445053_00140</t>
  </si>
  <si>
    <t>UDP-glucuronate 5'-epimerase</t>
  </si>
  <si>
    <t>rfbB</t>
  </si>
  <si>
    <t>COS99051.1</t>
  </si>
  <si>
    <t>ERS445053_00141</t>
  </si>
  <si>
    <t>flippase</t>
  </si>
  <si>
    <t>wzx</t>
  </si>
  <si>
    <t>COS99077.1</t>
  </si>
  <si>
    <t>ERS445053_00142</t>
  </si>
  <si>
    <t>oligosaccharide repeat unit polymerase</t>
  </si>
  <si>
    <t>wzy</t>
  </si>
  <si>
    <t>COS99110.1</t>
  </si>
  <si>
    <t>ERS445053_00143</t>
  </si>
  <si>
    <t>wchD</t>
  </si>
  <si>
    <t>COS99142.1</t>
  </si>
  <si>
    <t>ERS445053_00144</t>
  </si>
  <si>
    <t>galacturonic acid acetyl transferase</t>
  </si>
  <si>
    <t>wchC</t>
  </si>
  <si>
    <t>COS99170.1</t>
  </si>
  <si>
    <t>ERS445053_00145</t>
  </si>
  <si>
    <t>galacturonic acid transferase</t>
  </si>
  <si>
    <t>wchB</t>
  </si>
  <si>
    <t>COS99206.1</t>
  </si>
  <si>
    <t>ERS445053_00146</t>
  </si>
  <si>
    <t>capsular polysaccharide biosynthesis protein Cps14D</t>
  </si>
  <si>
    <t>wze</t>
  </si>
  <si>
    <t>COS99238.1</t>
  </si>
  <si>
    <t>ERS445053_00147</t>
  </si>
  <si>
    <t>capsular polysaccharide biosynthesis protein Cps14C</t>
  </si>
  <si>
    <t>wzd</t>
  </si>
  <si>
    <t>COS99248.1</t>
  </si>
  <si>
    <t>ERS445053_00148</t>
  </si>
  <si>
    <t>tyrosine-protein phosphatase CpsB</t>
  </si>
  <si>
    <t>cpsB</t>
  </si>
  <si>
    <t>COS99272.1</t>
  </si>
  <si>
    <t>ERS445053_00149</t>
  </si>
  <si>
    <t>capsular polysaccharide biosynthesis protein Cps14A</t>
  </si>
  <si>
    <t>wzg</t>
  </si>
  <si>
    <t>COS99299.1</t>
  </si>
  <si>
    <t>ERS445053_00150</t>
  </si>
  <si>
    <t>IS630-Spn1%2C transposase Orf1</t>
  </si>
  <si>
    <t>COS99321.1</t>
  </si>
  <si>
    <t>ERS445053_00151</t>
  </si>
  <si>
    <t>IS630-Spn1%2C transposase Orf2</t>
  </si>
  <si>
    <t>COS99342.1</t>
  </si>
  <si>
    <t>ERS445053_00152</t>
  </si>
  <si>
    <t>COS99374.1</t>
  </si>
  <si>
    <t>ERS445053_00153</t>
  </si>
  <si>
    <t>COS99398.1</t>
  </si>
  <si>
    <t>ERS445053_00154</t>
  </si>
  <si>
    <t>COS99421.1</t>
  </si>
  <si>
    <t>ERS445053_00155</t>
  </si>
  <si>
    <t>lipoprotein%2C putative</t>
  </si>
  <si>
    <t>COS99443.1</t>
  </si>
  <si>
    <t>ERS445053_00156</t>
  </si>
  <si>
    <t>glucan 1%2C6-alpha-glucosidase</t>
  </si>
  <si>
    <t>dexB</t>
  </si>
  <si>
    <t>COS99469.1</t>
  </si>
  <si>
    <t>ERS445053_00157</t>
  </si>
  <si>
    <t>ATP-dependent Zn protease</t>
  </si>
  <si>
    <t>COS99503.1</t>
  </si>
  <si>
    <t>ERS445053_00158</t>
  </si>
  <si>
    <t>S-ribosylhomocysteinase</t>
  </si>
  <si>
    <t>luxS</t>
  </si>
  <si>
    <t>COS99527.1</t>
  </si>
  <si>
    <t>ERS445053_00159</t>
  </si>
  <si>
    <t>Group II intron maturase</t>
  </si>
  <si>
    <t>clpC_1</t>
  </si>
  <si>
    <t>COS99548.1</t>
  </si>
  <si>
    <t>ERS445053_00161</t>
  </si>
  <si>
    <t>COS99577.1</t>
  </si>
  <si>
    <t>ERS445053_00162</t>
  </si>
  <si>
    <t>UDP-phosphate-UDP-MurNAc-pentapeptide phospho-MurNAc-pentapeptide transferase</t>
  </si>
  <si>
    <t>mraY</t>
  </si>
  <si>
    <t>COS99594.1</t>
  </si>
  <si>
    <t>ERS445053_00163</t>
  </si>
  <si>
    <t>penicillin-binding protein 2X</t>
  </si>
  <si>
    <t>pbpX</t>
  </si>
  <si>
    <t>COS99621.1</t>
  </si>
  <si>
    <t>ERS445053_00164</t>
  </si>
  <si>
    <t>cell division protein FtsL</t>
  </si>
  <si>
    <t>ftsL</t>
  </si>
  <si>
    <t>COS99639.1</t>
  </si>
  <si>
    <t>ERS445053_00165</t>
  </si>
  <si>
    <t>S-adenosyl-methyltransferase mraW</t>
  </si>
  <si>
    <t>mraW</t>
  </si>
  <si>
    <t>COS99660.1</t>
  </si>
  <si>
    <t>ERS445053_00166</t>
  </si>
  <si>
    <t>transcriptional regulator</t>
  </si>
  <si>
    <t>COS99685.1</t>
  </si>
  <si>
    <t>ERS445053_00167</t>
  </si>
  <si>
    <t>COS99709.1</t>
  </si>
  <si>
    <t>ERS445053_00168</t>
  </si>
  <si>
    <t>COS99734.1</t>
  </si>
  <si>
    <t>ERS445053_00169</t>
  </si>
  <si>
    <t>COS99753.1</t>
  </si>
  <si>
    <t>ERS445053_00170</t>
  </si>
  <si>
    <t>sugar binding transcriptional regulator RegR</t>
  </si>
  <si>
    <t>regR</t>
  </si>
  <si>
    <t>COS99779.1</t>
  </si>
  <si>
    <t>ERS445053_00171</t>
  </si>
  <si>
    <t>oligohyaluronate lyase</t>
  </si>
  <si>
    <t>COS99805.1</t>
  </si>
  <si>
    <t>ERS445053_00172</t>
  </si>
  <si>
    <t>preprotein translocase subunit YajC</t>
  </si>
  <si>
    <t>COS99831.1</t>
  </si>
  <si>
    <t>ERS445053_00173</t>
  </si>
  <si>
    <t>PTS system transporter subunit IID</t>
  </si>
  <si>
    <t>manZ_1</t>
  </si>
  <si>
    <t>COS99854.1</t>
  </si>
  <si>
    <t>ERS445053_00174</t>
  </si>
  <si>
    <t>PTS system%2C N-acetylgalactosamine-specific IIC component</t>
  </si>
  <si>
    <t>agaC</t>
  </si>
  <si>
    <t>COS99884.1</t>
  </si>
  <si>
    <t>ERS445053_00175</t>
  </si>
  <si>
    <t>N-acetylgalactosamine-specific phosphotransferase EIIB</t>
  </si>
  <si>
    <t>levE</t>
  </si>
  <si>
    <t>COS99919.1</t>
  </si>
  <si>
    <t>ERS445053_00176</t>
  </si>
  <si>
    <t>glucuronyl hydrolase</t>
  </si>
  <si>
    <t>ugl</t>
  </si>
  <si>
    <t>COS99942.1</t>
  </si>
  <si>
    <t>ERS445053_00177</t>
  </si>
  <si>
    <t>PTS system sugar-specific transporter subunit EII</t>
  </si>
  <si>
    <t>manX</t>
  </si>
  <si>
    <t>COS99964.1</t>
  </si>
  <si>
    <t>ERS445053_00178</t>
  </si>
  <si>
    <t>gluconate 5-dehydrogenase</t>
  </si>
  <si>
    <t>gno</t>
  </si>
  <si>
    <t>COS99980.1</t>
  </si>
  <si>
    <t>ERS445053_00179</t>
  </si>
  <si>
    <t>galactose-6-phosphate isomerase subunit LacB</t>
  </si>
  <si>
    <t>COT00011.1</t>
  </si>
  <si>
    <t>ERS445053_00180</t>
  </si>
  <si>
    <t>carbohydrate kinase%2C PfkB family</t>
  </si>
  <si>
    <t>COT00058.1</t>
  </si>
  <si>
    <t>ERS445053_00181</t>
  </si>
  <si>
    <t>keto-hydroxyglutarate-aldolase/keto-deoxy-phosphogluconate aldolase</t>
  </si>
  <si>
    <t>dgoA</t>
  </si>
  <si>
    <t>COT00083.1</t>
  </si>
  <si>
    <t>ERS445053_00182</t>
  </si>
  <si>
    <t>truncated IS200 family transposase</t>
  </si>
  <si>
    <t>COT00114.1</t>
  </si>
  <si>
    <t>ERS445053_00183</t>
  </si>
  <si>
    <t>hyaluronidase</t>
  </si>
  <si>
    <t>COT00131.1</t>
  </si>
  <si>
    <t>ERS445053_00184</t>
  </si>
  <si>
    <t>gluthatione peroxidase</t>
  </si>
  <si>
    <t>gpo</t>
  </si>
  <si>
    <t>COT00154.1</t>
  </si>
  <si>
    <t>ERS445053_00185</t>
  </si>
  <si>
    <t>glycosyl hydrolase%2C family 31</t>
  </si>
  <si>
    <t>yicI</t>
  </si>
  <si>
    <t>COT00174.1</t>
  </si>
  <si>
    <t>ERS445053_00186</t>
  </si>
  <si>
    <t>filamentation induced by cAMP protein fic</t>
  </si>
  <si>
    <t>COT00201.1</t>
  </si>
  <si>
    <t>ERS445053_00187</t>
  </si>
  <si>
    <t>COT00212.1</t>
  </si>
  <si>
    <t>ERS445053_00188</t>
  </si>
  <si>
    <t>PTS system transporter subunit IIC</t>
  </si>
  <si>
    <t>gmuC_1</t>
  </si>
  <si>
    <t>COT00232.1</t>
  </si>
  <si>
    <t>ERS445053_00189</t>
  </si>
  <si>
    <t>PTS transporter</t>
  </si>
  <si>
    <t>COT00254.1</t>
  </si>
  <si>
    <t>ERS445053_00190</t>
  </si>
  <si>
    <t>lichenan-specific phosphotransferase EIIA component</t>
  </si>
  <si>
    <t>lacF_2</t>
  </si>
  <si>
    <t>COT00275.1</t>
  </si>
  <si>
    <t>ERS445053_00191</t>
  </si>
  <si>
    <t>PTS system transporter subunit IIB</t>
  </si>
  <si>
    <t>licR_1</t>
  </si>
  <si>
    <t>COT00299.1</t>
  </si>
  <si>
    <t>ERS445053_00192</t>
  </si>
  <si>
    <t>PTS system cellobiose transporter subunit IIB</t>
  </si>
  <si>
    <t>celB_1</t>
  </si>
  <si>
    <t>COT00319.1</t>
  </si>
  <si>
    <t>ERS445053_00193</t>
  </si>
  <si>
    <t>glutathione synthetase</t>
  </si>
  <si>
    <t>COT00338.1</t>
  </si>
  <si>
    <t>ERS445053_00194</t>
  </si>
  <si>
    <t>6-phospho-beta-glucosidase</t>
  </si>
  <si>
    <t>celA</t>
  </si>
  <si>
    <t>COT00359.1</t>
  </si>
  <si>
    <t>ERS445053_00195</t>
  </si>
  <si>
    <t>antibiotic biosynthesis monooxygenase subfamily protein</t>
  </si>
  <si>
    <t>COT00429.1</t>
  </si>
  <si>
    <t>ERS445053_00196</t>
  </si>
  <si>
    <t>SSU ribosomal protein S9p (S16e)</t>
  </si>
  <si>
    <t>rpsI</t>
  </si>
  <si>
    <t>COT00454.1</t>
  </si>
  <si>
    <t>ERS445053_00197</t>
  </si>
  <si>
    <t>50S ribosomal protein L13</t>
  </si>
  <si>
    <t>rplM</t>
  </si>
  <si>
    <t>COT00489.1</t>
  </si>
  <si>
    <t>ERS445053_00198</t>
  </si>
  <si>
    <t>Staphylococcal protein of uncharacterised function (DUF960)</t>
  </si>
  <si>
    <t>COT00512.1</t>
  </si>
  <si>
    <t>ERS445053_00200</t>
  </si>
  <si>
    <t>bifunctional folate synthesis protein</t>
  </si>
  <si>
    <t>sulD</t>
  </si>
  <si>
    <t>COT00534.1</t>
  </si>
  <si>
    <t>ERS445053_00201</t>
  </si>
  <si>
    <t>GTP cyclohydrolase</t>
  </si>
  <si>
    <t>sulC</t>
  </si>
  <si>
    <t>COT00551.1</t>
  </si>
  <si>
    <t>ERS445053_00202</t>
  </si>
  <si>
    <t>dihydrofolate synthetase</t>
  </si>
  <si>
    <t>sulB</t>
  </si>
  <si>
    <t>COT00573.1</t>
  </si>
  <si>
    <t>ERS445053_00203</t>
  </si>
  <si>
    <t>dihydropteroate synthase</t>
  </si>
  <si>
    <t>folP</t>
  </si>
  <si>
    <t>COT00601.1</t>
  </si>
  <si>
    <t>ERS445053_00204</t>
  </si>
  <si>
    <t>COT00626.1</t>
  </si>
  <si>
    <t>ERS445053_00205</t>
  </si>
  <si>
    <t>xanthine/uracil permease family protein</t>
  </si>
  <si>
    <t>pbuO</t>
  </si>
  <si>
    <t>COT00646.1</t>
  </si>
  <si>
    <t>ERS445053_00206</t>
  </si>
  <si>
    <t>Cof family protein</t>
  </si>
  <si>
    <t>yidA_1</t>
  </si>
  <si>
    <t>COT00668.1</t>
  </si>
  <si>
    <t>ERS445053_00207</t>
  </si>
  <si>
    <t>alcohol dehydrogenase</t>
  </si>
  <si>
    <t>adhP</t>
  </si>
  <si>
    <t>COT00699.1</t>
  </si>
  <si>
    <t>ERS445053_00208</t>
  </si>
  <si>
    <t>PTS system mannose-specific transporter subunit IIAB</t>
  </si>
  <si>
    <t>manL</t>
  </si>
  <si>
    <t>COT00724.1</t>
  </si>
  <si>
    <t>ERS445053_00209</t>
  </si>
  <si>
    <t>PTS system mannose-specific transporter subunit IIC</t>
  </si>
  <si>
    <t>manY</t>
  </si>
  <si>
    <t>COT00750.1</t>
  </si>
  <si>
    <t>ERS445053_00210</t>
  </si>
  <si>
    <t>PTS system mannose/fructose/sorbose family transporter subunit IID</t>
  </si>
  <si>
    <t>manZ_2</t>
  </si>
  <si>
    <t>COT00771.1</t>
  </si>
  <si>
    <t>ERS445053_00211</t>
  </si>
  <si>
    <t>aminopeptidase</t>
  </si>
  <si>
    <t>pepC</t>
  </si>
  <si>
    <t>COT00784.1</t>
  </si>
  <si>
    <t>ERS445053_00212</t>
  </si>
  <si>
    <t>ribosomal small subunit pseudouridine synthase A</t>
  </si>
  <si>
    <t>rsuA1</t>
  </si>
  <si>
    <t>COT00803.1</t>
  </si>
  <si>
    <t>ERS445053_00213</t>
  </si>
  <si>
    <t>integral membrane protein</t>
  </si>
  <si>
    <t>COT00826.1</t>
  </si>
  <si>
    <t>ERS445053_00214</t>
  </si>
  <si>
    <t>Aminopeptidase</t>
  </si>
  <si>
    <t>pepS</t>
  </si>
  <si>
    <t>COT00844.1</t>
  </si>
  <si>
    <t>ERS445053_00215</t>
  </si>
  <si>
    <t>DNA polymerase III PolC</t>
  </si>
  <si>
    <t>polC_1</t>
  </si>
  <si>
    <t>COT00874.1</t>
  </si>
  <si>
    <t>ERS445053_00216</t>
  </si>
  <si>
    <t>RelE/StbE family addiction module toxin</t>
  </si>
  <si>
    <t>yafQ</t>
  </si>
  <si>
    <t>COT00913.1</t>
  </si>
  <si>
    <t>ERS445053_00217</t>
  </si>
  <si>
    <t>addiction module antitoxin%2C RelB/DinJ family</t>
  </si>
  <si>
    <t>COT00927.1</t>
  </si>
  <si>
    <t>ERS445053_00218</t>
  </si>
  <si>
    <t>DNA polymerase III%2C alpha subunit</t>
  </si>
  <si>
    <t>polC_2</t>
  </si>
  <si>
    <t>COT00953.1</t>
  </si>
  <si>
    <t>ERS445053_00219</t>
  </si>
  <si>
    <t>elongation factor G</t>
  </si>
  <si>
    <t>fusA</t>
  </si>
  <si>
    <t>COT00978.1</t>
  </si>
  <si>
    <t>ERS445053_00220</t>
  </si>
  <si>
    <t>30S ribosomal protein S7</t>
  </si>
  <si>
    <t>rpsG</t>
  </si>
  <si>
    <t>COT01002.1</t>
  </si>
  <si>
    <t>ERS445053_00221</t>
  </si>
  <si>
    <t>SSU ribosomal protein S12p (S23e)</t>
  </si>
  <si>
    <t>rpsL</t>
  </si>
  <si>
    <t>COT01030.1</t>
  </si>
  <si>
    <t>ERS445053_00222</t>
  </si>
  <si>
    <t>pullulanase</t>
  </si>
  <si>
    <t>pulA_1</t>
  </si>
  <si>
    <t>COT01062.1</t>
  </si>
  <si>
    <t>ERS445053_00223</t>
  </si>
  <si>
    <t>coenzyme F420-dependent N5%2CN10-methylene tetrahydromethanopterin reductase-like protein</t>
  </si>
  <si>
    <t>limB</t>
  </si>
  <si>
    <t>COT01087.1</t>
  </si>
  <si>
    <t>ERS445053_00224</t>
  </si>
  <si>
    <t>glucosamine-fructose-6-phosphate aminotransferase</t>
  </si>
  <si>
    <t>glmS</t>
  </si>
  <si>
    <t>COT01110.1</t>
  </si>
  <si>
    <t>ERS445053_00225</t>
  </si>
  <si>
    <t>glycosyl hydrolase</t>
  </si>
  <si>
    <t>gmuD_1</t>
  </si>
  <si>
    <t>COT01135.1</t>
  </si>
  <si>
    <t>ERS445053_00226</t>
  </si>
  <si>
    <t>prolyl-tRNA synthetase</t>
  </si>
  <si>
    <t>proS</t>
  </si>
  <si>
    <t>COT01153.1</t>
  </si>
  <si>
    <t>ERS445053_00227</t>
  </si>
  <si>
    <t>metallo protease</t>
  </si>
  <si>
    <t>eep</t>
  </si>
  <si>
    <t>COT01175.1</t>
  </si>
  <si>
    <t>ERS445053_00228</t>
  </si>
  <si>
    <t>phosphatidate cytidylyltransferase</t>
  </si>
  <si>
    <t>cdsA</t>
  </si>
  <si>
    <t>COT01199.1</t>
  </si>
  <si>
    <t>ERS445053_00229</t>
  </si>
  <si>
    <t>undecaprenyl pyrophosphate synthase</t>
  </si>
  <si>
    <t>uppS</t>
  </si>
  <si>
    <t>COT01223.1</t>
  </si>
  <si>
    <t>ERS445053_00230</t>
  </si>
  <si>
    <t>hypothetical protein ProS</t>
  </si>
  <si>
    <t>COT01253.1</t>
  </si>
  <si>
    <t>ERS445053_00231</t>
  </si>
  <si>
    <t>Holliday junction DNA helicase RuvB</t>
  </si>
  <si>
    <t>ruvB</t>
  </si>
  <si>
    <t>COT01271.1</t>
  </si>
  <si>
    <t>ERS445053_00232</t>
  </si>
  <si>
    <t>acetyltransferase</t>
  </si>
  <si>
    <t>COT01295.1</t>
  </si>
  <si>
    <t>ERS445053_00233</t>
  </si>
  <si>
    <t>acetyltransferase%2C GNAT family protein</t>
  </si>
  <si>
    <t>ydaF_1</t>
  </si>
  <si>
    <t>COT01317.1</t>
  </si>
  <si>
    <t>ERS445053_00234</t>
  </si>
  <si>
    <t>leucyl-tRNA synthetase</t>
  </si>
  <si>
    <t>leuS</t>
  </si>
  <si>
    <t>COT01357.1</t>
  </si>
  <si>
    <t>ERS445053_00235</t>
  </si>
  <si>
    <t>3-dehydroquinate synthase</t>
  </si>
  <si>
    <t>gldA</t>
  </si>
  <si>
    <t>COT01384.1</t>
  </si>
  <si>
    <t>ERS445053_00236</t>
  </si>
  <si>
    <t>fructose-6-phosphate aldolase</t>
  </si>
  <si>
    <t>fsaA</t>
  </si>
  <si>
    <t>COT01407.1</t>
  </si>
  <si>
    <t>ERS445053_00237</t>
  </si>
  <si>
    <t>formate acetyltransferase 3</t>
  </si>
  <si>
    <t>hpdB</t>
  </si>
  <si>
    <t>COT01432.1</t>
  </si>
  <si>
    <t>ERS445053_00238</t>
  </si>
  <si>
    <t>gmuC_2</t>
  </si>
  <si>
    <t>COT01455.1</t>
  </si>
  <si>
    <t>ERS445053_00239</t>
  </si>
  <si>
    <t>PTS system sugar-specific transporter subunit EIIB</t>
  </si>
  <si>
    <t>gmuB</t>
  </si>
  <si>
    <t>COT01475.1</t>
  </si>
  <si>
    <t>ERS445053_00240</t>
  </si>
  <si>
    <t>PTS system sugar-specific transporter subunit EIIA</t>
  </si>
  <si>
    <t>chbA</t>
  </si>
  <si>
    <t>COT01496.1</t>
  </si>
  <si>
    <t>ERS445053_00241</t>
  </si>
  <si>
    <t>sorC</t>
  </si>
  <si>
    <t>COT01521.1</t>
  </si>
  <si>
    <t>ERS445053_00242</t>
  </si>
  <si>
    <t>DeoR family transcriptional regulator</t>
  </si>
  <si>
    <t>deoR</t>
  </si>
  <si>
    <t>COT01537.1</t>
  </si>
  <si>
    <t>ERS445053_00243</t>
  </si>
  <si>
    <t>pyruvate formate-lyase 3</t>
  </si>
  <si>
    <t>hpdA</t>
  </si>
  <si>
    <t>COT01557.1</t>
  </si>
  <si>
    <t>ERS445053_00244</t>
  </si>
  <si>
    <t>iron ABC transporter iron-binding protein</t>
  </si>
  <si>
    <t>COT01636.1</t>
  </si>
  <si>
    <t>ERS445053_00245</t>
  </si>
  <si>
    <t>iron(III) ABC transporter iron-binding protein</t>
  </si>
  <si>
    <t>COT01656.1</t>
  </si>
  <si>
    <t>ERS445053_00246</t>
  </si>
  <si>
    <t>potD_1</t>
  </si>
  <si>
    <t>COT01674.1</t>
  </si>
  <si>
    <t>ERS445053_00247</t>
  </si>
  <si>
    <t>ATP-binding component of ABC transporter</t>
  </si>
  <si>
    <t>potA_1</t>
  </si>
  <si>
    <t>COT01693.1</t>
  </si>
  <si>
    <t>ERS445053_00248</t>
  </si>
  <si>
    <t>iron ABC transporter membrane-spanning permease</t>
  </si>
  <si>
    <t>COT01726.1</t>
  </si>
  <si>
    <t>ERS445053_00249</t>
  </si>
  <si>
    <t>putative inner membrane component of ABC transporter</t>
  </si>
  <si>
    <t>potB_1</t>
  </si>
  <si>
    <t>COT01742.1</t>
  </si>
  <si>
    <t>ERS445053_00250</t>
  </si>
  <si>
    <t>phosphoglycerate mutase family protein</t>
  </si>
  <si>
    <t>gpmB</t>
  </si>
  <si>
    <t>COT01763.1</t>
  </si>
  <si>
    <t>ERS445053_00251</t>
  </si>
  <si>
    <t>UPF0210 protein SSU05</t>
  </si>
  <si>
    <t>COT01790.1</t>
  </si>
  <si>
    <t>ERS445053_00252</t>
  </si>
  <si>
    <t>ACT domain-containing protein</t>
  </si>
  <si>
    <t>COT01819.1</t>
  </si>
  <si>
    <t>ERS445053_00253</t>
  </si>
  <si>
    <t>LSU ribosomal protein L17p</t>
  </si>
  <si>
    <t>rplQ</t>
  </si>
  <si>
    <t>COT01835.1</t>
  </si>
  <si>
    <t>ERS445053_00255</t>
  </si>
  <si>
    <t>DNA-directed RNA polymerase subunit alpha</t>
  </si>
  <si>
    <t>rpoA</t>
  </si>
  <si>
    <t>COT01853.1</t>
  </si>
  <si>
    <t>ERS445053_00256</t>
  </si>
  <si>
    <t>SSU ribosomal protein S11p (S14e)</t>
  </si>
  <si>
    <t>rpsK</t>
  </si>
  <si>
    <t>COT01879.1</t>
  </si>
  <si>
    <t>ERS445053_00257</t>
  </si>
  <si>
    <t>SSU ribosomal protein S13p (S18e)</t>
  </si>
  <si>
    <t>rpsM</t>
  </si>
  <si>
    <t>COT01913.1</t>
  </si>
  <si>
    <t>ERS445053_00258</t>
  </si>
  <si>
    <t>LSU ribosomal protein L36p</t>
  </si>
  <si>
    <t>rpmJ</t>
  </si>
  <si>
    <t>COT01956.1</t>
  </si>
  <si>
    <t>ERS445053_00259</t>
  </si>
  <si>
    <t>translation initiation factor IF-1</t>
  </si>
  <si>
    <t>infA</t>
  </si>
  <si>
    <t>COT01977.1</t>
  </si>
  <si>
    <t>ERS445053_00260</t>
  </si>
  <si>
    <t>adenylate kinase</t>
  </si>
  <si>
    <t>adk</t>
  </si>
  <si>
    <t>COT01988.1</t>
  </si>
  <si>
    <t>ERS445053_00261</t>
  </si>
  <si>
    <t>preprotein translocase%2C SecY subunit</t>
  </si>
  <si>
    <t>secY_1</t>
  </si>
  <si>
    <t>COT02009.1</t>
  </si>
  <si>
    <t>ERS445053_00262</t>
  </si>
  <si>
    <t>50S ribosomal protein L15</t>
  </si>
  <si>
    <t>rplO</t>
  </si>
  <si>
    <t>COT02022.1</t>
  </si>
  <si>
    <t>ERS445053_00263</t>
  </si>
  <si>
    <t>50S ribosomal protein L30</t>
  </si>
  <si>
    <t>rpmD</t>
  </si>
  <si>
    <t>COT02045.1</t>
  </si>
  <si>
    <t>ERS445053_00264</t>
  </si>
  <si>
    <t>SSU ribosomal protein S5p (S2e)</t>
  </si>
  <si>
    <t>rpsE</t>
  </si>
  <si>
    <t>COT02069.1</t>
  </si>
  <si>
    <t>ERS445053_00265</t>
  </si>
  <si>
    <t>50S ribosomal protein L18</t>
  </si>
  <si>
    <t>rplR</t>
  </si>
  <si>
    <t>COT02095.1</t>
  </si>
  <si>
    <t>ERS445053_00266</t>
  </si>
  <si>
    <t>50S ribosomal protein L6</t>
  </si>
  <si>
    <t>rplF</t>
  </si>
  <si>
    <t>COT02120.1</t>
  </si>
  <si>
    <t>ERS445053_00267</t>
  </si>
  <si>
    <t>30S ribosomal protein S8</t>
  </si>
  <si>
    <t>rpsH</t>
  </si>
  <si>
    <t>COT02143.1</t>
  </si>
  <si>
    <t>ERS445053_00268</t>
  </si>
  <si>
    <t>30S ribosomal protein S14</t>
  </si>
  <si>
    <t>rpsN2</t>
  </si>
  <si>
    <t>COT02165.1</t>
  </si>
  <si>
    <t>ERS445053_00269</t>
  </si>
  <si>
    <t>LSU ribosomal protein L5p (L11e)</t>
  </si>
  <si>
    <t>rplE</t>
  </si>
  <si>
    <t>COT02189.1</t>
  </si>
  <si>
    <t>ERS445053_00270</t>
  </si>
  <si>
    <t>50S ribosomal protein L24</t>
  </si>
  <si>
    <t>rplX</t>
  </si>
  <si>
    <t>COT02216.1</t>
  </si>
  <si>
    <t>ERS445053_00271</t>
  </si>
  <si>
    <t>LSU ribosomal protein L14p (L23e)</t>
  </si>
  <si>
    <t>rplN</t>
  </si>
  <si>
    <t>COT02240.1</t>
  </si>
  <si>
    <t>ERS445053_00272</t>
  </si>
  <si>
    <t>SSU ribosomal protein S17p (S11e)</t>
  </si>
  <si>
    <t>rpsQ</t>
  </si>
  <si>
    <t>COT02263.1</t>
  </si>
  <si>
    <t>ERS445053_00273</t>
  </si>
  <si>
    <t>50S ribosomal protein L29</t>
  </si>
  <si>
    <t>rpmC</t>
  </si>
  <si>
    <t>COT02296.1</t>
  </si>
  <si>
    <t>ERS445053_00274</t>
  </si>
  <si>
    <t>LSU ribosomal protein L16p (L10e)</t>
  </si>
  <si>
    <t>rplP</t>
  </si>
  <si>
    <t>COT02321.1</t>
  </si>
  <si>
    <t>ERS445053_00275</t>
  </si>
  <si>
    <t>SSU ribosomal protein S3p (S3e)</t>
  </si>
  <si>
    <t>rpsC</t>
  </si>
  <si>
    <t>COT02344.1</t>
  </si>
  <si>
    <t>ERS445053_00276</t>
  </si>
  <si>
    <t>50S ribosomal protein L22</t>
  </si>
  <si>
    <t>rplV</t>
  </si>
  <si>
    <t>COT02367.1</t>
  </si>
  <si>
    <t>ERS445053_00277</t>
  </si>
  <si>
    <t>30S ribosomal protein S19</t>
  </si>
  <si>
    <t>rpsS</t>
  </si>
  <si>
    <t>COT02390.1</t>
  </si>
  <si>
    <t>ERS445053_00278</t>
  </si>
  <si>
    <t>50S ribosomal protein L2</t>
  </si>
  <si>
    <t>rplB</t>
  </si>
  <si>
    <t>COT02412.1</t>
  </si>
  <si>
    <t>ERS445053_00279</t>
  </si>
  <si>
    <t>50S ribosomal protein L23</t>
  </si>
  <si>
    <t>rplW</t>
  </si>
  <si>
    <t>COT02426.1</t>
  </si>
  <si>
    <t>ERS445053_00280</t>
  </si>
  <si>
    <t>50S ribosomal protein L4</t>
  </si>
  <si>
    <t>rplD</t>
  </si>
  <si>
    <t>COT02449.1</t>
  </si>
  <si>
    <t>ERS445053_00281</t>
  </si>
  <si>
    <t>LSU ribosomal protein L3p (L3e)</t>
  </si>
  <si>
    <t>rplC</t>
  </si>
  <si>
    <t>COT02477.1</t>
  </si>
  <si>
    <t>ERS445053_00282</t>
  </si>
  <si>
    <t>ribosomal protein S10</t>
  </si>
  <si>
    <t>rpsJ</t>
  </si>
  <si>
    <t>COT02503.1</t>
  </si>
  <si>
    <t>ERS445053_00283</t>
  </si>
  <si>
    <t>phosphoribulokinase / Uridine kinase family</t>
  </si>
  <si>
    <t>COT02526.1</t>
  </si>
  <si>
    <t>ERS445053_00284</t>
  </si>
  <si>
    <t>organic radical activating chaperone</t>
  </si>
  <si>
    <t>nrdG</t>
  </si>
  <si>
    <t>COT02535.1</t>
  </si>
  <si>
    <t>ERS445053_00285</t>
  </si>
  <si>
    <t>GNAT family acetyltransferase</t>
  </si>
  <si>
    <t>COT02562.1</t>
  </si>
  <si>
    <t>ERS445053_00286</t>
  </si>
  <si>
    <t>anaerobic ribonucleotide reductase</t>
  </si>
  <si>
    <t>nrdD_1</t>
  </si>
  <si>
    <t>COT02584.1</t>
  </si>
  <si>
    <t>ERS445053_00287</t>
  </si>
  <si>
    <t>competence-induced protein Ccs4</t>
  </si>
  <si>
    <t>COT02612.1</t>
  </si>
  <si>
    <t>ERS445053_00288</t>
  </si>
  <si>
    <t>COT02635.1</t>
  </si>
  <si>
    <t>ERS445053_00289</t>
  </si>
  <si>
    <t>cardiolipin synthase</t>
  </si>
  <si>
    <t>cls</t>
  </si>
  <si>
    <t>COT02651.1</t>
  </si>
  <si>
    <t>ERS445053_00290</t>
  </si>
  <si>
    <t>lipoprotein</t>
  </si>
  <si>
    <t>COT02683.1</t>
  </si>
  <si>
    <t>ERS445053_00291</t>
  </si>
  <si>
    <t>folC</t>
  </si>
  <si>
    <t>COT02707.1</t>
  </si>
  <si>
    <t>ERS445053_00292</t>
  </si>
  <si>
    <t>YrzB</t>
  </si>
  <si>
    <t>COT02737.1</t>
  </si>
  <si>
    <t>ERS445053_00293</t>
  </si>
  <si>
    <t>holiday junction resolvase</t>
  </si>
  <si>
    <t>yrrK</t>
  </si>
  <si>
    <t>COT02758.1</t>
  </si>
  <si>
    <t>ERS445053_00294</t>
  </si>
  <si>
    <t>regulatory protein Spx</t>
  </si>
  <si>
    <t>COT02787.1</t>
  </si>
  <si>
    <t>ERS445053_00295</t>
  </si>
  <si>
    <t>COT02810.1</t>
  </si>
  <si>
    <t>ERS445053_00296</t>
  </si>
  <si>
    <t>transcriptional regulator Spx</t>
  </si>
  <si>
    <t>spxA_1</t>
  </si>
  <si>
    <t>COT02831.1</t>
  </si>
  <si>
    <t>ERS445053_00297</t>
  </si>
  <si>
    <t>aminopeptidase P</t>
  </si>
  <si>
    <t>pepP</t>
  </si>
  <si>
    <t>COT02856.1</t>
  </si>
  <si>
    <t>ERS445053_00298</t>
  </si>
  <si>
    <t>excinuclease ABC subunit A</t>
  </si>
  <si>
    <t>uvrA</t>
  </si>
  <si>
    <t>COT02882.1</t>
  </si>
  <si>
    <t>ERS445053_00299</t>
  </si>
  <si>
    <t>magnesium transporter CorA family protein</t>
  </si>
  <si>
    <t>COT02905.1</t>
  </si>
  <si>
    <t>ERS445053_00300</t>
  </si>
  <si>
    <t>corA</t>
  </si>
  <si>
    <t>COT02922.1</t>
  </si>
  <si>
    <t>ERS445053_00301</t>
  </si>
  <si>
    <t>COT02943.1</t>
  </si>
  <si>
    <t>ERS445053_00302</t>
  </si>
  <si>
    <t>MccC family protein</t>
  </si>
  <si>
    <t>COT02959.1</t>
  </si>
  <si>
    <t>ERS445053_00303</t>
  </si>
  <si>
    <t>COT02992.1</t>
  </si>
  <si>
    <t>ERS445053_00304</t>
  </si>
  <si>
    <t>DNA-3-methyladenine glycosylase I</t>
  </si>
  <si>
    <t>tag</t>
  </si>
  <si>
    <t>COT03003.1</t>
  </si>
  <si>
    <t>ERS445053_00305</t>
  </si>
  <si>
    <t>holiday junction DNA helicase RuvA</t>
  </si>
  <si>
    <t>ruvA</t>
  </si>
  <si>
    <t>COT03023.1</t>
  </si>
  <si>
    <t>ERS445053_00306</t>
  </si>
  <si>
    <t>riboflavin biosynthesis protein RibD</t>
  </si>
  <si>
    <t>ribD</t>
  </si>
  <si>
    <t>COT03046.1</t>
  </si>
  <si>
    <t>ERS445053_00308</t>
  </si>
  <si>
    <t>riboflavin synthase subunit alpha</t>
  </si>
  <si>
    <t>ribE</t>
  </si>
  <si>
    <t>COT03062.1</t>
  </si>
  <si>
    <t>ERS445053_00309</t>
  </si>
  <si>
    <t>3%2C4-dihydroxy-2-butanone 4-phosphate synthase</t>
  </si>
  <si>
    <t>ribA</t>
  </si>
  <si>
    <t>COT03086.1</t>
  </si>
  <si>
    <t>ERS445053_00310</t>
  </si>
  <si>
    <t>6%2C7-dimethyl-8-ribityllumazine synthase</t>
  </si>
  <si>
    <t>ribH</t>
  </si>
  <si>
    <t>COT03102.1</t>
  </si>
  <si>
    <t>ERS445053_00311</t>
  </si>
  <si>
    <t>DNA mismatch repair protein hexB</t>
  </si>
  <si>
    <t>hexB</t>
  </si>
  <si>
    <t>COT03131.1</t>
  </si>
  <si>
    <t>ERS445053_00312</t>
  </si>
  <si>
    <t>COT03158.1</t>
  </si>
  <si>
    <t>ERS445053_00313</t>
  </si>
  <si>
    <t>COT03181.1</t>
  </si>
  <si>
    <t>ERS445053_00314</t>
  </si>
  <si>
    <t>Nramp family metal ion transporter</t>
  </si>
  <si>
    <t>COT03201.1</t>
  </si>
  <si>
    <t>ERS445053_00315</t>
  </si>
  <si>
    <t>flavoprotein NrdI</t>
  </si>
  <si>
    <t>nrdI</t>
  </si>
  <si>
    <t>COT03220.1</t>
  </si>
  <si>
    <t>ERS445053_00316</t>
  </si>
  <si>
    <t>COT03241.1</t>
  </si>
  <si>
    <t>ERS445053_00317</t>
  </si>
  <si>
    <t>COT03259.1</t>
  </si>
  <si>
    <t>ERS445053_00318</t>
  </si>
  <si>
    <t>sensor histidine kinase</t>
  </si>
  <si>
    <t>ypdA</t>
  </si>
  <si>
    <t>COT03281.1</t>
  </si>
  <si>
    <t>ERS445053_00319</t>
  </si>
  <si>
    <t>putative integral membrane protein</t>
  </si>
  <si>
    <t>COT03303.1</t>
  </si>
  <si>
    <t>ERS445053_00320</t>
  </si>
  <si>
    <t>permease</t>
  </si>
  <si>
    <t>COT03344.1</t>
  </si>
  <si>
    <t>ERS445053_00321</t>
  </si>
  <si>
    <t>metP</t>
  </si>
  <si>
    <t>COT03361.1</t>
  </si>
  <si>
    <t>ERS445053_00322</t>
  </si>
  <si>
    <t>metN</t>
  </si>
  <si>
    <t>COT03380.1</t>
  </si>
  <si>
    <t>ERS445053_00323</t>
  </si>
  <si>
    <t>deacylase</t>
  </si>
  <si>
    <t>argE</t>
  </si>
  <si>
    <t>COT03397.1</t>
  </si>
  <si>
    <t>ERS445053_00324</t>
  </si>
  <si>
    <t>ABC transporter substrate-binding lipoprotein</t>
  </si>
  <si>
    <t>metQ</t>
  </si>
  <si>
    <t>COT03419.1</t>
  </si>
  <si>
    <t>ERS445053_00325</t>
  </si>
  <si>
    <t>tcyA</t>
  </si>
  <si>
    <t>COT03439.1</t>
  </si>
  <si>
    <t>ERS445053_00326</t>
  </si>
  <si>
    <t>AzlC family protein</t>
  </si>
  <si>
    <t>ygaZ</t>
  </si>
  <si>
    <t>COT03465.1</t>
  </si>
  <si>
    <t>ERS445053_00327</t>
  </si>
  <si>
    <t>transporter%2C major facilitator family protein</t>
  </si>
  <si>
    <t>COT03489.1</t>
  </si>
  <si>
    <t>ERS445053_00328</t>
  </si>
  <si>
    <t>putative metal-dependent membrane protease</t>
  </si>
  <si>
    <t>COT03513.1</t>
  </si>
  <si>
    <t>ERS445053_00329</t>
  </si>
  <si>
    <t>COT03537.1</t>
  </si>
  <si>
    <t>ERS445053_00330</t>
  </si>
  <si>
    <t>COT03552.1</t>
  </si>
  <si>
    <t>ERS445053_00331</t>
  </si>
  <si>
    <t>mutR</t>
  </si>
  <si>
    <t>COT03573.1</t>
  </si>
  <si>
    <t>ERS445053_00332</t>
  </si>
  <si>
    <t>ugd_2</t>
  </si>
  <si>
    <t>COT03596.1</t>
  </si>
  <si>
    <t>ERS445053_00333</t>
  </si>
  <si>
    <t>N-acetylglucosaminylphosphatidylinositol deacetylase superfamily</t>
  </si>
  <si>
    <t>COT03620.1</t>
  </si>
  <si>
    <t>ERS445053_00334</t>
  </si>
  <si>
    <t>COT03639.1</t>
  </si>
  <si>
    <t>ERS445053_00335</t>
  </si>
  <si>
    <t>Asparagine synthase family protein</t>
  </si>
  <si>
    <t>COT03661.1</t>
  </si>
  <si>
    <t>ERS445053_00336</t>
  </si>
  <si>
    <t>COT03680.1</t>
  </si>
  <si>
    <t>ERS445053_00337</t>
  </si>
  <si>
    <t>COT03694.1</t>
  </si>
  <si>
    <t>ERS445053_00338</t>
  </si>
  <si>
    <t>COT03711.1</t>
  </si>
  <si>
    <t>ERS445053_00339</t>
  </si>
  <si>
    <t>msbA_1</t>
  </si>
  <si>
    <t>COT03728.1</t>
  </si>
  <si>
    <t>ERS445053_00340</t>
  </si>
  <si>
    <t>glycosyltransferase</t>
  </si>
  <si>
    <t>kfoC_1</t>
  </si>
  <si>
    <t>COT03753.1</t>
  </si>
  <si>
    <t>ERS445053_00341</t>
  </si>
  <si>
    <t>COT03775.1</t>
  </si>
  <si>
    <t>ERS445053_00342</t>
  </si>
  <si>
    <t>glycosyltransferase involved exopolysaccharide (EPS) synthesis</t>
  </si>
  <si>
    <t>COT03792.1</t>
  </si>
  <si>
    <t>ERS445053_00343</t>
  </si>
  <si>
    <t>IS1193%2C transposase%2C ISL3 family</t>
  </si>
  <si>
    <t>COT03807.1</t>
  </si>
  <si>
    <t>ERS445053_00344</t>
  </si>
  <si>
    <t>COT03845.1</t>
  </si>
  <si>
    <t>ERS445053_00345</t>
  </si>
  <si>
    <t>O-sialoglycoprotein endopeptidase</t>
  </si>
  <si>
    <t>gcp</t>
  </si>
  <si>
    <t>COT03861.1</t>
  </si>
  <si>
    <t>ERS445053_00346</t>
  </si>
  <si>
    <t>COT03892.1</t>
  </si>
  <si>
    <t>ERS445053_00347</t>
  </si>
  <si>
    <t>molecular chaperone</t>
  </si>
  <si>
    <t>ydiC</t>
  </si>
  <si>
    <t>COT03915.1</t>
  </si>
  <si>
    <t>ERS445053_00348</t>
  </si>
  <si>
    <t>excreted peptide</t>
  </si>
  <si>
    <t>cibA</t>
  </si>
  <si>
    <t>COT03954.1</t>
  </si>
  <si>
    <t>ERS445053_00349</t>
  </si>
  <si>
    <t>bacteriocin-type signal sequence domain-containing protein</t>
  </si>
  <si>
    <t>COT03971.1</t>
  </si>
  <si>
    <t>ERS445053_00350</t>
  </si>
  <si>
    <t>COT03990.1</t>
  </si>
  <si>
    <t>ERS445053_00351</t>
  </si>
  <si>
    <t>COT04010.1</t>
  </si>
  <si>
    <t>ERS445053_00352</t>
  </si>
  <si>
    <t>metallo-beta-lactamase superfamily protein 1</t>
  </si>
  <si>
    <t>COT04027.1</t>
  </si>
  <si>
    <t>ERS445053_00353</t>
  </si>
  <si>
    <t>tRNA uridine 5-carboxymethylaminomethyl modification protein GidA</t>
  </si>
  <si>
    <t>gidA_1</t>
  </si>
  <si>
    <t>COT04046.1</t>
  </si>
  <si>
    <t>ERS445053_00354</t>
  </si>
  <si>
    <t>mutT/nudix family protein</t>
  </si>
  <si>
    <t>COT04066.1</t>
  </si>
  <si>
    <t>ERS445053_00355</t>
  </si>
  <si>
    <t>tRNA-specific 2-thiouridylase MnmA</t>
  </si>
  <si>
    <t>mnmA</t>
  </si>
  <si>
    <t>COT04083.1</t>
  </si>
  <si>
    <t>ERS445053_00356</t>
  </si>
  <si>
    <t>surface protein A</t>
  </si>
  <si>
    <t>lytB_1</t>
  </si>
  <si>
    <t>COT04103.1</t>
  </si>
  <si>
    <t>ERS445053_00357</t>
  </si>
  <si>
    <t>membrane associated protein</t>
  </si>
  <si>
    <t>COT04123.1</t>
  </si>
  <si>
    <t>ERS445053_00358</t>
  </si>
  <si>
    <t>putative bacteriocin</t>
  </si>
  <si>
    <t>COT04138.1</t>
  </si>
  <si>
    <t>ERS445053_00359</t>
  </si>
  <si>
    <t>COT04166.1</t>
  </si>
  <si>
    <t>ERS445053_00360</t>
  </si>
  <si>
    <t>Membrane protein</t>
  </si>
  <si>
    <t>COT04188.1</t>
  </si>
  <si>
    <t>ERS445053_00361</t>
  </si>
  <si>
    <t>COT04216.1</t>
  </si>
  <si>
    <t>ERS445053_00362</t>
  </si>
  <si>
    <t>COT04236.1</t>
  </si>
  <si>
    <t>ERS445053_00363</t>
  </si>
  <si>
    <t>Leader peptidase</t>
  </si>
  <si>
    <t>COT04254.1</t>
  </si>
  <si>
    <t>ERS445053_00364</t>
  </si>
  <si>
    <t>COT04261.1</t>
  </si>
  <si>
    <t>ERS445053_00365</t>
  </si>
  <si>
    <t>COT04287.1</t>
  </si>
  <si>
    <t>ERS445053_00366</t>
  </si>
  <si>
    <t>COT04313.1</t>
  </si>
  <si>
    <t>ERS445053_00367</t>
  </si>
  <si>
    <t>argininosuccinate synthase%2C truncation</t>
  </si>
  <si>
    <t>argG</t>
  </si>
  <si>
    <t>COT04337.1</t>
  </si>
  <si>
    <t>ERS445053_00368</t>
  </si>
  <si>
    <t>amino acid ABC transporter periplasmic amino acid-binding protein</t>
  </si>
  <si>
    <t>artP_1</t>
  </si>
  <si>
    <t>COT04361.1</t>
  </si>
  <si>
    <t>ERS445053_00369</t>
  </si>
  <si>
    <t>macB_1</t>
  </si>
  <si>
    <t>COT04389.1</t>
  </si>
  <si>
    <t>ERS445053_00370</t>
  </si>
  <si>
    <t>amino acid ABC transporter permease</t>
  </si>
  <si>
    <t>COT04432.1</t>
  </si>
  <si>
    <t>ERS445053_00371</t>
  </si>
  <si>
    <t>bacteriocin</t>
  </si>
  <si>
    <t>COT04448.1</t>
  </si>
  <si>
    <t>ERS445053_00372</t>
  </si>
  <si>
    <t>LysM domain protein</t>
  </si>
  <si>
    <t>xlyA</t>
  </si>
  <si>
    <t>COT04469.1</t>
  </si>
  <si>
    <t>ERS445053_00373</t>
  </si>
  <si>
    <t>putative L-serine dehydratase beta subunit</t>
  </si>
  <si>
    <t>sdaB</t>
  </si>
  <si>
    <t>COT04496.1</t>
  </si>
  <si>
    <t>ERS445053_00374</t>
  </si>
  <si>
    <t>L-serine dehydratase%2C alpha subunit</t>
  </si>
  <si>
    <t>sdaA</t>
  </si>
  <si>
    <t>COT04528.1</t>
  </si>
  <si>
    <t>ERS445053_00375</t>
  </si>
  <si>
    <t>COT04551.1</t>
  </si>
  <si>
    <t>ERS445053_00376</t>
  </si>
  <si>
    <t>nucleoside-diphosphate sugar isomerase</t>
  </si>
  <si>
    <t>capD</t>
  </si>
  <si>
    <t>COT04571.1</t>
  </si>
  <si>
    <t>ERS445053_00377</t>
  </si>
  <si>
    <t>pgaC</t>
  </si>
  <si>
    <t>COT04598.1</t>
  </si>
  <si>
    <t>ERS445053_00378</t>
  </si>
  <si>
    <t>cyanate permease</t>
  </si>
  <si>
    <t>cynX</t>
  </si>
  <si>
    <t>COT04608.1</t>
  </si>
  <si>
    <t>ERS445053_00379</t>
  </si>
  <si>
    <t>COT04632.1</t>
  </si>
  <si>
    <t>ERS445053_00380</t>
  </si>
  <si>
    <t>COT04661.1</t>
  </si>
  <si>
    <t>ERS445053_00381</t>
  </si>
  <si>
    <t>COT04685.1</t>
  </si>
  <si>
    <t>ERS445053_00382</t>
  </si>
  <si>
    <t>COT04700.1</t>
  </si>
  <si>
    <t>ERS445053_00383</t>
  </si>
  <si>
    <t>COT04714.1</t>
  </si>
  <si>
    <t>ERS445053_00384</t>
  </si>
  <si>
    <t>rhodanese-related sulfurtransferase</t>
  </si>
  <si>
    <t>COT04725.1</t>
  </si>
  <si>
    <t>ERS445053_00385</t>
  </si>
  <si>
    <t>extracellular solute-binding protein</t>
  </si>
  <si>
    <t>COT04743.1</t>
  </si>
  <si>
    <t>ERS445053_00386</t>
  </si>
  <si>
    <t>ycjP_1</t>
  </si>
  <si>
    <t>COT04767.1</t>
  </si>
  <si>
    <t>ERS445053_00387</t>
  </si>
  <si>
    <t>ugpA_1</t>
  </si>
  <si>
    <t>COT04788.1</t>
  </si>
  <si>
    <t>ERS445053_00388</t>
  </si>
  <si>
    <t>surface anchored protein</t>
  </si>
  <si>
    <t>COT04805.1</t>
  </si>
  <si>
    <t>ERS445053_00389</t>
  </si>
  <si>
    <t>30S ribosomal protein S4</t>
  </si>
  <si>
    <t>rpsD</t>
  </si>
  <si>
    <t>COT04827.1</t>
  </si>
  <si>
    <t>ERS445053_00390</t>
  </si>
  <si>
    <t>saeS</t>
  </si>
  <si>
    <t>COT04848.1</t>
  </si>
  <si>
    <t>ERS445053_00391</t>
  </si>
  <si>
    <t>saeR</t>
  </si>
  <si>
    <t>COT04881.1</t>
  </si>
  <si>
    <t>ERS445053_00392</t>
  </si>
  <si>
    <t>cell wall surface anchor family protein</t>
  </si>
  <si>
    <t>COT04897.1</t>
  </si>
  <si>
    <t>ERS445053_00393</t>
  </si>
  <si>
    <t>glycosyltransferase involved in cell wall biogenesis</t>
  </si>
  <si>
    <t>COT04925.1</t>
  </si>
  <si>
    <t>ERS445053_00394</t>
  </si>
  <si>
    <t>kfoC_2</t>
  </si>
  <si>
    <t>COT04938.1</t>
  </si>
  <si>
    <t>ERS445053_00395</t>
  </si>
  <si>
    <t>chlorohydrolase</t>
  </si>
  <si>
    <t>COT04971.1</t>
  </si>
  <si>
    <t>ERS445053_00396</t>
  </si>
  <si>
    <t>Trk family potassium uptake protein</t>
  </si>
  <si>
    <t>trkA</t>
  </si>
  <si>
    <t>COT04984.1</t>
  </si>
  <si>
    <t>ERS445053_00397</t>
  </si>
  <si>
    <t>Trk transporter membrane-spanning protein-K+ transport</t>
  </si>
  <si>
    <t>ktrB</t>
  </si>
  <si>
    <t>COT05020.1</t>
  </si>
  <si>
    <t>ERS445053_00398</t>
  </si>
  <si>
    <t>phosphorylase Pnp/Udp family protein</t>
  </si>
  <si>
    <t>deoD_1</t>
  </si>
  <si>
    <t>COT05047.1</t>
  </si>
  <si>
    <t>ERS445053_00399</t>
  </si>
  <si>
    <t>rhodanese-like domain-containing protein</t>
  </si>
  <si>
    <t>glpE</t>
  </si>
  <si>
    <t>COT05074.1</t>
  </si>
  <si>
    <t>ERS445053_00400</t>
  </si>
  <si>
    <t>COT05099.1</t>
  </si>
  <si>
    <t>ERS445053_00401</t>
  </si>
  <si>
    <t>Copper-sensing transcriptional repressor csoR</t>
  </si>
  <si>
    <t>csoR</t>
  </si>
  <si>
    <t>COT05109.1</t>
  </si>
  <si>
    <t>ERS445053_00402</t>
  </si>
  <si>
    <t>glyoxalase family protein</t>
  </si>
  <si>
    <t>catE</t>
  </si>
  <si>
    <t>COT05133.1</t>
  </si>
  <si>
    <t>ERS445053_00403</t>
  </si>
  <si>
    <t>aldose 1-epimerase</t>
  </si>
  <si>
    <t>mro</t>
  </si>
  <si>
    <t>COT05157.1</t>
  </si>
  <si>
    <t>ERS445053_00404</t>
  </si>
  <si>
    <t>tagatose-6-phosphate ketose/aldose isomerase</t>
  </si>
  <si>
    <t>agaS</t>
  </si>
  <si>
    <t>COT05179.1</t>
  </si>
  <si>
    <t>ERS445053_00405</t>
  </si>
  <si>
    <t>phosphotransferase system sugar-specific EII component</t>
  </si>
  <si>
    <t>PTS-EII_2</t>
  </si>
  <si>
    <t>COT05206.1</t>
  </si>
  <si>
    <t>ERS445053_00406</t>
  </si>
  <si>
    <t>manZ_3</t>
  </si>
  <si>
    <t>COT05227.1</t>
  </si>
  <si>
    <t>ERS445053_00407</t>
  </si>
  <si>
    <t>PTS system%2C IIC component</t>
  </si>
  <si>
    <t>PTS-EIIC</t>
  </si>
  <si>
    <t>COT05247.1</t>
  </si>
  <si>
    <t>ERS445053_00408</t>
  </si>
  <si>
    <t>phosphotransferase system sugar-specific EIIB component</t>
  </si>
  <si>
    <t>PTS-EIIB</t>
  </si>
  <si>
    <t>COT05269.1</t>
  </si>
  <si>
    <t>ERS445053_00409</t>
  </si>
  <si>
    <t>beta-galactosidase 3</t>
  </si>
  <si>
    <t>bgaC</t>
  </si>
  <si>
    <t>COT05294.1</t>
  </si>
  <si>
    <t>ERS445053_00410</t>
  </si>
  <si>
    <t>GntR family transcriptional regulator</t>
  </si>
  <si>
    <t>frlR</t>
  </si>
  <si>
    <t>COT05320.1</t>
  </si>
  <si>
    <t>ERS445053_00411</t>
  </si>
  <si>
    <t>beta-N-acetylhexosaminidase</t>
  </si>
  <si>
    <t>strH_2</t>
  </si>
  <si>
    <t>COT05338.1</t>
  </si>
  <si>
    <t>ERS445053_00412</t>
  </si>
  <si>
    <t>adenylosuccinate lyase</t>
  </si>
  <si>
    <t>purB</t>
  </si>
  <si>
    <t>COT05366.1</t>
  </si>
  <si>
    <t>ERS445053_00413</t>
  </si>
  <si>
    <t>phosphoribosylaminoimidazole carboxylase ATPase subunit</t>
  </si>
  <si>
    <t>COT05397.1</t>
  </si>
  <si>
    <t>ERS445053_00414</t>
  </si>
  <si>
    <t>purK</t>
  </si>
  <si>
    <t>COT05414.1</t>
  </si>
  <si>
    <t>ERS445053_00415</t>
  </si>
  <si>
    <t>phosphoribosylaminoimidazole carboxylase catalytic subunit</t>
  </si>
  <si>
    <t>purE</t>
  </si>
  <si>
    <t>COT05441.1</t>
  </si>
  <si>
    <t>ERS445053_00416</t>
  </si>
  <si>
    <t>phosphoribosylglycinamide synthetase</t>
  </si>
  <si>
    <t>purD</t>
  </si>
  <si>
    <t>COT05465.1</t>
  </si>
  <si>
    <t>ERS445053_00417</t>
  </si>
  <si>
    <t>bifunctional phosphoribosylaminoimidazolecarboxamide formyltransferase/IMP cyclohydrolase</t>
  </si>
  <si>
    <t>purH</t>
  </si>
  <si>
    <t>COT05490.1</t>
  </si>
  <si>
    <t>ERS445053_00418</t>
  </si>
  <si>
    <t>teicoplanin resistance protein</t>
  </si>
  <si>
    <t>COT05507.1</t>
  </si>
  <si>
    <t>ERS445053_00419</t>
  </si>
  <si>
    <t>phosphoribosylglycinamide formyltransferase</t>
  </si>
  <si>
    <t>purN</t>
  </si>
  <si>
    <t>COT05521.1</t>
  </si>
  <si>
    <t>ERS445053_00420</t>
  </si>
  <si>
    <t>phosphoribosylaminoimidazole synthetase</t>
  </si>
  <si>
    <t>purM</t>
  </si>
  <si>
    <t>COT05547.1</t>
  </si>
  <si>
    <t>ERS445053_00421</t>
  </si>
  <si>
    <t>amidophosphoribosyltransferase</t>
  </si>
  <si>
    <t>purF</t>
  </si>
  <si>
    <t>COT05571.1</t>
  </si>
  <si>
    <t>ERS445053_00422</t>
  </si>
  <si>
    <t>phosphoribosylformylglycinamidine synthase II (FGAM synthetase)</t>
  </si>
  <si>
    <t>purL</t>
  </si>
  <si>
    <t>COT05586.1</t>
  </si>
  <si>
    <t>ERS445053_00423</t>
  </si>
  <si>
    <t>phosphoribosylaminoimidazole-succinocarboxamide synthetase</t>
  </si>
  <si>
    <t>purC</t>
  </si>
  <si>
    <t>COT05608.1</t>
  </si>
  <si>
    <t>ERS445053_00424</t>
  </si>
  <si>
    <t>competence factor transport protein ComB</t>
  </si>
  <si>
    <t>comB</t>
  </si>
  <si>
    <t>COT05627.1</t>
  </si>
  <si>
    <t>ERS445053_00425</t>
  </si>
  <si>
    <t>competence factor transporting ATP-binding protein/permease ComA</t>
  </si>
  <si>
    <t>comA</t>
  </si>
  <si>
    <t>COT05659.1</t>
  </si>
  <si>
    <t>ERS445053_00426</t>
  </si>
  <si>
    <t>bacteriocin BlpO</t>
  </si>
  <si>
    <t>blpO</t>
  </si>
  <si>
    <t>COT05688.1</t>
  </si>
  <si>
    <t>ERS445053_00427</t>
  </si>
  <si>
    <t>transposase-like protein%2C IS1381 ISSpn7</t>
  </si>
  <si>
    <t>COT05715.1</t>
  </si>
  <si>
    <t>ERS445053_00428</t>
  </si>
  <si>
    <t>acpP_2</t>
  </si>
  <si>
    <t>COT05742.1</t>
  </si>
  <si>
    <t>ERS445053_00429</t>
  </si>
  <si>
    <t>fatty acid/phospholipid synthesis protein</t>
  </si>
  <si>
    <t>plsX</t>
  </si>
  <si>
    <t>COT05768.1</t>
  </si>
  <si>
    <t>ERS445053_00430</t>
  </si>
  <si>
    <t>DNA repair protein RecO</t>
  </si>
  <si>
    <t>recO</t>
  </si>
  <si>
    <t>COT05800.1</t>
  </si>
  <si>
    <t>ERS445053_00431</t>
  </si>
  <si>
    <t>aspartate aminotransferase</t>
  </si>
  <si>
    <t>aspC1</t>
  </si>
  <si>
    <t>COT05823.1</t>
  </si>
  <si>
    <t>ERS445053_00432</t>
  </si>
  <si>
    <t>yeiH</t>
  </si>
  <si>
    <t>COT05855.1</t>
  </si>
  <si>
    <t>ERS445053_00433</t>
  </si>
  <si>
    <t>COT05876.1</t>
  </si>
  <si>
    <t>ERS445053_00434</t>
  </si>
  <si>
    <t>CoA-binding protein</t>
  </si>
  <si>
    <t>yccU</t>
  </si>
  <si>
    <t>COT05896.1</t>
  </si>
  <si>
    <t>ERS445053_00435</t>
  </si>
  <si>
    <t>DNA polymerase I-3'-5' exonuclease and polymerase domains</t>
  </si>
  <si>
    <t>polA</t>
  </si>
  <si>
    <t>COT05913.1</t>
  </si>
  <si>
    <t>ERS445053_00436</t>
  </si>
  <si>
    <t>nuclease family transposase</t>
  </si>
  <si>
    <t>COT05938.1</t>
  </si>
  <si>
    <t>ERS445053_00437</t>
  </si>
  <si>
    <t>COT05961.1</t>
  </si>
  <si>
    <t>ERS445053_00438</t>
  </si>
  <si>
    <t>transposase-like protein</t>
  </si>
  <si>
    <t>COT05979.1</t>
  </si>
  <si>
    <t>ERS445053_00439</t>
  </si>
  <si>
    <t>ribose-phosphate pyrophosphokinase</t>
  </si>
  <si>
    <t>prsA_1</t>
  </si>
  <si>
    <t>COT06000.1</t>
  </si>
  <si>
    <t>ERS445053_00440</t>
  </si>
  <si>
    <t>repair protein</t>
  </si>
  <si>
    <t>COT06021.1</t>
  </si>
  <si>
    <t>ERS445053_00441</t>
  </si>
  <si>
    <t>carbonic anhydrase</t>
  </si>
  <si>
    <t>COT06041.1</t>
  </si>
  <si>
    <t>ERS445053_00442</t>
  </si>
  <si>
    <t>DNA repair protein</t>
  </si>
  <si>
    <t>radA</t>
  </si>
  <si>
    <t>COT06068.1</t>
  </si>
  <si>
    <t>ERS445053_00443</t>
  </si>
  <si>
    <t>COT06114.1</t>
  </si>
  <si>
    <t>ERS445053_00444</t>
  </si>
  <si>
    <t>deoxyuridine 5'-triphosphate nucleotidohydrolase</t>
  </si>
  <si>
    <t>dut</t>
  </si>
  <si>
    <t>COT06132.1</t>
  </si>
  <si>
    <t>ERS445053_00445</t>
  </si>
  <si>
    <t>cytidine/deoxycytidylate deaminase</t>
  </si>
  <si>
    <t>tadA</t>
  </si>
  <si>
    <t>COT06166.1</t>
  </si>
  <si>
    <t>ERS445053_00447</t>
  </si>
  <si>
    <t>COT06189.1</t>
  </si>
  <si>
    <t>ERS445053_00448</t>
  </si>
  <si>
    <t>DNA-binding protein</t>
  </si>
  <si>
    <t>COT06208.1</t>
  </si>
  <si>
    <t>ERS445053_00449</t>
  </si>
  <si>
    <t>autolysin</t>
  </si>
  <si>
    <t>lytA_2</t>
  </si>
  <si>
    <t>COT06226.1</t>
  </si>
  <si>
    <t>ERS445053_00450</t>
  </si>
  <si>
    <t>phage holin%2C LL-H family</t>
  </si>
  <si>
    <t>COT06242.1</t>
  </si>
  <si>
    <t>ERS445053_00451</t>
  </si>
  <si>
    <t>putative holin 1</t>
  </si>
  <si>
    <t>COT06257.1</t>
  </si>
  <si>
    <t>ERS445053_00452</t>
  </si>
  <si>
    <t>phage protein</t>
  </si>
  <si>
    <t>COT06275.1</t>
  </si>
  <si>
    <t>ERS445053_00453</t>
  </si>
  <si>
    <t>COT06293.1</t>
  </si>
  <si>
    <t>ERS445053_00454</t>
  </si>
  <si>
    <t>COT06304.1</t>
  </si>
  <si>
    <t>ERS445053_00455</t>
  </si>
  <si>
    <t>PblB</t>
  </si>
  <si>
    <t>COT06321.1</t>
  </si>
  <si>
    <t>ERS445053_00456</t>
  </si>
  <si>
    <t>bacteriophage PblB</t>
  </si>
  <si>
    <t>pblB</t>
  </si>
  <si>
    <t>COT06337.1</t>
  </si>
  <si>
    <t>ERS445053_00457</t>
  </si>
  <si>
    <t>COT06367.1</t>
  </si>
  <si>
    <t>ERS445053_00458</t>
  </si>
  <si>
    <t>prophage LambdaSa04%2C tail tape measure protein%2C TP901 family</t>
  </si>
  <si>
    <t>yqbO</t>
  </si>
  <si>
    <t>COT06382.1</t>
  </si>
  <si>
    <t>ERS445053_00459</t>
  </si>
  <si>
    <t>bacteriophage pi2 protein 40</t>
  </si>
  <si>
    <t>COT06394.1</t>
  </si>
  <si>
    <t>ERS445053_00460</t>
  </si>
  <si>
    <t>bacteriophage pi2 protein 39</t>
  </si>
  <si>
    <t>COT06406.1</t>
  </si>
  <si>
    <t>ERS445053_00461</t>
  </si>
  <si>
    <t>bacteriophage pi2 protein 38</t>
  </si>
  <si>
    <t>COT06423.1</t>
  </si>
  <si>
    <t>ERS445053_00462</t>
  </si>
  <si>
    <t>bacteriophage pi2 protein 37</t>
  </si>
  <si>
    <t>COT06441.1</t>
  </si>
  <si>
    <t>ERS445053_00463</t>
  </si>
  <si>
    <t>bacteriophage pi2 protein 36</t>
  </si>
  <si>
    <t>COT06462.1</t>
  </si>
  <si>
    <t>ERS445053_00464</t>
  </si>
  <si>
    <t>bacteriophage pi2 protein 35</t>
  </si>
  <si>
    <t>COT06492.1</t>
  </si>
  <si>
    <t>ERS445053_00465</t>
  </si>
  <si>
    <t>COT06503.1</t>
  </si>
  <si>
    <t>ERS445053_00466</t>
  </si>
  <si>
    <t>bacteriophage capsid protein</t>
  </si>
  <si>
    <t>COT06528.1</t>
  </si>
  <si>
    <t>ERS445053_00467</t>
  </si>
  <si>
    <t>bacteriophage maturation protease</t>
  </si>
  <si>
    <t>COT06548.1</t>
  </si>
  <si>
    <t>ERS445053_00468</t>
  </si>
  <si>
    <t>portal protein</t>
  </si>
  <si>
    <t>COT06572.1</t>
  </si>
  <si>
    <t>ERS445053_00469</t>
  </si>
  <si>
    <t>COT06590.1</t>
  </si>
  <si>
    <t>ERS445053_00470</t>
  </si>
  <si>
    <t>bacteriophage terminase</t>
  </si>
  <si>
    <t>COT06613.1</t>
  </si>
  <si>
    <t>ERS445053_00471</t>
  </si>
  <si>
    <t>bacteriophage terminase protein%2C small subunit</t>
  </si>
  <si>
    <t>COT06633.1</t>
  </si>
  <si>
    <t>ERS445053_00472</t>
  </si>
  <si>
    <t>bacteriophage nuclease</t>
  </si>
  <si>
    <t>COT06658.1</t>
  </si>
  <si>
    <t>ERS445053_00473</t>
  </si>
  <si>
    <t>COT06674.1</t>
  </si>
  <si>
    <t>ERS445053_00474</t>
  </si>
  <si>
    <t>prophage LambdaSa2%2C site-specific recombinase%2C phage integrase family</t>
  </si>
  <si>
    <t>COT06696.1</t>
  </si>
  <si>
    <t>ERS445053_00475</t>
  </si>
  <si>
    <t>bacteriophage transcriptional activator</t>
  </si>
  <si>
    <t>COT06736.1</t>
  </si>
  <si>
    <t>ERS445053_00476</t>
  </si>
  <si>
    <t>COT06752.1</t>
  </si>
  <si>
    <t>ERS445053_00477</t>
  </si>
  <si>
    <t>gp29</t>
  </si>
  <si>
    <t>COT06766.1</t>
  </si>
  <si>
    <t>ERS445053_00478</t>
  </si>
  <si>
    <t>COT06787.1</t>
  </si>
  <si>
    <t>ERS445053_00479</t>
  </si>
  <si>
    <t>DNA N-4 cytosine methyltransferase</t>
  </si>
  <si>
    <t>COT06810.1</t>
  </si>
  <si>
    <t>ERS445053_00480</t>
  </si>
  <si>
    <t>COT06831.1</t>
  </si>
  <si>
    <t>ERS445053_00481</t>
  </si>
  <si>
    <t>COT06850.1</t>
  </si>
  <si>
    <t>ERS445053_00482</t>
  </si>
  <si>
    <t>gp24</t>
  </si>
  <si>
    <t>COT06868.1</t>
  </si>
  <si>
    <t>ERS445053_00483</t>
  </si>
  <si>
    <t>COT06897.1</t>
  </si>
  <si>
    <t>ERS445053_00484</t>
  </si>
  <si>
    <t>COT06932.1</t>
  </si>
  <si>
    <t>ERS445053_00485</t>
  </si>
  <si>
    <t>COT06956.1</t>
  </si>
  <si>
    <t>ERS445053_00486</t>
  </si>
  <si>
    <t>COT06977.1</t>
  </si>
  <si>
    <t>ERS445053_00487</t>
  </si>
  <si>
    <t>DNA replication protein</t>
  </si>
  <si>
    <t>dnaC_1</t>
  </si>
  <si>
    <t>COT06995.1</t>
  </si>
  <si>
    <t>ERS445053_00488</t>
  </si>
  <si>
    <t>COT07012.1</t>
  </si>
  <si>
    <t>ERS445053_00489</t>
  </si>
  <si>
    <t>gp19</t>
  </si>
  <si>
    <t>COT07030.1</t>
  </si>
  <si>
    <t>ERS445053_00490</t>
  </si>
  <si>
    <t>gp18</t>
  </si>
  <si>
    <t>COT07051.1</t>
  </si>
  <si>
    <t>ERS445053_00491</t>
  </si>
  <si>
    <t>Putative phage lipoprotein</t>
  </si>
  <si>
    <t>COT07072.1</t>
  </si>
  <si>
    <t>ERS445053_00492</t>
  </si>
  <si>
    <t>COT07107.1</t>
  </si>
  <si>
    <t>ERS445053_00493</t>
  </si>
  <si>
    <t>gp15</t>
  </si>
  <si>
    <t>COT07128.1</t>
  </si>
  <si>
    <t>ERS445053_00494</t>
  </si>
  <si>
    <t>bacteriophage protein</t>
  </si>
  <si>
    <t>COT07144.1</t>
  </si>
  <si>
    <t>ERS445053_00495</t>
  </si>
  <si>
    <t>Phage protein</t>
  </si>
  <si>
    <t>COT07160.1</t>
  </si>
  <si>
    <t>ERS445053_00496</t>
  </si>
  <si>
    <t>gp9</t>
  </si>
  <si>
    <t>COT07171.1</t>
  </si>
  <si>
    <t>ERS445053_00497</t>
  </si>
  <si>
    <t>putative phage DNA binding protein</t>
  </si>
  <si>
    <t>COT07189.1</t>
  </si>
  <si>
    <t>ERS445053_00498</t>
  </si>
  <si>
    <t>COT07238.1</t>
  </si>
  <si>
    <t>ERS445053_00499</t>
  </si>
  <si>
    <t>COT07254.1</t>
  </si>
  <si>
    <t>ERS445053_00500</t>
  </si>
  <si>
    <t>bacteriophage repressor protein</t>
  </si>
  <si>
    <t>COT07267.1</t>
  </si>
  <si>
    <t>ERS445053_00501</t>
  </si>
  <si>
    <t>COT07281.1</t>
  </si>
  <si>
    <t>ERS445053_00502</t>
  </si>
  <si>
    <t>plasmid stabilisation system protein</t>
  </si>
  <si>
    <t>relE</t>
  </si>
  <si>
    <t>COT07292.1</t>
  </si>
  <si>
    <t>ERS445053_00503</t>
  </si>
  <si>
    <t>putative cI-like repressor%2C metallo-prtoeinase motif-phage-associated (Putative uncharacterized protein SPs0513)</t>
  </si>
  <si>
    <t>COT07310.1</t>
  </si>
  <si>
    <t>ERS445053_00504</t>
  </si>
  <si>
    <t>COT07327.1</t>
  </si>
  <si>
    <t>ERS445053_00505</t>
  </si>
  <si>
    <t>Int-Tn</t>
  </si>
  <si>
    <t>COT07350.1</t>
  </si>
  <si>
    <t>ERS445053_00506</t>
  </si>
  <si>
    <t>adenylosuccinate synthetase</t>
  </si>
  <si>
    <t>purA</t>
  </si>
  <si>
    <t>COT07375.1</t>
  </si>
  <si>
    <t>ERS445053_00507</t>
  </si>
  <si>
    <t>recombination regulator RecX</t>
  </si>
  <si>
    <t>COT07399.1</t>
  </si>
  <si>
    <t>ERS445053_00508</t>
  </si>
  <si>
    <t>COT07422.1</t>
  </si>
  <si>
    <t>ERS445053_00509</t>
  </si>
  <si>
    <t>tRNA-Asn</t>
  </si>
  <si>
    <t>tRNA</t>
  </si>
  <si>
    <t>ERS445053_00510</t>
  </si>
  <si>
    <t>tRNA-Ala</t>
  </si>
  <si>
    <t>ERS445053_00511</t>
  </si>
  <si>
    <t>tRNA-Glu</t>
  </si>
  <si>
    <t>ERS445053_00512</t>
  </si>
  <si>
    <t>competence-specific global transcription modulator</t>
  </si>
  <si>
    <t>COT07475.1</t>
  </si>
  <si>
    <t>ERS445053_00513</t>
  </si>
  <si>
    <t>cell-division protein</t>
  </si>
  <si>
    <t>ftsH</t>
  </si>
  <si>
    <t>COT07499.1</t>
  </si>
  <si>
    <t>ERS445053_00514</t>
  </si>
  <si>
    <t>hypoxanthine guanine phosphoribosyltransferase</t>
  </si>
  <si>
    <t>hgt</t>
  </si>
  <si>
    <t>COT07526.1</t>
  </si>
  <si>
    <t>ERS445053_00515</t>
  </si>
  <si>
    <t>MesJ/Ycf62 family protein</t>
  </si>
  <si>
    <t>tilS</t>
  </si>
  <si>
    <t>COT07556.1</t>
  </si>
  <si>
    <t>ERS445053_00516</t>
  </si>
  <si>
    <t>beta-lactamase</t>
  </si>
  <si>
    <t>COT07579.1</t>
  </si>
  <si>
    <t>ERS445053_00517</t>
  </si>
  <si>
    <t>putative extracellular protein</t>
  </si>
  <si>
    <t>COT07600.1</t>
  </si>
  <si>
    <t>ERS445053_00518</t>
  </si>
  <si>
    <t>cell division protein</t>
  </si>
  <si>
    <t>COT07626.1</t>
  </si>
  <si>
    <t>ERS445053_00519</t>
  </si>
  <si>
    <t>S4 RNA-binding domain-containing protein</t>
  </si>
  <si>
    <t>hslR</t>
  </si>
  <si>
    <t>COT07647.1</t>
  </si>
  <si>
    <t>ERS445053_00520</t>
  </si>
  <si>
    <t>transcription-repair coupling factor</t>
  </si>
  <si>
    <t>trcF</t>
  </si>
  <si>
    <t>COT07659.1</t>
  </si>
  <si>
    <t>ERS445053_00521</t>
  </si>
  <si>
    <t>peptidyl-tRNA hydrolase</t>
  </si>
  <si>
    <t>pth</t>
  </si>
  <si>
    <t>COT07668.1</t>
  </si>
  <si>
    <t>ERS445053_00522</t>
  </si>
  <si>
    <t>GTP-dependent nucleic acid-binding protein EngD</t>
  </si>
  <si>
    <t>engD</t>
  </si>
  <si>
    <t>COT07693.1</t>
  </si>
  <si>
    <t>ERS445053_00523</t>
  </si>
  <si>
    <t>FIG01114317: hypothetical protein</t>
  </si>
  <si>
    <t>COT07718.1</t>
  </si>
  <si>
    <t>ERS445053_00524</t>
  </si>
  <si>
    <t>DNA polymerase III%2C beta subunit</t>
  </si>
  <si>
    <t>dnaN</t>
  </si>
  <si>
    <t>COT07738.1</t>
  </si>
  <si>
    <t>ERS445053_00525</t>
  </si>
  <si>
    <t>DNA biosynthesis%2C initiation%2C binding protein</t>
  </si>
  <si>
    <t>dnaA</t>
  </si>
  <si>
    <t>COT07760.1</t>
  </si>
  <si>
    <t>ERS445053_00526</t>
  </si>
  <si>
    <t>chromosome partitioning protein</t>
  </si>
  <si>
    <t>parB</t>
  </si>
  <si>
    <t>COT07781.1</t>
  </si>
  <si>
    <t>ERS445053_00527</t>
  </si>
  <si>
    <t>trypsin-like serine protease</t>
  </si>
  <si>
    <t>htrA</t>
  </si>
  <si>
    <t>COT07801.1</t>
  </si>
  <si>
    <t>ERS445053_00528</t>
  </si>
  <si>
    <t>rRNA large subunit methyltransferase</t>
  </si>
  <si>
    <t>rlmH</t>
  </si>
  <si>
    <t>COT07832.1</t>
  </si>
  <si>
    <t>ERS445053_00529</t>
  </si>
  <si>
    <t>tRNA-Arg</t>
  </si>
  <si>
    <t>ERS445053_00530</t>
  </si>
  <si>
    <t>competence stimulating peptide 2</t>
  </si>
  <si>
    <t>comC</t>
  </si>
  <si>
    <t>COT07865.1</t>
  </si>
  <si>
    <t>ERS445053_00531</t>
  </si>
  <si>
    <t>COT07886.1</t>
  </si>
  <si>
    <t>ERS445053_00532</t>
  </si>
  <si>
    <t>comE</t>
  </si>
  <si>
    <t>COT07907.1</t>
  </si>
  <si>
    <t>ERS445053_00533</t>
  </si>
  <si>
    <t>ERS445053_00534</t>
  </si>
  <si>
    <t>ERS445053_00535</t>
  </si>
  <si>
    <t>TetR family transcriptional regulator</t>
  </si>
  <si>
    <t>COT07946.1</t>
  </si>
  <si>
    <t>ERS445053_00536</t>
  </si>
  <si>
    <t>COT07967.1</t>
  </si>
  <si>
    <t>ERS445053_00537</t>
  </si>
  <si>
    <t>phage infection protein</t>
  </si>
  <si>
    <t>COT07986.1</t>
  </si>
  <si>
    <t>ERS445053_00538</t>
  </si>
  <si>
    <t>ABC transporter permease component</t>
  </si>
  <si>
    <t>COT07998.1</t>
  </si>
  <si>
    <t>ERS445053_00539</t>
  </si>
  <si>
    <t>ABC transporter ATPase</t>
  </si>
  <si>
    <t>yheS_1</t>
  </si>
  <si>
    <t>COT08016.1</t>
  </si>
  <si>
    <t>ERS445053_00540</t>
  </si>
  <si>
    <t>tryptophanyl-tRNA synthetase</t>
  </si>
  <si>
    <t>trpS</t>
  </si>
  <si>
    <t>COT08046.1</t>
  </si>
  <si>
    <t>ERS445053_00541</t>
  </si>
  <si>
    <t>inosine-5-monophosphate dehydrogenase</t>
  </si>
  <si>
    <t>guaB</t>
  </si>
  <si>
    <t>COT08067.1</t>
  </si>
  <si>
    <t>ERS445053_00542</t>
  </si>
  <si>
    <t>recombination protein recF</t>
  </si>
  <si>
    <t>recF</t>
  </si>
  <si>
    <t>COT08090.1</t>
  </si>
  <si>
    <t>ERS445053_00543</t>
  </si>
  <si>
    <t>S4 domain-containing protein YaaA</t>
  </si>
  <si>
    <t>COT08113.1</t>
  </si>
  <si>
    <t>ERS445053_00544</t>
  </si>
  <si>
    <t>zinc-dependent protease</t>
  </si>
  <si>
    <t>COT08129.1</t>
  </si>
  <si>
    <t>ERS445053_00545</t>
  </si>
  <si>
    <t>COT08141.1</t>
  </si>
  <si>
    <t>ERS445053_00546</t>
  </si>
  <si>
    <t>transcriptional regulation protein</t>
  </si>
  <si>
    <t>COT08156.1</t>
  </si>
  <si>
    <t>ERS445053_00547</t>
  </si>
  <si>
    <t>phosphatidylglycerophosphate synthase</t>
  </si>
  <si>
    <t>pgsA</t>
  </si>
  <si>
    <t>COT08175.1</t>
  </si>
  <si>
    <t>ERS445053_00548</t>
  </si>
  <si>
    <t>ABCtransporter ATP-binding protein cobalt transport</t>
  </si>
  <si>
    <t>ecfA1</t>
  </si>
  <si>
    <t>COT08197.1</t>
  </si>
  <si>
    <t>ERS445053_00549</t>
  </si>
  <si>
    <t>ecfA2</t>
  </si>
  <si>
    <t>COT08226.1</t>
  </si>
  <si>
    <t>ERS445053_00550</t>
  </si>
  <si>
    <t>ABC transporter permease%2C cobalt transport</t>
  </si>
  <si>
    <t>ecfT</t>
  </si>
  <si>
    <t>COT08255.1</t>
  </si>
  <si>
    <t>ERS445053_00551</t>
  </si>
  <si>
    <t>cell shape determining protein MreC</t>
  </si>
  <si>
    <t>mreC</t>
  </si>
  <si>
    <t>COT08284.1</t>
  </si>
  <si>
    <t>ERS445053_00552</t>
  </si>
  <si>
    <t>rod shape-determining protein MreD</t>
  </si>
  <si>
    <t>mreD</t>
  </si>
  <si>
    <t>COT08295.1</t>
  </si>
  <si>
    <t>ERS445053_00553</t>
  </si>
  <si>
    <t>CHAP domain-containing protein</t>
  </si>
  <si>
    <t>COT08342.1</t>
  </si>
  <si>
    <t>ERS445053_00554</t>
  </si>
  <si>
    <t>30S ribosomal protein S2</t>
  </si>
  <si>
    <t>rpsB</t>
  </si>
  <si>
    <t>COT08355.1</t>
  </si>
  <si>
    <t>ERS445053_00555</t>
  </si>
  <si>
    <t>elongation factor Ts</t>
  </si>
  <si>
    <t>tsf</t>
  </si>
  <si>
    <t>COT08375.1</t>
  </si>
  <si>
    <t>ERS445053_00556</t>
  </si>
  <si>
    <t>transposase%2C ISSmi4</t>
  </si>
  <si>
    <t>COT08397.1</t>
  </si>
  <si>
    <t>ERS445053_00557</t>
  </si>
  <si>
    <t>transposase-like protein%2C ISSpn_AP200_6</t>
  </si>
  <si>
    <t>COT08420.1</t>
  </si>
  <si>
    <t>ERS445053_00558</t>
  </si>
  <si>
    <t>cysteine synthase</t>
  </si>
  <si>
    <t>cysK</t>
  </si>
  <si>
    <t>COT08441.1</t>
  </si>
  <si>
    <t>ERS445053_00559</t>
  </si>
  <si>
    <t>Xaa-Pro dipeptidase</t>
  </si>
  <si>
    <t>yigZ</t>
  </si>
  <si>
    <t>COT08464.1</t>
  </si>
  <si>
    <t>ERS445053_00560</t>
  </si>
  <si>
    <t>helicase ComFA</t>
  </si>
  <si>
    <t>comFA</t>
  </si>
  <si>
    <t>COT08504.1</t>
  </si>
  <si>
    <t>ERS445053_00561</t>
  </si>
  <si>
    <t>involved in transformation</t>
  </si>
  <si>
    <t>COT08531.1</t>
  </si>
  <si>
    <t>ERS445053_00562</t>
  </si>
  <si>
    <t>ribosome-associated protein</t>
  </si>
  <si>
    <t>COT08553.1</t>
  </si>
  <si>
    <t>ERS445053_00563</t>
  </si>
  <si>
    <t>DHH family protein</t>
  </si>
  <si>
    <t>COT08572.1</t>
  </si>
  <si>
    <t>ERS445053_00564</t>
  </si>
  <si>
    <t>50S ribosomal protein L9</t>
  </si>
  <si>
    <t>rplI</t>
  </si>
  <si>
    <t>COT08593.1</t>
  </si>
  <si>
    <t>ERS445053_00565</t>
  </si>
  <si>
    <t>DNA replication protein DnaC</t>
  </si>
  <si>
    <t>dnaC_2</t>
  </si>
  <si>
    <t>COT08620.1</t>
  </si>
  <si>
    <t>ERS445053_00566</t>
  </si>
  <si>
    <t>FIG01114855: hypothetical protein</t>
  </si>
  <si>
    <t>COT08649.1</t>
  </si>
  <si>
    <t>ERS445053_00567</t>
  </si>
  <si>
    <t>choline binding protein D</t>
  </si>
  <si>
    <t>lytA_3</t>
  </si>
  <si>
    <t>COT08667.1</t>
  </si>
  <si>
    <t>ERS445053_00568</t>
  </si>
  <si>
    <t>Uncharacterized conserved protein</t>
  </si>
  <si>
    <t>COT08690.1</t>
  </si>
  <si>
    <t>ERS445053_00570</t>
  </si>
  <si>
    <t>ABC transporter permease%2C nitrate/sulfonate/bicarbonate transport</t>
  </si>
  <si>
    <t>tauC</t>
  </si>
  <si>
    <t>COT08707.1</t>
  </si>
  <si>
    <t>ERS445053_00571</t>
  </si>
  <si>
    <t>ABC transportersubstrate-binding protein%2C nitrate/sulfonate/bicarbonate transport</t>
  </si>
  <si>
    <t>tauA</t>
  </si>
  <si>
    <t>COT08727.1</t>
  </si>
  <si>
    <t>ERS445053_00572</t>
  </si>
  <si>
    <t>nitrate/sulfonate/bicarbonate ABC transporter ATP-binding protein</t>
  </si>
  <si>
    <t>tauB</t>
  </si>
  <si>
    <t>COT08737.1</t>
  </si>
  <si>
    <t>ERS445053_00573</t>
  </si>
  <si>
    <t>CtsR family transcriptional regulator</t>
  </si>
  <si>
    <t>ctsR</t>
  </si>
  <si>
    <t>COT08757.1</t>
  </si>
  <si>
    <t>ERS445053_00574</t>
  </si>
  <si>
    <t>ATP-dependent Clp protease%2C ATP-binding subunit</t>
  </si>
  <si>
    <t>clpC_2</t>
  </si>
  <si>
    <t>COT08779.1</t>
  </si>
  <si>
    <t>ERS445053_00575</t>
  </si>
  <si>
    <t>DNA-binding response regulator</t>
  </si>
  <si>
    <t>phoB</t>
  </si>
  <si>
    <t>COT08804.1</t>
  </si>
  <si>
    <t>ERS445053_00576</t>
  </si>
  <si>
    <t>signal transduction histidine kinase</t>
  </si>
  <si>
    <t>yycG</t>
  </si>
  <si>
    <t>COT08826.1</t>
  </si>
  <si>
    <t>ERS445053_00577</t>
  </si>
  <si>
    <t>COT08853.1</t>
  </si>
  <si>
    <t>ERS445053_00578</t>
  </si>
  <si>
    <t>SigA binding protein</t>
  </si>
  <si>
    <t>lytB_2</t>
  </si>
  <si>
    <t>COT08868.1</t>
  </si>
  <si>
    <t>ERS445053_00579</t>
  </si>
  <si>
    <t>NifR3 family TIM-barrel protein</t>
  </si>
  <si>
    <t>dus</t>
  </si>
  <si>
    <t>COT08891.1</t>
  </si>
  <si>
    <t>ERS445053_00580</t>
  </si>
  <si>
    <t>heat shock protein 3HSP33 homolog</t>
  </si>
  <si>
    <t>hslO</t>
  </si>
  <si>
    <t>COT08912.1</t>
  </si>
  <si>
    <t>ERS445053_00581</t>
  </si>
  <si>
    <t>regulatory protein</t>
  </si>
  <si>
    <t>COT08931.1</t>
  </si>
  <si>
    <t>ERS445053_00582</t>
  </si>
  <si>
    <t>glycerol kinase</t>
  </si>
  <si>
    <t>glpK</t>
  </si>
  <si>
    <t>COT08971.1</t>
  </si>
  <si>
    <t>ERS445053_00583</t>
  </si>
  <si>
    <t>alpha-glycerophosphate oxidase</t>
  </si>
  <si>
    <t>glpO</t>
  </si>
  <si>
    <t>COT08996.1</t>
  </si>
  <si>
    <t>ERS445053_00584</t>
  </si>
  <si>
    <t>glycerol uptake facilitator protein</t>
  </si>
  <si>
    <t>glpF</t>
  </si>
  <si>
    <t>COT09021.1</t>
  </si>
  <si>
    <t>ERS445053_00585</t>
  </si>
  <si>
    <t>COT09045.1</t>
  </si>
  <si>
    <t>ERS445053_00586</t>
  </si>
  <si>
    <t>reverse transcriptase/maturase%2C group FT II introns</t>
  </si>
  <si>
    <t>ltrA</t>
  </si>
  <si>
    <t>COT09064.1</t>
  </si>
  <si>
    <t>ERS445053_00588</t>
  </si>
  <si>
    <t>transporter major facilitator family protein</t>
  </si>
  <si>
    <t>COT09078.1</t>
  </si>
  <si>
    <t>ERS445053_00589</t>
  </si>
  <si>
    <t>D-alanine:Dcp ligase Dcl</t>
  </si>
  <si>
    <t>dltA</t>
  </si>
  <si>
    <t>COT09100.1</t>
  </si>
  <si>
    <t>ERS445053_00590</t>
  </si>
  <si>
    <t>transport protein DltB</t>
  </si>
  <si>
    <t>dltB</t>
  </si>
  <si>
    <t>COT09130.1</t>
  </si>
  <si>
    <t>ERS445053_00591</t>
  </si>
  <si>
    <t>D-alanyl carrier protein DCP</t>
  </si>
  <si>
    <t>dltC</t>
  </si>
  <si>
    <t>COT09153.1</t>
  </si>
  <si>
    <t>ERS445053_00592</t>
  </si>
  <si>
    <t>dltD protein</t>
  </si>
  <si>
    <t>dltD</t>
  </si>
  <si>
    <t>COT09174.1</t>
  </si>
  <si>
    <t>ERS445053_00593</t>
  </si>
  <si>
    <t>putative transcriptional repressor</t>
  </si>
  <si>
    <t>adcR</t>
  </si>
  <si>
    <t>COT09189.1</t>
  </si>
  <si>
    <t>ERS445053_00594</t>
  </si>
  <si>
    <t>ATP-binding protein%2C Mn</t>
  </si>
  <si>
    <t>adcC</t>
  </si>
  <si>
    <t>COT09208.1</t>
  </si>
  <si>
    <t>ERS445053_00595</t>
  </si>
  <si>
    <t>zinc ABC transporter permease</t>
  </si>
  <si>
    <t>adcB</t>
  </si>
  <si>
    <t>COT09265.1</t>
  </si>
  <si>
    <t>ERS445053_00596</t>
  </si>
  <si>
    <t>ABC zinc transporter%2C metal-binding lipoprotein</t>
  </si>
  <si>
    <t>adcA</t>
  </si>
  <si>
    <t>COT09286.1</t>
  </si>
  <si>
    <t>ERS445053_00597</t>
  </si>
  <si>
    <t>regulator of fucose operon</t>
  </si>
  <si>
    <t>glcR</t>
  </si>
  <si>
    <t>COT09305.1</t>
  </si>
  <si>
    <t>ERS445053_00598</t>
  </si>
  <si>
    <t>L-fuculose kinase fucK</t>
  </si>
  <si>
    <t>fucK</t>
  </si>
  <si>
    <t>COT09319.1</t>
  </si>
  <si>
    <t>ERS445053_00599</t>
  </si>
  <si>
    <t>bacterial extracellular solute-binding protein</t>
  </si>
  <si>
    <t>malX_1</t>
  </si>
  <si>
    <t>COT09340.1</t>
  </si>
  <si>
    <t>ERS445053_00600</t>
  </si>
  <si>
    <t>sugar ABC transporter permease</t>
  </si>
  <si>
    <t>ycjO_1</t>
  </si>
  <si>
    <t>COT09365.1</t>
  </si>
  <si>
    <t>ERS445053_00601</t>
  </si>
  <si>
    <t>ycjP_2</t>
  </si>
  <si>
    <t>COT09382.1</t>
  </si>
  <si>
    <t>ERS445053_00602</t>
  </si>
  <si>
    <t>alpha-L-fucosidase</t>
  </si>
  <si>
    <t>COT09400.1</t>
  </si>
  <si>
    <t>ERS445053_00603</t>
  </si>
  <si>
    <t>F5/8 type C domain containing protein</t>
  </si>
  <si>
    <t>COT09416.1</t>
  </si>
  <si>
    <t>ERS445053_00604</t>
  </si>
  <si>
    <t>alpha-galactosidase AgaN</t>
  </si>
  <si>
    <t>rafA</t>
  </si>
  <si>
    <t>COT09432.1</t>
  </si>
  <si>
    <t>ERS445053_00605</t>
  </si>
  <si>
    <t>Glycosyl hydrolase</t>
  </si>
  <si>
    <t>Fucolectin-rel</t>
  </si>
  <si>
    <t>COT09460.1</t>
  </si>
  <si>
    <t>ERS445053_00606</t>
  </si>
  <si>
    <t>L-fuculose phosphate aldolase</t>
  </si>
  <si>
    <t>fucA</t>
  </si>
  <si>
    <t>COT09483.1</t>
  </si>
  <si>
    <t>ERS445053_00607</t>
  </si>
  <si>
    <t>L-fucose isomerase</t>
  </si>
  <si>
    <t>fucI</t>
  </si>
  <si>
    <t>COT09507.1</t>
  </si>
  <si>
    <t>ERS445053_00608</t>
  </si>
  <si>
    <t>adhB</t>
  </si>
  <si>
    <t>COT09529.1</t>
  </si>
  <si>
    <t>ERS445053_00609</t>
  </si>
  <si>
    <t>spfh domain/band 7 family</t>
  </si>
  <si>
    <t>qmcA</t>
  </si>
  <si>
    <t>COT09552.1</t>
  </si>
  <si>
    <t>ERS445053_00610</t>
  </si>
  <si>
    <t>3-ketoacyl-ACP reductase</t>
  </si>
  <si>
    <t>COT09573.1</t>
  </si>
  <si>
    <t>ERS445053_00611</t>
  </si>
  <si>
    <t>surface protein (fragment)</t>
  </si>
  <si>
    <t>sdrD</t>
  </si>
  <si>
    <t>COT09596.1</t>
  </si>
  <si>
    <t>ERS445053_00612</t>
  </si>
  <si>
    <t>M26 family peptidase%2C C-terminal</t>
  </si>
  <si>
    <t>COT09614.1</t>
  </si>
  <si>
    <t>ERS445053_00613</t>
  </si>
  <si>
    <t>ArcT</t>
  </si>
  <si>
    <t>COT09638.1</t>
  </si>
  <si>
    <t>ERS445053_00614</t>
  </si>
  <si>
    <t>C4-dicarboxylate anaerobic carrier%2C arginine transporter</t>
  </si>
  <si>
    <t>COT09660.1</t>
  </si>
  <si>
    <t>ERS445053_00615</t>
  </si>
  <si>
    <t>carbamate kinase</t>
  </si>
  <si>
    <t>arcC</t>
  </si>
  <si>
    <t>COT09684.1</t>
  </si>
  <si>
    <t>ERS445053_00616</t>
  </si>
  <si>
    <t>ornithine carbamoyltransferase</t>
  </si>
  <si>
    <t>arcB</t>
  </si>
  <si>
    <t>COT09705.1</t>
  </si>
  <si>
    <t>ERS445053_00617</t>
  </si>
  <si>
    <t>arginine deiminase</t>
  </si>
  <si>
    <t>arcA</t>
  </si>
  <si>
    <t>COT09732.1</t>
  </si>
  <si>
    <t>ERS445053_00618</t>
  </si>
  <si>
    <t>FucA</t>
  </si>
  <si>
    <t>COT09755.1</t>
  </si>
  <si>
    <t>ERS445053_00619</t>
  </si>
  <si>
    <t>sugar hydrolase</t>
  </si>
  <si>
    <t>COT09771.1</t>
  </si>
  <si>
    <t>ERS445053_00620</t>
  </si>
  <si>
    <t>twin-arginine translocation pathway signal</t>
  </si>
  <si>
    <t>COT09794.1</t>
  </si>
  <si>
    <t>ERS445053_00621</t>
  </si>
  <si>
    <t>alpha mannosidase</t>
  </si>
  <si>
    <t>mngB</t>
  </si>
  <si>
    <t>COT09810.1</t>
  </si>
  <si>
    <t>ERS445053_00622</t>
  </si>
  <si>
    <t>bglK_1</t>
  </si>
  <si>
    <t>COT09832.1</t>
  </si>
  <si>
    <t>ERS445053_00623</t>
  </si>
  <si>
    <t>glycosyl hydrolase family 20 (GH20) protein</t>
  </si>
  <si>
    <t>COT09852.1</t>
  </si>
  <si>
    <t>ERS445053_00624</t>
  </si>
  <si>
    <t>LSU ribosomal protein L33p @ LSU ribosomal protein L33p%2C zinc-independent</t>
  </si>
  <si>
    <t>rpmGA</t>
  </si>
  <si>
    <t>COT09875.1</t>
  </si>
  <si>
    <t>ERS445053_00625</t>
  </si>
  <si>
    <t>50S ribosomal protein L32</t>
  </si>
  <si>
    <t>rpmF</t>
  </si>
  <si>
    <t>COT09897.1</t>
  </si>
  <si>
    <t>ERS445053_00626</t>
  </si>
  <si>
    <t>COT09917.1</t>
  </si>
  <si>
    <t>ERS445053_00627</t>
  </si>
  <si>
    <t>COT09935.1</t>
  </si>
  <si>
    <t>ERS445053_00628</t>
  </si>
  <si>
    <t>transcriptional regulator%2C BglG family</t>
  </si>
  <si>
    <t>cmtB</t>
  </si>
  <si>
    <t>COT09954.1</t>
  </si>
  <si>
    <t>ERS445053_00629</t>
  </si>
  <si>
    <t>PTS system%2C IIB component</t>
  </si>
  <si>
    <t>COT09975.1</t>
  </si>
  <si>
    <t>ERS445053_00630</t>
  </si>
  <si>
    <t>ulaA_1</t>
  </si>
  <si>
    <t>COT09992.1</t>
  </si>
  <si>
    <t>ERS445053_00631</t>
  </si>
  <si>
    <t>transketolase n-terminal section</t>
  </si>
  <si>
    <t>tktN</t>
  </si>
  <si>
    <t>COT10013.1</t>
  </si>
  <si>
    <t>ERS445053_00632</t>
  </si>
  <si>
    <t>transketolase c-terminal section</t>
  </si>
  <si>
    <t>tktC</t>
  </si>
  <si>
    <t>COT10032.1</t>
  </si>
  <si>
    <t>ERS445053_00633</t>
  </si>
  <si>
    <t>dihydroxy-acid dehydratase</t>
  </si>
  <si>
    <t>ilvD</t>
  </si>
  <si>
    <t>COT10051.1</t>
  </si>
  <si>
    <t>ERS445053_00634</t>
  </si>
  <si>
    <t>repetitive protein</t>
  </si>
  <si>
    <t>COT10073.1</t>
  </si>
  <si>
    <t>ERS445053_00635</t>
  </si>
  <si>
    <t>domain of uncharacterised function protein</t>
  </si>
  <si>
    <t>COT10106.1</t>
  </si>
  <si>
    <t>ERS445053_00636</t>
  </si>
  <si>
    <t>transcriptional activator%2C Rgg/GadR/MutR family protein</t>
  </si>
  <si>
    <t>rgg</t>
  </si>
  <si>
    <t>COT10123.1</t>
  </si>
  <si>
    <t>ERS445053_00637</t>
  </si>
  <si>
    <t>COT10142.1</t>
  </si>
  <si>
    <t>ERS445053_00638</t>
  </si>
  <si>
    <t>histidyl-tRNA synthetase</t>
  </si>
  <si>
    <t>hisS</t>
  </si>
  <si>
    <t>COT10155.1</t>
  </si>
  <si>
    <t>ERS445053_00639</t>
  </si>
  <si>
    <t>FIG01115288: hypothetical protein</t>
  </si>
  <si>
    <t>COT10186.1</t>
  </si>
  <si>
    <t>ERS445053_00640</t>
  </si>
  <si>
    <t>COT10215.1</t>
  </si>
  <si>
    <t>ERS445053_00641</t>
  </si>
  <si>
    <t>COT10232.1</t>
  </si>
  <si>
    <t>ERS445053_00642</t>
  </si>
  <si>
    <t>brp/Blh family beta-carotene 15%2C15'-monooxygenase</t>
  </si>
  <si>
    <t>COT10253.1</t>
  </si>
  <si>
    <t>ERS445053_00643</t>
  </si>
  <si>
    <t>COT10274.1</t>
  </si>
  <si>
    <t>ERS445053_00644</t>
  </si>
  <si>
    <t>COT10295.1</t>
  </si>
  <si>
    <t>ERS445053_00645</t>
  </si>
  <si>
    <t>COT10313.1</t>
  </si>
  <si>
    <t>ERS445053_00646</t>
  </si>
  <si>
    <t>aspartyl-tRNA synthetase (aspartate-tRNA ligase)</t>
  </si>
  <si>
    <t>aspS</t>
  </si>
  <si>
    <t>COT10329.1</t>
  </si>
  <si>
    <t>ERS445053_00647</t>
  </si>
  <si>
    <t>YitT family protein</t>
  </si>
  <si>
    <t>COT10353.1</t>
  </si>
  <si>
    <t>ERS445053_00648</t>
  </si>
  <si>
    <t>COT10367.1</t>
  </si>
  <si>
    <t>ERS445053_00649</t>
  </si>
  <si>
    <t>maltose operon transcriptional repressor</t>
  </si>
  <si>
    <t>malR</t>
  </si>
  <si>
    <t>COT10391.1</t>
  </si>
  <si>
    <t>ERS445053_00650</t>
  </si>
  <si>
    <t>malA-protein</t>
  </si>
  <si>
    <t>malA</t>
  </si>
  <si>
    <t>COT10421.1</t>
  </si>
  <si>
    <t>ERS445053_00651</t>
  </si>
  <si>
    <t>maltodextrin ABC transporter permease</t>
  </si>
  <si>
    <t>malG</t>
  </si>
  <si>
    <t>COT10448.1</t>
  </si>
  <si>
    <t>ERS445053_00652</t>
  </si>
  <si>
    <t>malF</t>
  </si>
  <si>
    <t>COT10469.1</t>
  </si>
  <si>
    <t>ERS445053_00653</t>
  </si>
  <si>
    <t>maltose/maltodextrin ABC transporter maltose /maltodextrin-binding protein</t>
  </si>
  <si>
    <t>malX_2</t>
  </si>
  <si>
    <t>COT10489.1</t>
  </si>
  <si>
    <t>ERS445053_00654</t>
  </si>
  <si>
    <t>4-alpha-glucanotransferase (amylomaltase)</t>
  </si>
  <si>
    <t>malM</t>
  </si>
  <si>
    <t>COT10514.1</t>
  </si>
  <si>
    <t>ERS445053_00655</t>
  </si>
  <si>
    <t>maltodextrin phosphorylase</t>
  </si>
  <si>
    <t>glgP-2</t>
  </si>
  <si>
    <t>COT10531.1</t>
  </si>
  <si>
    <t>ERS445053_00656</t>
  </si>
  <si>
    <t>COT10568.1</t>
  </si>
  <si>
    <t>ERS445053_00657</t>
  </si>
  <si>
    <t>COT10586.1</t>
  </si>
  <si>
    <t>ERS445053_00658</t>
  </si>
  <si>
    <t>23S_rRNA m1G745 methyltransferase</t>
  </si>
  <si>
    <t>rrmA</t>
  </si>
  <si>
    <t>COT10600.1</t>
  </si>
  <si>
    <t>ERS445053_00659</t>
  </si>
  <si>
    <t>COT10620.1</t>
  </si>
  <si>
    <t>ERS445053_00660</t>
  </si>
  <si>
    <t>P-type ATPase-metal/cation transporter</t>
  </si>
  <si>
    <t>copA</t>
  </si>
  <si>
    <t>COT10633.1</t>
  </si>
  <si>
    <t>ERS445053_00661</t>
  </si>
  <si>
    <t>tyrosine--tRNA ligase</t>
  </si>
  <si>
    <t>tyrS</t>
  </si>
  <si>
    <t>COT10652.1</t>
  </si>
  <si>
    <t>ERS445053_00662</t>
  </si>
  <si>
    <t>penicillin-binding protein 1B</t>
  </si>
  <si>
    <t>pbp1B</t>
  </si>
  <si>
    <t>COT10675.1</t>
  </si>
  <si>
    <t>ERS445053_00663</t>
  </si>
  <si>
    <t>drug/metabolite transporter (DMT) superfamily permease</t>
  </si>
  <si>
    <t>yicL_1</t>
  </si>
  <si>
    <t>COT10723.1</t>
  </si>
  <si>
    <t>ERS445053_00664</t>
  </si>
  <si>
    <t>2%2C3%2C4%2C5-tetrahydropyridine-2-carboxylate N-succinyltransferase</t>
  </si>
  <si>
    <t>dapD</t>
  </si>
  <si>
    <t>COT10743.1</t>
  </si>
  <si>
    <t>ERS445053_00665</t>
  </si>
  <si>
    <t>GlpG protein (membrane protein of glp regulon)</t>
  </si>
  <si>
    <t>ykuR</t>
  </si>
  <si>
    <t>COT10769.1</t>
  </si>
  <si>
    <t>ERS445053_00666</t>
  </si>
  <si>
    <t>5-formyltetrahydrofolate cyclo-ligase</t>
  </si>
  <si>
    <t>yqgN</t>
  </si>
  <si>
    <t>COT10788.1</t>
  </si>
  <si>
    <t>ERS445053_00667</t>
  </si>
  <si>
    <t>peptidase%2C S54</t>
  </si>
  <si>
    <t>gluP</t>
  </si>
  <si>
    <t>COT10810.1</t>
  </si>
  <si>
    <t>ERS445053_00668</t>
  </si>
  <si>
    <t>COT10835.1</t>
  </si>
  <si>
    <t>ERS445053_00669</t>
  </si>
  <si>
    <t>COT10858.1</t>
  </si>
  <si>
    <t>ERS445053_00671</t>
  </si>
  <si>
    <t>UTP-glucose-1-phosphate uridylyltransferase</t>
  </si>
  <si>
    <t>galU</t>
  </si>
  <si>
    <t>COT10877.1</t>
  </si>
  <si>
    <t>ERS445053_00672</t>
  </si>
  <si>
    <t>glycerol-3-phosphate dehydrogenase (NAD(P)+)</t>
  </si>
  <si>
    <t>gpdA</t>
  </si>
  <si>
    <t>COT10907.1</t>
  </si>
  <si>
    <t>ERS445053_00673</t>
  </si>
  <si>
    <t>COT10930.1</t>
  </si>
  <si>
    <t>ERS445053_00674</t>
  </si>
  <si>
    <t>transposase%2C IS1380-Spn1 related%2C truncation</t>
  </si>
  <si>
    <t>COT10946.1</t>
  </si>
  <si>
    <t>ERS445053_00675</t>
  </si>
  <si>
    <t>phosphate transport system regulatory protein PhoU</t>
  </si>
  <si>
    <t>phoU_1</t>
  </si>
  <si>
    <t>COT10968.1</t>
  </si>
  <si>
    <t>ERS445053_00676</t>
  </si>
  <si>
    <t>phosphate transporter ATP-binding protein</t>
  </si>
  <si>
    <t>pstB3_1</t>
  </si>
  <si>
    <t>COT10983.1</t>
  </si>
  <si>
    <t>ERS445053_00677</t>
  </si>
  <si>
    <t>phosphate ABC transporter</t>
  </si>
  <si>
    <t>pstA_1</t>
  </si>
  <si>
    <t>COT11022.1</t>
  </si>
  <si>
    <t>ERS445053_00678</t>
  </si>
  <si>
    <t>phosphate ABC transporter permeae PstC</t>
  </si>
  <si>
    <t>pstC_1</t>
  </si>
  <si>
    <t>COT11044.1</t>
  </si>
  <si>
    <t>ERS445053_00679</t>
  </si>
  <si>
    <t>phosphate ABC transporter substrate-binding protein</t>
  </si>
  <si>
    <t>pstS_1</t>
  </si>
  <si>
    <t>COT11064.1</t>
  </si>
  <si>
    <t>ERS445053_00680</t>
  </si>
  <si>
    <t>histidine kinase PnpS</t>
  </si>
  <si>
    <t>phoR</t>
  </si>
  <si>
    <t>COT11078.1</t>
  </si>
  <si>
    <t>ERS445053_00681</t>
  </si>
  <si>
    <t>phoP</t>
  </si>
  <si>
    <t>COT11102.1</t>
  </si>
  <si>
    <t>ERS445053_00682</t>
  </si>
  <si>
    <t>COT11126.1</t>
  </si>
  <si>
    <t>ERS445053_00683</t>
  </si>
  <si>
    <t>COT11143.1</t>
  </si>
  <si>
    <t>ERS445053_00684</t>
  </si>
  <si>
    <t>arginyl-tRNA synthetase(arginine--tRNA ligase) (ARGRS)</t>
  </si>
  <si>
    <t>argS</t>
  </si>
  <si>
    <t>COT11157.1</t>
  </si>
  <si>
    <t>ERS445053_00685</t>
  </si>
  <si>
    <t>arginine repressor</t>
  </si>
  <si>
    <t>argR2</t>
  </si>
  <si>
    <t>COT11176.1</t>
  </si>
  <si>
    <t>ERS445053_00686</t>
  </si>
  <si>
    <t>DNA mismatch repair protein MutS</t>
  </si>
  <si>
    <t>hexA</t>
  </si>
  <si>
    <t>COT11200.1</t>
  </si>
  <si>
    <t>ERS445053_00687</t>
  </si>
  <si>
    <t>ABC transporter ATP-binding protein/permease</t>
  </si>
  <si>
    <t>yheI_1</t>
  </si>
  <si>
    <t>COT11221.1</t>
  </si>
  <si>
    <t>ERS445053_00688</t>
  </si>
  <si>
    <t>msbA_2</t>
  </si>
  <si>
    <t>COT11244.1</t>
  </si>
  <si>
    <t>ERS445053_00689</t>
  </si>
  <si>
    <t>glutamine amidotransferase%2C class-I</t>
  </si>
  <si>
    <t>guaA_1</t>
  </si>
  <si>
    <t>COT11263.1</t>
  </si>
  <si>
    <t>ERS445053_00690</t>
  </si>
  <si>
    <t>glucose-6-phosphate isomerase</t>
  </si>
  <si>
    <t>gpi</t>
  </si>
  <si>
    <t>COT11292.1</t>
  </si>
  <si>
    <t>ERS445053_00691</t>
  </si>
  <si>
    <t>nondiscriminating glutamyl-tRNA synthetase</t>
  </si>
  <si>
    <t>gltX</t>
  </si>
  <si>
    <t>COT11316.1</t>
  </si>
  <si>
    <t>ERS445053_00692</t>
  </si>
  <si>
    <t>codA</t>
  </si>
  <si>
    <t>COT11338.1</t>
  </si>
  <si>
    <t>ERS445053_00693</t>
  </si>
  <si>
    <t>ERS445053_00694</t>
  </si>
  <si>
    <t>ERS445053_00695</t>
  </si>
  <si>
    <t>tRNA-Val</t>
  </si>
  <si>
    <t>ERS445053_00696</t>
  </si>
  <si>
    <t>tRNA-Gly</t>
  </si>
  <si>
    <t>ERS445053_00697</t>
  </si>
  <si>
    <t>tRNA-Ile</t>
  </si>
  <si>
    <t>ERS445053_00698</t>
  </si>
  <si>
    <t>tRNA-Ser</t>
  </si>
  <si>
    <t>ERS445053_00699</t>
  </si>
  <si>
    <t>tRNA-Met</t>
  </si>
  <si>
    <t>ERS445053_00700</t>
  </si>
  <si>
    <t>tRNA-Phe</t>
  </si>
  <si>
    <t>ERS445053_00701</t>
  </si>
  <si>
    <t>tRNA-Tyr</t>
  </si>
  <si>
    <t>ERS445053_00702</t>
  </si>
  <si>
    <t>tRNA-Trp</t>
  </si>
  <si>
    <t>ERS445053_00703</t>
  </si>
  <si>
    <t>tRNA-His</t>
  </si>
  <si>
    <t>ERS445053_00704</t>
  </si>
  <si>
    <t>tRNA-Gln</t>
  </si>
  <si>
    <t>ERS445053_00705</t>
  </si>
  <si>
    <t>tRNA-Leu</t>
  </si>
  <si>
    <t>ERS445053_00706</t>
  </si>
  <si>
    <t>gamma-glutamylcysteine synthetase putative</t>
  </si>
  <si>
    <t>COT11413.1</t>
  </si>
  <si>
    <t>ERS445053_00707</t>
  </si>
  <si>
    <t>threonine synthase</t>
  </si>
  <si>
    <t>thrC</t>
  </si>
  <si>
    <t>COT11433.1</t>
  </si>
  <si>
    <t>ERS445053_00708</t>
  </si>
  <si>
    <t>multi antimicrobial extrusion (MATE) family transporter</t>
  </si>
  <si>
    <t>COT11452.1</t>
  </si>
  <si>
    <t>ERS445053_00709</t>
  </si>
  <si>
    <t>putative haloacid dehalogenase-like hydrolase</t>
  </si>
  <si>
    <t>COT11472.1</t>
  </si>
  <si>
    <t>ERS445053_00710</t>
  </si>
  <si>
    <t>LysM domain-containing protein</t>
  </si>
  <si>
    <t>COT11488.1</t>
  </si>
  <si>
    <t>ERS445053_00711</t>
  </si>
  <si>
    <t>MarR family transcriptional regulator</t>
  </si>
  <si>
    <t>ohrR</t>
  </si>
  <si>
    <t>COT11502.1</t>
  </si>
  <si>
    <t>ERS445053_00712</t>
  </si>
  <si>
    <t>COT11526.1</t>
  </si>
  <si>
    <t>ERS445053_00713</t>
  </si>
  <si>
    <t>pyrrolidone-carboxylate peptidase (5-oxoprolyl-peptidase)</t>
  </si>
  <si>
    <t>pcp_1</t>
  </si>
  <si>
    <t>COT11541.1</t>
  </si>
  <si>
    <t>ERS445053_00714</t>
  </si>
  <si>
    <t>COT11560.1</t>
  </si>
  <si>
    <t>ERS445053_00715</t>
  </si>
  <si>
    <t>queuine tRNA-ribosyltransferase</t>
  </si>
  <si>
    <t>tgt</t>
  </si>
  <si>
    <t>COT11576.1</t>
  </si>
  <si>
    <t>ERS445053_00716</t>
  </si>
  <si>
    <t>acyltransferase</t>
  </si>
  <si>
    <t>oatA</t>
  </si>
  <si>
    <t>COT11595.1</t>
  </si>
  <si>
    <t>ERS445053_00717</t>
  </si>
  <si>
    <t>N-acetylglucosamine-6-phosphate deacetylase</t>
  </si>
  <si>
    <t>nagA</t>
  </si>
  <si>
    <t>COT11609.1</t>
  </si>
  <si>
    <t>ERS445053_00718</t>
  </si>
  <si>
    <t>adh</t>
  </si>
  <si>
    <t>COT11622.1</t>
  </si>
  <si>
    <t>ERS445053_00719</t>
  </si>
  <si>
    <t>DNA binding protein</t>
  </si>
  <si>
    <t>COT11644.1</t>
  </si>
  <si>
    <t>ERS445053_00720</t>
  </si>
  <si>
    <t>competence protein</t>
  </si>
  <si>
    <t>cglA</t>
  </si>
  <si>
    <t>COT11660.1</t>
  </si>
  <si>
    <t>ERS445053_00721</t>
  </si>
  <si>
    <t>cglB</t>
  </si>
  <si>
    <t>COT11677.1</t>
  </si>
  <si>
    <t>ERS445053_00722</t>
  </si>
  <si>
    <t>competence protein ComGC</t>
  </si>
  <si>
    <t>COT11697.1</t>
  </si>
  <si>
    <t>ERS445053_00723</t>
  </si>
  <si>
    <t>competence protein CglD</t>
  </si>
  <si>
    <t>cglD</t>
  </si>
  <si>
    <t>COT11717.1</t>
  </si>
  <si>
    <t>ERS445053_00724</t>
  </si>
  <si>
    <t>type II secretory pathway%2C pseudopilin PulG</t>
  </si>
  <si>
    <t>COT11738.1</t>
  </si>
  <si>
    <t>ERS445053_00725</t>
  </si>
  <si>
    <t>competence protein ComGF</t>
  </si>
  <si>
    <t>COT11757.1</t>
  </si>
  <si>
    <t>ERS445053_00726</t>
  </si>
  <si>
    <t>late competence protein ComGG</t>
  </si>
  <si>
    <t>COT11768.1</t>
  </si>
  <si>
    <t>ERS445053_00727</t>
  </si>
  <si>
    <t>methyltransferase small domain superfamily protein</t>
  </si>
  <si>
    <t>COT11789.1</t>
  </si>
  <si>
    <t>ERS445053_00728</t>
  </si>
  <si>
    <t>adenine-specific methyltransferase</t>
  </si>
  <si>
    <t>COT11811.1</t>
  </si>
  <si>
    <t>ERS445053_00729</t>
  </si>
  <si>
    <t>acetate kinase</t>
  </si>
  <si>
    <t>ackA</t>
  </si>
  <si>
    <t>COT11836.1</t>
  </si>
  <si>
    <t>ERS445053_00730</t>
  </si>
  <si>
    <t>ribonuclease P</t>
  </si>
  <si>
    <t>rnpA</t>
  </si>
  <si>
    <t>COT11855.1</t>
  </si>
  <si>
    <t>ERS445053_00731</t>
  </si>
  <si>
    <t>oxaA1</t>
  </si>
  <si>
    <t>misCA</t>
  </si>
  <si>
    <t>COT11873.1</t>
  </si>
  <si>
    <t>ERS445053_00732</t>
  </si>
  <si>
    <t>jag protein</t>
  </si>
  <si>
    <t>COT11886.1</t>
  </si>
  <si>
    <t>ERS445053_00733</t>
  </si>
  <si>
    <t>sakacin A production response regulator</t>
  </si>
  <si>
    <t>COT11899.1</t>
  </si>
  <si>
    <t>ERS445053_00734</t>
  </si>
  <si>
    <t>PTS system ascorbate-specific transporter subunit IIC</t>
  </si>
  <si>
    <t>ulaA_2</t>
  </si>
  <si>
    <t>COT11921.1</t>
  </si>
  <si>
    <t>ERS445053_00735</t>
  </si>
  <si>
    <t>ascorbate-specific phosphotransferase enzyme iib component (ascorbate-specific pts system eiib component)</t>
  </si>
  <si>
    <t>ulaB</t>
  </si>
  <si>
    <t>COT11946.1</t>
  </si>
  <si>
    <t>ERS445053_00736</t>
  </si>
  <si>
    <t>ulaC</t>
  </si>
  <si>
    <t>COT11970.1</t>
  </si>
  <si>
    <t>ERS445053_00737</t>
  </si>
  <si>
    <t>3-keto-L-gulonate-6-phosphate decarboxylase</t>
  </si>
  <si>
    <t>ulaD</t>
  </si>
  <si>
    <t>COT11994.1</t>
  </si>
  <si>
    <t>ERS445053_00738</t>
  </si>
  <si>
    <t>hexulose-6-phosphate isomerase</t>
  </si>
  <si>
    <t>sga</t>
  </si>
  <si>
    <t>COT12012.1</t>
  </si>
  <si>
    <t>ERS445053_00739</t>
  </si>
  <si>
    <t>L-ribulose 5-phosphate 4-epimerase</t>
  </si>
  <si>
    <t>araD</t>
  </si>
  <si>
    <t>COT12031.1</t>
  </si>
  <si>
    <t>ERS445053_00740</t>
  </si>
  <si>
    <t>BglG family transcriptional regulator</t>
  </si>
  <si>
    <t>licR_2</t>
  </si>
  <si>
    <t>COT12049.1</t>
  </si>
  <si>
    <t>ERS445053_00741</t>
  </si>
  <si>
    <t>putative L-ascorbate-6-phosphate lactonase UlaG</t>
  </si>
  <si>
    <t>ulaG</t>
  </si>
  <si>
    <t>COT12063.1</t>
  </si>
  <si>
    <t>ERS445053_00742</t>
  </si>
  <si>
    <t>transketolase</t>
  </si>
  <si>
    <t>tkt2</t>
  </si>
  <si>
    <t>COT12091.1</t>
  </si>
  <si>
    <t>ERS445053_00743</t>
  </si>
  <si>
    <t>preprotein translocase subunit</t>
  </si>
  <si>
    <t>COT12110.1</t>
  </si>
  <si>
    <t>ERS445053_00744</t>
  </si>
  <si>
    <t>phosphotyrosine protein phosphatase</t>
  </si>
  <si>
    <t>yfkJ</t>
  </si>
  <si>
    <t>COT12130.1</t>
  </si>
  <si>
    <t>ERS445053_00745</t>
  </si>
  <si>
    <t>morn motif family protein</t>
  </si>
  <si>
    <t>COT12145.1</t>
  </si>
  <si>
    <t>ERS445053_00746</t>
  </si>
  <si>
    <t>NAD-dependent aldehyde dehydrogenase</t>
  </si>
  <si>
    <t>adhE</t>
  </si>
  <si>
    <t>COT12167.1</t>
  </si>
  <si>
    <t>ERS445053_00747</t>
  </si>
  <si>
    <t>PTS system transporter subunit IIA</t>
  </si>
  <si>
    <t>gmuA</t>
  </si>
  <si>
    <t>COT12181.1</t>
  </si>
  <si>
    <t>ERS445053_00748</t>
  </si>
  <si>
    <t>licB_1</t>
  </si>
  <si>
    <t>COT12192.1</t>
  </si>
  <si>
    <t>ERS445053_00749</t>
  </si>
  <si>
    <t>PTS system system cellobiose-specific transporter subunit IIC</t>
  </si>
  <si>
    <t>gmuC_3</t>
  </si>
  <si>
    <t>COT12202.1</t>
  </si>
  <si>
    <t>ERS445053_00750</t>
  </si>
  <si>
    <t>glycosyl hydrolase family protein</t>
  </si>
  <si>
    <t>gmuD_2</t>
  </si>
  <si>
    <t>COT12218.1</t>
  </si>
  <si>
    <t>ERS445053_00751</t>
  </si>
  <si>
    <t>gmuR</t>
  </si>
  <si>
    <t>COT12228.1</t>
  </si>
  <si>
    <t>ERS445053_00752</t>
  </si>
  <si>
    <t>nucleotide-binding protein</t>
  </si>
  <si>
    <t>COT12243.1</t>
  </si>
  <si>
    <t>ERS445053_00753</t>
  </si>
  <si>
    <t>COT12255.1</t>
  </si>
  <si>
    <t>ERS445053_00754</t>
  </si>
  <si>
    <t>nicotinate-nucleotide pyrophosphorylase</t>
  </si>
  <si>
    <t>nadC</t>
  </si>
  <si>
    <t>COT12266.1</t>
  </si>
  <si>
    <t>ERS445053_00755</t>
  </si>
  <si>
    <t>COT12287.1</t>
  </si>
  <si>
    <t>ERS445053_00756</t>
  </si>
  <si>
    <t>puttaive FtsX-family transport protein</t>
  </si>
  <si>
    <t>macB_2</t>
  </si>
  <si>
    <t>COT12305.1</t>
  </si>
  <si>
    <t>ERS445053_00757</t>
  </si>
  <si>
    <t>glyceraldehyde-3-phosphate dehydrogenase</t>
  </si>
  <si>
    <t>gapA</t>
  </si>
  <si>
    <t>COT12343.1</t>
  </si>
  <si>
    <t>ERS445053_00758</t>
  </si>
  <si>
    <t>ribosomal large subunit pseudouridine synthase%2C RluD subfamily protein</t>
  </si>
  <si>
    <t>truC</t>
  </si>
  <si>
    <t>COT12366.1</t>
  </si>
  <si>
    <t>ERS445053_00759</t>
  </si>
  <si>
    <t>penicillin-binding protein 2A</t>
  </si>
  <si>
    <t>pbp2a</t>
  </si>
  <si>
    <t>COT12386.1</t>
  </si>
  <si>
    <t>ERS445053_00760</t>
  </si>
  <si>
    <t>preprotein translocase secE component%2C COG0690</t>
  </si>
  <si>
    <t>secE</t>
  </si>
  <si>
    <t>COT12402.1</t>
  </si>
  <si>
    <t>ERS445053_00761</t>
  </si>
  <si>
    <t>transcription antitermination protein NusG</t>
  </si>
  <si>
    <t>nusG</t>
  </si>
  <si>
    <t>COT12427.1</t>
  </si>
  <si>
    <t>ERS445053_00762</t>
  </si>
  <si>
    <t>COT12441.1</t>
  </si>
  <si>
    <t>ERS445053_00763</t>
  </si>
  <si>
    <t>ERS445053_00764</t>
  </si>
  <si>
    <t>ERS445053_00765</t>
  </si>
  <si>
    <t>ERS445053_00766</t>
  </si>
  <si>
    <t>tRNA-Asp</t>
  </si>
  <si>
    <t>ERS445053_00767</t>
  </si>
  <si>
    <t>tRNA-Lys</t>
  </si>
  <si>
    <t>ERS445053_00768</t>
  </si>
  <si>
    <t>ERS445053_00769</t>
  </si>
  <si>
    <t>tRNA-Thr</t>
  </si>
  <si>
    <t>ERS445053_00770</t>
  </si>
  <si>
    <t>ERS445053_00771</t>
  </si>
  <si>
    <t>ERS445053_00772</t>
  </si>
  <si>
    <t>ERS445053_00773</t>
  </si>
  <si>
    <t>tRNA-Pro</t>
  </si>
  <si>
    <t>ERS445053_00774</t>
  </si>
  <si>
    <t>alanine aminotransferase</t>
  </si>
  <si>
    <t>COT12532.1</t>
  </si>
  <si>
    <t>ERS445053_00775</t>
  </si>
  <si>
    <t>COT12545.1</t>
  </si>
  <si>
    <t>ERS445053_00776</t>
  </si>
  <si>
    <t>ybhF</t>
  </si>
  <si>
    <t>COT12559.1</t>
  </si>
  <si>
    <t>ERS445053_00777</t>
  </si>
  <si>
    <t>multidrug ABC transporter permease</t>
  </si>
  <si>
    <t>COT12577.1</t>
  </si>
  <si>
    <t>ERS445053_00778</t>
  </si>
  <si>
    <t>desK</t>
  </si>
  <si>
    <t>COT12578.1</t>
  </si>
  <si>
    <t>ERS445053_00779</t>
  </si>
  <si>
    <t>vraR_2</t>
  </si>
  <si>
    <t>COT12595.1</t>
  </si>
  <si>
    <t>ERS445053_00780</t>
  </si>
  <si>
    <t>catabolite control protein A</t>
  </si>
  <si>
    <t>ccpA_1</t>
  </si>
  <si>
    <t>COT12605.1</t>
  </si>
  <si>
    <t>ERS445053_00781</t>
  </si>
  <si>
    <t>COT12622.1</t>
  </si>
  <si>
    <t>ERS445053_00782</t>
  </si>
  <si>
    <t>L-asparaginase (L-asparagine amidohydrolase)</t>
  </si>
  <si>
    <t>ansB</t>
  </si>
  <si>
    <t>COT12636.1</t>
  </si>
  <si>
    <t>ERS445053_00783</t>
  </si>
  <si>
    <t>cof family protein</t>
  </si>
  <si>
    <t>COT12652.1</t>
  </si>
  <si>
    <t>ERS445053_00784</t>
  </si>
  <si>
    <t>universal stress protein</t>
  </si>
  <si>
    <t>COT12665.1</t>
  </si>
  <si>
    <t>ERS445053_00785</t>
  </si>
  <si>
    <t>COT12682.1</t>
  </si>
  <si>
    <t>ERS445053_00786</t>
  </si>
  <si>
    <t>putative aminotransferase AlaT</t>
  </si>
  <si>
    <t>aspC</t>
  </si>
  <si>
    <t>COT12699.1</t>
  </si>
  <si>
    <t>ERS445053_00787</t>
  </si>
  <si>
    <t>50S ribosomal protein L34</t>
  </si>
  <si>
    <t>rpmH</t>
  </si>
  <si>
    <t>COT12722.1</t>
  </si>
  <si>
    <t>ERS445053_00788</t>
  </si>
  <si>
    <t>putative surface anchored protein (pseudogene)</t>
  </si>
  <si>
    <t>COT12737.1</t>
  </si>
  <si>
    <t>ERS445053_00789</t>
  </si>
  <si>
    <t>TatD family deoxyribonuclease</t>
  </si>
  <si>
    <t>ycfH</t>
  </si>
  <si>
    <t>COT12754.1</t>
  </si>
  <si>
    <t>ERS445053_00790</t>
  </si>
  <si>
    <t>putative primase homolog</t>
  </si>
  <si>
    <t>COT12784.1</t>
  </si>
  <si>
    <t>ERS445053_00791</t>
  </si>
  <si>
    <t>transcriptional activator</t>
  </si>
  <si>
    <t>COT12796.1</t>
  </si>
  <si>
    <t>ERS445053_00792</t>
  </si>
  <si>
    <t>immunity protein</t>
  </si>
  <si>
    <t>COT12816.1</t>
  </si>
  <si>
    <t>ERS445053_00793</t>
  </si>
  <si>
    <t>COT12829.1</t>
  </si>
  <si>
    <t>ERS445053_00794</t>
  </si>
  <si>
    <t>macB_3</t>
  </si>
  <si>
    <t>COT12847.1</t>
  </si>
  <si>
    <t>ERS445053_00795</t>
  </si>
  <si>
    <t>COT12866.1</t>
  </si>
  <si>
    <t>ERS445053_00796</t>
  </si>
  <si>
    <t>dimethyladenosine transferase</t>
  </si>
  <si>
    <t>ksgA</t>
  </si>
  <si>
    <t>COT12885.1</t>
  </si>
  <si>
    <t>ERS445053_00797</t>
  </si>
  <si>
    <t>Cell wall surface anchored protein</t>
  </si>
  <si>
    <t>COT12900.1</t>
  </si>
  <si>
    <t>ERS445053_00798</t>
  </si>
  <si>
    <t>COT12916.1</t>
  </si>
  <si>
    <t>ERS445053_00799</t>
  </si>
  <si>
    <t>ribosome-associated GTPase</t>
  </si>
  <si>
    <t>rsgA</t>
  </si>
  <si>
    <t>COT12932.1</t>
  </si>
  <si>
    <t>ERS445053_00800</t>
  </si>
  <si>
    <t>ribulose-phosphate 3-epimerase</t>
  </si>
  <si>
    <t>rpe</t>
  </si>
  <si>
    <t>COT12947.1</t>
  </si>
  <si>
    <t>ERS445053_00801</t>
  </si>
  <si>
    <t>thiamine pyrophosphokinase</t>
  </si>
  <si>
    <t>thiN</t>
  </si>
  <si>
    <t>COT12961.1</t>
  </si>
  <si>
    <t>ERS445053_00802</t>
  </si>
  <si>
    <t>competence-induced protein Ccs50</t>
  </si>
  <si>
    <t>COT12981.1</t>
  </si>
  <si>
    <t>ERS445053_00803</t>
  </si>
  <si>
    <t>cmp-binding-factor 1</t>
  </si>
  <si>
    <t>cbf1</t>
  </si>
  <si>
    <t>COT12998.1</t>
  </si>
  <si>
    <t>ERS445053_00804</t>
  </si>
  <si>
    <t>diaminopimelate decarboxylase</t>
  </si>
  <si>
    <t>lysA_1</t>
  </si>
  <si>
    <t>COT13021.1</t>
  </si>
  <si>
    <t>ERS445053_00805</t>
  </si>
  <si>
    <t>pyruvate formate-lyase-activating enzyme</t>
  </si>
  <si>
    <t>act</t>
  </si>
  <si>
    <t>COT13045.1</t>
  </si>
  <si>
    <t>ERS445053_00806</t>
  </si>
  <si>
    <t>oxaA2</t>
  </si>
  <si>
    <t>misCB</t>
  </si>
  <si>
    <t>COT13066.1</t>
  </si>
  <si>
    <t>ERS445053_00807</t>
  </si>
  <si>
    <t>acylphosphate phosphohydrolase</t>
  </si>
  <si>
    <t>acyP</t>
  </si>
  <si>
    <t>COT13082.1</t>
  </si>
  <si>
    <t>ERS445053_00808</t>
  </si>
  <si>
    <t>spoU rRNA methylase family protein</t>
  </si>
  <si>
    <t>COT13099.1</t>
  </si>
  <si>
    <t>ERS445053_00809</t>
  </si>
  <si>
    <t>ybhL</t>
  </si>
  <si>
    <t>COT13117.1</t>
  </si>
  <si>
    <t>ERS445053_00810</t>
  </si>
  <si>
    <t>aspartate-ammonia ligase</t>
  </si>
  <si>
    <t>asnA</t>
  </si>
  <si>
    <t>COT13136.1</t>
  </si>
  <si>
    <t>ERS445053_00811</t>
  </si>
  <si>
    <t>methyltransferase</t>
  </si>
  <si>
    <t>rsmD</t>
  </si>
  <si>
    <t>COT13161.1</t>
  </si>
  <si>
    <t>ERS445053_00812</t>
  </si>
  <si>
    <t>ATP-dependent protease La</t>
  </si>
  <si>
    <t>ylbL</t>
  </si>
  <si>
    <t>COT13192.1</t>
  </si>
  <si>
    <t>ERS445053_00813</t>
  </si>
  <si>
    <t>COT13213.1</t>
  </si>
  <si>
    <t>ERS445053_00814</t>
  </si>
  <si>
    <t>UDP-N-acetylglucosamine 1-carboxyvinyltransferase</t>
  </si>
  <si>
    <t>murA1</t>
  </si>
  <si>
    <t>COT13227.1</t>
  </si>
  <si>
    <t>ERS445053_00815</t>
  </si>
  <si>
    <t>competence associated protein</t>
  </si>
  <si>
    <t>epuA</t>
  </si>
  <si>
    <t>COT13243.1</t>
  </si>
  <si>
    <t>ERS445053_00816</t>
  </si>
  <si>
    <t>DNA-entry nuclease (competence-specific nuclease)</t>
  </si>
  <si>
    <t>endA</t>
  </si>
  <si>
    <t>COT13259.1</t>
  </si>
  <si>
    <t>ERS445053_00817</t>
  </si>
  <si>
    <t>CBS domain membrane protein</t>
  </si>
  <si>
    <t>tlyC</t>
  </si>
  <si>
    <t>COT13274.1</t>
  </si>
  <si>
    <t>ERS445053_00818</t>
  </si>
  <si>
    <t>tRNA-Cys</t>
  </si>
  <si>
    <t>ERS445053_00819</t>
  </si>
  <si>
    <t>DNA-directed RNA polymerase subunit beta</t>
  </si>
  <si>
    <t>rpoB</t>
  </si>
  <si>
    <t>COT13294.1</t>
  </si>
  <si>
    <t>ERS445053_00821</t>
  </si>
  <si>
    <t>DNA-directed RNA polymerase subunit beta'</t>
  </si>
  <si>
    <t>rpoC</t>
  </si>
  <si>
    <t>COT13312.1</t>
  </si>
  <si>
    <t>ERS445053_00822</t>
  </si>
  <si>
    <t>nucleoside diphosphate kinase</t>
  </si>
  <si>
    <t>ndk</t>
  </si>
  <si>
    <t>COT13391.1</t>
  </si>
  <si>
    <t>ERS445053_00823</t>
  </si>
  <si>
    <t>COT13405.1</t>
  </si>
  <si>
    <t>ERS445053_00824</t>
  </si>
  <si>
    <t>competence damage-inducible protein A</t>
  </si>
  <si>
    <t>cinA2</t>
  </si>
  <si>
    <t>COT13420.1</t>
  </si>
  <si>
    <t>ERS445053_00825</t>
  </si>
  <si>
    <t>antimicrobial peptide ABC transporter ATPase</t>
  </si>
  <si>
    <t>ftsE_1</t>
  </si>
  <si>
    <t>COT13436.1</t>
  </si>
  <si>
    <t>ERS445053_00826</t>
  </si>
  <si>
    <t>bacteriocin-associated integral membrane protein</t>
  </si>
  <si>
    <t>COT13457.1</t>
  </si>
  <si>
    <t>ERS445053_00827</t>
  </si>
  <si>
    <t>COT13480.1</t>
  </si>
  <si>
    <t>ERS445053_00828</t>
  </si>
  <si>
    <t>COT13493.1</t>
  </si>
  <si>
    <t>ERS445053_00829</t>
  </si>
  <si>
    <t>putative secreted protein</t>
  </si>
  <si>
    <t>COT13511.1</t>
  </si>
  <si>
    <t>ERS445053_00830</t>
  </si>
  <si>
    <t>COT13532.1</t>
  </si>
  <si>
    <t>ERS445053_00831</t>
  </si>
  <si>
    <t>COT13549.1</t>
  </si>
  <si>
    <t>ERS445053_00832</t>
  </si>
  <si>
    <t>putative ATPase</t>
  </si>
  <si>
    <t>ydiB</t>
  </si>
  <si>
    <t>COT13562.1</t>
  </si>
  <si>
    <t>ERS445053_00833</t>
  </si>
  <si>
    <t>COT13577.1</t>
  </si>
  <si>
    <t>ERS445053_00834</t>
  </si>
  <si>
    <t>regulator of lytrabc operon</t>
  </si>
  <si>
    <t>brpA</t>
  </si>
  <si>
    <t>COT13588.1</t>
  </si>
  <si>
    <t>ERS445053_00835</t>
  </si>
  <si>
    <t>damage inducible protein CinA</t>
  </si>
  <si>
    <t>cinA</t>
  </si>
  <si>
    <t>COT13604.1</t>
  </si>
  <si>
    <t>ERS445053_00836</t>
  </si>
  <si>
    <t>protein RecA</t>
  </si>
  <si>
    <t>recA</t>
  </si>
  <si>
    <t>COT13622.1</t>
  </si>
  <si>
    <t>ERS445053_00837</t>
  </si>
  <si>
    <t>damage inducible DinF protein</t>
  </si>
  <si>
    <t>dinF</t>
  </si>
  <si>
    <t>COT13674.1</t>
  </si>
  <si>
    <t>ERS445053_00838</t>
  </si>
  <si>
    <t>lytA_4</t>
  </si>
  <si>
    <t>COT13717.1</t>
  </si>
  <si>
    <t>ERS445053_00839</t>
  </si>
  <si>
    <t>zinc metallopeptidase</t>
  </si>
  <si>
    <t>COT13738.1</t>
  </si>
  <si>
    <t>ERS445053_00840</t>
  </si>
  <si>
    <t>COT13754.1</t>
  </si>
  <si>
    <t>ERS445053_00841</t>
  </si>
  <si>
    <t>COT13771.1</t>
  </si>
  <si>
    <t>ERS445053_00842</t>
  </si>
  <si>
    <t>COT13786.1</t>
  </si>
  <si>
    <t>ERS445053_00843</t>
  </si>
  <si>
    <t>COT13826.1</t>
  </si>
  <si>
    <t>ERS445053_00844</t>
  </si>
  <si>
    <t>COT13843.1</t>
  </si>
  <si>
    <t>ERS445053_00845</t>
  </si>
  <si>
    <t>COT13865.1</t>
  </si>
  <si>
    <t>ERS445053_00846</t>
  </si>
  <si>
    <t>IS1381%2C transposase OrfA</t>
  </si>
  <si>
    <t>COT13882.1</t>
  </si>
  <si>
    <t>ERS445053_00847</t>
  </si>
  <si>
    <t>COT13900.1</t>
  </si>
  <si>
    <t>ERS445053_00848</t>
  </si>
  <si>
    <t>COT13919.1</t>
  </si>
  <si>
    <t>ERS445053_00849</t>
  </si>
  <si>
    <t>COT13936.1</t>
  </si>
  <si>
    <t>ERS445053_00850</t>
  </si>
  <si>
    <t>pneumolysin</t>
  </si>
  <si>
    <t>ply_1</t>
  </si>
  <si>
    <t>COT13950.1</t>
  </si>
  <si>
    <t>ERS445053_00851</t>
  </si>
  <si>
    <t>putative transcriptional regulatory protein SSU05</t>
  </si>
  <si>
    <t>yeeN</t>
  </si>
  <si>
    <t>COT13966.1</t>
  </si>
  <si>
    <t>ERS445053_00852</t>
  </si>
  <si>
    <t>glucose-1-phosphate adenylyl transferase</t>
  </si>
  <si>
    <t>yebC</t>
  </si>
  <si>
    <t>COT13983.1</t>
  </si>
  <si>
    <t>ERS445053_00853</t>
  </si>
  <si>
    <t>COT13996.1</t>
  </si>
  <si>
    <t>ERS445053_00854</t>
  </si>
  <si>
    <t>transcriptional regulator%2C MarR family</t>
  </si>
  <si>
    <t>COT14011.1</t>
  </si>
  <si>
    <t>ERS445053_00855</t>
  </si>
  <si>
    <t>ABC transporter permeae</t>
  </si>
  <si>
    <t>COT14024.1</t>
  </si>
  <si>
    <t>ERS445053_00856</t>
  </si>
  <si>
    <t>multidrug resistance protein 3</t>
  </si>
  <si>
    <t>COT14035.1</t>
  </si>
  <si>
    <t>ERS445053_00857</t>
  </si>
  <si>
    <t>Lin0147</t>
  </si>
  <si>
    <t>COT14057.1</t>
  </si>
  <si>
    <t>ERS445053_00858</t>
  </si>
  <si>
    <t>membrane-associated phospholipid phosphatase</t>
  </si>
  <si>
    <t>bcrC_2</t>
  </si>
  <si>
    <t>COT14076.1</t>
  </si>
  <si>
    <t>ERS445053_00859</t>
  </si>
  <si>
    <t>COT14094.1</t>
  </si>
  <si>
    <t>ERS445053_00860</t>
  </si>
  <si>
    <t>putative uncharacterized conserved secreted protein</t>
  </si>
  <si>
    <t>COT14114.1</t>
  </si>
  <si>
    <t>ERS445053_00861</t>
  </si>
  <si>
    <t>FIG014356: hypothetical protein</t>
  </si>
  <si>
    <t>COT14132.1</t>
  </si>
  <si>
    <t>ERS445053_00862</t>
  </si>
  <si>
    <t>thioredoxin family protein</t>
  </si>
  <si>
    <t>trxA_1</t>
  </si>
  <si>
    <t>COT14152.1</t>
  </si>
  <si>
    <t>ERS445053_00863</t>
  </si>
  <si>
    <t>phenylalanyl-tRNA synthetase%2C beta subunit</t>
  </si>
  <si>
    <t>pheT_1</t>
  </si>
  <si>
    <t>COT14166.1</t>
  </si>
  <si>
    <t>ERS445053_00864</t>
  </si>
  <si>
    <t>ydfG</t>
  </si>
  <si>
    <t>COT14181.1</t>
  </si>
  <si>
    <t>ERS445053_00865</t>
  </si>
  <si>
    <t>single-strand DNA-binding protein B</t>
  </si>
  <si>
    <t>ssbB</t>
  </si>
  <si>
    <t>COT14198.1</t>
  </si>
  <si>
    <t>ERS445053_00866</t>
  </si>
  <si>
    <t>CH10_SMI 10 kDa chaperonin (protein Cpn10)</t>
  </si>
  <si>
    <t>groES</t>
  </si>
  <si>
    <t>COT14212.1</t>
  </si>
  <si>
    <t>ERS445053_00867</t>
  </si>
  <si>
    <t>chaperone GroEL</t>
  </si>
  <si>
    <t>groEL</t>
  </si>
  <si>
    <t>COT14230.1</t>
  </si>
  <si>
    <t>ERS445053_00868</t>
  </si>
  <si>
    <t>DNA integration/recombination/invertion protein</t>
  </si>
  <si>
    <t>COT14254.1</t>
  </si>
  <si>
    <t>ERS445053_00869</t>
  </si>
  <si>
    <t>hypothetical cytosolic protein</t>
  </si>
  <si>
    <t>COT14264.1</t>
  </si>
  <si>
    <t>ERS445053_00870</t>
  </si>
  <si>
    <t>UPF0374 protein SSU05</t>
  </si>
  <si>
    <t>COT14284.1</t>
  </si>
  <si>
    <t>ERS445053_00871</t>
  </si>
  <si>
    <t>regulatory protein RecX</t>
  </si>
  <si>
    <t>recX</t>
  </si>
  <si>
    <t>COT14317.1</t>
  </si>
  <si>
    <t>ERS445053_00872</t>
  </si>
  <si>
    <t>rlmCD_1</t>
  </si>
  <si>
    <t>COT14332.1</t>
  </si>
  <si>
    <t>ERS445053_00873</t>
  </si>
  <si>
    <t>ERS445053_00874</t>
  </si>
  <si>
    <t>ERS445053_00875</t>
  </si>
  <si>
    <t>ERS445053_00876</t>
  </si>
  <si>
    <t>ERS445053_00877</t>
  </si>
  <si>
    <t>ERS445053_00878</t>
  </si>
  <si>
    <t>ERS445053_00879</t>
  </si>
  <si>
    <t>ERS445053_00880</t>
  </si>
  <si>
    <t>ERS445053_00881</t>
  </si>
  <si>
    <t>ERS445053_00882</t>
  </si>
  <si>
    <t>ERS445053_00883</t>
  </si>
  <si>
    <t>ERS445053_00884</t>
  </si>
  <si>
    <t>ERS445053_00885</t>
  </si>
  <si>
    <t>ERS445053_00886</t>
  </si>
  <si>
    <t>ERS445053_00887</t>
  </si>
  <si>
    <t>ERS445053_00888</t>
  </si>
  <si>
    <t>ERS445053_00889</t>
  </si>
  <si>
    <t>ERS445053_00890</t>
  </si>
  <si>
    <t>ERS445053_00891</t>
  </si>
  <si>
    <t>ERS445053_00892</t>
  </si>
  <si>
    <t>COT14417.1</t>
  </si>
  <si>
    <t>ERS445053_00893</t>
  </si>
  <si>
    <t>bifunctional protein%2C biotin operon repressor%3B biotin--[acetyl-CoA-carboxylase] synthetase</t>
  </si>
  <si>
    <t>birA</t>
  </si>
  <si>
    <t>COT14435.1</t>
  </si>
  <si>
    <t>ERS445053_00894</t>
  </si>
  <si>
    <t>Msm operon regulatory protein</t>
  </si>
  <si>
    <t>rhaS</t>
  </si>
  <si>
    <t>COT14451.1</t>
  </si>
  <si>
    <t>ERS445053_00895</t>
  </si>
  <si>
    <t>alpha-galactosidase</t>
  </si>
  <si>
    <t>agaN</t>
  </si>
  <si>
    <t>COT14468.1</t>
  </si>
  <si>
    <t>ERS445053_00896</t>
  </si>
  <si>
    <t>sugar ABC transporter binding protein</t>
  </si>
  <si>
    <t>rafE</t>
  </si>
  <si>
    <t>COT14490.1</t>
  </si>
  <si>
    <t>ERS445053_00897</t>
  </si>
  <si>
    <t>rafF</t>
  </si>
  <si>
    <t>COT14505.1</t>
  </si>
  <si>
    <t>ERS445053_00898</t>
  </si>
  <si>
    <t>rafG</t>
  </si>
  <si>
    <t>COT14516.1</t>
  </si>
  <si>
    <t>ERS445053_00899</t>
  </si>
  <si>
    <t>sucrose phosphorylase</t>
  </si>
  <si>
    <t>gtfA</t>
  </si>
  <si>
    <t>COT14529.1</t>
  </si>
  <si>
    <t>ERS445053_00900</t>
  </si>
  <si>
    <t>O-Antigen Polymerase family</t>
  </si>
  <si>
    <t>COT14546.1</t>
  </si>
  <si>
    <t>ERS445053_00901</t>
  </si>
  <si>
    <t>oligopeptide-binding protein AmiA</t>
  </si>
  <si>
    <t>amiA</t>
  </si>
  <si>
    <t>COT14561.1</t>
  </si>
  <si>
    <t>ERS445053_00902</t>
  </si>
  <si>
    <t>peptide ABC transporter permease</t>
  </si>
  <si>
    <t>amiC</t>
  </si>
  <si>
    <t>COT14579.1</t>
  </si>
  <si>
    <t>ERS445053_00903</t>
  </si>
  <si>
    <t>amiD</t>
  </si>
  <si>
    <t>COT14598.1</t>
  </si>
  <si>
    <t>ERS445053_00904</t>
  </si>
  <si>
    <t>peptide ABC transporter ATP-binding protein</t>
  </si>
  <si>
    <t>amiE</t>
  </si>
  <si>
    <t>COT14614.1</t>
  </si>
  <si>
    <t>ERS445053_00905</t>
  </si>
  <si>
    <t>oligopeptide ABC transporter ATP-binding protein AmiF</t>
  </si>
  <si>
    <t>amiF</t>
  </si>
  <si>
    <t>COT14630.1</t>
  </si>
  <si>
    <t>ERS445053_00906</t>
  </si>
  <si>
    <t>ABC transporter substrate-binding protein</t>
  </si>
  <si>
    <t>COT14647.1</t>
  </si>
  <si>
    <t>ERS445053_00907</t>
  </si>
  <si>
    <t>ABC transporter periplasmic</t>
  </si>
  <si>
    <t>COT14660.1</t>
  </si>
  <si>
    <t>ERS445053_00908</t>
  </si>
  <si>
    <t>COT14673.1</t>
  </si>
  <si>
    <t>ERS445053_00909</t>
  </si>
  <si>
    <t>COT14690.1</t>
  </si>
  <si>
    <t>ERS445053_00910</t>
  </si>
  <si>
    <t>cmpC</t>
  </si>
  <si>
    <t>COT14700.1</t>
  </si>
  <si>
    <t>ERS445053_00911</t>
  </si>
  <si>
    <t>trehalose operon repressor</t>
  </si>
  <si>
    <t>treR</t>
  </si>
  <si>
    <t>COT14718.1</t>
  </si>
  <si>
    <t>ERS445053_00912</t>
  </si>
  <si>
    <t>trehalose PTS system%2C IIABC components</t>
  </si>
  <si>
    <t>treP</t>
  </si>
  <si>
    <t>COT14741.1</t>
  </si>
  <si>
    <t>ERS445053_00913</t>
  </si>
  <si>
    <t>alpha%2Calpha-phosphotrehalase</t>
  </si>
  <si>
    <t>treC</t>
  </si>
  <si>
    <t>COT14756.1</t>
  </si>
  <si>
    <t>ERS445053_00914</t>
  </si>
  <si>
    <t>family protein</t>
  </si>
  <si>
    <t>COT14768.1</t>
  </si>
  <si>
    <t>ERS445053_00915</t>
  </si>
  <si>
    <t>glutamate racemase%2C COG0796</t>
  </si>
  <si>
    <t>murI</t>
  </si>
  <si>
    <t>COT14784.1</t>
  </si>
  <si>
    <t>ERS445053_00916</t>
  </si>
  <si>
    <t>deoxyribonucleotide triphosphate pyrophosphatase/uncharacterised domain fusion protein</t>
  </si>
  <si>
    <t>rdgB</t>
  </si>
  <si>
    <t>COT14802.1</t>
  </si>
  <si>
    <t>ERS445053_00917</t>
  </si>
  <si>
    <t>phosphodiesterase%2C family</t>
  </si>
  <si>
    <t>COT14820.1</t>
  </si>
  <si>
    <t>ERS445053_00918</t>
  </si>
  <si>
    <t>CBS domain-containing protein</t>
  </si>
  <si>
    <t>ykuL</t>
  </si>
  <si>
    <t>COT14837.1</t>
  </si>
  <si>
    <t>ERS445053_00919</t>
  </si>
  <si>
    <t>COT14863.1</t>
  </si>
  <si>
    <t>ERS445053_00920</t>
  </si>
  <si>
    <t>segregation and condensation protein A</t>
  </si>
  <si>
    <t>scpA</t>
  </si>
  <si>
    <t>COT14879.1</t>
  </si>
  <si>
    <t>ERS445053_00921</t>
  </si>
  <si>
    <t>segregation and condensation protein B</t>
  </si>
  <si>
    <t>scpB</t>
  </si>
  <si>
    <t>COT14895.1</t>
  </si>
  <si>
    <t>ERS445053_00922</t>
  </si>
  <si>
    <t>ribosomal large subunit pseudouridine synthase B</t>
  </si>
  <si>
    <t>rluB</t>
  </si>
  <si>
    <t>COT14911.1</t>
  </si>
  <si>
    <t>ERS445053_00923</t>
  </si>
  <si>
    <t>alpha-hemolysin family protein</t>
  </si>
  <si>
    <t>yidD</t>
  </si>
  <si>
    <t>COT14926.1</t>
  </si>
  <si>
    <t>ERS445053_00924</t>
  </si>
  <si>
    <t>iron-compound ABC transporter iron-compound-binding protein</t>
  </si>
  <si>
    <t>yclQ</t>
  </si>
  <si>
    <t>COT14944.1</t>
  </si>
  <si>
    <t>ERS445053_00925</t>
  </si>
  <si>
    <t>ferrichrome transport ATP-binding protein FhuC</t>
  </si>
  <si>
    <t>fhuC</t>
  </si>
  <si>
    <t>COT14955.1</t>
  </si>
  <si>
    <t>ERS445053_00926</t>
  </si>
  <si>
    <t>ferric iron ABC transporter membrane-spanning permease</t>
  </si>
  <si>
    <t>fepD_1</t>
  </si>
  <si>
    <t>COT14970.1</t>
  </si>
  <si>
    <t>ERS445053_00927</t>
  </si>
  <si>
    <t>iron-compound ABC transporter permease</t>
  </si>
  <si>
    <t>feuB</t>
  </si>
  <si>
    <t>COT14984.1</t>
  </si>
  <si>
    <t>ERS445053_00928</t>
  </si>
  <si>
    <t>putative UDP-glucose 4-epimerase</t>
  </si>
  <si>
    <t>galE_1</t>
  </si>
  <si>
    <t>COT15001.1</t>
  </si>
  <si>
    <t>ERS445053_00929</t>
  </si>
  <si>
    <t>glutamyl aminopeptidase</t>
  </si>
  <si>
    <t>pepA_1</t>
  </si>
  <si>
    <t>COT15016.1</t>
  </si>
  <si>
    <t>ERS445053_00930</t>
  </si>
  <si>
    <t>COT15032.1</t>
  </si>
  <si>
    <t>ERS445053_00931</t>
  </si>
  <si>
    <t>COT15047.1</t>
  </si>
  <si>
    <t>ERS445053_00932</t>
  </si>
  <si>
    <t>COT15063.1</t>
  </si>
  <si>
    <t>ERS445053_00933</t>
  </si>
  <si>
    <t>proV_1</t>
  </si>
  <si>
    <t>COT15075.1</t>
  </si>
  <si>
    <t>ERS445053_00934</t>
  </si>
  <si>
    <t>choline transporter</t>
  </si>
  <si>
    <t>opuCC</t>
  </si>
  <si>
    <t>COT15085.1</t>
  </si>
  <si>
    <t>ERS445053_00935</t>
  </si>
  <si>
    <t>pnuC</t>
  </si>
  <si>
    <t>COT15099.1</t>
  </si>
  <si>
    <t>ERS445053_00936</t>
  </si>
  <si>
    <t>kstR2</t>
  </si>
  <si>
    <t>COT15116.1</t>
  </si>
  <si>
    <t>ERS445053_00937</t>
  </si>
  <si>
    <t>cation efflux system protein</t>
  </si>
  <si>
    <t>czcD</t>
  </si>
  <si>
    <t>COT15132.1</t>
  </si>
  <si>
    <t>ERS445053_00938</t>
  </si>
  <si>
    <t>MerR family transcriptional regulator</t>
  </si>
  <si>
    <t>adhR</t>
  </si>
  <si>
    <t>COT15143.1</t>
  </si>
  <si>
    <t>ERS445053_00939</t>
  </si>
  <si>
    <t>zinc-containing alcohol dehydrogenase</t>
  </si>
  <si>
    <t>xylB</t>
  </si>
  <si>
    <t>COT15155.1</t>
  </si>
  <si>
    <t>ERS445053_00940</t>
  </si>
  <si>
    <t>LacI family transcriptional regulator</t>
  </si>
  <si>
    <t>degA_1</t>
  </si>
  <si>
    <t>COT15161.1</t>
  </si>
  <si>
    <t>ERS445053_00941</t>
  </si>
  <si>
    <t>galactokinase%2C (galactose kinase)</t>
  </si>
  <si>
    <t>galK</t>
  </si>
  <si>
    <t>COT15178.1</t>
  </si>
  <si>
    <t>ERS445053_00942</t>
  </si>
  <si>
    <t>galactose-1-phosphate uridylyltransferase</t>
  </si>
  <si>
    <t>galT</t>
  </si>
  <si>
    <t>COT15197.1</t>
  </si>
  <si>
    <t>ERS445053_00943</t>
  </si>
  <si>
    <t>thioesterase</t>
  </si>
  <si>
    <t>paaI</t>
  </si>
  <si>
    <t>COT15217.1</t>
  </si>
  <si>
    <t>ERS445053_00944</t>
  </si>
  <si>
    <t>modification methylase</t>
  </si>
  <si>
    <t>dpnM</t>
  </si>
  <si>
    <t>COT15236.1</t>
  </si>
  <si>
    <t>ERS445053_00945</t>
  </si>
  <si>
    <t>DNA (cytosine-5-)-methyltransferase</t>
  </si>
  <si>
    <t>dpnA</t>
  </si>
  <si>
    <t>COT15253.1</t>
  </si>
  <si>
    <t>ERS445053_00946</t>
  </si>
  <si>
    <t>type II restriction enzyme DpnII</t>
  </si>
  <si>
    <t>dpnB</t>
  </si>
  <si>
    <t>COT15268.1</t>
  </si>
  <si>
    <t>ERS445053_00947</t>
  </si>
  <si>
    <t>xanthine permease</t>
  </si>
  <si>
    <t>ygfU</t>
  </si>
  <si>
    <t>COT15284.1</t>
  </si>
  <si>
    <t>ERS445053_00948</t>
  </si>
  <si>
    <t>xanthine phosphoribosyltransferase</t>
  </si>
  <si>
    <t>xpt</t>
  </si>
  <si>
    <t>COT15299.1</t>
  </si>
  <si>
    <t>ERS445053_00949</t>
  </si>
  <si>
    <t>glyoxalase</t>
  </si>
  <si>
    <t>COT15317.1</t>
  </si>
  <si>
    <t>ERS445053_00951</t>
  </si>
  <si>
    <t>glyoxalase-like protein</t>
  </si>
  <si>
    <t>COT15328.1</t>
  </si>
  <si>
    <t>ERS445053_00952</t>
  </si>
  <si>
    <t>exodeoxyribonuclease</t>
  </si>
  <si>
    <t>exoA</t>
  </si>
  <si>
    <t>COT15346.1</t>
  </si>
  <si>
    <t>ERS445053_00953</t>
  </si>
  <si>
    <t>Protein of uncharacterised function (DUF3290)</t>
  </si>
  <si>
    <t>COT15361.1</t>
  </si>
  <si>
    <t>ERS445053_00954</t>
  </si>
  <si>
    <t>COT15374.1</t>
  </si>
  <si>
    <t>ERS445053_00955</t>
  </si>
  <si>
    <t>putative membrane protein yetF</t>
  </si>
  <si>
    <t>COT15388.1</t>
  </si>
  <si>
    <t>ERS445053_00956</t>
  </si>
  <si>
    <t>yheI_2</t>
  </si>
  <si>
    <t>COT15403.1</t>
  </si>
  <si>
    <t>ERS445053_00957</t>
  </si>
  <si>
    <t>yheH</t>
  </si>
  <si>
    <t>COT15419.1</t>
  </si>
  <si>
    <t>ERS445053_00958</t>
  </si>
  <si>
    <t>glycosyl transferase family protein</t>
  </si>
  <si>
    <t>wcaJ</t>
  </si>
  <si>
    <t>COT15441.1</t>
  </si>
  <si>
    <t>ERS445053_00959</t>
  </si>
  <si>
    <t>capsular polysaccharide biosynthesis protein</t>
  </si>
  <si>
    <t>arnB</t>
  </si>
  <si>
    <t>COT15460.1</t>
  </si>
  <si>
    <t>ERS445053_00960</t>
  </si>
  <si>
    <t>pfbA</t>
  </si>
  <si>
    <t>COT15482.1</t>
  </si>
  <si>
    <t>ERS445053_00961</t>
  </si>
  <si>
    <t>COT15498.1</t>
  </si>
  <si>
    <t>ERS445053_00962</t>
  </si>
  <si>
    <t>Uncharacterized protein conserved in bacteria</t>
  </si>
  <si>
    <t>COT15509.1</t>
  </si>
  <si>
    <t>ERS445053_00963</t>
  </si>
  <si>
    <t>COT15519.1</t>
  </si>
  <si>
    <t>ERS445053_00964</t>
  </si>
  <si>
    <t>spermidine/putrescine import ATP-binding protein PotA</t>
  </si>
  <si>
    <t>malK</t>
  </si>
  <si>
    <t>COT15534.1</t>
  </si>
  <si>
    <t>ERS445053_00965</t>
  </si>
  <si>
    <t>binding-protein-dependent transport systems inner membrane component</t>
  </si>
  <si>
    <t>COT15558.1</t>
  </si>
  <si>
    <t>ERS445053_00966</t>
  </si>
  <si>
    <t>putative Mg2+ transporter-C</t>
  </si>
  <si>
    <t>sapB</t>
  </si>
  <si>
    <t>COT15571.1</t>
  </si>
  <si>
    <t>ERS445053_00967</t>
  </si>
  <si>
    <t>COT15589.1</t>
  </si>
  <si>
    <t>ERS445053_00968</t>
  </si>
  <si>
    <t>catabolite control protein</t>
  </si>
  <si>
    <t>ccpA_2</t>
  </si>
  <si>
    <t>COT15596.1</t>
  </si>
  <si>
    <t>ERS445053_00969</t>
  </si>
  <si>
    <t>anthranilate synthase component I</t>
  </si>
  <si>
    <t>trpE</t>
  </si>
  <si>
    <t>COT15610.1</t>
  </si>
  <si>
    <t>ERS445053_00972</t>
  </si>
  <si>
    <t>anthranilate synthase component II (glutamine amido-transferase)</t>
  </si>
  <si>
    <t>trpG</t>
  </si>
  <si>
    <t>COT15630.1</t>
  </si>
  <si>
    <t>ERS445053_00973</t>
  </si>
  <si>
    <t>anthranilate phosphoribosyltransferase</t>
  </si>
  <si>
    <t>trpD2</t>
  </si>
  <si>
    <t>COT15646.1</t>
  </si>
  <si>
    <t>ERS445053_00974</t>
  </si>
  <si>
    <t>Indole-3-glycerol phosphate synthase (IGPS)</t>
  </si>
  <si>
    <t>trpC</t>
  </si>
  <si>
    <t>COT15661.1</t>
  </si>
  <si>
    <t>ERS445053_00975</t>
  </si>
  <si>
    <t>N-(5'-phosphoribosyl)anthranilate isomerase</t>
  </si>
  <si>
    <t>trpF</t>
  </si>
  <si>
    <t>COT15676.1</t>
  </si>
  <si>
    <t>ERS445053_00976</t>
  </si>
  <si>
    <t>tryptophan synthase%2C beta subunit</t>
  </si>
  <si>
    <t>trpB</t>
  </si>
  <si>
    <t>COT15692.1</t>
  </si>
  <si>
    <t>ERS445053_00977</t>
  </si>
  <si>
    <t>tryptophan synthase subunit alpha</t>
  </si>
  <si>
    <t>trpA</t>
  </si>
  <si>
    <t>COT15717.1</t>
  </si>
  <si>
    <t>ERS445053_00978</t>
  </si>
  <si>
    <t>COT15734.1</t>
  </si>
  <si>
    <t>ERS445053_00979</t>
  </si>
  <si>
    <t>COT15747.1</t>
  </si>
  <si>
    <t>ERS445053_00980</t>
  </si>
  <si>
    <t>COT15759.1</t>
  </si>
  <si>
    <t>ERS445053_00981</t>
  </si>
  <si>
    <t>type 4 prepilin peptidase</t>
  </si>
  <si>
    <t>pppA</t>
  </si>
  <si>
    <t>COT15772.1</t>
  </si>
  <si>
    <t>ERS445053_00982</t>
  </si>
  <si>
    <t>bltD_1</t>
  </si>
  <si>
    <t>COT15796.1</t>
  </si>
  <si>
    <t>ERS445053_00983</t>
  </si>
  <si>
    <t>ROK family protein%2C putative</t>
  </si>
  <si>
    <t>mlc_2</t>
  </si>
  <si>
    <t>COT15814.1</t>
  </si>
  <si>
    <t>ERS445053_00984</t>
  </si>
  <si>
    <t>lichenan permease iic component (pts system lichenan-specific eiiccomponent) (eiic-lic)</t>
  </si>
  <si>
    <t>gmuC_4</t>
  </si>
  <si>
    <t>COT15827.1</t>
  </si>
  <si>
    <t>ERS445053_00985</t>
  </si>
  <si>
    <t>PEP phosphonomutase-like protein</t>
  </si>
  <si>
    <t>COT15841.1</t>
  </si>
  <si>
    <t>ERS445053_00986</t>
  </si>
  <si>
    <t>Beta glucanase</t>
  </si>
  <si>
    <t>glcA</t>
  </si>
  <si>
    <t>COT15850.1</t>
  </si>
  <si>
    <t>ERS445053_00987</t>
  </si>
  <si>
    <t>lichenan-specific phosphotransferase enzyme iib component (pts system lichenan-specific eiib component) (eiib-lic)</t>
  </si>
  <si>
    <t>licB_2</t>
  </si>
  <si>
    <t>COT15859.1</t>
  </si>
  <si>
    <t>ERS445053_00988</t>
  </si>
  <si>
    <t>lichenan-specific phosphotransferase enzyme iia component (pts system lichenan-specific eiia component) (eiia-lic) (eiii-lic)</t>
  </si>
  <si>
    <t>lacF_3</t>
  </si>
  <si>
    <t>COT15871.1</t>
  </si>
  <si>
    <t>ERS445053_00989</t>
  </si>
  <si>
    <t>phosphotransferase system</t>
  </si>
  <si>
    <t>gmuC_5</t>
  </si>
  <si>
    <t>COT15882.1</t>
  </si>
  <si>
    <t>ERS445053_00990</t>
  </si>
  <si>
    <t>arylsulfatase</t>
  </si>
  <si>
    <t>COT15897.1</t>
  </si>
  <si>
    <t>ERS445053_00991</t>
  </si>
  <si>
    <t>sulfatase-modifying factor 1 (C-alpha-formyglycine-generating enzyme 1)</t>
  </si>
  <si>
    <t>pkn1</t>
  </si>
  <si>
    <t>COT15912.1</t>
  </si>
  <si>
    <t>ERS445053_00992</t>
  </si>
  <si>
    <t>Sulfite exporter TauE/SafE</t>
  </si>
  <si>
    <t>COT15929.1</t>
  </si>
  <si>
    <t>ERS445053_00993</t>
  </si>
  <si>
    <t>CsbD-like protein</t>
  </si>
  <si>
    <t>COT15942.1</t>
  </si>
  <si>
    <t>ERS445053_00994</t>
  </si>
  <si>
    <t>general stress protein 24</t>
  </si>
  <si>
    <t>COT15956.1</t>
  </si>
  <si>
    <t>ERS445053_00995</t>
  </si>
  <si>
    <t>COT15969.1</t>
  </si>
  <si>
    <t>ERS445053_00996</t>
  </si>
  <si>
    <t>COT15987.1</t>
  </si>
  <si>
    <t>ERS445053_00997</t>
  </si>
  <si>
    <t>GlsB</t>
  </si>
  <si>
    <t>COT16005.1</t>
  </si>
  <si>
    <t>ERS445053_00998</t>
  </si>
  <si>
    <t>atxA</t>
  </si>
  <si>
    <t>COT16021.1</t>
  </si>
  <si>
    <t>ERS445053_00999</t>
  </si>
  <si>
    <t>LacI family sugar-binding transcriptional regulator</t>
  </si>
  <si>
    <t>rbsR</t>
  </si>
  <si>
    <t>COT16037.1</t>
  </si>
  <si>
    <t>ERS445053_01000</t>
  </si>
  <si>
    <t>ABC transporter membrane protein</t>
  </si>
  <si>
    <t>ycjO_2</t>
  </si>
  <si>
    <t>COT16050.1</t>
  </si>
  <si>
    <t>ERS445053_01001</t>
  </si>
  <si>
    <t>ycjP_3</t>
  </si>
  <si>
    <t>COT16059.1</t>
  </si>
  <si>
    <t>ERS445053_01002</t>
  </si>
  <si>
    <t>lipO</t>
  </si>
  <si>
    <t>COT16070.1</t>
  </si>
  <si>
    <t>ERS445053_01003</t>
  </si>
  <si>
    <t>sucrose-6-phosphate hydrolase</t>
  </si>
  <si>
    <t>sacA</t>
  </si>
  <si>
    <t>COT16086.1</t>
  </si>
  <si>
    <t>ERS445053_01004</t>
  </si>
  <si>
    <t>ERS445053_01005</t>
  </si>
  <si>
    <t>chromosome segregation helicase%2C ATPase%2C AAA family</t>
  </si>
  <si>
    <t>rarA</t>
  </si>
  <si>
    <t>COT16110.1</t>
  </si>
  <si>
    <t>ERS445053_01007</t>
  </si>
  <si>
    <t>COT16121.1</t>
  </si>
  <si>
    <t>ERS445053_01008</t>
  </si>
  <si>
    <t>COT16132.1</t>
  </si>
  <si>
    <t>ERS445053_01009</t>
  </si>
  <si>
    <t>phage-like protein</t>
  </si>
  <si>
    <t>COT16143.1</t>
  </si>
  <si>
    <t>ERS445053_01010</t>
  </si>
  <si>
    <t>FIG01116978: hypothetical protein</t>
  </si>
  <si>
    <t>COT16159.1</t>
  </si>
  <si>
    <t>ERS445053_01011</t>
  </si>
  <si>
    <t>putative peptidase</t>
  </si>
  <si>
    <t>COT16175.1</t>
  </si>
  <si>
    <t>ERS445053_01012</t>
  </si>
  <si>
    <t>7%2C8-dihydro-8-oxoguanine-triphosphatase</t>
  </si>
  <si>
    <t>COT16189.1</t>
  </si>
  <si>
    <t>ERS445053_01013</t>
  </si>
  <si>
    <t>AAA+ ATPase family protein</t>
  </si>
  <si>
    <t>ftsH3</t>
  </si>
  <si>
    <t>COT16197.1</t>
  </si>
  <si>
    <t>ERS445053_01014</t>
  </si>
  <si>
    <t>subtilisin-like serine protease</t>
  </si>
  <si>
    <t>COT16218.1</t>
  </si>
  <si>
    <t>ERS445053_01015</t>
  </si>
  <si>
    <t>putative otitis media-associated P41</t>
  </si>
  <si>
    <t>COT16231.1</t>
  </si>
  <si>
    <t>ERS445053_01016</t>
  </si>
  <si>
    <t>COT16240.1</t>
  </si>
  <si>
    <t>ERS445053_01017</t>
  </si>
  <si>
    <t>ribosomal protein methyltransferase</t>
  </si>
  <si>
    <t>prmA</t>
  </si>
  <si>
    <t>COT16254.1</t>
  </si>
  <si>
    <t>ERS445053_01018</t>
  </si>
  <si>
    <t>16S ribosomal RNA methyltransferase RsmE</t>
  </si>
  <si>
    <t>rsmE</t>
  </si>
  <si>
    <t>COT16265.1</t>
  </si>
  <si>
    <t>ERS445053_01019</t>
  </si>
  <si>
    <t>oligoendopeptidase F</t>
  </si>
  <si>
    <t>pepF1_1</t>
  </si>
  <si>
    <t>COT16279.1</t>
  </si>
  <si>
    <t>ERS445053_01020</t>
  </si>
  <si>
    <t>ArsR family transcriptional regulator</t>
  </si>
  <si>
    <t>COT16290.1</t>
  </si>
  <si>
    <t>ERS445053_01021</t>
  </si>
  <si>
    <t>multidrug ABC transporter ATPase</t>
  </si>
  <si>
    <t>drrA_1</t>
  </si>
  <si>
    <t>COT16300.1</t>
  </si>
  <si>
    <t>ERS445053_01022</t>
  </si>
  <si>
    <t>ABC-2 type transporter</t>
  </si>
  <si>
    <t>yadH</t>
  </si>
  <si>
    <t>COT16309.1</t>
  </si>
  <si>
    <t>ERS445053_01023</t>
  </si>
  <si>
    <t>aquaporin Z</t>
  </si>
  <si>
    <t>aqpZ</t>
  </si>
  <si>
    <t>COT16319.1</t>
  </si>
  <si>
    <t>ERS445053_01024</t>
  </si>
  <si>
    <t>aquaporin Z-water channel protein</t>
  </si>
  <si>
    <t>aqpZ2</t>
  </si>
  <si>
    <t>COT16327.1</t>
  </si>
  <si>
    <t>ERS445053_01025</t>
  </si>
  <si>
    <t>chlorohydrolase/deaminase family protein</t>
  </si>
  <si>
    <t>COT16344.1</t>
  </si>
  <si>
    <t>ERS445053_01026</t>
  </si>
  <si>
    <t>7-cyano-7-deazaguanine reductase</t>
  </si>
  <si>
    <t>queF</t>
  </si>
  <si>
    <t>COT16358.1</t>
  </si>
  <si>
    <t>ERS445053_01027</t>
  </si>
  <si>
    <t>thioredoxin</t>
  </si>
  <si>
    <t>trxA_2</t>
  </si>
  <si>
    <t>COT16374.1</t>
  </si>
  <si>
    <t>ERS445053_01028</t>
  </si>
  <si>
    <t>30S ribosomal protein S16</t>
  </si>
  <si>
    <t>rpsP_1</t>
  </si>
  <si>
    <t>COT16389.1</t>
  </si>
  <si>
    <t>ERS445053_01029</t>
  </si>
  <si>
    <t>putative MarR-family transcriptional regulator</t>
  </si>
  <si>
    <t>COT16402.1</t>
  </si>
  <si>
    <t>ERS445053_01030</t>
  </si>
  <si>
    <t>COT16415.1</t>
  </si>
  <si>
    <t>ERS445053_01031</t>
  </si>
  <si>
    <t>cell envelope integrity inner membrane protein TolA</t>
  </si>
  <si>
    <t>COT16426.1</t>
  </si>
  <si>
    <t>ERS445053_01032</t>
  </si>
  <si>
    <t>gspA_2</t>
  </si>
  <si>
    <t>COT16441.1</t>
  </si>
  <si>
    <t>ERS445053_01033</t>
  </si>
  <si>
    <t>exopolysaccharide biosynthesis protein%2C acetyltransferase</t>
  </si>
  <si>
    <t>epsH</t>
  </si>
  <si>
    <t>COT16456.1</t>
  </si>
  <si>
    <t>ERS445053_01034</t>
  </si>
  <si>
    <t>putative glycosyltransferase</t>
  </si>
  <si>
    <t>hyaD_1</t>
  </si>
  <si>
    <t>COT16471.1</t>
  </si>
  <si>
    <t>ERS445053_01035</t>
  </si>
  <si>
    <t>COT16483.1</t>
  </si>
  <si>
    <t>ERS445053_01036</t>
  </si>
  <si>
    <t>COT16491.1</t>
  </si>
  <si>
    <t>ERS445053_01037</t>
  </si>
  <si>
    <t>gspA_3</t>
  </si>
  <si>
    <t>COT16500.1</t>
  </si>
  <si>
    <t>ERS445053_01038</t>
  </si>
  <si>
    <t>gspA_4</t>
  </si>
  <si>
    <t>COT16511.1</t>
  </si>
  <si>
    <t>ERS445053_01039</t>
  </si>
  <si>
    <t>Glycosyl transferase</t>
  </si>
  <si>
    <t>COT16524.1</t>
  </si>
  <si>
    <t>ERS445053_01040</t>
  </si>
  <si>
    <t>gspA_5</t>
  </si>
  <si>
    <t>COT16537.1</t>
  </si>
  <si>
    <t>ERS445053_01041</t>
  </si>
  <si>
    <t>glycosyl transferase family 8</t>
  </si>
  <si>
    <t>gspA_6</t>
  </si>
  <si>
    <t>COT16553.1</t>
  </si>
  <si>
    <t>ERS445053_01042</t>
  </si>
  <si>
    <t>glycosyl transferase%2C family 8</t>
  </si>
  <si>
    <t>gspA_7</t>
  </si>
  <si>
    <t>COT16567.1</t>
  </si>
  <si>
    <t>ERS445053_01043</t>
  </si>
  <si>
    <t>glycosyl transferase%2C family 2</t>
  </si>
  <si>
    <t>kfoC_3</t>
  </si>
  <si>
    <t>COT16581.1</t>
  </si>
  <si>
    <t>ERS445053_01044</t>
  </si>
  <si>
    <t>COT16587.1</t>
  </si>
  <si>
    <t>ERS445053_01045</t>
  </si>
  <si>
    <t>preprotein translocase subunit SecY</t>
  </si>
  <si>
    <t>secY_2</t>
  </si>
  <si>
    <t>COT16603.1</t>
  </si>
  <si>
    <t>ERS445053_01046</t>
  </si>
  <si>
    <t>accessory secretory protein Asp1</t>
  </si>
  <si>
    <t>COT16618.1</t>
  </si>
  <si>
    <t>ERS445053_01047</t>
  </si>
  <si>
    <t>accessory secretory protein Asp2</t>
  </si>
  <si>
    <t>asp2</t>
  </si>
  <si>
    <t>COT16627.1</t>
  </si>
  <si>
    <t>ERS445053_01048</t>
  </si>
  <si>
    <t>accessory secretory protein Asp3</t>
  </si>
  <si>
    <t>asp3</t>
  </si>
  <si>
    <t>COT16639.1</t>
  </si>
  <si>
    <t>ERS445053_01049</t>
  </si>
  <si>
    <t>preprotein translocase subunit SecA</t>
  </si>
  <si>
    <t>secA_1</t>
  </si>
  <si>
    <t>COT16650.1</t>
  </si>
  <si>
    <t>ERS445053_01050</t>
  </si>
  <si>
    <t>tagE</t>
  </si>
  <si>
    <t>COT16661.1</t>
  </si>
  <si>
    <t>ERS445053_01051</t>
  </si>
  <si>
    <t>GtfB</t>
  </si>
  <si>
    <t>COT16678.1</t>
  </si>
  <si>
    <t>ERS445053_01052</t>
  </si>
  <si>
    <t>COT16691.1</t>
  </si>
  <si>
    <t>ERS445053_01053</t>
  </si>
  <si>
    <t>COT16704.1</t>
  </si>
  <si>
    <t>ERS445053_01054</t>
  </si>
  <si>
    <t>COT16718.1</t>
  </si>
  <si>
    <t>ERS445053_01055</t>
  </si>
  <si>
    <t>putative sodium:dicarboxylate symporter family protein</t>
  </si>
  <si>
    <t>sstT</t>
  </si>
  <si>
    <t>COT16732.1</t>
  </si>
  <si>
    <t>ERS445053_01056</t>
  </si>
  <si>
    <t>mechanosensitive ion channel</t>
  </si>
  <si>
    <t>ynaI</t>
  </si>
  <si>
    <t>COT16747.1</t>
  </si>
  <si>
    <t>ERS445053_01057</t>
  </si>
  <si>
    <t>CorA-like Mg2+ transporter protein</t>
  </si>
  <si>
    <t>COT16760.1</t>
  </si>
  <si>
    <t>ERS445053_01058</t>
  </si>
  <si>
    <t>HAD superfamily hydrolase protein</t>
  </si>
  <si>
    <t>COT16779.1</t>
  </si>
  <si>
    <t>ERS445053_01059</t>
  </si>
  <si>
    <t>GTP-binding protein</t>
  </si>
  <si>
    <t>yqeH</t>
  </si>
  <si>
    <t>COT16793.1</t>
  </si>
  <si>
    <t>ERS445053_01060</t>
  </si>
  <si>
    <t>ancient RNA-binding IF3-C fold protein</t>
  </si>
  <si>
    <t>yhbY</t>
  </si>
  <si>
    <t>COT16808.1</t>
  </si>
  <si>
    <t>ERS445053_01061</t>
  </si>
  <si>
    <t>putative nicotinate-nucleotide adenylyltransferase</t>
  </si>
  <si>
    <t>nadD</t>
  </si>
  <si>
    <t>COT16821.1</t>
  </si>
  <si>
    <t>ERS445053_01062</t>
  </si>
  <si>
    <t>phosphohydrolase</t>
  </si>
  <si>
    <t>COT16834.1</t>
  </si>
  <si>
    <t>ERS445053_01063</t>
  </si>
  <si>
    <t>isochorismatase family protein</t>
  </si>
  <si>
    <t>yecD_1</t>
  </si>
  <si>
    <t>COT16843.1</t>
  </si>
  <si>
    <t>ERS445053_01064</t>
  </si>
  <si>
    <t>putative iojap protein</t>
  </si>
  <si>
    <t>ybeB</t>
  </si>
  <si>
    <t>COT16853.1</t>
  </si>
  <si>
    <t>ERS445053_01065</t>
  </si>
  <si>
    <t>SAM-dependent methyltransferase</t>
  </si>
  <si>
    <t>COT16866.1</t>
  </si>
  <si>
    <t>ERS445053_01066</t>
  </si>
  <si>
    <t>putative nucleotidyltransferase</t>
  </si>
  <si>
    <t>COT16884.1</t>
  </si>
  <si>
    <t>ERS445053_01067</t>
  </si>
  <si>
    <t>putative HD superfamily hydrolase</t>
  </si>
  <si>
    <t>rny</t>
  </si>
  <si>
    <t>COT16892.1</t>
  </si>
  <si>
    <t>ERS445053_01068</t>
  </si>
  <si>
    <t>guanylate kinase</t>
  </si>
  <si>
    <t>gmk</t>
  </si>
  <si>
    <t>COT16907.1</t>
  </si>
  <si>
    <t>ERS445053_01069</t>
  </si>
  <si>
    <t>DNA-dependent RNA Polymerase%2C omega subunit</t>
  </si>
  <si>
    <t>rpoZ</t>
  </si>
  <si>
    <t>COT16920.1</t>
  </si>
  <si>
    <t>ERS445053_01070</t>
  </si>
  <si>
    <t>primosomal protein N'</t>
  </si>
  <si>
    <t>priA</t>
  </si>
  <si>
    <t>COT16931.1</t>
  </si>
  <si>
    <t>ERS445053_01071</t>
  </si>
  <si>
    <t>methionyl-tRNA formyltransferase</t>
  </si>
  <si>
    <t>fmt</t>
  </si>
  <si>
    <t>COT16943.1</t>
  </si>
  <si>
    <t>ERS445053_01072</t>
  </si>
  <si>
    <t>rRNA-specific 5-methylcytidine transferase</t>
  </si>
  <si>
    <t>rsmB</t>
  </si>
  <si>
    <t>COT16956.1</t>
  </si>
  <si>
    <t>ERS445053_01073</t>
  </si>
  <si>
    <t>serine/threonine phosphatase</t>
  </si>
  <si>
    <t>COT16968.1</t>
  </si>
  <si>
    <t>ERS445053_01074</t>
  </si>
  <si>
    <t>Stk1</t>
  </si>
  <si>
    <t>prkC</t>
  </si>
  <si>
    <t>COT16979.1</t>
  </si>
  <si>
    <t>ERS445053_01075</t>
  </si>
  <si>
    <t>membrane spanning protein</t>
  </si>
  <si>
    <t>yjjP</t>
  </si>
  <si>
    <t>COT16996.1</t>
  </si>
  <si>
    <t>ERS445053_01076</t>
  </si>
  <si>
    <t>COT17011.1</t>
  </si>
  <si>
    <t>ERS445053_01077</t>
  </si>
  <si>
    <t>COT17023.1</t>
  </si>
  <si>
    <t>ERS445053_01078</t>
  </si>
  <si>
    <t>COT17040.1</t>
  </si>
  <si>
    <t>ERS445053_01079</t>
  </si>
  <si>
    <t>hydroxymethylglutaryl-CoA synthase</t>
  </si>
  <si>
    <t>pksG</t>
  </si>
  <si>
    <t>COT17051.1</t>
  </si>
  <si>
    <t>ERS445053_01080</t>
  </si>
  <si>
    <t>3-hydroxy-3-methylglutaryl-coenzyme a reductase</t>
  </si>
  <si>
    <t>mvaA</t>
  </si>
  <si>
    <t>COT17065.1</t>
  </si>
  <si>
    <t>ERS445053_01081</t>
  </si>
  <si>
    <t>degA_2</t>
  </si>
  <si>
    <t>COT17075.1</t>
  </si>
  <si>
    <t>ERS445053_01082</t>
  </si>
  <si>
    <t>glycosyl hydrolases family 32</t>
  </si>
  <si>
    <t>scrB</t>
  </si>
  <si>
    <t>COT17086.1</t>
  </si>
  <si>
    <t>ERS445053_01083</t>
  </si>
  <si>
    <t>putative sucrose-specific phosphotransferase system (PTS)%2C IIABC component</t>
  </si>
  <si>
    <t>scrA</t>
  </si>
  <si>
    <t>COT17097.1</t>
  </si>
  <si>
    <t>ERS445053_01084</t>
  </si>
  <si>
    <t>fructokinase</t>
  </si>
  <si>
    <t>scrK</t>
  </si>
  <si>
    <t>COT17111.1</t>
  </si>
  <si>
    <t>ERS445053_01085</t>
  </si>
  <si>
    <t>SNARE associated Golgi protein</t>
  </si>
  <si>
    <t>COT17123.1</t>
  </si>
  <si>
    <t>ERS445053_01086</t>
  </si>
  <si>
    <t>COT17136.1</t>
  </si>
  <si>
    <t>ERS445053_01087</t>
  </si>
  <si>
    <t>Na+ ABC transporter ATP-binding protein</t>
  </si>
  <si>
    <t>ecsA_1</t>
  </si>
  <si>
    <t>COT17149.1</t>
  </si>
  <si>
    <t>ERS445053_01088</t>
  </si>
  <si>
    <t>Na+ export ABC ABC transporter membrane-spanning permease</t>
  </si>
  <si>
    <t>yhaP</t>
  </si>
  <si>
    <t>COT17161.1</t>
  </si>
  <si>
    <t>ERS445053_01089</t>
  </si>
  <si>
    <t>COT17172.1</t>
  </si>
  <si>
    <t>ERS445053_01090</t>
  </si>
  <si>
    <t>ecsA_2</t>
  </si>
  <si>
    <t>COT17181.1</t>
  </si>
  <si>
    <t>ERS445053_01091</t>
  </si>
  <si>
    <t>yvoA_1</t>
  </si>
  <si>
    <t>COT17193.1</t>
  </si>
  <si>
    <t>ERS445053_01092</t>
  </si>
  <si>
    <t>NrdR family transcriptional regulator</t>
  </si>
  <si>
    <t>nrdR</t>
  </si>
  <si>
    <t>COT17203.1</t>
  </si>
  <si>
    <t>ERS445053_01093</t>
  </si>
  <si>
    <t>chromosome replication initiation protein/membrane attachment protein</t>
  </si>
  <si>
    <t>COT17215.1</t>
  </si>
  <si>
    <t>ERS445053_01094</t>
  </si>
  <si>
    <t>primosome component (helicase loader)%2C primosomal protein DnaI</t>
  </si>
  <si>
    <t>dnaI</t>
  </si>
  <si>
    <t>COT17227.1</t>
  </si>
  <si>
    <t>ERS445053_01095</t>
  </si>
  <si>
    <t>nitroreductase%2C NADPH-flavin oxidoreductase</t>
  </si>
  <si>
    <t>nfrA2</t>
  </si>
  <si>
    <t>COT17238.1</t>
  </si>
  <si>
    <t>ERS445053_01096</t>
  </si>
  <si>
    <t>GTP-binding protein EngA</t>
  </si>
  <si>
    <t>engA</t>
  </si>
  <si>
    <t>COT17247.1</t>
  </si>
  <si>
    <t>ERS445053_01097</t>
  </si>
  <si>
    <t>COT17259.1</t>
  </si>
  <si>
    <t>ERS445053_01098</t>
  </si>
  <si>
    <t>COT17269.1</t>
  </si>
  <si>
    <t>ERS445053_01099</t>
  </si>
  <si>
    <t>COT17277.1</t>
  </si>
  <si>
    <t>ERS445053_01100</t>
  </si>
  <si>
    <t>COT17286.1</t>
  </si>
  <si>
    <t>ERS445053_01101</t>
  </si>
  <si>
    <t>COT17292.1</t>
  </si>
  <si>
    <t>ERS445053_01102</t>
  </si>
  <si>
    <t>COT17304.1</t>
  </si>
  <si>
    <t>ERS445053_01103</t>
  </si>
  <si>
    <t>lptB_1</t>
  </si>
  <si>
    <t>COT17311.1</t>
  </si>
  <si>
    <t>ERS445053_01104</t>
  </si>
  <si>
    <t>SpeK</t>
  </si>
  <si>
    <t>COT17323.1</t>
  </si>
  <si>
    <t>ERS445053_01105</t>
  </si>
  <si>
    <t>secA_2</t>
  </si>
  <si>
    <t>COT17334.1</t>
  </si>
  <si>
    <t>ERS445053_01106</t>
  </si>
  <si>
    <t>phospho-2-dehydro-3-deoxyheptonate aldolase%2C (DAHP synthetase isozyme)-possibly phe sensitive</t>
  </si>
  <si>
    <t>aroG</t>
  </si>
  <si>
    <t>COT17347.1</t>
  </si>
  <si>
    <t>ERS445053_01107</t>
  </si>
  <si>
    <t>phospho-2-dehydro-3-deoxyheptonate aldolase%2C (DAHP synthetase)-possibly tyr-sensitive</t>
  </si>
  <si>
    <t>aroF</t>
  </si>
  <si>
    <t>COT17358.1</t>
  </si>
  <si>
    <t>ERS445053_01108</t>
  </si>
  <si>
    <t>4'-phosphopantetheinyl transferase</t>
  </si>
  <si>
    <t>acpS</t>
  </si>
  <si>
    <t>COT17373.1</t>
  </si>
  <si>
    <t>ERS445053_01109</t>
  </si>
  <si>
    <t>alanine racemase</t>
  </si>
  <si>
    <t>alr</t>
  </si>
  <si>
    <t>COT17388.1</t>
  </si>
  <si>
    <t>ERS445053_01110</t>
  </si>
  <si>
    <t>branch migration of Holliday junctions%2C junction-specific DNA helicase%2CATP-dependent DNA helicase%2C recG homolog</t>
  </si>
  <si>
    <t>mmsA</t>
  </si>
  <si>
    <t>COT17400.1</t>
  </si>
  <si>
    <t>ERS445053_01111</t>
  </si>
  <si>
    <t>acetyl xylan esterase</t>
  </si>
  <si>
    <t>cah</t>
  </si>
  <si>
    <t>COT17416.1</t>
  </si>
  <si>
    <t>ERS445053_01112</t>
  </si>
  <si>
    <t>COT17426.1</t>
  </si>
  <si>
    <t>ERS445053_01113</t>
  </si>
  <si>
    <t>sialidase A (neuraminidase A)</t>
  </si>
  <si>
    <t>nanA_1</t>
  </si>
  <si>
    <t>COT17436.1</t>
  </si>
  <si>
    <t>ERS445053_01114</t>
  </si>
  <si>
    <t>COT17447.1</t>
  </si>
  <si>
    <t>ERS445053_01115</t>
  </si>
  <si>
    <t>beta-galactosidase subunit beta</t>
  </si>
  <si>
    <t>tabA_1</t>
  </si>
  <si>
    <t>COT17456.1</t>
  </si>
  <si>
    <t>ERS445053_01116</t>
  </si>
  <si>
    <t>yesO_1</t>
  </si>
  <si>
    <t>COT17470.1</t>
  </si>
  <si>
    <t>ERS445053_01117</t>
  </si>
  <si>
    <t>ABC transporter permease SP1689</t>
  </si>
  <si>
    <t>ycjO_3</t>
  </si>
  <si>
    <t>COT17480.1</t>
  </si>
  <si>
    <t>ERS445053_01118</t>
  </si>
  <si>
    <t>ABC transporter permease SP1688</t>
  </si>
  <si>
    <t>ycjP_4</t>
  </si>
  <si>
    <t>COT17494.1</t>
  </si>
  <si>
    <t>ERS445053_01119</t>
  </si>
  <si>
    <t>sialidase B (Neuraminidase B)</t>
  </si>
  <si>
    <t>nanB</t>
  </si>
  <si>
    <t>COT17505.1</t>
  </si>
  <si>
    <t>ERS445053_01120</t>
  </si>
  <si>
    <t>Gfo/Idh/MocA family oxidoreductase</t>
  </si>
  <si>
    <t>afr</t>
  </si>
  <si>
    <t>COT17523.1</t>
  </si>
  <si>
    <t>ERS445053_01121</t>
  </si>
  <si>
    <t>N-acetylmannosamine-6-phosphate 2-epimerase 2 (ManNAc-6-P epimerase 2)</t>
  </si>
  <si>
    <t>nanE2_1</t>
  </si>
  <si>
    <t>COT17537.1</t>
  </si>
  <si>
    <t>ERS445053_01122</t>
  </si>
  <si>
    <t>PTS system transporter subunit IIBC</t>
  </si>
  <si>
    <t>ptsG_1</t>
  </si>
  <si>
    <t>COT17556.1</t>
  </si>
  <si>
    <t>ERS445053_01123</t>
  </si>
  <si>
    <t>ABC transporter%2C sugar transporter%2C sugar binding lipoprotein-N-acetylneuraminate-binding protein</t>
  </si>
  <si>
    <t>yesO_2</t>
  </si>
  <si>
    <t>COT17572.1</t>
  </si>
  <si>
    <t>ERS445053_01124</t>
  </si>
  <si>
    <t>ugpA_2</t>
  </si>
  <si>
    <t>COT17586.1</t>
  </si>
  <si>
    <t>ERS445053_01125</t>
  </si>
  <si>
    <t>ABC transporter-sugar transport%2C N-acetylneuraminate transport system permease</t>
  </si>
  <si>
    <t>ycjP_5</t>
  </si>
  <si>
    <t>COT17599.1</t>
  </si>
  <si>
    <t>ERS445053_01126</t>
  </si>
  <si>
    <t>tabA_2</t>
  </si>
  <si>
    <t>COT17609.1</t>
  </si>
  <si>
    <t>ERS445053_01127</t>
  </si>
  <si>
    <t>COT17618.1</t>
  </si>
  <si>
    <t>ERS445053_01128</t>
  </si>
  <si>
    <t>COT17636.1</t>
  </si>
  <si>
    <t>ERS445053_01129</t>
  </si>
  <si>
    <t>N-acetylneuraminate lyase</t>
  </si>
  <si>
    <t>nanA_2</t>
  </si>
  <si>
    <t>COT17647.1</t>
  </si>
  <si>
    <t>ERS445053_01130</t>
  </si>
  <si>
    <t>N-acetylmannosamine kinase%3B transcriptional regulator%2C ROK family protein</t>
  </si>
  <si>
    <t>bglK_2</t>
  </si>
  <si>
    <t>COT17656.1</t>
  </si>
  <si>
    <t>ERS445053_01131</t>
  </si>
  <si>
    <t>phosphosugar-binding transcriptional regulator</t>
  </si>
  <si>
    <t>ybbH</t>
  </si>
  <si>
    <t>COT17667.1</t>
  </si>
  <si>
    <t>ERS445053_01132</t>
  </si>
  <si>
    <t>COT17678.1</t>
  </si>
  <si>
    <t>ERS445053_01133</t>
  </si>
  <si>
    <t>penicillin-binding protein 2B</t>
  </si>
  <si>
    <t>pbp2B</t>
  </si>
  <si>
    <t>COT17688.1</t>
  </si>
  <si>
    <t>ERS445053_01134</t>
  </si>
  <si>
    <t>recombination protein</t>
  </si>
  <si>
    <t>recR</t>
  </si>
  <si>
    <t>COT17702.1</t>
  </si>
  <si>
    <t>ERS445053_01135</t>
  </si>
  <si>
    <t>D-ala%2CD-ala ligase</t>
  </si>
  <si>
    <t>ddL</t>
  </si>
  <si>
    <t>COT17714.1</t>
  </si>
  <si>
    <t>ERS445053_01136</t>
  </si>
  <si>
    <t>UDP-N-acetylmuramoylalanyl-D-glutamyl-2%2C 6-diaminopimelate--D-alanyl-D-alanyl ligase</t>
  </si>
  <si>
    <t>murF</t>
  </si>
  <si>
    <t>COT17727.1</t>
  </si>
  <si>
    <t>ERS445053_01137</t>
  </si>
  <si>
    <t>COT17740.1</t>
  </si>
  <si>
    <t>ERS445053_01138</t>
  </si>
  <si>
    <t>cell division protein FtsA</t>
  </si>
  <si>
    <t>ftsA</t>
  </si>
  <si>
    <t>COT17753.1</t>
  </si>
  <si>
    <t>ERS445053_01139</t>
  </si>
  <si>
    <t>cell division protein FtsZ</t>
  </si>
  <si>
    <t>ftsZ</t>
  </si>
  <si>
    <t>COT17764.1</t>
  </si>
  <si>
    <t>ERS445053_01140</t>
  </si>
  <si>
    <t>pyridoxal phosphate enzyme%2C YggS family</t>
  </si>
  <si>
    <t>COT17777.1</t>
  </si>
  <si>
    <t>ERS445053_01141</t>
  </si>
  <si>
    <t>YlmF protein</t>
  </si>
  <si>
    <t>sepF</t>
  </si>
  <si>
    <t>COT17786.1</t>
  </si>
  <si>
    <t>ERS445053_01142</t>
  </si>
  <si>
    <t>COT17798.1</t>
  </si>
  <si>
    <t>ERS445053_01143</t>
  </si>
  <si>
    <t>YlmH protein</t>
  </si>
  <si>
    <t>COT17808.1</t>
  </si>
  <si>
    <t>ERS445053_01144</t>
  </si>
  <si>
    <t>cell division protein DivIVA</t>
  </si>
  <si>
    <t>divIVA</t>
  </si>
  <si>
    <t>COT17819.1</t>
  </si>
  <si>
    <t>ERS445053_01145</t>
  </si>
  <si>
    <t>isoleucyl-tRNA synthetase</t>
  </si>
  <si>
    <t>ileRS</t>
  </si>
  <si>
    <t>COT17832.1</t>
  </si>
  <si>
    <t>ERS445053_01147</t>
  </si>
  <si>
    <t>COT17847.1</t>
  </si>
  <si>
    <t>ERS445053_01148</t>
  </si>
  <si>
    <t>phosphoglyceromutase</t>
  </si>
  <si>
    <t>gpmA_1</t>
  </si>
  <si>
    <t>COT17859.1</t>
  </si>
  <si>
    <t>ERS445053_01149</t>
  </si>
  <si>
    <t>alpha-fucosidase</t>
  </si>
  <si>
    <t>COT17872.1</t>
  </si>
  <si>
    <t>ERS445053_01150</t>
  </si>
  <si>
    <t>macB_4</t>
  </si>
  <si>
    <t>COT17883.1</t>
  </si>
  <si>
    <t>ERS445053_01151</t>
  </si>
  <si>
    <t>COT17893.1</t>
  </si>
  <si>
    <t>ERS445053_01152</t>
  </si>
  <si>
    <t>thiol peroxidase</t>
  </si>
  <si>
    <t>tpx</t>
  </si>
  <si>
    <t>COT17904.1</t>
  </si>
  <si>
    <t>ERS445053_01153</t>
  </si>
  <si>
    <t>manganese ABC transporter manganese-binding adhesion liprotein</t>
  </si>
  <si>
    <t>psaA</t>
  </si>
  <si>
    <t>COT17914.1</t>
  </si>
  <si>
    <t>ERS445053_01154</t>
  </si>
  <si>
    <t>manganese ABC transporter permease</t>
  </si>
  <si>
    <t>psaC</t>
  </si>
  <si>
    <t>COT17923.1</t>
  </si>
  <si>
    <t>ERS445053_01155</t>
  </si>
  <si>
    <t>manganese ABC transporter ATP-binding protein</t>
  </si>
  <si>
    <t>COT17932.1</t>
  </si>
  <si>
    <t>ERS445053_01156</t>
  </si>
  <si>
    <t>peptidase M13 superfamily</t>
  </si>
  <si>
    <t>pepO</t>
  </si>
  <si>
    <t>COT17942.1</t>
  </si>
  <si>
    <t>ERS445053_01157</t>
  </si>
  <si>
    <t>metallo-beta-lactamase superfamily protein</t>
  </si>
  <si>
    <t>COT17950.1</t>
  </si>
  <si>
    <t>ERS445053_01158</t>
  </si>
  <si>
    <t>GTP pyrophosphokinase%2C stringent response protein</t>
  </si>
  <si>
    <t>relA</t>
  </si>
  <si>
    <t>COT17960.1</t>
  </si>
  <si>
    <t>ERS445053_01159</t>
  </si>
  <si>
    <t>D-tyrosyl-tRNA(Tyr) deacylase</t>
  </si>
  <si>
    <t>dtd</t>
  </si>
  <si>
    <t>COT17971.1</t>
  </si>
  <si>
    <t>ERS445053_01160</t>
  </si>
  <si>
    <t>COT17982.1</t>
  </si>
  <si>
    <t>ERS445053_01161</t>
  </si>
  <si>
    <t>COT17989.1</t>
  </si>
  <si>
    <t>ERS445053_01162</t>
  </si>
  <si>
    <t>Nicotinamide mononucleotide transporter</t>
  </si>
  <si>
    <t>COT17998.1</t>
  </si>
  <si>
    <t>ERS445053_01163</t>
  </si>
  <si>
    <t>iron-dependent transcriptional regulator</t>
  </si>
  <si>
    <t>dtxR</t>
  </si>
  <si>
    <t>COT18005.1</t>
  </si>
  <si>
    <t>ERS445053_01164</t>
  </si>
  <si>
    <t>serine/threonine protein phosphatase family protein</t>
  </si>
  <si>
    <t>COT18018.1</t>
  </si>
  <si>
    <t>ERS445053_01165</t>
  </si>
  <si>
    <t>RRF2 family protein</t>
  </si>
  <si>
    <t>ywnA</t>
  </si>
  <si>
    <t>COT18032.1</t>
  </si>
  <si>
    <t>ERS445053_01166</t>
  </si>
  <si>
    <t>COT18043.1</t>
  </si>
  <si>
    <t>ERS445053_01167</t>
  </si>
  <si>
    <t>lipase</t>
  </si>
  <si>
    <t>COT18055.1</t>
  </si>
  <si>
    <t>ERS445053_01168</t>
  </si>
  <si>
    <t>graR</t>
  </si>
  <si>
    <t>COT18065.1</t>
  </si>
  <si>
    <t>ERS445053_01169</t>
  </si>
  <si>
    <t>graS</t>
  </si>
  <si>
    <t>COT18081.1</t>
  </si>
  <si>
    <t>ERS445053_01170</t>
  </si>
  <si>
    <t>threonyl-tRNA synthetase</t>
  </si>
  <si>
    <t>thrS</t>
  </si>
  <si>
    <t>COT18095.1</t>
  </si>
  <si>
    <t>ERS445053_01171</t>
  </si>
  <si>
    <t>30S ribosomal protein S15</t>
  </si>
  <si>
    <t>COT18107.1</t>
  </si>
  <si>
    <t>ERS445053_01172</t>
  </si>
  <si>
    <t>COT18118.1</t>
  </si>
  <si>
    <t>ERS445053_01174</t>
  </si>
  <si>
    <t>YwnB</t>
  </si>
  <si>
    <t>COT18123.1</t>
  </si>
  <si>
    <t>ERS445053_01175</t>
  </si>
  <si>
    <t>rpsO_1</t>
  </si>
  <si>
    <t>COT18130.1</t>
  </si>
  <si>
    <t>ERS445053_01176</t>
  </si>
  <si>
    <t>Cad superfamily protein</t>
  </si>
  <si>
    <t>COT18137.1</t>
  </si>
  <si>
    <t>ERS445053_01177</t>
  </si>
  <si>
    <t>acyltransferase family protein</t>
  </si>
  <si>
    <t>plsC</t>
  </si>
  <si>
    <t>COT18145.1</t>
  </si>
  <si>
    <t>ERS445053_01178</t>
  </si>
  <si>
    <t>P-type ATPase-metal cation transport</t>
  </si>
  <si>
    <t>COT18152.1</t>
  </si>
  <si>
    <t>ERS445053_01179</t>
  </si>
  <si>
    <t>Bcl-2 family protein</t>
  </si>
  <si>
    <t>trmK</t>
  </si>
  <si>
    <t>COT18158.1</t>
  </si>
  <si>
    <t>ERS445053_01180</t>
  </si>
  <si>
    <t>NIF3 (NGG1p interacting factor 3) family protein</t>
  </si>
  <si>
    <t>COT18170.1</t>
  </si>
  <si>
    <t>ERS445053_01181</t>
  </si>
  <si>
    <t>oxidoreductase%2C DadA family protein</t>
  </si>
  <si>
    <t>thiO</t>
  </si>
  <si>
    <t>COT18181.1</t>
  </si>
  <si>
    <t>ERS445053_01182</t>
  </si>
  <si>
    <t>UDP-glucose 4-epimerase</t>
  </si>
  <si>
    <t>galE_2</t>
  </si>
  <si>
    <t>COT18194.1</t>
  </si>
  <si>
    <t>ERS445053_01183</t>
  </si>
  <si>
    <t>glycosil transferase</t>
  </si>
  <si>
    <t>gtrB</t>
  </si>
  <si>
    <t>COT18210.1</t>
  </si>
  <si>
    <t>ERS445053_01184</t>
  </si>
  <si>
    <t>ferredoxin</t>
  </si>
  <si>
    <t>COT18225.1</t>
  </si>
  <si>
    <t>ERS445053_01185</t>
  </si>
  <si>
    <t>rpsO_2</t>
  </si>
  <si>
    <t>COT18239.1</t>
  </si>
  <si>
    <t>ERS445053_01186</t>
  </si>
  <si>
    <t>cytidylate kinase</t>
  </si>
  <si>
    <t>cmk</t>
  </si>
  <si>
    <t>COT18248.1</t>
  </si>
  <si>
    <t>ERS445053_01187</t>
  </si>
  <si>
    <t>phnA protein</t>
  </si>
  <si>
    <t>COT18261.1</t>
  </si>
  <si>
    <t>ERS445053_01188</t>
  </si>
  <si>
    <t>COT18271.1</t>
  </si>
  <si>
    <t>ERS445053_01189</t>
  </si>
  <si>
    <t>major facilitator superfamily transporter-efflux</t>
  </si>
  <si>
    <t>COT18281.1</t>
  </si>
  <si>
    <t>ERS445053_01190</t>
  </si>
  <si>
    <t>tRNA pseudouridine synthase A</t>
  </si>
  <si>
    <t>truA</t>
  </si>
  <si>
    <t>COT18291.1</t>
  </si>
  <si>
    <t>ERS445053_01191</t>
  </si>
  <si>
    <t>phosphomethylpyrimidine kinase</t>
  </si>
  <si>
    <t>pdxK</t>
  </si>
  <si>
    <t>COT18303.1</t>
  </si>
  <si>
    <t>ERS445053_01192</t>
  </si>
  <si>
    <t>hmpT</t>
  </si>
  <si>
    <t>COT18321.1</t>
  </si>
  <si>
    <t>ERS445053_01193</t>
  </si>
  <si>
    <t>degenerate transposase (Orf1)</t>
  </si>
  <si>
    <t>COT18330.1</t>
  </si>
  <si>
    <t>ERS445053_01194</t>
  </si>
  <si>
    <t>integrase core subunit</t>
  </si>
  <si>
    <t>COT18343.1</t>
  </si>
  <si>
    <t>ERS445053_01195</t>
  </si>
  <si>
    <t>X-Pro dipeptidase</t>
  </si>
  <si>
    <t>pepQ</t>
  </si>
  <si>
    <t>COT18355.1</t>
  </si>
  <si>
    <t>ERS445053_01196</t>
  </si>
  <si>
    <t>cobyric acid synthase</t>
  </si>
  <si>
    <t>COT18366.1</t>
  </si>
  <si>
    <t>ERS445053_01197</t>
  </si>
  <si>
    <t>UDP-N-acetylmuramyl tripeptide synthetase%2C Mur ligase</t>
  </si>
  <si>
    <t>COT18379.1</t>
  </si>
  <si>
    <t>ERS445053_01198</t>
  </si>
  <si>
    <t>oxidoreductase%2C pyridine nucleotide-disulfide class I%2C Mercury (II) reductase</t>
  </si>
  <si>
    <t>lpd</t>
  </si>
  <si>
    <t>COT18389.1</t>
  </si>
  <si>
    <t>ERS445053_01199</t>
  </si>
  <si>
    <t>major facilitator%3B oxalate:formate antiporter</t>
  </si>
  <si>
    <t>yhjX</t>
  </si>
  <si>
    <t>COT18402.1</t>
  </si>
  <si>
    <t>ERS445053_01200</t>
  </si>
  <si>
    <t>ATP-dependent RNA helicase</t>
  </si>
  <si>
    <t>cshA_1</t>
  </si>
  <si>
    <t>COT18414.1</t>
  </si>
  <si>
    <t>ERS445053_01201</t>
  </si>
  <si>
    <t>GTP-sensing transcriptional pleiotropic repressor</t>
  </si>
  <si>
    <t>codY</t>
  </si>
  <si>
    <t>COT18427.1</t>
  </si>
  <si>
    <t>ERS445053_01202</t>
  </si>
  <si>
    <t>amidases related to nicotinamidase</t>
  </si>
  <si>
    <t>yecD_2</t>
  </si>
  <si>
    <t>COT18438.1</t>
  </si>
  <si>
    <t>ERS445053_01203</t>
  </si>
  <si>
    <t>ERS445053_01204</t>
  </si>
  <si>
    <t>sugar ABC transporter ATP-binding protein</t>
  </si>
  <si>
    <t>ugpC</t>
  </si>
  <si>
    <t>COT18458.1</t>
  </si>
  <si>
    <t>ERS445053_01205</t>
  </si>
  <si>
    <t>methyltransferase type 11</t>
  </si>
  <si>
    <t>rebM</t>
  </si>
  <si>
    <t>COT18469.1</t>
  </si>
  <si>
    <t>ERS445053_01206</t>
  </si>
  <si>
    <t>adenine phosphoribosyltransferase</t>
  </si>
  <si>
    <t>apt</t>
  </si>
  <si>
    <t>COT18479.1</t>
  </si>
  <si>
    <t>ERS445053_01207</t>
  </si>
  <si>
    <t>homoserine O-succinyltransferase</t>
  </si>
  <si>
    <t>metA</t>
  </si>
  <si>
    <t>COT18490.1</t>
  </si>
  <si>
    <t>ERS445053_01208</t>
  </si>
  <si>
    <t>dnaD</t>
  </si>
  <si>
    <t>COT18504.1</t>
  </si>
  <si>
    <t>ERS445053_01209</t>
  </si>
  <si>
    <t>triosephosphate isomerase</t>
  </si>
  <si>
    <t>tpiA</t>
  </si>
  <si>
    <t>COT18516.1</t>
  </si>
  <si>
    <t>ERS445053_01210</t>
  </si>
  <si>
    <t>1%2C4-beta-N-acetylmuramidase</t>
  </si>
  <si>
    <t>lytC</t>
  </si>
  <si>
    <t>COT18525.1</t>
  </si>
  <si>
    <t>ERS445053_01211</t>
  </si>
  <si>
    <t>DPS family peroxide resistance protein</t>
  </si>
  <si>
    <t>dps</t>
  </si>
  <si>
    <t>COT18532.1</t>
  </si>
  <si>
    <t>ERS445053_01212</t>
  </si>
  <si>
    <t>dihydrofolate reductase</t>
  </si>
  <si>
    <t>dhfR</t>
  </si>
  <si>
    <t>COT18540.1</t>
  </si>
  <si>
    <t>ERS445053_01213</t>
  </si>
  <si>
    <t>COT18549.1</t>
  </si>
  <si>
    <t>ERS445053_01214</t>
  </si>
  <si>
    <t>ATP-dependent Clp protease%2C ATP-binding subunit ClpX</t>
  </si>
  <si>
    <t>clpX</t>
  </si>
  <si>
    <t>COT18558.1</t>
  </si>
  <si>
    <t>ERS445053_01215</t>
  </si>
  <si>
    <t>ribosome biogenesis GTP-binding protein YsxC</t>
  </si>
  <si>
    <t>engB</t>
  </si>
  <si>
    <t>COT18569.1</t>
  </si>
  <si>
    <t>ERS445053_01216</t>
  </si>
  <si>
    <t>endoribonuclease L-PSP</t>
  </si>
  <si>
    <t>tdcF</t>
  </si>
  <si>
    <t>COT18581.1</t>
  </si>
  <si>
    <t>ERS445053_01217</t>
  </si>
  <si>
    <t>P-loop-containing kinase</t>
  </si>
  <si>
    <t>yvcJ</t>
  </si>
  <si>
    <t>COT18592.1</t>
  </si>
  <si>
    <t>ERS445053_01218</t>
  </si>
  <si>
    <t>COT18602.1</t>
  </si>
  <si>
    <t>ERS445053_01219</t>
  </si>
  <si>
    <t>putative sporulation transcription regulator whiA</t>
  </si>
  <si>
    <t>whiA</t>
  </si>
  <si>
    <t>COT18613.1</t>
  </si>
  <si>
    <t>ERS445053_01220</t>
  </si>
  <si>
    <t>thioredoxin reductase</t>
  </si>
  <si>
    <t>yumC</t>
  </si>
  <si>
    <t>COT18626.1</t>
  </si>
  <si>
    <t>ERS445053_01221</t>
  </si>
  <si>
    <t>Hypothetical protein YbbP%2C contains nucleotide-binding domain of DisA bacterial checkpoint controller</t>
  </si>
  <si>
    <t>ybbP</t>
  </si>
  <si>
    <t>COT18636.1</t>
  </si>
  <si>
    <t>ERS445053_01222</t>
  </si>
  <si>
    <t>COT18652.1</t>
  </si>
  <si>
    <t>ERS445053_01223</t>
  </si>
  <si>
    <t>phosphoglucosamine mutase</t>
  </si>
  <si>
    <t>glmM</t>
  </si>
  <si>
    <t>COT18657.1</t>
  </si>
  <si>
    <t>ERS445053_01224</t>
  </si>
  <si>
    <t>COT18669.1</t>
  </si>
  <si>
    <t>ERS445053_01225</t>
  </si>
  <si>
    <t>DegV family protein</t>
  </si>
  <si>
    <t>COT18676.1</t>
  </si>
  <si>
    <t>ERS445053_01226</t>
  </si>
  <si>
    <t>dihydrodipicolinate reductase</t>
  </si>
  <si>
    <t>dapB</t>
  </si>
  <si>
    <t>COT18685.1</t>
  </si>
  <si>
    <t>ERS445053_01227</t>
  </si>
  <si>
    <t>tRNA nucleotidyltransferase</t>
  </si>
  <si>
    <t>pcnB</t>
  </si>
  <si>
    <t>COT18696.1</t>
  </si>
  <si>
    <t>ERS445053_01228</t>
  </si>
  <si>
    <t>ATPase component of ABC transporter with duplicated ATPase domains</t>
  </si>
  <si>
    <t>COT18709.1</t>
  </si>
  <si>
    <t>ERS445053_01229</t>
  </si>
  <si>
    <t>cation efflux family protein</t>
  </si>
  <si>
    <t>fieF</t>
  </si>
  <si>
    <t>COT18723.1</t>
  </si>
  <si>
    <t>ERS445053_01230</t>
  </si>
  <si>
    <t>cation transporter E1-E2 family ATPase</t>
  </si>
  <si>
    <t>pacL</t>
  </si>
  <si>
    <t>COT18738.1</t>
  </si>
  <si>
    <t>ERS445053_01232</t>
  </si>
  <si>
    <t>putative S-transferase</t>
  </si>
  <si>
    <t>yghU</t>
  </si>
  <si>
    <t>COT18753.1</t>
  </si>
  <si>
    <t>ERS445053_01233</t>
  </si>
  <si>
    <t>polypeptide deformylase</t>
  </si>
  <si>
    <t>def_1</t>
  </si>
  <si>
    <t>COT18764.1</t>
  </si>
  <si>
    <t>ERS445053_01234</t>
  </si>
  <si>
    <t>COT18778.1</t>
  </si>
  <si>
    <t>ERS445053_01235</t>
  </si>
  <si>
    <t>COT18785.1</t>
  </si>
  <si>
    <t>ERS445053_01236</t>
  </si>
  <si>
    <t>protein YaaA</t>
  </si>
  <si>
    <t>yaaA</t>
  </si>
  <si>
    <t>COT18795.1</t>
  </si>
  <si>
    <t>ERS445053_01237</t>
  </si>
  <si>
    <t>flavoprotein</t>
  </si>
  <si>
    <t>COT18808.1</t>
  </si>
  <si>
    <t>ERS445053_01238</t>
  </si>
  <si>
    <t>peptidase propeptide and ypeb domain-containing protein</t>
  </si>
  <si>
    <t>COT18818.1</t>
  </si>
  <si>
    <t>ERS445053_01239</t>
  </si>
  <si>
    <t>aspartate/tyrosine/aromatic aminotransferase</t>
  </si>
  <si>
    <t>COT18829.1</t>
  </si>
  <si>
    <t>ERS445053_01240</t>
  </si>
  <si>
    <t>lactoylglutathione lyase</t>
  </si>
  <si>
    <t>COT18841.1</t>
  </si>
  <si>
    <t>ERS445053_01241</t>
  </si>
  <si>
    <t>asparaginyl-tRNA synthetase</t>
  </si>
  <si>
    <t>asnC</t>
  </si>
  <si>
    <t>COT18848.1</t>
  </si>
  <si>
    <t>ERS445053_01242</t>
  </si>
  <si>
    <t>30S ribosomal protein S6</t>
  </si>
  <si>
    <t>rpsF</t>
  </si>
  <si>
    <t>COT18864.1</t>
  </si>
  <si>
    <t>ERS445053_01243</t>
  </si>
  <si>
    <t>single-stranded DNA-binding protein</t>
  </si>
  <si>
    <t>ssbA</t>
  </si>
  <si>
    <t>COT18875.1</t>
  </si>
  <si>
    <t>ERS445053_01244</t>
  </si>
  <si>
    <t>SSU ribosomal protein S18p @ SSU ribosomal protein S18p%2C zinc-independent</t>
  </si>
  <si>
    <t>rpsR</t>
  </si>
  <si>
    <t>COT18888.1</t>
  </si>
  <si>
    <t>ERS445053_01245</t>
  </si>
  <si>
    <t>HAD superfamily hydrolase</t>
  </si>
  <si>
    <t>COT18900.1</t>
  </si>
  <si>
    <t>ERS445053_01246</t>
  </si>
  <si>
    <t>RNA binding protein</t>
  </si>
  <si>
    <t>yugI</t>
  </si>
  <si>
    <t>COT18910.1</t>
  </si>
  <si>
    <t>ERS445053_01247</t>
  </si>
  <si>
    <t>S-adenosylmethionine-dependent methyltransferase</t>
  </si>
  <si>
    <t>COT18918.1</t>
  </si>
  <si>
    <t>ERS445053_01248</t>
  </si>
  <si>
    <t>GIY-YIG domain-containing protein</t>
  </si>
  <si>
    <t>COT18926.1</t>
  </si>
  <si>
    <t>ERS445053_01249</t>
  </si>
  <si>
    <t>manganese-dependent inorganic pyrophosphatase</t>
  </si>
  <si>
    <t>ppaC</t>
  </si>
  <si>
    <t>COT18936.1</t>
  </si>
  <si>
    <t>ERS445053_01250</t>
  </si>
  <si>
    <t>UDP-N-acetylmuramoylalanyl-D-glutamate--2%2C 6-diaminopimelate ligase</t>
  </si>
  <si>
    <t>murE2</t>
  </si>
  <si>
    <t>COT18955.1</t>
  </si>
  <si>
    <t>ERS445053_01251</t>
  </si>
  <si>
    <t>FIG01114725: hypothetical protein</t>
  </si>
  <si>
    <t>COT18968.1</t>
  </si>
  <si>
    <t>ERS445053_01252</t>
  </si>
  <si>
    <t>COT18981.1</t>
  </si>
  <si>
    <t>ERS445053_01253</t>
  </si>
  <si>
    <t>COT18992.1</t>
  </si>
  <si>
    <t>ERS445053_01254</t>
  </si>
  <si>
    <t>UDP-N-acetylmuramyl tripeptide synthase MurE</t>
  </si>
  <si>
    <t>murE</t>
  </si>
  <si>
    <t>COT19001.1</t>
  </si>
  <si>
    <t>ERS445053_01255</t>
  </si>
  <si>
    <t>polysaccharide biosynthesis protein</t>
  </si>
  <si>
    <t>ytgP</t>
  </si>
  <si>
    <t>COT19012.1</t>
  </si>
  <si>
    <t>ERS445053_01256</t>
  </si>
  <si>
    <t>oligopeptide binding lipoprotein</t>
  </si>
  <si>
    <t>sarA_1</t>
  </si>
  <si>
    <t>COT19023.1</t>
  </si>
  <si>
    <t>ERS445053_01257</t>
  </si>
  <si>
    <t>bmrA_1</t>
  </si>
  <si>
    <t>COT19032.1</t>
  </si>
  <si>
    <t>ERS445053_01258</t>
  </si>
  <si>
    <t>ABC transporter</t>
  </si>
  <si>
    <t>bmrA_2</t>
  </si>
  <si>
    <t>COT19044.1</t>
  </si>
  <si>
    <t>ERS445053_01259</t>
  </si>
  <si>
    <t>lmrA</t>
  </si>
  <si>
    <t>COT19055.1</t>
  </si>
  <si>
    <t>ERS445053_01260</t>
  </si>
  <si>
    <t>cystathionine gamma-synthase</t>
  </si>
  <si>
    <t>metI</t>
  </si>
  <si>
    <t>COT19064.1</t>
  </si>
  <si>
    <t>ERS445053_01261</t>
  </si>
  <si>
    <t>MalY%2C bifunctional PLP-dependent enzyme</t>
  </si>
  <si>
    <t>patB</t>
  </si>
  <si>
    <t>COT19075.1</t>
  </si>
  <si>
    <t>ERS445053_01262</t>
  </si>
  <si>
    <t>putative SNF-family helicase</t>
  </si>
  <si>
    <t>COT19086.1</t>
  </si>
  <si>
    <t>ERS445053_01263</t>
  </si>
  <si>
    <t>ATP-binding protein</t>
  </si>
  <si>
    <t>COT19102.1</t>
  </si>
  <si>
    <t>ERS445053_01264</t>
  </si>
  <si>
    <t>UDP-N-acetylmuramate-alanine ligase</t>
  </si>
  <si>
    <t>murC</t>
  </si>
  <si>
    <t>COT19114.1</t>
  </si>
  <si>
    <t>ERS445053_01265</t>
  </si>
  <si>
    <t>COT19123.1</t>
  </si>
  <si>
    <t>ERS445053_01266</t>
  </si>
  <si>
    <t>COT19132.1</t>
  </si>
  <si>
    <t>ERS445053_01267</t>
  </si>
  <si>
    <t>aminodeoxychorismate lyase</t>
  </si>
  <si>
    <t>yceG</t>
  </si>
  <si>
    <t>COT19141.1</t>
  </si>
  <si>
    <t>ERS445053_01268</t>
  </si>
  <si>
    <t>transcription elongation factor GreA</t>
  </si>
  <si>
    <t>greA</t>
  </si>
  <si>
    <t>COT19147.1</t>
  </si>
  <si>
    <t>ERS445053_01269</t>
  </si>
  <si>
    <t>COT19161.1</t>
  </si>
  <si>
    <t>ERS445053_01270</t>
  </si>
  <si>
    <t>COT19171.1</t>
  </si>
  <si>
    <t>ERS445053_01271</t>
  </si>
  <si>
    <t>IS1239 transposase</t>
  </si>
  <si>
    <t>COT19182.1</t>
  </si>
  <si>
    <t>ERS445053_01272</t>
  </si>
  <si>
    <t>F0F1 ATP synthase subunit C</t>
  </si>
  <si>
    <t>atpE</t>
  </si>
  <si>
    <t>COT19193.1</t>
  </si>
  <si>
    <t>ERS445053_01273</t>
  </si>
  <si>
    <t>ATP synthase F0 subunit A</t>
  </si>
  <si>
    <t>atpB</t>
  </si>
  <si>
    <t>COT19203.1</t>
  </si>
  <si>
    <t>ERS445053_01274</t>
  </si>
  <si>
    <t>proton-translocating ATPase%2C F0 sector%2C subunit b</t>
  </si>
  <si>
    <t>atpF</t>
  </si>
  <si>
    <t>COT19213.1</t>
  </si>
  <si>
    <t>ERS445053_01275</t>
  </si>
  <si>
    <t>proton-translocating ATPase%2C F1 sector%2C delta-subunit</t>
  </si>
  <si>
    <t>atpH</t>
  </si>
  <si>
    <t>COT19222.1</t>
  </si>
  <si>
    <t>ERS445053_01276</t>
  </si>
  <si>
    <t>ATP synthase subunit alpha</t>
  </si>
  <si>
    <t>atpA</t>
  </si>
  <si>
    <t>COT19234.1</t>
  </si>
  <si>
    <t>ERS445053_01277</t>
  </si>
  <si>
    <t>proton-translocating ATPase%2C F1 sector%2C gamma-subunit</t>
  </si>
  <si>
    <t>atpG</t>
  </si>
  <si>
    <t>COT19245.1</t>
  </si>
  <si>
    <t>ERS445053_01278</t>
  </si>
  <si>
    <t>F0F1 ATP synthase subunit beta</t>
  </si>
  <si>
    <t>atpD</t>
  </si>
  <si>
    <t>COT19252.1</t>
  </si>
  <si>
    <t>ERS445053_01279</t>
  </si>
  <si>
    <t>proton-translocating ATPase%2C F1 sector%2C epsilon-subunit</t>
  </si>
  <si>
    <t>atpC</t>
  </si>
  <si>
    <t>COT19262.1</t>
  </si>
  <si>
    <t>ERS445053_01280</t>
  </si>
  <si>
    <t>3-carboxymuconate cyclase</t>
  </si>
  <si>
    <t>ybhE</t>
  </si>
  <si>
    <t>COT19269.1</t>
  </si>
  <si>
    <t>ERS445053_01281</t>
  </si>
  <si>
    <t>transport protein</t>
  </si>
  <si>
    <t>yhhT_1</t>
  </si>
  <si>
    <t>COT19277.1</t>
  </si>
  <si>
    <t>ERS445053_01282</t>
  </si>
  <si>
    <t>TPR domain protein</t>
  </si>
  <si>
    <t>COT19284.1</t>
  </si>
  <si>
    <t>ERS445053_01283</t>
  </si>
  <si>
    <t>yecS_2</t>
  </si>
  <si>
    <t>COT19292.1</t>
  </si>
  <si>
    <t>ERS445053_01284</t>
  </si>
  <si>
    <t>amino acid ABC transporter ATP-binding protein</t>
  </si>
  <si>
    <t>glnQ_1</t>
  </si>
  <si>
    <t>COT19305.1</t>
  </si>
  <si>
    <t>ERS445053_01285</t>
  </si>
  <si>
    <t>glutamine ABC transporter substrate-binding protein</t>
  </si>
  <si>
    <t>artP_2</t>
  </si>
  <si>
    <t>COT19312.1</t>
  </si>
  <si>
    <t>ERS445053_01286</t>
  </si>
  <si>
    <t>thioredoxin%2C bacteriocin transport accessory protein</t>
  </si>
  <si>
    <t>COT19323.1</t>
  </si>
  <si>
    <t>ERS445053_01287</t>
  </si>
  <si>
    <t>phosphoglucomutase</t>
  </si>
  <si>
    <t>pgmA</t>
  </si>
  <si>
    <t>COT19330.1</t>
  </si>
  <si>
    <t>ERS445053_01288</t>
  </si>
  <si>
    <t>COT19345.1</t>
  </si>
  <si>
    <t>ERS445053_01289</t>
  </si>
  <si>
    <t>COT19360.1</t>
  </si>
  <si>
    <t>ERS445053_01290</t>
  </si>
  <si>
    <t>putative sortase-sorted surface anchored protein (pseudogene)</t>
  </si>
  <si>
    <t>inlJ</t>
  </si>
  <si>
    <t>COT19368.1</t>
  </si>
  <si>
    <t>ERS445053_01291</t>
  </si>
  <si>
    <t>COT19377.1</t>
  </si>
  <si>
    <t>ERS445053_01292</t>
  </si>
  <si>
    <t>glycerol facilitator-aquaporin</t>
  </si>
  <si>
    <t>gla</t>
  </si>
  <si>
    <t>COT19387.1</t>
  </si>
  <si>
    <t>ERS445053_01293</t>
  </si>
  <si>
    <t>elongation factor Tu</t>
  </si>
  <si>
    <t>tuf</t>
  </si>
  <si>
    <t>COT19398.1</t>
  </si>
  <si>
    <t>ERS445053_01294</t>
  </si>
  <si>
    <t>COT19409.1</t>
  </si>
  <si>
    <t>ERS445053_01295</t>
  </si>
  <si>
    <t>COT19419.1</t>
  </si>
  <si>
    <t>ERS445053_01296</t>
  </si>
  <si>
    <t>cshA_2</t>
  </si>
  <si>
    <t>COT19427.1</t>
  </si>
  <si>
    <t>ERS445053_01297</t>
  </si>
  <si>
    <t>mocA</t>
  </si>
  <si>
    <t>COT19435.1</t>
  </si>
  <si>
    <t>ERS445053_01298</t>
  </si>
  <si>
    <t>COT19443.1</t>
  </si>
  <si>
    <t>ERS445053_01299</t>
  </si>
  <si>
    <t>peptidoglycan N-acetylglucosamine deacetylase A</t>
  </si>
  <si>
    <t>pgdA</t>
  </si>
  <si>
    <t>COT19452.1</t>
  </si>
  <si>
    <t>ERS445053_01300</t>
  </si>
  <si>
    <t>2%2C5-diketo-D-gluconic acid reductase A</t>
  </si>
  <si>
    <t>yvgN</t>
  </si>
  <si>
    <t>COT19460.1</t>
  </si>
  <si>
    <t>ERS445053_01301</t>
  </si>
  <si>
    <t>COT19470.1</t>
  </si>
  <si>
    <t>ERS445053_01302</t>
  </si>
  <si>
    <t>COT19472.1</t>
  </si>
  <si>
    <t>ERS445053_01303</t>
  </si>
  <si>
    <t>glycyl-tRNA synthetase alpha subunit</t>
  </si>
  <si>
    <t>glyQ</t>
  </si>
  <si>
    <t>COT19481.1</t>
  </si>
  <si>
    <t>ERS445053_01304</t>
  </si>
  <si>
    <t>glycyl-tRNA synthetase beta subunit</t>
  </si>
  <si>
    <t>glyS</t>
  </si>
  <si>
    <t>COT19490.1</t>
  </si>
  <si>
    <t>ERS445053_01305</t>
  </si>
  <si>
    <t>FIG01114118: hypothetical protein</t>
  </si>
  <si>
    <t>ynzC</t>
  </si>
  <si>
    <t>COT19500.1</t>
  </si>
  <si>
    <t>ERS445053_01306</t>
  </si>
  <si>
    <t>flavin reductase</t>
  </si>
  <si>
    <t>azr_1</t>
  </si>
  <si>
    <t>COT19510.1</t>
  </si>
  <si>
    <t>ERS445053_01307</t>
  </si>
  <si>
    <t>NADPH-dependent FMN reductase domain-containing protein</t>
  </si>
  <si>
    <t>azr_2</t>
  </si>
  <si>
    <t>COT19518.1</t>
  </si>
  <si>
    <t>ERS445053_01308</t>
  </si>
  <si>
    <t>thiamine biosynthesis lipoprotein</t>
  </si>
  <si>
    <t>apbE</t>
  </si>
  <si>
    <t>COT19527.1</t>
  </si>
  <si>
    <t>ERS445053_01309</t>
  </si>
  <si>
    <t>NADH oxidase</t>
  </si>
  <si>
    <t>COT19538.1</t>
  </si>
  <si>
    <t>ERS445053_01310</t>
  </si>
  <si>
    <t>pyridoxal biosynthesis lyase PdxS</t>
  </si>
  <si>
    <t>pdx1</t>
  </si>
  <si>
    <t>COT19546.1</t>
  </si>
  <si>
    <t>ERS445053_01311</t>
  </si>
  <si>
    <t>glutamine amidotransferase subunit PdxT</t>
  </si>
  <si>
    <t>pdxT</t>
  </si>
  <si>
    <t>COT19555.1</t>
  </si>
  <si>
    <t>ERS445053_01312</t>
  </si>
  <si>
    <t>hlyIII superfamily protein</t>
  </si>
  <si>
    <t>yqfA</t>
  </si>
  <si>
    <t>COT19565.1</t>
  </si>
  <si>
    <t>ERS445053_01313</t>
  </si>
  <si>
    <t>BS_ykrK family protein</t>
  </si>
  <si>
    <t>COT19573.1</t>
  </si>
  <si>
    <t>ERS445053_01314</t>
  </si>
  <si>
    <t>COT19580.1</t>
  </si>
  <si>
    <t>ERS445053_01315</t>
  </si>
  <si>
    <t>O6-methylguanine-DNA methyltransferase</t>
  </si>
  <si>
    <t>ogt</t>
  </si>
  <si>
    <t>COT19594.1</t>
  </si>
  <si>
    <t>ERS445053_01316</t>
  </si>
  <si>
    <t>ArsC family protein</t>
  </si>
  <si>
    <t>spxA_2</t>
  </si>
  <si>
    <t>COT19605.1</t>
  </si>
  <si>
    <t>ERS445053_01317</t>
  </si>
  <si>
    <t>aspartate/glutamate ABC transporter permease</t>
  </si>
  <si>
    <t>yxeN</t>
  </si>
  <si>
    <t>COT19615.1</t>
  </si>
  <si>
    <t>ERS445053_01318</t>
  </si>
  <si>
    <t>aspartate/glutamate ABC transporter ATP-binding protein</t>
  </si>
  <si>
    <t>tcyN</t>
  </si>
  <si>
    <t>COT19630.1</t>
  </si>
  <si>
    <t>ERS445053_01319</t>
  </si>
  <si>
    <t>COT19652.1</t>
  </si>
  <si>
    <t>ERS445053_01320</t>
  </si>
  <si>
    <t>trxA_3</t>
  </si>
  <si>
    <t>COT19662.1</t>
  </si>
  <si>
    <t>ERS445053_01321</t>
  </si>
  <si>
    <t>TrmH family RNA methyltransferase group 3</t>
  </si>
  <si>
    <t>COT19670.1</t>
  </si>
  <si>
    <t>ERS445053_01322</t>
  </si>
  <si>
    <t>peptide deformylase</t>
  </si>
  <si>
    <t>def_2</t>
  </si>
  <si>
    <t>COT19679.1</t>
  </si>
  <si>
    <t>ERS445053_01323</t>
  </si>
  <si>
    <t>CapA domain-containing protein</t>
  </si>
  <si>
    <t>COT19691.1</t>
  </si>
  <si>
    <t>ERS445053_01324</t>
  </si>
  <si>
    <t>COT19704.1</t>
  </si>
  <si>
    <t>ERS445053_01325</t>
  </si>
  <si>
    <t>hydrolase</t>
  </si>
  <si>
    <t>supH</t>
  </si>
  <si>
    <t>COT19713.1</t>
  </si>
  <si>
    <t>ERS445053_01326</t>
  </si>
  <si>
    <t>lysophospholipase l1-like esterase</t>
  </si>
  <si>
    <t>COT19724.1</t>
  </si>
  <si>
    <t>ERS445053_01327</t>
  </si>
  <si>
    <t>cppA protein</t>
  </si>
  <si>
    <t>cppA</t>
  </si>
  <si>
    <t>COT19734.1</t>
  </si>
  <si>
    <t>ERS445053_01328</t>
  </si>
  <si>
    <t>COT19746.1</t>
  </si>
  <si>
    <t>ERS445053_01329</t>
  </si>
  <si>
    <t>yicL_2</t>
  </si>
  <si>
    <t>COT19751.1</t>
  </si>
  <si>
    <t>ERS445053_01330</t>
  </si>
  <si>
    <t>yvoA_2</t>
  </si>
  <si>
    <t>COT19759.1</t>
  </si>
  <si>
    <t>ERS445053_01331</t>
  </si>
  <si>
    <t>GMP synthase</t>
  </si>
  <si>
    <t>guaA_2</t>
  </si>
  <si>
    <t>COT19766.1</t>
  </si>
  <si>
    <t>ERS445053_01332</t>
  </si>
  <si>
    <t>IS66 family element%2C orf1</t>
  </si>
  <si>
    <t>COT19772.1</t>
  </si>
  <si>
    <t>ERS445053_01333</t>
  </si>
  <si>
    <t>IS66-Spn1 transposase</t>
  </si>
  <si>
    <t>COT19777.1</t>
  </si>
  <si>
    <t>ERS445053_01334</t>
  </si>
  <si>
    <t>COT19786.1</t>
  </si>
  <si>
    <t>ERS445053_01335</t>
  </si>
  <si>
    <t>COT19791.1</t>
  </si>
  <si>
    <t>ERS445053_01336</t>
  </si>
  <si>
    <t>cobalt ABC transporter ATPase component%2C CbiO</t>
  </si>
  <si>
    <t>ykoD_1</t>
  </si>
  <si>
    <t>COT19800.1</t>
  </si>
  <si>
    <t>ERS445053_01337</t>
  </si>
  <si>
    <t>cobalt transport protein</t>
  </si>
  <si>
    <t>ykoC</t>
  </si>
  <si>
    <t>COT19809.1</t>
  </si>
  <si>
    <t>ERS445053_01338</t>
  </si>
  <si>
    <t>COT19819.1</t>
  </si>
  <si>
    <t>ERS445053_01339</t>
  </si>
  <si>
    <t>ndvA</t>
  </si>
  <si>
    <t>COT19829.1</t>
  </si>
  <si>
    <t>ERS445053_01340</t>
  </si>
  <si>
    <t>irtA</t>
  </si>
  <si>
    <t>COT19839.1</t>
  </si>
  <si>
    <t>ERS445053_01341</t>
  </si>
  <si>
    <t>AraC family transcriptional regulator</t>
  </si>
  <si>
    <t>soxS</t>
  </si>
  <si>
    <t>COT19847.1</t>
  </si>
  <si>
    <t>ERS445053_01342</t>
  </si>
  <si>
    <t>DNA modification methyltransferase M.XbaI</t>
  </si>
  <si>
    <t>yhdJ</t>
  </si>
  <si>
    <t>COT19854.1</t>
  </si>
  <si>
    <t>ERS445053_01343</t>
  </si>
  <si>
    <t>restriction endonuclease R.XbaI</t>
  </si>
  <si>
    <t>COT19861.1</t>
  </si>
  <si>
    <t>ERS445053_01344</t>
  </si>
  <si>
    <t>restriction endonuclease (pseudogene)</t>
  </si>
  <si>
    <t>COT19869.1</t>
  </si>
  <si>
    <t>ERS445053_01345</t>
  </si>
  <si>
    <t>U32 family peptidase</t>
  </si>
  <si>
    <t>yhbU_1</t>
  </si>
  <si>
    <t>COT19876.1</t>
  </si>
  <si>
    <t>ERS445053_01346</t>
  </si>
  <si>
    <t>peptidase%2C U32 family</t>
  </si>
  <si>
    <t>COT19886.1</t>
  </si>
  <si>
    <t>ERS445053_01347</t>
  </si>
  <si>
    <t>artM_2</t>
  </si>
  <si>
    <t>COT19896.1</t>
  </si>
  <si>
    <t>ERS445053_01348</t>
  </si>
  <si>
    <t>COT19904.1</t>
  </si>
  <si>
    <t>ERS445053_01349</t>
  </si>
  <si>
    <t>transcriptional repressor</t>
  </si>
  <si>
    <t>COT19914.1</t>
  </si>
  <si>
    <t>ERS445053_01350</t>
  </si>
  <si>
    <t>COT19924.1</t>
  </si>
  <si>
    <t>ERS445053_01351</t>
  </si>
  <si>
    <t>nicotinate phosphoribosyltransferase</t>
  </si>
  <si>
    <t>COT19932.1</t>
  </si>
  <si>
    <t>ERS445053_01352</t>
  </si>
  <si>
    <t>NAD+ synthetase</t>
  </si>
  <si>
    <t>nadE</t>
  </si>
  <si>
    <t>COT19941.1</t>
  </si>
  <si>
    <t>ERS445053_01353</t>
  </si>
  <si>
    <t>ydaF_2</t>
  </si>
  <si>
    <t>COT19951.1</t>
  </si>
  <si>
    <t>ERS445053_01354</t>
  </si>
  <si>
    <t>COT19960.1</t>
  </si>
  <si>
    <t>ERS445053_01355</t>
  </si>
  <si>
    <t>choline binding protein</t>
  </si>
  <si>
    <t>lytA_5</t>
  </si>
  <si>
    <t>COT19970.1</t>
  </si>
  <si>
    <t>ERS445053_01356</t>
  </si>
  <si>
    <t>S-adenosylmethionine:tRNA ribosyltransferase-isomerase</t>
  </si>
  <si>
    <t>queA</t>
  </si>
  <si>
    <t>COT19979.1</t>
  </si>
  <si>
    <t>ERS445053_01357</t>
  </si>
  <si>
    <t>6-phosphogluconolactonase/Glucosamine-6-phosphateisomerase/deaminase</t>
  </si>
  <si>
    <t>nagB</t>
  </si>
  <si>
    <t>COT19989.1</t>
  </si>
  <si>
    <t>ERS445053_01358</t>
  </si>
  <si>
    <t>30S ribosomal protein S21</t>
  </si>
  <si>
    <t>rpsU</t>
  </si>
  <si>
    <t>COT19997.1</t>
  </si>
  <si>
    <t>ERS445053_01359</t>
  </si>
  <si>
    <t>HPr kinase/phosphorylase</t>
  </si>
  <si>
    <t>hprK</t>
  </si>
  <si>
    <t>COT20004.1</t>
  </si>
  <si>
    <t>ERS445053_01360</t>
  </si>
  <si>
    <t>prolipoprotein diacylglyceryl transferase</t>
  </si>
  <si>
    <t>lgt</t>
  </si>
  <si>
    <t>COT20012.1</t>
  </si>
  <si>
    <t>ERS445053_01361</t>
  </si>
  <si>
    <t>methyl-accepting chemotaxis family domain-containing protein</t>
  </si>
  <si>
    <t>COT20022.1</t>
  </si>
  <si>
    <t>ERS445053_01362</t>
  </si>
  <si>
    <t>exported hydrophilic protein</t>
  </si>
  <si>
    <t>COT20029.1</t>
  </si>
  <si>
    <t>ERS445053_01363</t>
  </si>
  <si>
    <t>Coproporphyrinogen III oxidase%2C oxygen-independent coproporphyrinogen III oxidase</t>
  </si>
  <si>
    <t>hemN</t>
  </si>
  <si>
    <t>COT20037.1</t>
  </si>
  <si>
    <t>ERS445053_01364</t>
  </si>
  <si>
    <t>acyl-ACP thioesterase</t>
  </si>
  <si>
    <t>COT20049.1</t>
  </si>
  <si>
    <t>ERS445053_01365</t>
  </si>
  <si>
    <t>COG0647: sugar phosphatases of the HAD superfamily%2C N-acetyl-glucosamine catabolism protein</t>
  </si>
  <si>
    <t>yutF</t>
  </si>
  <si>
    <t>COT20056.1</t>
  </si>
  <si>
    <t>ERS445053_01366</t>
  </si>
  <si>
    <t>COT20065.1</t>
  </si>
  <si>
    <t>ERS445053_01367</t>
  </si>
  <si>
    <t>spxA_3</t>
  </si>
  <si>
    <t>COT20072.1</t>
  </si>
  <si>
    <t>ERS445053_01368</t>
  </si>
  <si>
    <t>COT20084.1</t>
  </si>
  <si>
    <t>ERS445053_01369</t>
  </si>
  <si>
    <t>inositol monophosphatase</t>
  </si>
  <si>
    <t>suhB</t>
  </si>
  <si>
    <t>COT20095.1</t>
  </si>
  <si>
    <t>ERS445053_01370</t>
  </si>
  <si>
    <t>NOL1/NOP2/sun family protein</t>
  </si>
  <si>
    <t>rsmF</t>
  </si>
  <si>
    <t>COT20107.1</t>
  </si>
  <si>
    <t>ERS445053_01371</t>
  </si>
  <si>
    <t>phosphate-binding protein PstS 1</t>
  </si>
  <si>
    <t>pstS_2</t>
  </si>
  <si>
    <t>COT20127.1</t>
  </si>
  <si>
    <t>ERS445053_01372</t>
  </si>
  <si>
    <t>phosphate transport protein PstC</t>
  </si>
  <si>
    <t>pstC_2</t>
  </si>
  <si>
    <t>COT20136.1</t>
  </si>
  <si>
    <t>ERS445053_01373</t>
  </si>
  <si>
    <t>phosphate ABC transporter permeae PstA</t>
  </si>
  <si>
    <t>pstA_2</t>
  </si>
  <si>
    <t>COT20146.1</t>
  </si>
  <si>
    <t>ERS445053_01374</t>
  </si>
  <si>
    <t>ABC transporter%2C ATP-binding protein-phosphate transport%2C (Phosphate-transporting ATPase 2)</t>
  </si>
  <si>
    <t>pstB2</t>
  </si>
  <si>
    <t>COT20163.1</t>
  </si>
  <si>
    <t>ERS445053_01375</t>
  </si>
  <si>
    <t>phosphate ABC transporter ATP-binding protein</t>
  </si>
  <si>
    <t>pstB3_2</t>
  </si>
  <si>
    <t>COT20172.1</t>
  </si>
  <si>
    <t>ERS445053_01376</t>
  </si>
  <si>
    <t>phoU_2</t>
  </si>
  <si>
    <t>COT20183.1</t>
  </si>
  <si>
    <t>ERS445053_01377</t>
  </si>
  <si>
    <t>glnH</t>
  </si>
  <si>
    <t>COT20193.1</t>
  </si>
  <si>
    <t>ERS445053_01378</t>
  </si>
  <si>
    <t>yjiR</t>
  </si>
  <si>
    <t>COT20203.1</t>
  </si>
  <si>
    <t>ERS445053_01379</t>
  </si>
  <si>
    <t>alpha-acetolactate decarboxylase</t>
  </si>
  <si>
    <t>aldC</t>
  </si>
  <si>
    <t>COT20212.1</t>
  </si>
  <si>
    <t>ERS445053_01380</t>
  </si>
  <si>
    <t>Predicted membrane protein</t>
  </si>
  <si>
    <t>COT20223.1</t>
  </si>
  <si>
    <t>ERS445053_01381</t>
  </si>
  <si>
    <t>UDP-N-acetylmuramate dehydrogenase</t>
  </si>
  <si>
    <t>murB</t>
  </si>
  <si>
    <t>COT20229.1</t>
  </si>
  <si>
    <t>ERS445053_01382</t>
  </si>
  <si>
    <t>spermidine/putrescine transport ATP-binding protein</t>
  </si>
  <si>
    <t>potA_2</t>
  </si>
  <si>
    <t>COT20244.1</t>
  </si>
  <si>
    <t>ERS445053_01383</t>
  </si>
  <si>
    <t>spermidine/putrescine ABC transporter permease</t>
  </si>
  <si>
    <t>potB_2</t>
  </si>
  <si>
    <t>COT20254.1</t>
  </si>
  <si>
    <t>ERS445053_01384</t>
  </si>
  <si>
    <t>ydcV</t>
  </si>
  <si>
    <t>COT20262.1</t>
  </si>
  <si>
    <t>ERS445053_01385</t>
  </si>
  <si>
    <t>ABC transporter%2C spermidine/putrescine-binding protein</t>
  </si>
  <si>
    <t>potD_2</t>
  </si>
  <si>
    <t>COT20269.1</t>
  </si>
  <si>
    <t>ERS445053_01386</t>
  </si>
  <si>
    <t>FIG01115027: hypothetical protein</t>
  </si>
  <si>
    <t>COT20276.1</t>
  </si>
  <si>
    <t>ERS445053_01388</t>
  </si>
  <si>
    <t>alanyl-tRNA synthetase</t>
  </si>
  <si>
    <t>alaS</t>
  </si>
  <si>
    <t>COT20283.1</t>
  </si>
  <si>
    <t>ERS445053_01389</t>
  </si>
  <si>
    <t>alpha-amylase</t>
  </si>
  <si>
    <t>amyS</t>
  </si>
  <si>
    <t>COT20290.1</t>
  </si>
  <si>
    <t>ERS445053_01390</t>
  </si>
  <si>
    <t>ecsA_3</t>
  </si>
  <si>
    <t>COT20299.1</t>
  </si>
  <si>
    <t>ERS445053_01391</t>
  </si>
  <si>
    <t>COT20307.1</t>
  </si>
  <si>
    <t>ERS445053_01392</t>
  </si>
  <si>
    <t>putative SAM-dependent methyltransferase</t>
  </si>
  <si>
    <t>rlmI</t>
  </si>
  <si>
    <t>COT20314.1</t>
  </si>
  <si>
    <t>ERS445053_01393</t>
  </si>
  <si>
    <t>3-dehydroquinate dehydratase%2C (3-dehydroquinase) (type I DHQase)</t>
  </si>
  <si>
    <t>aroD</t>
  </si>
  <si>
    <t>COT20322.1</t>
  </si>
  <si>
    <t>ERS445053_01394</t>
  </si>
  <si>
    <t>shikimate 5-dehydrogenase</t>
  </si>
  <si>
    <t>aroE</t>
  </si>
  <si>
    <t>COT20332.1</t>
  </si>
  <si>
    <t>ERS445053_01395</t>
  </si>
  <si>
    <t>aroB</t>
  </si>
  <si>
    <t>COT20342.1</t>
  </si>
  <si>
    <t>ERS445053_01396</t>
  </si>
  <si>
    <t>chorismate synthase%2C (5-enolpyruvylshikimate-3-phosphate phospholyase)</t>
  </si>
  <si>
    <t>aroC</t>
  </si>
  <si>
    <t>COT20356.1</t>
  </si>
  <si>
    <t>ERS445053_01397</t>
  </si>
  <si>
    <t>prephenate dehydrogenase</t>
  </si>
  <si>
    <t>tyrC</t>
  </si>
  <si>
    <t>COT20367.1</t>
  </si>
  <si>
    <t>ERS445053_01398</t>
  </si>
  <si>
    <t>3-phosphoshikimate 1-carboxyvinyltransferase</t>
  </si>
  <si>
    <t>COT20378.1</t>
  </si>
  <si>
    <t>ERS445053_01399</t>
  </si>
  <si>
    <t>5-enolpyruvylshikimate-3-phosphate synthase</t>
  </si>
  <si>
    <t>aroA</t>
  </si>
  <si>
    <t>COT20387.1</t>
  </si>
  <si>
    <t>ERS445053_01400</t>
  </si>
  <si>
    <t>shikimate kinase</t>
  </si>
  <si>
    <t>aroK</t>
  </si>
  <si>
    <t>COT20393.1</t>
  </si>
  <si>
    <t>ERS445053_01401</t>
  </si>
  <si>
    <t>prephenate dehydratase</t>
  </si>
  <si>
    <t>pheA</t>
  </si>
  <si>
    <t>COT20397.1</t>
  </si>
  <si>
    <t>ERS445053_01402</t>
  </si>
  <si>
    <t>LytR family transcriptional regulator</t>
  </si>
  <si>
    <t>msrR</t>
  </si>
  <si>
    <t>COT20406.1</t>
  </si>
  <si>
    <t>ERS445053_01403</t>
  </si>
  <si>
    <t>phosphorylcholine transferase LicD3</t>
  </si>
  <si>
    <t>licD3</t>
  </si>
  <si>
    <t>COT20413.1</t>
  </si>
  <si>
    <t>ERS445053_01404</t>
  </si>
  <si>
    <t>cotSA</t>
  </si>
  <si>
    <t>COT20424.1</t>
  </si>
  <si>
    <t>ERS445053_01405</t>
  </si>
  <si>
    <t>hyaD_2</t>
  </si>
  <si>
    <t>COT20434.1</t>
  </si>
  <si>
    <t>ERS445053_01406</t>
  </si>
  <si>
    <t>COT20452.1</t>
  </si>
  <si>
    <t>ERS445053_01407</t>
  </si>
  <si>
    <t>COT20461.1</t>
  </si>
  <si>
    <t>ERS445053_01408</t>
  </si>
  <si>
    <t>adaptor protein</t>
  </si>
  <si>
    <t>mecA</t>
  </si>
  <si>
    <t>COT20469.1</t>
  </si>
  <si>
    <t>ERS445053_01409</t>
  </si>
  <si>
    <t>homoserine dehydrogenase</t>
  </si>
  <si>
    <t>hom</t>
  </si>
  <si>
    <t>COT20478.1</t>
  </si>
  <si>
    <t>ERS445053_01410</t>
  </si>
  <si>
    <t>thrB</t>
  </si>
  <si>
    <t>COT20487.1</t>
  </si>
  <si>
    <t>ERS445053_01411</t>
  </si>
  <si>
    <t>COT20493.1</t>
  </si>
  <si>
    <t>ERS445053_01412</t>
  </si>
  <si>
    <t>bifunctional methionine sulfoxide reductase</t>
  </si>
  <si>
    <t>msrA</t>
  </si>
  <si>
    <t>COT20496.1</t>
  </si>
  <si>
    <t>ERS445053_01413</t>
  </si>
  <si>
    <t>bmrA_3</t>
  </si>
  <si>
    <t>COT20501.1</t>
  </si>
  <si>
    <t>ERS445053_01414</t>
  </si>
  <si>
    <t>ABC-N/P</t>
  </si>
  <si>
    <t>COT20507.1</t>
  </si>
  <si>
    <t>ERS445053_01415</t>
  </si>
  <si>
    <t>mtaD</t>
  </si>
  <si>
    <t>COT20511.1</t>
  </si>
  <si>
    <t>ERS445053_01416</t>
  </si>
  <si>
    <t>50S ribosomal protein L10</t>
  </si>
  <si>
    <t>rplJ</t>
  </si>
  <si>
    <t>COT20517.1</t>
  </si>
  <si>
    <t>ERS445053_01418</t>
  </si>
  <si>
    <t>50S ribosomal protein L7/L12</t>
  </si>
  <si>
    <t>rpiL</t>
  </si>
  <si>
    <t>COT20523.1</t>
  </si>
  <si>
    <t>ERS445053_01419</t>
  </si>
  <si>
    <t>FIG01115489: hypothetical protein</t>
  </si>
  <si>
    <t>COT20532.1</t>
  </si>
  <si>
    <t>ERS445053_01420</t>
  </si>
  <si>
    <t>replication initiator protein A N-terminus</t>
  </si>
  <si>
    <t>COT20539.1</t>
  </si>
  <si>
    <t>ERS445053_01421</t>
  </si>
  <si>
    <t>COT20546.1</t>
  </si>
  <si>
    <t>ERS445053_01422</t>
  </si>
  <si>
    <t>putative DNA methylase</t>
  </si>
  <si>
    <t>hpaIIM_1</t>
  </si>
  <si>
    <t>COT20554.1</t>
  </si>
  <si>
    <t>ERS445053_01423</t>
  </si>
  <si>
    <t>methyl transferase</t>
  </si>
  <si>
    <t>hpaIIM_2</t>
  </si>
  <si>
    <t>COT20570.1</t>
  </si>
  <si>
    <t>ERS445053_01424</t>
  </si>
  <si>
    <t>Tn5253 hypothetical protein</t>
  </si>
  <si>
    <t>COT20579.1</t>
  </si>
  <si>
    <t>ERS445053_01425</t>
  </si>
  <si>
    <t>arsenate reductase-like glutaredoxin family protein</t>
  </si>
  <si>
    <t>spxA_4</t>
  </si>
  <si>
    <t>COT20587.1</t>
  </si>
  <si>
    <t>ERS445053_01426</t>
  </si>
  <si>
    <t>COT20593.1</t>
  </si>
  <si>
    <t>ERS445053_01427</t>
  </si>
  <si>
    <t>Tn5253 CAAX amino terminal protease family</t>
  </si>
  <si>
    <t>COT20600.1</t>
  </si>
  <si>
    <t>ERS445053_01428</t>
  </si>
  <si>
    <t>COT20607.1</t>
  </si>
  <si>
    <t>ERS445053_01429</t>
  </si>
  <si>
    <t>abortive infection protein AbiGII</t>
  </si>
  <si>
    <t>COT20615.1</t>
  </si>
  <si>
    <t>ERS445053_01430</t>
  </si>
  <si>
    <t>Tn5253 bacteriocine putative</t>
  </si>
  <si>
    <t>COT20622.1</t>
  </si>
  <si>
    <t>ERS445053_01431</t>
  </si>
  <si>
    <t>COT20629.1</t>
  </si>
  <si>
    <t>ERS445053_01432</t>
  </si>
  <si>
    <t>nanE2_2</t>
  </si>
  <si>
    <t>COT20638.1</t>
  </si>
  <si>
    <t>ERS445053_01433</t>
  </si>
  <si>
    <t>N-acetylneuraminate epimerase precursor</t>
  </si>
  <si>
    <t>nanM</t>
  </si>
  <si>
    <t>COT20646.1</t>
  </si>
  <si>
    <t>ERS445053_01434</t>
  </si>
  <si>
    <t>oligopeptide ABC transporteroligopeptide-binding protein</t>
  </si>
  <si>
    <t>gsiB</t>
  </si>
  <si>
    <t>COT20653.1</t>
  </si>
  <si>
    <t>ERS445053_01435</t>
  </si>
  <si>
    <t>appB</t>
  </si>
  <si>
    <t>COT20665.1</t>
  </si>
  <si>
    <t>ERS445053_01436</t>
  </si>
  <si>
    <t>oligopeptide ABC transporter pemease protein</t>
  </si>
  <si>
    <t>oppC</t>
  </si>
  <si>
    <t>COT20671.1</t>
  </si>
  <si>
    <t>ERS445053_01437</t>
  </si>
  <si>
    <t>gsiA</t>
  </si>
  <si>
    <t>COT20680.1</t>
  </si>
  <si>
    <t>ERS445053_01438</t>
  </si>
  <si>
    <t>COT20691.1</t>
  </si>
  <si>
    <t>ERS445053_01439</t>
  </si>
  <si>
    <t>phosphatidylglycerophosphatase A</t>
  </si>
  <si>
    <t>pgpA</t>
  </si>
  <si>
    <t>COT20699.1</t>
  </si>
  <si>
    <t>ERS445053_01440</t>
  </si>
  <si>
    <t>cytidine deaminase</t>
  </si>
  <si>
    <t>cdd2</t>
  </si>
  <si>
    <t>COT20710.1</t>
  </si>
  <si>
    <t>ERS445053_01441</t>
  </si>
  <si>
    <t>nanA_3</t>
  </si>
  <si>
    <t>COT20718.1</t>
  </si>
  <si>
    <t>ERS445053_01442</t>
  </si>
  <si>
    <t>glucokinase</t>
  </si>
  <si>
    <t>COT20728.1</t>
  </si>
  <si>
    <t>ERS445053_01443</t>
  </si>
  <si>
    <t>COT20740.1</t>
  </si>
  <si>
    <t>ERS445053_01444</t>
  </si>
  <si>
    <t>COT20749.1</t>
  </si>
  <si>
    <t>ERS445053_01445</t>
  </si>
  <si>
    <t>COT20757.1</t>
  </si>
  <si>
    <t>ERS445053_01446</t>
  </si>
  <si>
    <t>multidrug resistance protein 1 (ATP-binding cassettesub-family B member 1) (P-glycoprotein 1) (antigen)</t>
  </si>
  <si>
    <t>hlyB</t>
  </si>
  <si>
    <t>COT20765.1</t>
  </si>
  <si>
    <t>ERS445053_01447</t>
  </si>
  <si>
    <t>COT20773.1</t>
  </si>
  <si>
    <t>ERS445053_01448</t>
  </si>
  <si>
    <t>glutamate dehydrogenase</t>
  </si>
  <si>
    <t>gdhA</t>
  </si>
  <si>
    <t>COT20782.1</t>
  </si>
  <si>
    <t>ERS445053_01449</t>
  </si>
  <si>
    <t>COT20800.1</t>
  </si>
  <si>
    <t>ERS445053_01450</t>
  </si>
  <si>
    <t>peroxidase</t>
  </si>
  <si>
    <t>efeN_1</t>
  </si>
  <si>
    <t>COT20809.1</t>
  </si>
  <si>
    <t>ERS445053_01451</t>
  </si>
  <si>
    <t>efeN_2</t>
  </si>
  <si>
    <t>COT20820.1</t>
  </si>
  <si>
    <t>ERS445053_01452</t>
  </si>
  <si>
    <t>high-affinity Fe2+/Pb2+ permease</t>
  </si>
  <si>
    <t>COT20832.1</t>
  </si>
  <si>
    <t>ERS445053_01453</t>
  </si>
  <si>
    <t>50S ribosomal protein L31</t>
  </si>
  <si>
    <t>rpmE</t>
  </si>
  <si>
    <t>COT20842.1</t>
  </si>
  <si>
    <t>ERS445053_01454</t>
  </si>
  <si>
    <t>DHH subfamily 1 protein</t>
  </si>
  <si>
    <t>nrnA</t>
  </si>
  <si>
    <t>COT20850.1</t>
  </si>
  <si>
    <t>ERS445053_01455</t>
  </si>
  <si>
    <t>flavodoxin</t>
  </si>
  <si>
    <t>COT20856.1</t>
  </si>
  <si>
    <t>ERS445053_01456</t>
  </si>
  <si>
    <t>chorismate mutase/prephenate dehydratase</t>
  </si>
  <si>
    <t>COT20860.1</t>
  </si>
  <si>
    <t>ERS445053_01457</t>
  </si>
  <si>
    <t>CrcB protein</t>
  </si>
  <si>
    <t>crcB2</t>
  </si>
  <si>
    <t>COT20867.1</t>
  </si>
  <si>
    <t>ERS445053_01458</t>
  </si>
  <si>
    <t>crcB1</t>
  </si>
  <si>
    <t>COT20875.1</t>
  </si>
  <si>
    <t>ERS445053_01459</t>
  </si>
  <si>
    <t>50S ribosomal protein L19</t>
  </si>
  <si>
    <t>rplS</t>
  </si>
  <si>
    <t>COT20884.1</t>
  </si>
  <si>
    <t>ERS445053_01460</t>
  </si>
  <si>
    <t>ERS445053_01461</t>
  </si>
  <si>
    <t>SAP domain-containing protein</t>
  </si>
  <si>
    <t>COT20896.1</t>
  </si>
  <si>
    <t>ERS445053_01462</t>
  </si>
  <si>
    <t>COT20904.1</t>
  </si>
  <si>
    <t>ERS445053_01463</t>
  </si>
  <si>
    <t>dGTP triphosphohydrolase</t>
  </si>
  <si>
    <t>COT20910.1</t>
  </si>
  <si>
    <t>ERS445053_01464</t>
  </si>
  <si>
    <t>COT20920.1</t>
  </si>
  <si>
    <t>ERS445053_01465</t>
  </si>
  <si>
    <t>COT20926.1</t>
  </si>
  <si>
    <t>ERS445053_01466</t>
  </si>
  <si>
    <t>signal recognition particle protein</t>
  </si>
  <si>
    <t>ffh</t>
  </si>
  <si>
    <t>COT20931.1</t>
  </si>
  <si>
    <t>ERS445053_01467</t>
  </si>
  <si>
    <t>uracil permease</t>
  </si>
  <si>
    <t>pyrP</t>
  </si>
  <si>
    <t>COT20939.1</t>
  </si>
  <si>
    <t>ERS445053_01468</t>
  </si>
  <si>
    <t>16S rRNA methyltransferase GidB</t>
  </si>
  <si>
    <t>gidB</t>
  </si>
  <si>
    <t>COT20946.1</t>
  </si>
  <si>
    <t>ERS445053_01469</t>
  </si>
  <si>
    <t>Cytoplasmic membrane protein LemA</t>
  </si>
  <si>
    <t>lemA</t>
  </si>
  <si>
    <t>COT20955.1</t>
  </si>
  <si>
    <t>ERS445053_01470</t>
  </si>
  <si>
    <t>heat shock protein HtpX</t>
  </si>
  <si>
    <t>htpX</t>
  </si>
  <si>
    <t>COT20964.1</t>
  </si>
  <si>
    <t>ERS445053_01471</t>
  </si>
  <si>
    <t>yheS_2</t>
  </si>
  <si>
    <t>COT20973.1</t>
  </si>
  <si>
    <t>ERS445053_01472</t>
  </si>
  <si>
    <t>putative metal-binding%2C possibly nucleic acid-binding protein</t>
  </si>
  <si>
    <t>COT20982.1</t>
  </si>
  <si>
    <t>ERS445053_01473</t>
  </si>
  <si>
    <t>endonuclease III (DNA repair)%2C DNA-(apurinic or apyrimidinic site) lyase</t>
  </si>
  <si>
    <t>nth</t>
  </si>
  <si>
    <t>COT20990.1</t>
  </si>
  <si>
    <t>ERS445053_01474</t>
  </si>
  <si>
    <t>transcriptional attenuation of the pyrimidine operon/uracil phosphoribosyltransferase (bifunctional protein)</t>
  </si>
  <si>
    <t>pyrR</t>
  </si>
  <si>
    <t>COT20997.1</t>
  </si>
  <si>
    <t>ERS445053_01476</t>
  </si>
  <si>
    <t>aspartate carbamoyltransferase</t>
  </si>
  <si>
    <t>pyrB</t>
  </si>
  <si>
    <t>COT21005.1</t>
  </si>
  <si>
    <t>ERS445053_01477</t>
  </si>
  <si>
    <t>carbamoyl-phosphate synthase%2C small subunit</t>
  </si>
  <si>
    <t>carA</t>
  </si>
  <si>
    <t>COT21014.1</t>
  </si>
  <si>
    <t>ERS445053_01478</t>
  </si>
  <si>
    <t>carbamoyl-phosphate synthase%2C large subunit</t>
  </si>
  <si>
    <t>carB</t>
  </si>
  <si>
    <t>COT21021.1</t>
  </si>
  <si>
    <t>ERS445053_01479</t>
  </si>
  <si>
    <t>licD2 protein</t>
  </si>
  <si>
    <t>licD2_1</t>
  </si>
  <si>
    <t>COT21029.1</t>
  </si>
  <si>
    <t>ERS445053_01480</t>
  </si>
  <si>
    <t>licD2_2</t>
  </si>
  <si>
    <t>COT21035.1</t>
  </si>
  <si>
    <t>ERS445053_01481</t>
  </si>
  <si>
    <t>phosphorylcholine transferase LicD1</t>
  </si>
  <si>
    <t>licD1</t>
  </si>
  <si>
    <t>COT21043.1</t>
  </si>
  <si>
    <t>ERS445053_01482</t>
  </si>
  <si>
    <t>teichoic acid subunit flippase</t>
  </si>
  <si>
    <t>tacF</t>
  </si>
  <si>
    <t>COT21050.1</t>
  </si>
  <si>
    <t>ERS445053_01483</t>
  </si>
  <si>
    <t>cytidylyltransferase</t>
  </si>
  <si>
    <t>tarI</t>
  </si>
  <si>
    <t>COT21060.1</t>
  </si>
  <si>
    <t>ERS445053_01484</t>
  </si>
  <si>
    <t>idnD</t>
  </si>
  <si>
    <t>COT21069.1</t>
  </si>
  <si>
    <t>ERS445053_01485</t>
  </si>
  <si>
    <t>choline kinase</t>
  </si>
  <si>
    <t>COT21087.1</t>
  </si>
  <si>
    <t>ERS445053_01486</t>
  </si>
  <si>
    <t>COT21094.1</t>
  </si>
  <si>
    <t>ERS445053_01487</t>
  </si>
  <si>
    <t>CTP:phosphocholine cytidylyltransferase</t>
  </si>
  <si>
    <t>licC</t>
  </si>
  <si>
    <t>COT21101.1</t>
  </si>
  <si>
    <t>ERS445053_01488</t>
  </si>
  <si>
    <t>DNA processing protein DprA</t>
  </si>
  <si>
    <t>smf</t>
  </si>
  <si>
    <t>COT21108.1</t>
  </si>
  <si>
    <t>ERS445053_01489</t>
  </si>
  <si>
    <t>COT21114.1</t>
  </si>
  <si>
    <t>ERS445053_01490</t>
  </si>
  <si>
    <t>DNA topoisomerase I</t>
  </si>
  <si>
    <t>topA</t>
  </si>
  <si>
    <t>COT21120.1</t>
  </si>
  <si>
    <t>ERS445053_01491</t>
  </si>
  <si>
    <t>3-isopropylmalate dehydrogenase</t>
  </si>
  <si>
    <t>ybaN</t>
  </si>
  <si>
    <t>COT21128.1</t>
  </si>
  <si>
    <t>ERS445053_01492</t>
  </si>
  <si>
    <t>copper homeostasis protein</t>
  </si>
  <si>
    <t>cutC</t>
  </si>
  <si>
    <t>COT21141.1</t>
  </si>
  <si>
    <t>ERS445053_01493</t>
  </si>
  <si>
    <t>putative conserved hypothetical protein</t>
  </si>
  <si>
    <t>COT21151.1</t>
  </si>
  <si>
    <t>ERS445053_01494</t>
  </si>
  <si>
    <t>COT21159.1</t>
  </si>
  <si>
    <t>ERS445053_01495</t>
  </si>
  <si>
    <t>2-isopropylmalate synthase</t>
  </si>
  <si>
    <t>leuA_1</t>
  </si>
  <si>
    <t>COT21164.1</t>
  </si>
  <si>
    <t>ERS445053_01496</t>
  </si>
  <si>
    <t>leuA_2</t>
  </si>
  <si>
    <t>COT21170.1</t>
  </si>
  <si>
    <t>ERS445053_01497</t>
  </si>
  <si>
    <t>leuB</t>
  </si>
  <si>
    <t>COT21178.1</t>
  </si>
  <si>
    <t>ERS445053_01498</t>
  </si>
  <si>
    <t>COT21188.1</t>
  </si>
  <si>
    <t>ERS445053_01499</t>
  </si>
  <si>
    <t>3-isopropylmalate dehydratase small subunit</t>
  </si>
  <si>
    <t>leuD</t>
  </si>
  <si>
    <t>COT21193.1</t>
  </si>
  <si>
    <t>ERS445053_01500</t>
  </si>
  <si>
    <t>translation factor</t>
  </si>
  <si>
    <t>COT21200.1</t>
  </si>
  <si>
    <t>ERS445053_01501</t>
  </si>
  <si>
    <t>endonuclease</t>
  </si>
  <si>
    <t>mcrB</t>
  </si>
  <si>
    <t>COT21207.1</t>
  </si>
  <si>
    <t>ERS445053_01502</t>
  </si>
  <si>
    <t>McrBC 5-methylcytosine restriction system component</t>
  </si>
  <si>
    <t>COT21215.1</t>
  </si>
  <si>
    <t>ERS445053_01503</t>
  </si>
  <si>
    <t>GMP reductase</t>
  </si>
  <si>
    <t>guaC</t>
  </si>
  <si>
    <t>COT21220.1</t>
  </si>
  <si>
    <t>ERS445053_01504</t>
  </si>
  <si>
    <t>ERS445053_01505</t>
  </si>
  <si>
    <t>ribonuclease III</t>
  </si>
  <si>
    <t>rnc</t>
  </si>
  <si>
    <t>COT21231.1</t>
  </si>
  <si>
    <t>ERS445053_01506</t>
  </si>
  <si>
    <t>chromosome condensation and segregation SMC protein</t>
  </si>
  <si>
    <t>smc</t>
  </si>
  <si>
    <t>COT21242.1</t>
  </si>
  <si>
    <t>ERS445053_01507</t>
  </si>
  <si>
    <t>ybjI</t>
  </si>
  <si>
    <t>COT21249.1</t>
  </si>
  <si>
    <t>ERS445053_01508</t>
  </si>
  <si>
    <t>yidA_2</t>
  </si>
  <si>
    <t>COT21254.1</t>
  </si>
  <si>
    <t>ERS445053_01509</t>
  </si>
  <si>
    <t>cell division protein FtsY</t>
  </si>
  <si>
    <t>ftsY</t>
  </si>
  <si>
    <t>COT21263.1</t>
  </si>
  <si>
    <t>ERS445053_01510</t>
  </si>
  <si>
    <t>glucose-6-phosphate 1-dehydrogenase</t>
  </si>
  <si>
    <t>zwf</t>
  </si>
  <si>
    <t>COT21270.1</t>
  </si>
  <si>
    <t>ERS445053_01511</t>
  </si>
  <si>
    <t>artM_3</t>
  </si>
  <si>
    <t>COT21278.1</t>
  </si>
  <si>
    <t>ERS445053_01512</t>
  </si>
  <si>
    <t>glutamine ABC transporter permease</t>
  </si>
  <si>
    <t>glnP</t>
  </si>
  <si>
    <t>COT21286.1</t>
  </si>
  <si>
    <t>ERS445053_01513</t>
  </si>
  <si>
    <t>COT21294.1</t>
  </si>
  <si>
    <t>ERS445053_01514</t>
  </si>
  <si>
    <t>excinuclease ABC subunit B</t>
  </si>
  <si>
    <t>uvrB</t>
  </si>
  <si>
    <t>COT21302.1</t>
  </si>
  <si>
    <t>ERS445053_01515</t>
  </si>
  <si>
    <t>COT21312.1</t>
  </si>
  <si>
    <t>ERS445053_01516</t>
  </si>
  <si>
    <t>COT21322.1</t>
  </si>
  <si>
    <t>ERS445053_01517</t>
  </si>
  <si>
    <t>acetyltransferase%2C gnat family</t>
  </si>
  <si>
    <t>bltD_2</t>
  </si>
  <si>
    <t>COT21325.1</t>
  </si>
  <si>
    <t>ERS445053_01518</t>
  </si>
  <si>
    <t>MutT/nudix family protein</t>
  </si>
  <si>
    <t>mutX_1</t>
  </si>
  <si>
    <t>COT21333.1</t>
  </si>
  <si>
    <t>ERS445053_01519</t>
  </si>
  <si>
    <t>niaR</t>
  </si>
  <si>
    <t>COT21341.1</t>
  </si>
  <si>
    <t>ERS445053_01520</t>
  </si>
  <si>
    <t>niaX</t>
  </si>
  <si>
    <t>COT21347.1</t>
  </si>
  <si>
    <t>ERS445053_01521</t>
  </si>
  <si>
    <t>panT</t>
  </si>
  <si>
    <t>COT21352.1</t>
  </si>
  <si>
    <t>ERS445053_01522</t>
  </si>
  <si>
    <t>flavoprotein involved in panthothenate metabolism</t>
  </si>
  <si>
    <t>coaBC_1</t>
  </si>
  <si>
    <t>COT21360.1</t>
  </si>
  <si>
    <t>ERS445053_01523</t>
  </si>
  <si>
    <t>phosphopantothenate--cysteine ligase</t>
  </si>
  <si>
    <t>coaBC_2</t>
  </si>
  <si>
    <t>COT21367.1</t>
  </si>
  <si>
    <t>ERS445053_01524</t>
  </si>
  <si>
    <t>formate-tetrahydrofolate ligase</t>
  </si>
  <si>
    <t>fhs</t>
  </si>
  <si>
    <t>COT21374.1</t>
  </si>
  <si>
    <t>ERS445053_01525</t>
  </si>
  <si>
    <t>A/G-specific adenine glycosylase</t>
  </si>
  <si>
    <t>mutY</t>
  </si>
  <si>
    <t>COT21382.1</t>
  </si>
  <si>
    <t>ERS445053_01526</t>
  </si>
  <si>
    <t>yycF</t>
  </si>
  <si>
    <t>COT21389.1</t>
  </si>
  <si>
    <t>ERS445053_01527</t>
  </si>
  <si>
    <t>micB</t>
  </si>
  <si>
    <t>COT21396.1</t>
  </si>
  <si>
    <t>ERS445053_01528</t>
  </si>
  <si>
    <t>vicX</t>
  </si>
  <si>
    <t>COT21403.1</t>
  </si>
  <si>
    <t>ERS445053_01529</t>
  </si>
  <si>
    <t>toxin-antitoxin system%2C antitoxin component%2C ribbon-helix-helix fold protein</t>
  </si>
  <si>
    <t>COT21413.1</t>
  </si>
  <si>
    <t>ERS445053_01530</t>
  </si>
  <si>
    <t>cytotoxic translational repressor of toxin-antitoxin stability system</t>
  </si>
  <si>
    <t>COT21419.1</t>
  </si>
  <si>
    <t>ERS445053_01531</t>
  </si>
  <si>
    <t>ion transporter</t>
  </si>
  <si>
    <t>kcsA</t>
  </si>
  <si>
    <t>COT21423.1</t>
  </si>
  <si>
    <t>ERS445053_01532</t>
  </si>
  <si>
    <t>L-lactate dehydrogenase 1</t>
  </si>
  <si>
    <t>ldhA</t>
  </si>
  <si>
    <t>COT21431.1</t>
  </si>
  <si>
    <t>ERS445053_01533</t>
  </si>
  <si>
    <t>DNA gyrase subunit A</t>
  </si>
  <si>
    <t>gyrA</t>
  </si>
  <si>
    <t>COT21439.1</t>
  </si>
  <si>
    <t>ERS445053_01534</t>
  </si>
  <si>
    <t>sortase SrtA</t>
  </si>
  <si>
    <t>srtA</t>
  </si>
  <si>
    <t>COT21447.1</t>
  </si>
  <si>
    <t>ERS445053_01535</t>
  </si>
  <si>
    <t>formate/nitrate transporter</t>
  </si>
  <si>
    <t>COT21454.1</t>
  </si>
  <si>
    <t>ERS445053_01536</t>
  </si>
  <si>
    <t>O-acetylhomoserine sulfhydrylase</t>
  </si>
  <si>
    <t>COT21461.1</t>
  </si>
  <si>
    <t>ERS445053_01537</t>
  </si>
  <si>
    <t>mdeA</t>
  </si>
  <si>
    <t>COT21469.1</t>
  </si>
  <si>
    <t>ERS445053_01538</t>
  </si>
  <si>
    <t>FIG01115860: hypothetical protein</t>
  </si>
  <si>
    <t>COT21480.1</t>
  </si>
  <si>
    <t>ERS445053_01539</t>
  </si>
  <si>
    <t>tRNA pseudouridine synthase B</t>
  </si>
  <si>
    <t>truB</t>
  </si>
  <si>
    <t>COT21487.1</t>
  </si>
  <si>
    <t>ERS445053_01540</t>
  </si>
  <si>
    <t>COT21493.1</t>
  </si>
  <si>
    <t>ERS445053_01541</t>
  </si>
  <si>
    <t>bacteriocin immunity protein</t>
  </si>
  <si>
    <t>COT21498.1</t>
  </si>
  <si>
    <t>ERS445053_01542</t>
  </si>
  <si>
    <t>uridine kinase</t>
  </si>
  <si>
    <t>udk</t>
  </si>
  <si>
    <t>COT21505.1</t>
  </si>
  <si>
    <t>ERS445053_01543</t>
  </si>
  <si>
    <t>exodeoxyribonuclease VII large subunit</t>
  </si>
  <si>
    <t>xseA</t>
  </si>
  <si>
    <t>COT21512.1</t>
  </si>
  <si>
    <t>ERS445053_01544</t>
  </si>
  <si>
    <t>exodeoxyribonuclease VII%2C small subunit</t>
  </si>
  <si>
    <t>xseB</t>
  </si>
  <si>
    <t>COT21522.1</t>
  </si>
  <si>
    <t>ERS445053_01545</t>
  </si>
  <si>
    <t>farnesyl diphosphate synthase</t>
  </si>
  <si>
    <t>ispA</t>
  </si>
  <si>
    <t>COT21529.1</t>
  </si>
  <si>
    <t>ERS445053_01546</t>
  </si>
  <si>
    <t>rRNA methylase</t>
  </si>
  <si>
    <t>tlyA</t>
  </si>
  <si>
    <t>COT21536.1</t>
  </si>
  <si>
    <t>ERS445053_01547</t>
  </si>
  <si>
    <t>transcriptional repressor protein</t>
  </si>
  <si>
    <t>ahrC</t>
  </si>
  <si>
    <t>COT21543.1</t>
  </si>
  <si>
    <t>ERS445053_01548</t>
  </si>
  <si>
    <t>DNA repair protein RecN</t>
  </si>
  <si>
    <t>recN</t>
  </si>
  <si>
    <t>COT21551.1</t>
  </si>
  <si>
    <t>ERS445053_01549</t>
  </si>
  <si>
    <t>serine/threonine protein phosphatase</t>
  </si>
  <si>
    <t>pphA</t>
  </si>
  <si>
    <t>COT21561.1</t>
  </si>
  <si>
    <t>ERS445053_01550</t>
  </si>
  <si>
    <t>GTP-binding protein LepA</t>
  </si>
  <si>
    <t>lepA</t>
  </si>
  <si>
    <t>COT21568.1</t>
  </si>
  <si>
    <t>ERS445053_01551</t>
  </si>
  <si>
    <t>COT21577.1</t>
  </si>
  <si>
    <t>ERS445053_01552</t>
  </si>
  <si>
    <t>COT21585.1</t>
  </si>
  <si>
    <t>ERS445053_01553</t>
  </si>
  <si>
    <t>PTS system galactose-specific transporter subunit IIB</t>
  </si>
  <si>
    <t>COT21599.1</t>
  </si>
  <si>
    <t>ERS445053_01554</t>
  </si>
  <si>
    <t>mobile genetic element</t>
  </si>
  <si>
    <t>COT21604.1</t>
  </si>
  <si>
    <t>ERS445053_01555</t>
  </si>
  <si>
    <t>COT21611.1</t>
  </si>
  <si>
    <t>ERS445053_01556</t>
  </si>
  <si>
    <t>ATP-dependent DNA helicase PcrA</t>
  </si>
  <si>
    <t>pcrA</t>
  </si>
  <si>
    <t>COT21618.1</t>
  </si>
  <si>
    <t>ERS445053_01557</t>
  </si>
  <si>
    <t>DNA repair protein RadC</t>
  </si>
  <si>
    <t>radC</t>
  </si>
  <si>
    <t>COT21626.1</t>
  </si>
  <si>
    <t>ERS445053_01558</t>
  </si>
  <si>
    <t>glutamine amidotransferase%2C class I</t>
  </si>
  <si>
    <t>COT21633.1</t>
  </si>
  <si>
    <t>ERS445053_01559</t>
  </si>
  <si>
    <t>rex</t>
  </si>
  <si>
    <t>COT21642.1</t>
  </si>
  <si>
    <t>ERS445053_01560</t>
  </si>
  <si>
    <t>COT21649.1</t>
  </si>
  <si>
    <t>ERS445053_01561</t>
  </si>
  <si>
    <t>cytosolic protein</t>
  </si>
  <si>
    <t>COT21654.1</t>
  </si>
  <si>
    <t>ERS445053_01562</t>
  </si>
  <si>
    <t>aminotransferase class-V</t>
  </si>
  <si>
    <t>iscS_1</t>
  </si>
  <si>
    <t>COT21663.1</t>
  </si>
  <si>
    <t>ERS445053_01563</t>
  </si>
  <si>
    <t>prs</t>
  </si>
  <si>
    <t>COT21669.1</t>
  </si>
  <si>
    <t>ERS445053_01564</t>
  </si>
  <si>
    <t>adenylate cyclase</t>
  </si>
  <si>
    <t>yjbK</t>
  </si>
  <si>
    <t>COT21675.1</t>
  </si>
  <si>
    <t>ERS445053_01565</t>
  </si>
  <si>
    <t>GTP pyrophosphokinase</t>
  </si>
  <si>
    <t>yjbM</t>
  </si>
  <si>
    <t>COT21682.1</t>
  </si>
  <si>
    <t>ERS445053_01566</t>
  </si>
  <si>
    <t>putative sugar kinase</t>
  </si>
  <si>
    <t>ppnK1</t>
  </si>
  <si>
    <t>COT21689.1</t>
  </si>
  <si>
    <t>ERS445053_01567</t>
  </si>
  <si>
    <t>23S_rRNA pseudouridine synthase</t>
  </si>
  <si>
    <t>rluA3</t>
  </si>
  <si>
    <t>COT21695.1</t>
  </si>
  <si>
    <t>ERS445053_01568</t>
  </si>
  <si>
    <t>phosphotransacetylase</t>
  </si>
  <si>
    <t>pta</t>
  </si>
  <si>
    <t>COT21707.1</t>
  </si>
  <si>
    <t>ERS445053_01569</t>
  </si>
  <si>
    <t>COT21716.1</t>
  </si>
  <si>
    <t>ERS445053_01570</t>
  </si>
  <si>
    <t>COT21725.1</t>
  </si>
  <si>
    <t>ERS445053_01571</t>
  </si>
  <si>
    <t>COT21734.1</t>
  </si>
  <si>
    <t>ERS445053_01572</t>
  </si>
  <si>
    <t>COT21741.1</t>
  </si>
  <si>
    <t>ERS445053_01573</t>
  </si>
  <si>
    <t>50S ribosomal protein L21</t>
  </si>
  <si>
    <t>rplU</t>
  </si>
  <si>
    <t>COT21747.1</t>
  </si>
  <si>
    <t>ERS445053_01574</t>
  </si>
  <si>
    <t>ribosomal protein</t>
  </si>
  <si>
    <t>COT21753.1</t>
  </si>
  <si>
    <t>ERS445053_01575</t>
  </si>
  <si>
    <t>LSU ribosomal protein L27p</t>
  </si>
  <si>
    <t>rpmA</t>
  </si>
  <si>
    <t>COT21759.1</t>
  </si>
  <si>
    <t>ERS445053_01576</t>
  </si>
  <si>
    <t>bifunctional riboflavin kinase/FMN adenylyltransferase</t>
  </si>
  <si>
    <t>ribF</t>
  </si>
  <si>
    <t>COT21766.1</t>
  </si>
  <si>
    <t>ERS445053_01577</t>
  </si>
  <si>
    <t>YpjC</t>
  </si>
  <si>
    <t>COT21774.1</t>
  </si>
  <si>
    <t>ERS445053_01578</t>
  </si>
  <si>
    <t>COT21781.1</t>
  </si>
  <si>
    <t>ERS445053_01579</t>
  </si>
  <si>
    <t>DNA-binding protein HU 1</t>
  </si>
  <si>
    <t>hupB</t>
  </si>
  <si>
    <t>COT21788.1</t>
  </si>
  <si>
    <t>ERS445053_01580</t>
  </si>
  <si>
    <t>yheS_3</t>
  </si>
  <si>
    <t>COT21795.1</t>
  </si>
  <si>
    <t>ERS445053_01581</t>
  </si>
  <si>
    <t>transcriptional regulator MutR</t>
  </si>
  <si>
    <t>rggD</t>
  </si>
  <si>
    <t>COT21803.1</t>
  </si>
  <si>
    <t>ERS445053_01582</t>
  </si>
  <si>
    <t>macrolide efflux ABC transporter membrane-spanning permease</t>
  </si>
  <si>
    <t>COT21813.1</t>
  </si>
  <si>
    <t>ERS445053_01583</t>
  </si>
  <si>
    <t>DNA ligase</t>
  </si>
  <si>
    <t>ligA</t>
  </si>
  <si>
    <t>COT21817.1</t>
  </si>
  <si>
    <t>ERS445053_01584</t>
  </si>
  <si>
    <t>pulA_2</t>
  </si>
  <si>
    <t>COT21820.1</t>
  </si>
  <si>
    <t>ERS445053_01585</t>
  </si>
  <si>
    <t>NADP-dependent glyceraldehyde-3-phosphate dehydrogenase</t>
  </si>
  <si>
    <t>gapN</t>
  </si>
  <si>
    <t>COT21826.1</t>
  </si>
  <si>
    <t>ERS445053_01586</t>
  </si>
  <si>
    <t>1%2C4-alpha-glucan branching enzyme</t>
  </si>
  <si>
    <t>glgB</t>
  </si>
  <si>
    <t>COT21836.1</t>
  </si>
  <si>
    <t>ERS445053_01587</t>
  </si>
  <si>
    <t>glucose-1-phosphate adenylyltransferase</t>
  </si>
  <si>
    <t>glgC</t>
  </si>
  <si>
    <t>COT21847.1</t>
  </si>
  <si>
    <t>ERS445053_01588</t>
  </si>
  <si>
    <t>glycogen biosynthesis protein</t>
  </si>
  <si>
    <t>glgD_1</t>
  </si>
  <si>
    <t>COT21855.1</t>
  </si>
  <si>
    <t>ERS445053_01589</t>
  </si>
  <si>
    <t>glgD_2</t>
  </si>
  <si>
    <t>COT21863.1</t>
  </si>
  <si>
    <t>ERS445053_01590</t>
  </si>
  <si>
    <t>glycogen synthase</t>
  </si>
  <si>
    <t>glgA</t>
  </si>
  <si>
    <t>COT21872.1</t>
  </si>
  <si>
    <t>ERS445053_01591</t>
  </si>
  <si>
    <t>phosphoserine phosphatase</t>
  </si>
  <si>
    <t>serB</t>
  </si>
  <si>
    <t>COT21882.1</t>
  </si>
  <si>
    <t>ERS445053_01592</t>
  </si>
  <si>
    <t>glycerate kinase</t>
  </si>
  <si>
    <t>glxK</t>
  </si>
  <si>
    <t>COT21890.1</t>
  </si>
  <si>
    <t>ERS445053_01593</t>
  </si>
  <si>
    <t>FIG01114091: hypothetical protein</t>
  </si>
  <si>
    <t>COT21902.1</t>
  </si>
  <si>
    <t>ERS445053_01594</t>
  </si>
  <si>
    <t>Enolase</t>
  </si>
  <si>
    <t>eno</t>
  </si>
  <si>
    <t>COT21909.1</t>
  </si>
  <si>
    <t>ERS445053_01595</t>
  </si>
  <si>
    <t>COT21922.1</t>
  </si>
  <si>
    <t>ERS445053_01596</t>
  </si>
  <si>
    <t>exonuclease RexB</t>
  </si>
  <si>
    <t>rexB</t>
  </si>
  <si>
    <t>COT21928.1</t>
  </si>
  <si>
    <t>ERS445053_01597</t>
  </si>
  <si>
    <t>ATP-dependent exoDNAse subunit beta</t>
  </si>
  <si>
    <t>rexA</t>
  </si>
  <si>
    <t>COT21935.1</t>
  </si>
  <si>
    <t>ERS445053_01598</t>
  </si>
  <si>
    <t>COT21941.1</t>
  </si>
  <si>
    <t>ERS445053_01599</t>
  </si>
  <si>
    <t>IgA-protease</t>
  </si>
  <si>
    <t>zmpA</t>
  </si>
  <si>
    <t>COT21944.1</t>
  </si>
  <si>
    <t>ERS445053_01600</t>
  </si>
  <si>
    <t>zinc metalloprotease</t>
  </si>
  <si>
    <t>zmpD</t>
  </si>
  <si>
    <t>COT21951.1</t>
  </si>
  <si>
    <t>ERS445053_01601</t>
  </si>
  <si>
    <t>rbgA</t>
  </si>
  <si>
    <t>COT21957.1</t>
  </si>
  <si>
    <t>ERS445053_01602</t>
  </si>
  <si>
    <t>ribonuclease HII</t>
  </si>
  <si>
    <t>rnhB</t>
  </si>
  <si>
    <t>COT21963.1</t>
  </si>
  <si>
    <t>ERS445053_01603</t>
  </si>
  <si>
    <t>voltage-gated chloride channel family protein</t>
  </si>
  <si>
    <t>clcA</t>
  </si>
  <si>
    <t>COT21969.1</t>
  </si>
  <si>
    <t>ERS445053_01604</t>
  </si>
  <si>
    <t>COT21976.1</t>
  </si>
  <si>
    <t>ERS445053_01605</t>
  </si>
  <si>
    <t>COT21980.1</t>
  </si>
  <si>
    <t>ERS445053_01606</t>
  </si>
  <si>
    <t>COT21987.1</t>
  </si>
  <si>
    <t>ERS445053_01607</t>
  </si>
  <si>
    <t>dcm1</t>
  </si>
  <si>
    <t>COT21993.1</t>
  </si>
  <si>
    <t>ERS445053_01608</t>
  </si>
  <si>
    <t>phage repressor-like protein</t>
  </si>
  <si>
    <t>COT22001.1</t>
  </si>
  <si>
    <t>ERS445053_01609</t>
  </si>
  <si>
    <t>COT22018.1</t>
  </si>
  <si>
    <t>ERS445053_01610</t>
  </si>
  <si>
    <t>tyrosine recombinase</t>
  </si>
  <si>
    <t>xerS</t>
  </si>
  <si>
    <t>COT22023.1</t>
  </si>
  <si>
    <t>ERS445053_01611</t>
  </si>
  <si>
    <t>lipoate protein ligase A</t>
  </si>
  <si>
    <t>lplA</t>
  </si>
  <si>
    <t>COT22030.1</t>
  </si>
  <si>
    <t>ERS445053_01612</t>
  </si>
  <si>
    <t>dihydrolipoyl dehydrogenase</t>
  </si>
  <si>
    <t>lpdA</t>
  </si>
  <si>
    <t>COT22037.1</t>
  </si>
  <si>
    <t>ERS445053_01613</t>
  </si>
  <si>
    <t>dihydrolipoamide acetyltransferase</t>
  </si>
  <si>
    <t>acoC</t>
  </si>
  <si>
    <t>COT22043.1</t>
  </si>
  <si>
    <t>ERS445053_01614</t>
  </si>
  <si>
    <t>putative acetoin dehydrogenase</t>
  </si>
  <si>
    <t>acoB</t>
  </si>
  <si>
    <t>COT22049.1</t>
  </si>
  <si>
    <t>ERS445053_01615</t>
  </si>
  <si>
    <t>acetoin:2%2C6-dichlorophenolindophenol oxidoreductase subunit alpha</t>
  </si>
  <si>
    <t>acoA</t>
  </si>
  <si>
    <t>COT22056.1</t>
  </si>
  <si>
    <t>ERS445053_01616</t>
  </si>
  <si>
    <t>mate efflux family protein</t>
  </si>
  <si>
    <t>norM</t>
  </si>
  <si>
    <t>COT22061.1</t>
  </si>
  <si>
    <t>ERS445053_01617</t>
  </si>
  <si>
    <t>COT22067.1</t>
  </si>
  <si>
    <t>ERS445053_01618</t>
  </si>
  <si>
    <t>dihydroorotase</t>
  </si>
  <si>
    <t>pyrC</t>
  </si>
  <si>
    <t>COT22072.1</t>
  </si>
  <si>
    <t>ERS445053_01619</t>
  </si>
  <si>
    <t>Mutator mutT protein</t>
  </si>
  <si>
    <t>mutX_2</t>
  </si>
  <si>
    <t>COT22080.1</t>
  </si>
  <si>
    <t>ERS445053_01620</t>
  </si>
  <si>
    <t>uracil-DNA glycosylase</t>
  </si>
  <si>
    <t>ung</t>
  </si>
  <si>
    <t>COT22089.1</t>
  </si>
  <si>
    <t>ERS445053_01621</t>
  </si>
  <si>
    <t>COT22097.1</t>
  </si>
  <si>
    <t>ERS445053_01622</t>
  </si>
  <si>
    <t>yfnB</t>
  </si>
  <si>
    <t>COT22104.1</t>
  </si>
  <si>
    <t>ERS445053_01623</t>
  </si>
  <si>
    <t>sugar phosphotransferase system (PTS)%2C fructose family%2C IIA component</t>
  </si>
  <si>
    <t>dhaM_1</t>
  </si>
  <si>
    <t>COT22112.1</t>
  </si>
  <si>
    <t>ERS445053_01624</t>
  </si>
  <si>
    <t>phosphotransferase mannnose-specific family component IIA</t>
  </si>
  <si>
    <t>dhaM_2</t>
  </si>
  <si>
    <t>COT22124.1</t>
  </si>
  <si>
    <t>ERS445053_01625</t>
  </si>
  <si>
    <t>streptococcal histidine triad protein PhpA</t>
  </si>
  <si>
    <t>phpA</t>
  </si>
  <si>
    <t>COT22135.1</t>
  </si>
  <si>
    <t>ERS445053_01626</t>
  </si>
  <si>
    <t>pneumococcal histidine triad protein A precursor</t>
  </si>
  <si>
    <t>phtA</t>
  </si>
  <si>
    <t>COT22141.1</t>
  </si>
  <si>
    <t>ERS445053_01627</t>
  </si>
  <si>
    <t>Phosphoenolpyruvate-protein phosphotransferase of PTS system</t>
  </si>
  <si>
    <t>ptsI_1</t>
  </si>
  <si>
    <t>COT22148.1</t>
  </si>
  <si>
    <t>ERS445053_01628</t>
  </si>
  <si>
    <t>Phosphotransferase system%2C phosphocarrier protein HPr</t>
  </si>
  <si>
    <t>ptsH</t>
  </si>
  <si>
    <t>COT22161.1</t>
  </si>
  <si>
    <t>ERS445053_01629</t>
  </si>
  <si>
    <t>nrdH-redoxin</t>
  </si>
  <si>
    <t>nrdH</t>
  </si>
  <si>
    <t>COT22170.1</t>
  </si>
  <si>
    <t>ERS445053_01630</t>
  </si>
  <si>
    <t>ribonucleoside-diphosphate reductase%2C alpha subunit</t>
  </si>
  <si>
    <t>nrdE</t>
  </si>
  <si>
    <t>COT22177.1</t>
  </si>
  <si>
    <t>ERS445053_01631</t>
  </si>
  <si>
    <t>ribonucleotide-diphosphate reductase%2C subunit beta</t>
  </si>
  <si>
    <t>nrdF</t>
  </si>
  <si>
    <t>COT22183.1</t>
  </si>
  <si>
    <t>ERS445053_01632</t>
  </si>
  <si>
    <t>lactose phosphotransferase system repressor</t>
  </si>
  <si>
    <t>lacR</t>
  </si>
  <si>
    <t>COT22188.1</t>
  </si>
  <si>
    <t>ERS445053_01633</t>
  </si>
  <si>
    <t>lacG_2</t>
  </si>
  <si>
    <t>COT22190.1</t>
  </si>
  <si>
    <t>ERS445053_01634</t>
  </si>
  <si>
    <t>PTS system lactose-specific transporter subunit IIBC</t>
  </si>
  <si>
    <t>lacE_2</t>
  </si>
  <si>
    <t>COT22195.1</t>
  </si>
  <si>
    <t>ERS445053_01635</t>
  </si>
  <si>
    <t>PTS system lactose-specific transporter subunit IIA</t>
  </si>
  <si>
    <t>lacF_4</t>
  </si>
  <si>
    <t>COT22200.1</t>
  </si>
  <si>
    <t>ERS445053_01636</t>
  </si>
  <si>
    <t>transcription antiterminator LacT</t>
  </si>
  <si>
    <t>lacT</t>
  </si>
  <si>
    <t>COT22207.1</t>
  </si>
  <si>
    <t>ERS445053_01637</t>
  </si>
  <si>
    <t>COT22213.1</t>
  </si>
  <si>
    <t>ERS445053_01638</t>
  </si>
  <si>
    <t>tagatose 1%2C6-diphosphate aldolase</t>
  </si>
  <si>
    <t>lacD</t>
  </si>
  <si>
    <t>COT22219.1</t>
  </si>
  <si>
    <t>ERS445053_01639</t>
  </si>
  <si>
    <t>tagatose-6-phosphate kinase</t>
  </si>
  <si>
    <t>lacC-2</t>
  </si>
  <si>
    <t>COT22226.1</t>
  </si>
  <si>
    <t>ERS445053_01640</t>
  </si>
  <si>
    <t>lacB-2</t>
  </si>
  <si>
    <t>COT22234.1</t>
  </si>
  <si>
    <t>ERS445053_01641</t>
  </si>
  <si>
    <t>galactose-6-phosphate isomerase subunit LacA</t>
  </si>
  <si>
    <t>lacA</t>
  </si>
  <si>
    <t>COT22242.1</t>
  </si>
  <si>
    <t>ERS445053_01642</t>
  </si>
  <si>
    <t>protein LacX%2C plasmid</t>
  </si>
  <si>
    <t>COT22249.1</t>
  </si>
  <si>
    <t>ERS445053_01643</t>
  </si>
  <si>
    <t>COT22255.1</t>
  </si>
  <si>
    <t>ERS445053_01644</t>
  </si>
  <si>
    <t>degenerate transposase (orf1)</t>
  </si>
  <si>
    <t>IS1381-truncation</t>
  </si>
  <si>
    <t>COT22260.1</t>
  </si>
  <si>
    <t>ERS445053_01645</t>
  </si>
  <si>
    <t>methionyl aminopeptidase</t>
  </si>
  <si>
    <t>map</t>
  </si>
  <si>
    <t>COT22266.1</t>
  </si>
  <si>
    <t>ERS445053_01646</t>
  </si>
  <si>
    <t>DRTGG domain/CBS domain-containing protein</t>
  </si>
  <si>
    <t>COT22278.1</t>
  </si>
  <si>
    <t>ERS445053_01647</t>
  </si>
  <si>
    <t>ydaF_3</t>
  </si>
  <si>
    <t>COT22284.1</t>
  </si>
  <si>
    <t>ERS445053_01648</t>
  </si>
  <si>
    <t>UDP-N-acetylglucosamine 1-carboxyvinyltransferase 2</t>
  </si>
  <si>
    <t>murZ</t>
  </si>
  <si>
    <t>COT22291.1</t>
  </si>
  <si>
    <t>ERS445053_01649</t>
  </si>
  <si>
    <t>COT22300.1</t>
  </si>
  <si>
    <t>ERS445053_01651</t>
  </si>
  <si>
    <t>COT22305.1</t>
  </si>
  <si>
    <t>ERS445053_01652</t>
  </si>
  <si>
    <t>obg</t>
  </si>
  <si>
    <t>COT22311.1</t>
  </si>
  <si>
    <t>ERS445053_01653</t>
  </si>
  <si>
    <t>FIG01114947: hypothetical protein</t>
  </si>
  <si>
    <t>COT22328.1</t>
  </si>
  <si>
    <t>ERS445053_01654</t>
  </si>
  <si>
    <t>putative stress-responsive transcriptional regulator</t>
  </si>
  <si>
    <t>COT22331.1</t>
  </si>
  <si>
    <t>ERS445053_01655</t>
  </si>
  <si>
    <t>glycosyltransferase%2C group 1 family protein</t>
  </si>
  <si>
    <t>mgtA</t>
  </si>
  <si>
    <t>COT22338.1</t>
  </si>
  <si>
    <t>ERS445053_01656</t>
  </si>
  <si>
    <t>glycosyl transferase CpoA</t>
  </si>
  <si>
    <t>cpoA</t>
  </si>
  <si>
    <t>COT22346.1</t>
  </si>
  <si>
    <t>ERS445053_01657</t>
  </si>
  <si>
    <t>metal-sulfur cluster biosynthesis protein</t>
  </si>
  <si>
    <t>COT22353.1</t>
  </si>
  <si>
    <t>ERS445053_01658</t>
  </si>
  <si>
    <t>RNA polymerase sigma factor RpoD</t>
  </si>
  <si>
    <t>sigA</t>
  </si>
  <si>
    <t>COT22357.1</t>
  </si>
  <si>
    <t>ERS445053_01659</t>
  </si>
  <si>
    <t>DNA primase</t>
  </si>
  <si>
    <t>dnaG</t>
  </si>
  <si>
    <t>COT22363.1</t>
  </si>
  <si>
    <t>ERS445053_01660</t>
  </si>
  <si>
    <t>proV_2</t>
  </si>
  <si>
    <t>COT22369.1</t>
  </si>
  <si>
    <t>ERS445053_01661</t>
  </si>
  <si>
    <t>ABC transporter%2C membrane-spanning permease</t>
  </si>
  <si>
    <t>COT22374.1</t>
  </si>
  <si>
    <t>ERS445053_01662</t>
  </si>
  <si>
    <t>COT22377.1</t>
  </si>
  <si>
    <t>ERS445053_01663</t>
  </si>
  <si>
    <t>phosphoenolpyruvate carboxylase</t>
  </si>
  <si>
    <t>ppc</t>
  </si>
  <si>
    <t>COT22384.1</t>
  </si>
  <si>
    <t>ERS445053_01665</t>
  </si>
  <si>
    <t>cell division protein FtsW</t>
  </si>
  <si>
    <t>ftsW</t>
  </si>
  <si>
    <t>COT22390.1</t>
  </si>
  <si>
    <t>ERS445053_01666</t>
  </si>
  <si>
    <t>COT22396.1</t>
  </si>
  <si>
    <t>ERS445053_01667</t>
  </si>
  <si>
    <t>putative transcriptional regulator</t>
  </si>
  <si>
    <t>immR</t>
  </si>
  <si>
    <t>COT22401.1</t>
  </si>
  <si>
    <t>ERS445053_01668</t>
  </si>
  <si>
    <t>COT22408.1</t>
  </si>
  <si>
    <t>ERS445053_01669</t>
  </si>
  <si>
    <t>COT22415.1</t>
  </si>
  <si>
    <t>ERS445053_01670</t>
  </si>
  <si>
    <t>biotin carboxylase</t>
  </si>
  <si>
    <t>COT22420.1</t>
  </si>
  <si>
    <t>ERS445053_01671</t>
  </si>
  <si>
    <t>galE_3</t>
  </si>
  <si>
    <t>COT22427.1</t>
  </si>
  <si>
    <t>ERS445053_01672</t>
  </si>
  <si>
    <t>COT22434.1</t>
  </si>
  <si>
    <t>ERS445053_01673</t>
  </si>
  <si>
    <t>COT22440.1</t>
  </si>
  <si>
    <t>ERS445053_01674</t>
  </si>
  <si>
    <t>COT22447.1</t>
  </si>
  <si>
    <t>ERS445053_01675</t>
  </si>
  <si>
    <t>COT22453.1</t>
  </si>
  <si>
    <t>ERS445053_01676</t>
  </si>
  <si>
    <t>NAD binding domain of 6-phosphogluconate dehydrogenase family</t>
  </si>
  <si>
    <t>COT22464.1</t>
  </si>
  <si>
    <t>ERS445053_01677</t>
  </si>
  <si>
    <t>MutR family transcriptional regulator</t>
  </si>
  <si>
    <t>COT22470.1</t>
  </si>
  <si>
    <t>ERS445053_01678</t>
  </si>
  <si>
    <t>COT22476.1</t>
  </si>
  <si>
    <t>ERS445053_01679</t>
  </si>
  <si>
    <t>truncated MobA family endonuclease relaxase</t>
  </si>
  <si>
    <t>COT22482.1</t>
  </si>
  <si>
    <t>ERS445053_01680</t>
  </si>
  <si>
    <t>relaxase</t>
  </si>
  <si>
    <t>COT22488.1</t>
  </si>
  <si>
    <t>ERS445053_01681</t>
  </si>
  <si>
    <t>MobC family protein</t>
  </si>
  <si>
    <t>COT22493.1</t>
  </si>
  <si>
    <t>ERS445053_01682</t>
  </si>
  <si>
    <t>Tn5252%2C Orf 10 protein</t>
  </si>
  <si>
    <t>COT22500.1</t>
  </si>
  <si>
    <t>ERS445053_01683</t>
  </si>
  <si>
    <t>SMC faily protein</t>
  </si>
  <si>
    <t>COT22505.1</t>
  </si>
  <si>
    <t>ERS445053_01685</t>
  </si>
  <si>
    <t>signal recognition particle GTPase</t>
  </si>
  <si>
    <t>pezT</t>
  </si>
  <si>
    <t>COT22510.1</t>
  </si>
  <si>
    <t>ERS445053_01686</t>
  </si>
  <si>
    <t>pezA</t>
  </si>
  <si>
    <t>COT22516.1</t>
  </si>
  <si>
    <t>ERS445053_01687</t>
  </si>
  <si>
    <t>COT22520.1</t>
  </si>
  <si>
    <t>ERS445053_01688</t>
  </si>
  <si>
    <t>neopullulanase</t>
  </si>
  <si>
    <t>nplT</t>
  </si>
  <si>
    <t>COT22523.1</t>
  </si>
  <si>
    <t>ERS445053_01689</t>
  </si>
  <si>
    <t>bbmA</t>
  </si>
  <si>
    <t>COT22526.1</t>
  </si>
  <si>
    <t>ERS445053_01690</t>
  </si>
  <si>
    <t>sphingosine kinase</t>
  </si>
  <si>
    <t>COT22535.1</t>
  </si>
  <si>
    <t>ERS445053_01691</t>
  </si>
  <si>
    <t>COT22540.1</t>
  </si>
  <si>
    <t>ERS445053_01692</t>
  </si>
  <si>
    <t>COT22545.1</t>
  </si>
  <si>
    <t>ERS445053_01693</t>
  </si>
  <si>
    <t>COT22550.1</t>
  </si>
  <si>
    <t>ERS445053_01694</t>
  </si>
  <si>
    <t>COT22556.1</t>
  </si>
  <si>
    <t>ERS445053_01695</t>
  </si>
  <si>
    <t>site-specific recombinase%2C resolvase family protein</t>
  </si>
  <si>
    <t>COT22563.1</t>
  </si>
  <si>
    <t>ERS445053_01696</t>
  </si>
  <si>
    <t>site-specific DNA recombinase</t>
  </si>
  <si>
    <t>pinR</t>
  </si>
  <si>
    <t>COT22570.1</t>
  </si>
  <si>
    <t>ERS445053_01697</t>
  </si>
  <si>
    <t>COT22577.1</t>
  </si>
  <si>
    <t>ERS445053_01698</t>
  </si>
  <si>
    <t>type II restriction endonuclease</t>
  </si>
  <si>
    <t>COT22584.1</t>
  </si>
  <si>
    <t>ERS445053_01699</t>
  </si>
  <si>
    <t>ferric enterobactin transport ATP-binding protein FepC</t>
  </si>
  <si>
    <t>yusV</t>
  </si>
  <si>
    <t>COT22589.1</t>
  </si>
  <si>
    <t>ERS445053_01700</t>
  </si>
  <si>
    <t>yfhA</t>
  </si>
  <si>
    <t>COT22594.1</t>
  </si>
  <si>
    <t>ERS445053_01701</t>
  </si>
  <si>
    <t>fepD_2</t>
  </si>
  <si>
    <t>COT22598.1</t>
  </si>
  <si>
    <t>ERS445053_01702</t>
  </si>
  <si>
    <t>iron ABC transporter substrate-binding protein</t>
  </si>
  <si>
    <t>yhfQ</t>
  </si>
  <si>
    <t>COT22602.1</t>
  </si>
  <si>
    <t>ERS445053_01703</t>
  </si>
  <si>
    <t>COT22606.1</t>
  </si>
  <si>
    <t>ERS445053_01704</t>
  </si>
  <si>
    <t>type I restriction-modification system methylation subunit</t>
  </si>
  <si>
    <t>hsdM2</t>
  </si>
  <si>
    <t>COT22612.1</t>
  </si>
  <si>
    <t>ERS445053_01705</t>
  </si>
  <si>
    <t>23S rRNA (uracil-5-)-methyltransferase RumA</t>
  </si>
  <si>
    <t>rlmCD_2</t>
  </si>
  <si>
    <t>COT22619.1</t>
  </si>
  <si>
    <t>ERS445053_01706</t>
  </si>
  <si>
    <t>extracellular protein</t>
  </si>
  <si>
    <t>COT22625.1</t>
  </si>
  <si>
    <t>ERS445053_01707</t>
  </si>
  <si>
    <t>pneumococcal vaccine antigen A</t>
  </si>
  <si>
    <t>COT22630.1</t>
  </si>
  <si>
    <t>ERS445053_01708</t>
  </si>
  <si>
    <t>Pseudouridylate synthase%2C 23S RNA-specific</t>
  </si>
  <si>
    <t>COT22635.1</t>
  </si>
  <si>
    <t>ERS445053_01709</t>
  </si>
  <si>
    <t>serine hydroxymethyltransferase</t>
  </si>
  <si>
    <t>glyA</t>
  </si>
  <si>
    <t>COT22643.1</t>
  </si>
  <si>
    <t>ERS445053_01710</t>
  </si>
  <si>
    <t>COT22648.1</t>
  </si>
  <si>
    <t>ERS445053_01711</t>
  </si>
  <si>
    <t>Sua5/YciO/YrdC family protein</t>
  </si>
  <si>
    <t>rimN</t>
  </si>
  <si>
    <t>COT22653.1</t>
  </si>
  <si>
    <t>ERS445053_01712</t>
  </si>
  <si>
    <t>protein-(glutamine-N5) methyltransferase%2C release factor-specific</t>
  </si>
  <si>
    <t>hemK</t>
  </si>
  <si>
    <t>COT22658.1</t>
  </si>
  <si>
    <t>ERS445053_01713</t>
  </si>
  <si>
    <t>peptide chain release factor 1</t>
  </si>
  <si>
    <t>prfA</t>
  </si>
  <si>
    <t>COT22664.1</t>
  </si>
  <si>
    <t>ERS445053_01714</t>
  </si>
  <si>
    <t>COT22670.1</t>
  </si>
  <si>
    <t>ERS445053_01715</t>
  </si>
  <si>
    <t>thymidine kinase</t>
  </si>
  <si>
    <t>tdk</t>
  </si>
  <si>
    <t>COT22675.1</t>
  </si>
  <si>
    <t>ERS445053_01716</t>
  </si>
  <si>
    <t>4-oxalocrotonate tautomerase</t>
  </si>
  <si>
    <t>xylH</t>
  </si>
  <si>
    <t>COT22685.1</t>
  </si>
  <si>
    <t>ERS445053_01717</t>
  </si>
  <si>
    <t>tRNA modification GTPase TrmE</t>
  </si>
  <si>
    <t>trmE</t>
  </si>
  <si>
    <t>COT22689.1</t>
  </si>
  <si>
    <t>ERS445053_01718</t>
  </si>
  <si>
    <t>dihydrodipicolinate synthase</t>
  </si>
  <si>
    <t>dapA</t>
  </si>
  <si>
    <t>COT22693.1</t>
  </si>
  <si>
    <t>ERS445053_01719</t>
  </si>
  <si>
    <t>aspartate-semialdehyde dehydrogenase</t>
  </si>
  <si>
    <t>asd</t>
  </si>
  <si>
    <t>COT22697.1</t>
  </si>
  <si>
    <t>ERS445053_01720</t>
  </si>
  <si>
    <t>ERS445053_01722</t>
  </si>
  <si>
    <t>GtrA-like protein</t>
  </si>
  <si>
    <t>COT22705.1</t>
  </si>
  <si>
    <t>ERS445053_01724</t>
  </si>
  <si>
    <t>large conductance mechanosensitive channel protein</t>
  </si>
  <si>
    <t>mscL</t>
  </si>
  <si>
    <t>COT22710.1</t>
  </si>
  <si>
    <t>ERS445053_01725</t>
  </si>
  <si>
    <t>protoheme ferro-lyase</t>
  </si>
  <si>
    <t>hemH</t>
  </si>
  <si>
    <t>COT22715.1</t>
  </si>
  <si>
    <t>ERS445053_01726</t>
  </si>
  <si>
    <t>peptidase T</t>
  </si>
  <si>
    <t>pepT</t>
  </si>
  <si>
    <t>COT22720.1</t>
  </si>
  <si>
    <t>ERS445053_01727</t>
  </si>
  <si>
    <t>Pneumococcal histidine triad protein D precursor</t>
  </si>
  <si>
    <t>COT22726.1</t>
  </si>
  <si>
    <t>ERS445053_01728</t>
  </si>
  <si>
    <t>pneumococcal histidine triad protein E</t>
  </si>
  <si>
    <t>COT22732.1</t>
  </si>
  <si>
    <t>ERS445053_01729</t>
  </si>
  <si>
    <t>pneumococcal histidine triad protein E (Bvh-3)</t>
  </si>
  <si>
    <t>phtE</t>
  </si>
  <si>
    <t>COT22735.1</t>
  </si>
  <si>
    <t>ERS445053_01730</t>
  </si>
  <si>
    <t>COT22740.1</t>
  </si>
  <si>
    <t>ERS445053_01731</t>
  </si>
  <si>
    <t>pneumococcal histidine triad protein B</t>
  </si>
  <si>
    <t>COT22743.1</t>
  </si>
  <si>
    <t>ERS445053_01732</t>
  </si>
  <si>
    <t>adhesion lipoprotein</t>
  </si>
  <si>
    <t>lmb</t>
  </si>
  <si>
    <t>COT22746.1</t>
  </si>
  <si>
    <t>ERS445053_01733</t>
  </si>
  <si>
    <t>amino acid permease family protein</t>
  </si>
  <si>
    <t>yfnA</t>
  </si>
  <si>
    <t>COT22749.1</t>
  </si>
  <si>
    <t>ERS445053_01734</t>
  </si>
  <si>
    <t>COT22755.1</t>
  </si>
  <si>
    <t>ERS445053_01735</t>
  </si>
  <si>
    <t>cytochrome c-type biogenesis protein CcdA</t>
  </si>
  <si>
    <t>dsbD_1</t>
  </si>
  <si>
    <t>COT22761.1</t>
  </si>
  <si>
    <t>ERS445053_01736</t>
  </si>
  <si>
    <t>COT22766.1</t>
  </si>
  <si>
    <t>ERS445053_01737</t>
  </si>
  <si>
    <t>COT22771.1</t>
  </si>
  <si>
    <t>ERS445053_01738</t>
  </si>
  <si>
    <t>glycerophosphoryl diester phosphodiesterase family protein</t>
  </si>
  <si>
    <t>ugpQ</t>
  </si>
  <si>
    <t>COT22774.1</t>
  </si>
  <si>
    <t>ERS445053_01739</t>
  </si>
  <si>
    <t>DNA polymerase III subunit epsilon</t>
  </si>
  <si>
    <t>dnaQ</t>
  </si>
  <si>
    <t>COT22781.1</t>
  </si>
  <si>
    <t>ERS445053_01740</t>
  </si>
  <si>
    <t>COT22787.1</t>
  </si>
  <si>
    <t>ERS445053_01741</t>
  </si>
  <si>
    <t>5'-methylthioadenosine nucleosidase/S-adenosylhomocysteine nucleosidase</t>
  </si>
  <si>
    <t>pfs</t>
  </si>
  <si>
    <t>COT22793.1</t>
  </si>
  <si>
    <t>ERS445053_01742</t>
  </si>
  <si>
    <t>COT22800.1</t>
  </si>
  <si>
    <t>ERS445053_01743</t>
  </si>
  <si>
    <t>MutT/NUDIX hydrolase family protein</t>
  </si>
  <si>
    <t>nudF</t>
  </si>
  <si>
    <t>COT22806.1</t>
  </si>
  <si>
    <t>ERS445053_01744</t>
  </si>
  <si>
    <t>bifunctional N-acetylglucosamine-1-phosphate uridyltransferase/glucosamine-1-phosphate acetyltransferase</t>
  </si>
  <si>
    <t>glmU</t>
  </si>
  <si>
    <t>COT22813.1</t>
  </si>
  <si>
    <t>ERS445053_01745</t>
  </si>
  <si>
    <t>lysozyme</t>
  </si>
  <si>
    <t>COT22819.1</t>
  </si>
  <si>
    <t>ERS445053_01746</t>
  </si>
  <si>
    <t>COT22823.1</t>
  </si>
  <si>
    <t>ERS445053_01747</t>
  </si>
  <si>
    <t>ybaK</t>
  </si>
  <si>
    <t>COT22827.1</t>
  </si>
  <si>
    <t>ERS445053_01748</t>
  </si>
  <si>
    <t>phosphoglycerate mutase</t>
  </si>
  <si>
    <t>gpmA_2</t>
  </si>
  <si>
    <t>COT22833.1</t>
  </si>
  <si>
    <t>ERS445053_01749</t>
  </si>
  <si>
    <t>IS861-truncation</t>
  </si>
  <si>
    <t>COT22840.1</t>
  </si>
  <si>
    <t>ERS445053_01750</t>
  </si>
  <si>
    <t>COT22846.1</t>
  </si>
  <si>
    <t>ERS445053_01751</t>
  </si>
  <si>
    <t>peptidyl-prolyl isomerase</t>
  </si>
  <si>
    <t>prsA_2</t>
  </si>
  <si>
    <t>COT22852.1</t>
  </si>
  <si>
    <t>ERS445053_01752</t>
  </si>
  <si>
    <t>O-methyltransferase</t>
  </si>
  <si>
    <t>COT22857.1</t>
  </si>
  <si>
    <t>ERS445053_01753</t>
  </si>
  <si>
    <t>pepF1_2</t>
  </si>
  <si>
    <t>COT22862.1</t>
  </si>
  <si>
    <t>ERS445053_01754</t>
  </si>
  <si>
    <t>COT22865.1</t>
  </si>
  <si>
    <t>ERS445053_01755</t>
  </si>
  <si>
    <t>tellurite resistance protein TehB</t>
  </si>
  <si>
    <t>tehB</t>
  </si>
  <si>
    <t>COT22866.1</t>
  </si>
  <si>
    <t>ERS445053_01756</t>
  </si>
  <si>
    <t>SsrA-binding protein</t>
  </si>
  <si>
    <t>smpB</t>
  </si>
  <si>
    <t>COT22870.1</t>
  </si>
  <si>
    <t>ERS445053_01757</t>
  </si>
  <si>
    <t>ribonuclease R</t>
  </si>
  <si>
    <t>vacB</t>
  </si>
  <si>
    <t>COT22876.1</t>
  </si>
  <si>
    <t>ERS445053_01758</t>
  </si>
  <si>
    <t>membrane protein involved in protein export SecG</t>
  </si>
  <si>
    <t>secG</t>
  </si>
  <si>
    <t>COT22881.1</t>
  </si>
  <si>
    <t>ERS445053_01759</t>
  </si>
  <si>
    <t>multidrug resistance protein MdtG</t>
  </si>
  <si>
    <t>tetA</t>
  </si>
  <si>
    <t>COT22888.1</t>
  </si>
  <si>
    <t>ERS445053_01760</t>
  </si>
  <si>
    <t>dephospho-CoA kinase</t>
  </si>
  <si>
    <t>coaE</t>
  </si>
  <si>
    <t>COT22893.1</t>
  </si>
  <si>
    <t>ERS445053_01761</t>
  </si>
  <si>
    <t>formamidopyrimidine-DNA glycosylase</t>
  </si>
  <si>
    <t>mutM</t>
  </si>
  <si>
    <t>COT22898.1</t>
  </si>
  <si>
    <t>ERS445053_01762</t>
  </si>
  <si>
    <t>GTP-binding protein Era</t>
  </si>
  <si>
    <t>era</t>
  </si>
  <si>
    <t>COT22902.1</t>
  </si>
  <si>
    <t>ERS445053_01763</t>
  </si>
  <si>
    <t>diacylglycerol kinase</t>
  </si>
  <si>
    <t>dgkA</t>
  </si>
  <si>
    <t>COT22907.1</t>
  </si>
  <si>
    <t>ERS445053_01764</t>
  </si>
  <si>
    <t>putative metalloprotease</t>
  </si>
  <si>
    <t>COT22912.1</t>
  </si>
  <si>
    <t>ERS445053_01765</t>
  </si>
  <si>
    <t>fibronectin/fibrinogen binding protein</t>
  </si>
  <si>
    <t>COT22919.1</t>
  </si>
  <si>
    <t>ERS445053_01766</t>
  </si>
  <si>
    <t>mannosyl-glycoprotein endo-beta-N-acetylglucosaminidase</t>
  </si>
  <si>
    <t>lytB_3</t>
  </si>
  <si>
    <t>COT22926.1</t>
  </si>
  <si>
    <t>ERS445053_01767</t>
  </si>
  <si>
    <t>dihydroorotate dehydrogenase 1B</t>
  </si>
  <si>
    <t>pyrD</t>
  </si>
  <si>
    <t>COT22932.1</t>
  </si>
  <si>
    <t>ERS445053_01768</t>
  </si>
  <si>
    <t>dihydroorotate dehydrogenase electron transfer subunit</t>
  </si>
  <si>
    <t>pyrDII</t>
  </si>
  <si>
    <t>COT22941.1</t>
  </si>
  <si>
    <t>ERS445053_01769</t>
  </si>
  <si>
    <t>lguL</t>
  </si>
  <si>
    <t>COT22944.1</t>
  </si>
  <si>
    <t>ERS445053_01770</t>
  </si>
  <si>
    <t>LSU ribosomal protein L20p</t>
  </si>
  <si>
    <t>rplT</t>
  </si>
  <si>
    <t>COT22950.1</t>
  </si>
  <si>
    <t>ERS445053_01771</t>
  </si>
  <si>
    <t>LSU ribosomal protein L35p</t>
  </si>
  <si>
    <t>rpmI</t>
  </si>
  <si>
    <t>COT22955.1</t>
  </si>
  <si>
    <t>ERS445053_01772</t>
  </si>
  <si>
    <t>ABC-type transport system involved in multi-copper enzyme maturation%2C permease component</t>
  </si>
  <si>
    <t>COT22960.1</t>
  </si>
  <si>
    <t>ERS445053_01774</t>
  </si>
  <si>
    <t>kpsT</t>
  </si>
  <si>
    <t>COT22966.1</t>
  </si>
  <si>
    <t>ERS445053_01775</t>
  </si>
  <si>
    <t>competence protein CelB</t>
  </si>
  <si>
    <t>celB_2</t>
  </si>
  <si>
    <t>COT22970.1</t>
  </si>
  <si>
    <t>ERS445053_01776</t>
  </si>
  <si>
    <t>celB_3</t>
  </si>
  <si>
    <t>COT22973.1</t>
  </si>
  <si>
    <t>ERS445053_01777</t>
  </si>
  <si>
    <t>comEA</t>
  </si>
  <si>
    <t>COT22974.1</t>
  </si>
  <si>
    <t>ERS445053_01778</t>
  </si>
  <si>
    <t>ydaF_4</t>
  </si>
  <si>
    <t>COT22975.1</t>
  </si>
  <si>
    <t>ERS445053_01779</t>
  </si>
  <si>
    <t>alanine dehydrogenase</t>
  </si>
  <si>
    <t>ald2</t>
  </si>
  <si>
    <t>COT22976.1</t>
  </si>
  <si>
    <t>ERS445053_01780</t>
  </si>
  <si>
    <t>ald</t>
  </si>
  <si>
    <t>COT22977.1</t>
  </si>
  <si>
    <t>ERS445053_01781</t>
  </si>
  <si>
    <t>TfoX N-domain family protein</t>
  </si>
  <si>
    <t>COT22983.1</t>
  </si>
  <si>
    <t>ERS445053_01782</t>
  </si>
  <si>
    <t>COT22989.1</t>
  </si>
  <si>
    <t>ERS445053_01783</t>
  </si>
  <si>
    <t>PhoH family protein</t>
  </si>
  <si>
    <t>ybeZ</t>
  </si>
  <si>
    <t>COT22995.1</t>
  </si>
  <si>
    <t>ERS445053_01784</t>
  </si>
  <si>
    <t>serine-type D-Ala-D-Ala carboxypeptidase</t>
  </si>
  <si>
    <t>COT23001.1</t>
  </si>
  <si>
    <t>ERS445053_01785</t>
  </si>
  <si>
    <t>s1 RNA binding domain protein</t>
  </si>
  <si>
    <t>cvfB</t>
  </si>
  <si>
    <t>COT23007.1</t>
  </si>
  <si>
    <t>ERS445053_01786</t>
  </si>
  <si>
    <t>ribosome-recycling factor</t>
  </si>
  <si>
    <t>frr</t>
  </si>
  <si>
    <t>COT23012.1</t>
  </si>
  <si>
    <t>ERS445053_01787</t>
  </si>
  <si>
    <t>uridylate kinase</t>
  </si>
  <si>
    <t>pyrH</t>
  </si>
  <si>
    <t>COT23018.1</t>
  </si>
  <si>
    <t>ERS445053_01788</t>
  </si>
  <si>
    <t>tRNA (uracil-5-)-methyltransferase Gid</t>
  </si>
  <si>
    <t>gidA_2</t>
  </si>
  <si>
    <t>COT23020.1</t>
  </si>
  <si>
    <t>ERS445053_01789</t>
  </si>
  <si>
    <t>COT23023.1</t>
  </si>
  <si>
    <t>ERS445053_01790</t>
  </si>
  <si>
    <t>COT23026.1</t>
  </si>
  <si>
    <t>ERS445053_01791</t>
  </si>
  <si>
    <t>COT23031.1</t>
  </si>
  <si>
    <t>ERS445053_01792</t>
  </si>
  <si>
    <t>DUF1706 domain-containing protein</t>
  </si>
  <si>
    <t>COT23036.1</t>
  </si>
  <si>
    <t>ERS445053_01793</t>
  </si>
  <si>
    <t>tetrapyrrole methylase</t>
  </si>
  <si>
    <t>rsmI</t>
  </si>
  <si>
    <t>COT23043.1</t>
  </si>
  <si>
    <t>ERS445053_01794</t>
  </si>
  <si>
    <t>DNA replication intiation control protein YabA</t>
  </si>
  <si>
    <t>COT23050.1</t>
  </si>
  <si>
    <t>ERS445053_01795</t>
  </si>
  <si>
    <t>DNA polymerase III%2C delta' subunit</t>
  </si>
  <si>
    <t>holB</t>
  </si>
  <si>
    <t>COT23054.1</t>
  </si>
  <si>
    <t>ERS445053_01796</t>
  </si>
  <si>
    <t>thymidylate kinase</t>
  </si>
  <si>
    <t>tmk</t>
  </si>
  <si>
    <t>COT23058.1</t>
  </si>
  <si>
    <t>ERS445053_01797</t>
  </si>
  <si>
    <t>pyrroline-5-carboxylate reductase</t>
  </si>
  <si>
    <t>proC</t>
  </si>
  <si>
    <t>COT23062.1</t>
  </si>
  <si>
    <t>ERS445053_01798</t>
  </si>
  <si>
    <t>gamma-glutamyl phosphate reductase</t>
  </si>
  <si>
    <t>proA</t>
  </si>
  <si>
    <t>COT23065.1</t>
  </si>
  <si>
    <t>ERS445053_01799</t>
  </si>
  <si>
    <t>gamma-glutamyl kinase</t>
  </si>
  <si>
    <t>proB</t>
  </si>
  <si>
    <t>COT23069.1</t>
  </si>
  <si>
    <t>ERS445053_01800</t>
  </si>
  <si>
    <t>choline binding protein E CbpE</t>
  </si>
  <si>
    <t>lytA_6</t>
  </si>
  <si>
    <t>COT23073.1</t>
  </si>
  <si>
    <t>ERS445053_01801</t>
  </si>
  <si>
    <t>23S rluA family pseudouridine synthase</t>
  </si>
  <si>
    <t>rluD</t>
  </si>
  <si>
    <t>COT23078.1</t>
  </si>
  <si>
    <t>ERS445053_01802</t>
  </si>
  <si>
    <t>lipoprotein signal peptidase%2C signal peptidase type II</t>
  </si>
  <si>
    <t>lspA</t>
  </si>
  <si>
    <t>COT23084.1</t>
  </si>
  <si>
    <t>ERS445053_01803</t>
  </si>
  <si>
    <t>LysR family transcriptional regulator</t>
  </si>
  <si>
    <t>cysB</t>
  </si>
  <si>
    <t>COT23090.1</t>
  </si>
  <si>
    <t>ERS445053_01804</t>
  </si>
  <si>
    <t>COT23094.1</t>
  </si>
  <si>
    <t>ERS445053_01805</t>
  </si>
  <si>
    <t>COT23098.1</t>
  </si>
  <si>
    <t>ERS445053_01806</t>
  </si>
  <si>
    <t>yidA_3</t>
  </si>
  <si>
    <t>COT23100.1</t>
  </si>
  <si>
    <t>ERS445053_01807</t>
  </si>
  <si>
    <t>carbon-nitrogen hydrolase family protein</t>
  </si>
  <si>
    <t>COT23102.1</t>
  </si>
  <si>
    <t>ERS445053_01808</t>
  </si>
  <si>
    <t>agmatine deiminase</t>
  </si>
  <si>
    <t>aguA</t>
  </si>
  <si>
    <t>COT23107.1</t>
  </si>
  <si>
    <t>ERS445053_01809</t>
  </si>
  <si>
    <t>LysA-like decarboxylase%2C diaminopimelate decarboxylase putative</t>
  </si>
  <si>
    <t>lysA_2</t>
  </si>
  <si>
    <t>COT23110.1</t>
  </si>
  <si>
    <t>ERS445053_01810</t>
  </si>
  <si>
    <t>dehydrogenase family protein%2C saccharopine dehydrogenase</t>
  </si>
  <si>
    <t>COT23112.1</t>
  </si>
  <si>
    <t>ERS445053_01811</t>
  </si>
  <si>
    <t>spermidine synthase</t>
  </si>
  <si>
    <t>speE</t>
  </si>
  <si>
    <t>COT23114.1</t>
  </si>
  <si>
    <t>ERS445053_01812</t>
  </si>
  <si>
    <t>COT23116.1</t>
  </si>
  <si>
    <t>ERS445053_01813</t>
  </si>
  <si>
    <t>ornithine decarboxylase family protein</t>
  </si>
  <si>
    <t>speA</t>
  </si>
  <si>
    <t>COT23118.1</t>
  </si>
  <si>
    <t>ERS445053_01814</t>
  </si>
  <si>
    <t>COT23121.1</t>
  </si>
  <si>
    <t>ERS445053_01815</t>
  </si>
  <si>
    <t>COT23123.1</t>
  </si>
  <si>
    <t>ERS445053_01816</t>
  </si>
  <si>
    <t>ABC transporter%2C membrane-spanning protein</t>
  </si>
  <si>
    <t>COT23124.1</t>
  </si>
  <si>
    <t>ERS445053_01817</t>
  </si>
  <si>
    <t>macB_5</t>
  </si>
  <si>
    <t>COT23125.1</t>
  </si>
  <si>
    <t>ERS445053_01818</t>
  </si>
  <si>
    <t>COT23126.1</t>
  </si>
  <si>
    <t>ERS445053_01819</t>
  </si>
  <si>
    <t>COT23128.1</t>
  </si>
  <si>
    <t>ERS445053_01820</t>
  </si>
  <si>
    <t>PspC domain-containing protein</t>
  </si>
  <si>
    <t>COT23130.1</t>
  </si>
  <si>
    <t>ERS445053_01821</t>
  </si>
  <si>
    <t>SprT family protein</t>
  </si>
  <si>
    <t>COT23131.1</t>
  </si>
  <si>
    <t>ERS445053_01822</t>
  </si>
  <si>
    <t>S1 RNA-binding domain-containing protein</t>
  </si>
  <si>
    <t>yhgF</t>
  </si>
  <si>
    <t>COT23132.1</t>
  </si>
  <si>
    <t>ERS445053_01823</t>
  </si>
  <si>
    <t>putative type II restriction endonuclease DpnI</t>
  </si>
  <si>
    <t>COT23133.1</t>
  </si>
  <si>
    <t>ERS445053_01824</t>
  </si>
  <si>
    <t>membrnae protein</t>
  </si>
  <si>
    <t>COT23136.1</t>
  </si>
  <si>
    <t>ERS445053_01825</t>
  </si>
  <si>
    <t>COT23138.1</t>
  </si>
  <si>
    <t>ERS445053_01826</t>
  </si>
  <si>
    <t>alpha/beta hydrolase related protein</t>
  </si>
  <si>
    <t>COT23139.1</t>
  </si>
  <si>
    <t>ERS445053_01827</t>
  </si>
  <si>
    <t>COT23141.1</t>
  </si>
  <si>
    <t>ERS445053_01828</t>
  </si>
  <si>
    <t>COT23142.1</t>
  </si>
  <si>
    <t>ERS445053_01829</t>
  </si>
  <si>
    <t>COT23143.1</t>
  </si>
  <si>
    <t>ERS445053_01830</t>
  </si>
  <si>
    <t>pyruvate kinase</t>
  </si>
  <si>
    <t>pyk</t>
  </si>
  <si>
    <t>COT23145.1</t>
  </si>
  <si>
    <t>ERS445053_01831</t>
  </si>
  <si>
    <t>6-phosphofructokinase</t>
  </si>
  <si>
    <t>pfkA</t>
  </si>
  <si>
    <t>COT23147.1</t>
  </si>
  <si>
    <t>ERS445053_01832</t>
  </si>
  <si>
    <t>DNA-polymerase III alpha-chain</t>
  </si>
  <si>
    <t>dnaE</t>
  </si>
  <si>
    <t>COT23149.1</t>
  </si>
  <si>
    <t>ERS445053_01833</t>
  </si>
  <si>
    <t>x-prolyl-dipeptidyl aminopeptidase</t>
  </si>
  <si>
    <t>pepXP</t>
  </si>
  <si>
    <t>COT23151.1</t>
  </si>
  <si>
    <t>ERS445053_01834</t>
  </si>
  <si>
    <t>argR1</t>
  </si>
  <si>
    <t>COT23153.1</t>
  </si>
  <si>
    <t>ERS445053_01835</t>
  </si>
  <si>
    <t>COT23155.1</t>
  </si>
  <si>
    <t>ERS445053_01836</t>
  </si>
  <si>
    <t>type I restriction-modification system R subunit</t>
  </si>
  <si>
    <t>hsdR_1</t>
  </si>
  <si>
    <t>COT23156.1</t>
  </si>
  <si>
    <t>ERS445053_01837</t>
  </si>
  <si>
    <t>type I restriction-modification system%2C S subunit%2C putative</t>
  </si>
  <si>
    <t>COT23157.1</t>
  </si>
  <si>
    <t>ERS445053_01838</t>
  </si>
  <si>
    <t>type I restriction modification enzyme methylase subunit</t>
  </si>
  <si>
    <t>hsdM</t>
  </si>
  <si>
    <t>COT23158.1</t>
  </si>
  <si>
    <t>ERS445053_01839</t>
  </si>
  <si>
    <t>carbamoylphosphate synthase large subunit</t>
  </si>
  <si>
    <t>COT23160.1</t>
  </si>
  <si>
    <t>ERS445053_01840</t>
  </si>
  <si>
    <t>esterase</t>
  </si>
  <si>
    <t>COT23161.1</t>
  </si>
  <si>
    <t>ERS445053_01841</t>
  </si>
  <si>
    <t>esterase superfamily protein</t>
  </si>
  <si>
    <t>COT23163.1</t>
  </si>
  <si>
    <t>ERS445053_01842</t>
  </si>
  <si>
    <t>Esterase</t>
  </si>
  <si>
    <t>COT23165.1</t>
  </si>
  <si>
    <t>ERS445053_01843</t>
  </si>
  <si>
    <t>thiamine biosynthesis ATP pyrophosphatase</t>
  </si>
  <si>
    <t>thiI</t>
  </si>
  <si>
    <t>COT23167.1</t>
  </si>
  <si>
    <t>ERS445053_01844</t>
  </si>
  <si>
    <t>class-V aminotransferase</t>
  </si>
  <si>
    <t>iscS_2</t>
  </si>
  <si>
    <t>COT23168.1</t>
  </si>
  <si>
    <t>ERS445053_01845</t>
  </si>
  <si>
    <t>COT23169.1</t>
  </si>
  <si>
    <t>ERS445053_01846</t>
  </si>
  <si>
    <t>DNA translocase%2C cell division protein</t>
  </si>
  <si>
    <t>ftsK</t>
  </si>
  <si>
    <t>COT23170.1</t>
  </si>
  <si>
    <t>ERS445053_01847</t>
  </si>
  <si>
    <t>PTS system%2C fructose specific IIBC component</t>
  </si>
  <si>
    <t>fruA</t>
  </si>
  <si>
    <t>COT23171.1</t>
  </si>
  <si>
    <t>ERS445053_01848</t>
  </si>
  <si>
    <t>fructose-1-phosphate kinase</t>
  </si>
  <si>
    <t>fruB_1</t>
  </si>
  <si>
    <t>COT23172.1</t>
  </si>
  <si>
    <t>ERS445053_01849</t>
  </si>
  <si>
    <t>fruB_2</t>
  </si>
  <si>
    <t>COT23174.1</t>
  </si>
  <si>
    <t>ERS445053_01850</t>
  </si>
  <si>
    <t>transcriptional repressor of fructose operon</t>
  </si>
  <si>
    <t>fruR</t>
  </si>
  <si>
    <t>COT23176.1</t>
  </si>
  <si>
    <t>ERS445053_01851</t>
  </si>
  <si>
    <t>ERS445053_01852</t>
  </si>
  <si>
    <t>transfer-messenger RNA%2C SsrA</t>
  </si>
  <si>
    <t>ssrA</t>
  </si>
  <si>
    <t>other</t>
  </si>
  <si>
    <t>ERS445053_01853</t>
  </si>
  <si>
    <t>putative permease</t>
  </si>
  <si>
    <t>yhhT_2</t>
  </si>
  <si>
    <t>COT23179.1</t>
  </si>
  <si>
    <t>ERS445053_01854</t>
  </si>
  <si>
    <t>D-alanyl-D-alanine carboxypeptidase%2C penicillin-binding protein 3</t>
  </si>
  <si>
    <t>pbp3</t>
  </si>
  <si>
    <t>COT23181.1</t>
  </si>
  <si>
    <t>ERS445053_01855</t>
  </si>
  <si>
    <t>Iron-sulfur cluster assembly protein SufB</t>
  </si>
  <si>
    <t>COT23183.1</t>
  </si>
  <si>
    <t>ERS445053_01856</t>
  </si>
  <si>
    <t>nifU family protein</t>
  </si>
  <si>
    <t>nifU</t>
  </si>
  <si>
    <t>COT23185.1</t>
  </si>
  <si>
    <t>ERS445053_01857</t>
  </si>
  <si>
    <t>csd</t>
  </si>
  <si>
    <t>COT23186.1</t>
  </si>
  <si>
    <t>ERS445053_01858</t>
  </si>
  <si>
    <t>FeS assembly protein SufD</t>
  </si>
  <si>
    <t>sufD</t>
  </si>
  <si>
    <t>COT23187.1</t>
  </si>
  <si>
    <t>ERS445053_01859</t>
  </si>
  <si>
    <t>FeS assembly ATPase SufC</t>
  </si>
  <si>
    <t>sufC</t>
  </si>
  <si>
    <t>COT23188.1</t>
  </si>
  <si>
    <t>ERS445053_01860</t>
  </si>
  <si>
    <t>COT23190.1</t>
  </si>
  <si>
    <t>ERS445053_01861</t>
  </si>
  <si>
    <t>DNA polymerase III subunits gamma and tau</t>
  </si>
  <si>
    <t>dnaX</t>
  </si>
  <si>
    <t>COT23192.1</t>
  </si>
  <si>
    <t>ERS445053_01862</t>
  </si>
  <si>
    <t>GAF domain-containing protein</t>
  </si>
  <si>
    <t>msrC</t>
  </si>
  <si>
    <t>COT23194.1</t>
  </si>
  <si>
    <t>ERS445053_01863</t>
  </si>
  <si>
    <t>30S ribosomal protein S1</t>
  </si>
  <si>
    <t>rpsA</t>
  </si>
  <si>
    <t>COT23196.1</t>
  </si>
  <si>
    <t>ERS445053_01864</t>
  </si>
  <si>
    <t>ERS445053_01865</t>
  </si>
  <si>
    <t>ERS445053_01866</t>
  </si>
  <si>
    <t>branched-chain amino acid aminotransferase</t>
  </si>
  <si>
    <t>COT23197.1</t>
  </si>
  <si>
    <t>ERS445053_01867</t>
  </si>
  <si>
    <t>pyroglutamyl-peptidase I</t>
  </si>
  <si>
    <t>pcp_2</t>
  </si>
  <si>
    <t>COT23198.1</t>
  </si>
  <si>
    <t>ERS445053_01868</t>
  </si>
  <si>
    <t>COT23200.1</t>
  </si>
  <si>
    <t>ERS445053_01869</t>
  </si>
  <si>
    <t>COT23202.1</t>
  </si>
  <si>
    <t>ERS445053_01870</t>
  </si>
  <si>
    <t>extracellular oligopeptide-binding protein</t>
  </si>
  <si>
    <t>sarA_2</t>
  </si>
  <si>
    <t>COT23204.1</t>
  </si>
  <si>
    <t>ERS445053_01871</t>
  </si>
  <si>
    <t>ilvE</t>
  </si>
  <si>
    <t>COT23205.1</t>
  </si>
  <si>
    <t>ERS445053_01872</t>
  </si>
  <si>
    <t>topoisomerase IV subunit A%2C ParC</t>
  </si>
  <si>
    <t>parC</t>
  </si>
  <si>
    <t>COT23207.1</t>
  </si>
  <si>
    <t>ERS445053_01873</t>
  </si>
  <si>
    <t>N-6 DNA methylase</t>
  </si>
  <si>
    <t>COT23208.1</t>
  </si>
  <si>
    <t>ERS445053_01874</t>
  </si>
  <si>
    <t>topoisomerase IV subunit B</t>
  </si>
  <si>
    <t>parE</t>
  </si>
  <si>
    <t>COT23210.1</t>
  </si>
  <si>
    <t>ERS445053_01875</t>
  </si>
  <si>
    <t>putative glycerol-3-phosphate acyltransferase PlsY</t>
  </si>
  <si>
    <t>plsY</t>
  </si>
  <si>
    <t>COT23212.1</t>
  </si>
  <si>
    <t>ERS445053_01876</t>
  </si>
  <si>
    <t>IS3-Spn1 transposase%2C truncation</t>
  </si>
  <si>
    <t>COT23214.1</t>
  </si>
  <si>
    <t>ERS445053_01877</t>
  </si>
  <si>
    <t>IS3-Spn1 transposase</t>
  </si>
  <si>
    <t>COT23216.1</t>
  </si>
  <si>
    <t>ERS445053_01878</t>
  </si>
  <si>
    <t>COT23217.1</t>
  </si>
  <si>
    <t>ERS445053_01879</t>
  </si>
  <si>
    <t>transposase orfA%2C ISSmu1</t>
  </si>
  <si>
    <t>COT23219.1</t>
  </si>
  <si>
    <t>ERS445053_01880</t>
  </si>
  <si>
    <t>COT23221.1</t>
  </si>
  <si>
    <t>ERS445053_01881</t>
  </si>
  <si>
    <t>mglC</t>
  </si>
  <si>
    <t>COT23222.1</t>
  </si>
  <si>
    <t>ERS445053_01882</t>
  </si>
  <si>
    <t>mglA</t>
  </si>
  <si>
    <t>COT23224.1</t>
  </si>
  <si>
    <t>ERS445053_01883</t>
  </si>
  <si>
    <t>tmpC</t>
  </si>
  <si>
    <t>COT23226.1</t>
  </si>
  <si>
    <t>ERS445053_01884</t>
  </si>
  <si>
    <t>cdd</t>
  </si>
  <si>
    <t>COT23227.1</t>
  </si>
  <si>
    <t>ERS445053_01885</t>
  </si>
  <si>
    <t>deoxyribose-phosphate aldolase</t>
  </si>
  <si>
    <t>deoC</t>
  </si>
  <si>
    <t>COT23228.1</t>
  </si>
  <si>
    <t>ERS445053_01886</t>
  </si>
  <si>
    <t>thymidine phosphorylase</t>
  </si>
  <si>
    <t>deoA</t>
  </si>
  <si>
    <t>COT23230.1</t>
  </si>
  <si>
    <t>ERS445053_01887</t>
  </si>
  <si>
    <t>16S RNA G1207 methylase RsmC</t>
  </si>
  <si>
    <t>rsmC</t>
  </si>
  <si>
    <t>COT23232.1</t>
  </si>
  <si>
    <t>ERS445053_01888</t>
  </si>
  <si>
    <t>membrane protein (pseudogene)</t>
  </si>
  <si>
    <t>COT23234.1</t>
  </si>
  <si>
    <t>ERS445053_01889</t>
  </si>
  <si>
    <t>pantothenate kinase</t>
  </si>
  <si>
    <t>coaA</t>
  </si>
  <si>
    <t>COT23236.1</t>
  </si>
  <si>
    <t>ERS445053_01890</t>
  </si>
  <si>
    <t>putative 30S ribosomal protein S20</t>
  </si>
  <si>
    <t>rpsT</t>
  </si>
  <si>
    <t>COT23238.1</t>
  </si>
  <si>
    <t>ERS445053_01891</t>
  </si>
  <si>
    <t>topology modulation protein</t>
  </si>
  <si>
    <t>COT23240.1</t>
  </si>
  <si>
    <t>ERS445053_01892</t>
  </si>
  <si>
    <t>purine nucleoside phosphorylase</t>
  </si>
  <si>
    <t>deoD_2</t>
  </si>
  <si>
    <t>COT23241.1</t>
  </si>
  <si>
    <t>ERS445053_01893</t>
  </si>
  <si>
    <t>ply_2</t>
  </si>
  <si>
    <t>COT23242.1</t>
  </si>
  <si>
    <t>ERS445053_01894</t>
  </si>
  <si>
    <t>exported glycosyl hydrolase</t>
  </si>
  <si>
    <t>COT23244.1</t>
  </si>
  <si>
    <t>ERS445053_01895</t>
  </si>
  <si>
    <t>flaR</t>
  </si>
  <si>
    <t>COT23245.1</t>
  </si>
  <si>
    <t>ERS445053_01896</t>
  </si>
  <si>
    <t>punA</t>
  </si>
  <si>
    <t>COT23247.1</t>
  </si>
  <si>
    <t>ERS445053_01897</t>
  </si>
  <si>
    <t>phosphopentomutase</t>
  </si>
  <si>
    <t>COT23249.1</t>
  </si>
  <si>
    <t>ERS445053_01898</t>
  </si>
  <si>
    <t>deoB</t>
  </si>
  <si>
    <t>COT23250.1</t>
  </si>
  <si>
    <t>ERS445053_01899</t>
  </si>
  <si>
    <t>ribose-5-phosphate isomerase A</t>
  </si>
  <si>
    <t>rpiA</t>
  </si>
  <si>
    <t>COT23251.1</t>
  </si>
  <si>
    <t>ERS445053_01900</t>
  </si>
  <si>
    <t>carbohydrate kinase</t>
  </si>
  <si>
    <t>nnrD</t>
  </si>
  <si>
    <t>COT23252.1</t>
  </si>
  <si>
    <t>ERS445053_01901</t>
  </si>
  <si>
    <t>FolD bifunctional protein%3B includes: methylenetetrahydrofolate dehydrogenase%2C methenyltetrahydrofolate cyclohydrolase</t>
  </si>
  <si>
    <t>folD</t>
  </si>
  <si>
    <t>COT23253.1</t>
  </si>
  <si>
    <t>ERS445053_01902</t>
  </si>
  <si>
    <t>artM_4</t>
  </si>
  <si>
    <t>COT23255.1</t>
  </si>
  <si>
    <t>ERS445053_01903</t>
  </si>
  <si>
    <t>artQ_1</t>
  </si>
  <si>
    <t>COT23258.1</t>
  </si>
  <si>
    <t>ERS445053_01904</t>
  </si>
  <si>
    <t>FIG01114188: hypothetical protein</t>
  </si>
  <si>
    <t>ykuJ</t>
  </si>
  <si>
    <t>COT23260.1</t>
  </si>
  <si>
    <t>ERS445053_01905</t>
  </si>
  <si>
    <t>clpE</t>
  </si>
  <si>
    <t>COT23261.1</t>
  </si>
  <si>
    <t>ERS445053_01906</t>
  </si>
  <si>
    <t>COT23263.1</t>
  </si>
  <si>
    <t>ERS445053_01907</t>
  </si>
  <si>
    <t>NTP pyrophosphohydrolase including oxidative damage repair enzymes</t>
  </si>
  <si>
    <t>COT23265.1</t>
  </si>
  <si>
    <t>ERS445053_01908</t>
  </si>
  <si>
    <t>FIG01114027: hypothetical protein</t>
  </si>
  <si>
    <t>COT23267.1</t>
  </si>
  <si>
    <t>ERS445053_01909</t>
  </si>
  <si>
    <t>COT23268.1</t>
  </si>
  <si>
    <t>ERS445053_01910</t>
  </si>
  <si>
    <t>COT23269.1</t>
  </si>
  <si>
    <t>ERS445053_01911</t>
  </si>
  <si>
    <t>COT23270.1</t>
  </si>
  <si>
    <t>ERS445053_01912</t>
  </si>
  <si>
    <t>COT23271.1</t>
  </si>
  <si>
    <t>ERS445053_01913</t>
  </si>
  <si>
    <t>glycyl-tRNA synthetase subunit alpha</t>
  </si>
  <si>
    <t>COT23274.1</t>
  </si>
  <si>
    <t>ERS445053_01914</t>
  </si>
  <si>
    <t>COT23275.1</t>
  </si>
  <si>
    <t>ERS445053_01915</t>
  </si>
  <si>
    <t>COT23277.1</t>
  </si>
  <si>
    <t>ERS445053_01916</t>
  </si>
  <si>
    <t>COT23279.1</t>
  </si>
  <si>
    <t>ERS445053_01917</t>
  </si>
  <si>
    <t>septation ring formation regulator EzrA</t>
  </si>
  <si>
    <t>ezrA</t>
  </si>
  <si>
    <t>COT23280.1</t>
  </si>
  <si>
    <t>ERS445053_01918</t>
  </si>
  <si>
    <t>DNA gyrase subunit B</t>
  </si>
  <si>
    <t>gyrB</t>
  </si>
  <si>
    <t>COT23281.1</t>
  </si>
  <si>
    <t>ERS445053_01919</t>
  </si>
  <si>
    <t>gph</t>
  </si>
  <si>
    <t>COT23283.1</t>
  </si>
  <si>
    <t>ERS445053_01920</t>
  </si>
  <si>
    <t>4-methyl-5(b-hydroxyethyl)-thiazole monophosphate biosynthesis protein</t>
  </si>
  <si>
    <t>yajL</t>
  </si>
  <si>
    <t>COT23285.1</t>
  </si>
  <si>
    <t>ERS445053_01921</t>
  </si>
  <si>
    <t>RodA</t>
  </si>
  <si>
    <t>rodA</t>
  </si>
  <si>
    <t>COT23287.1</t>
  </si>
  <si>
    <t>ERS445053_01922</t>
  </si>
  <si>
    <t>ATP-dependent helicase DinG</t>
  </si>
  <si>
    <t>dinG</t>
  </si>
  <si>
    <t>COT23289.1</t>
  </si>
  <si>
    <t>ERS445053_01923</t>
  </si>
  <si>
    <t>yhbU_2</t>
  </si>
  <si>
    <t>COT23290.1</t>
  </si>
  <si>
    <t>ERS445053_01924</t>
  </si>
  <si>
    <t>COT23291.1</t>
  </si>
  <si>
    <t>ERS445053_01925</t>
  </si>
  <si>
    <t>ciaH</t>
  </si>
  <si>
    <t>COT23292.1</t>
  </si>
  <si>
    <t>ERS445053_01926</t>
  </si>
  <si>
    <t>DNA-binding response regulator CiaR</t>
  </si>
  <si>
    <t>ciaR</t>
  </si>
  <si>
    <t>COT23293.1</t>
  </si>
  <si>
    <t>ERS445053_01927</t>
  </si>
  <si>
    <t>aminopeptidase N</t>
  </si>
  <si>
    <t>pepN</t>
  </si>
  <si>
    <t>COT23294.1</t>
  </si>
  <si>
    <t>ERS445053_01928</t>
  </si>
  <si>
    <t>COT23296.1</t>
  </si>
  <si>
    <t>ERS445053_01929</t>
  </si>
  <si>
    <t>PEP-utilizing enzyme family protein</t>
  </si>
  <si>
    <t>ptsI_2</t>
  </si>
  <si>
    <t>COT23298.1</t>
  </si>
  <si>
    <t>ERS445053_01930</t>
  </si>
  <si>
    <t>COT23300.1</t>
  </si>
  <si>
    <t>ERS445053_01931</t>
  </si>
  <si>
    <t>short chain dehydrogenase</t>
  </si>
  <si>
    <t>cpnA</t>
  </si>
  <si>
    <t>COT23302.1</t>
  </si>
  <si>
    <t>ERS445053_01932</t>
  </si>
  <si>
    <t>methionine--tRNA ligase</t>
  </si>
  <si>
    <t>metG_1</t>
  </si>
  <si>
    <t>COT23305.1</t>
  </si>
  <si>
    <t>ERS445053_01933</t>
  </si>
  <si>
    <t>aldo/keto reductase family oxidoreductase</t>
  </si>
  <si>
    <t>ydhF</t>
  </si>
  <si>
    <t>COT23306.1</t>
  </si>
  <si>
    <t>ERS445053_01934</t>
  </si>
  <si>
    <t>COT23307.1</t>
  </si>
  <si>
    <t>ERS445053_01935</t>
  </si>
  <si>
    <t>PadR family transcriptional regulator</t>
  </si>
  <si>
    <t>COT23308.1</t>
  </si>
  <si>
    <t>ERS445053_01936</t>
  </si>
  <si>
    <t>methionyl-tRNA synthetase</t>
  </si>
  <si>
    <t>metG_2</t>
  </si>
  <si>
    <t>COT23310.1</t>
  </si>
  <si>
    <t>ERS445053_01937</t>
  </si>
  <si>
    <t>macB_6</t>
  </si>
  <si>
    <t>COT23312.1</t>
  </si>
  <si>
    <t>ERS445053_01938</t>
  </si>
  <si>
    <t>salX</t>
  </si>
  <si>
    <t>COT23314.1</t>
  </si>
  <si>
    <t>ERS445053_01939</t>
  </si>
  <si>
    <t>membrane-fusion protein</t>
  </si>
  <si>
    <t>COT23315.1</t>
  </si>
  <si>
    <t>ERS445053_01940</t>
  </si>
  <si>
    <t>glutathione reductase</t>
  </si>
  <si>
    <t>gor</t>
  </si>
  <si>
    <t>COT23316.1</t>
  </si>
  <si>
    <t>ERS445053_01941</t>
  </si>
  <si>
    <t>biotin synthase</t>
  </si>
  <si>
    <t>bioY2</t>
  </si>
  <si>
    <t>COT23317.1</t>
  </si>
  <si>
    <t>ERS445053_01942</t>
  </si>
  <si>
    <t>seryl-tRNA synthetase family protein</t>
  </si>
  <si>
    <t>COT23318.1</t>
  </si>
  <si>
    <t>ERS445053_01943</t>
  </si>
  <si>
    <t>COT23319.1</t>
  </si>
  <si>
    <t>ERS445053_01944</t>
  </si>
  <si>
    <t>ATP cone domain-containing protein</t>
  </si>
  <si>
    <t>nrdD_2</t>
  </si>
  <si>
    <t>COT23320.1</t>
  </si>
  <si>
    <t>ERS445053_01945</t>
  </si>
  <si>
    <t>tRNA (guanine-N(1)-)-methyltransferase</t>
  </si>
  <si>
    <t>trmD</t>
  </si>
  <si>
    <t>COT23321.1</t>
  </si>
  <si>
    <t>ERS445053_01946</t>
  </si>
  <si>
    <t>16S_rRNA processing protein RimM</t>
  </si>
  <si>
    <t>rimM</t>
  </si>
  <si>
    <t>COT23322.1</t>
  </si>
  <si>
    <t>ERS445053_01947</t>
  </si>
  <si>
    <t>alpha/beta fold family hydrolase</t>
  </si>
  <si>
    <t>COT23323.1</t>
  </si>
  <si>
    <t>ERS445053_01948</t>
  </si>
  <si>
    <t>KH domain-containing protein</t>
  </si>
  <si>
    <t>COT23324.1</t>
  </si>
  <si>
    <t>ERS445053_01949</t>
  </si>
  <si>
    <t>rpsP_2</t>
  </si>
  <si>
    <t>COT23325.1</t>
  </si>
  <si>
    <t>ERS445053_01950</t>
  </si>
  <si>
    <t>COT23326.1</t>
  </si>
  <si>
    <t>ERS445053_01951</t>
  </si>
  <si>
    <t>peptidyl-prolyl cis-trans isomerase</t>
  </si>
  <si>
    <t>COT23327.1</t>
  </si>
  <si>
    <t>ERS445053_01952</t>
  </si>
  <si>
    <t>COT23328.1</t>
  </si>
  <si>
    <t>ERS445053_01953</t>
  </si>
  <si>
    <t>VanZ family protein</t>
  </si>
  <si>
    <t>COT23329.1</t>
  </si>
  <si>
    <t>ERS445053_01954</t>
  </si>
  <si>
    <t>ribosomal RNA large subunit methyltransferase N</t>
  </si>
  <si>
    <t>rlmN</t>
  </si>
  <si>
    <t>COT23330.1</t>
  </si>
  <si>
    <t>ERS445053_01955</t>
  </si>
  <si>
    <t>yutD</t>
  </si>
  <si>
    <t>COT23331.1</t>
  </si>
  <si>
    <t>ERS445053_01956</t>
  </si>
  <si>
    <t>superoxide dismutase</t>
  </si>
  <si>
    <t>sodA</t>
  </si>
  <si>
    <t>COT23332.1</t>
  </si>
  <si>
    <t>ERS445053_01957</t>
  </si>
  <si>
    <t>DNA polymerase III%2C delta subunit</t>
  </si>
  <si>
    <t>holA</t>
  </si>
  <si>
    <t>COT23333.1</t>
  </si>
  <si>
    <t>ERS445053_01958</t>
  </si>
  <si>
    <t>dihydroorotate dehydrogenase 1A</t>
  </si>
  <si>
    <t>pyrA</t>
  </si>
  <si>
    <t>COT23334.1</t>
  </si>
  <si>
    <t>ERS445053_01959</t>
  </si>
  <si>
    <t>S-adenosylmethionine synthetase</t>
  </si>
  <si>
    <t>metK</t>
  </si>
  <si>
    <t>COT23335.1</t>
  </si>
  <si>
    <t>ERS445053_01960</t>
  </si>
  <si>
    <t>rheB</t>
  </si>
  <si>
    <t>COT23336.1</t>
  </si>
  <si>
    <t>ERS445053_01961</t>
  </si>
  <si>
    <t>metal-dependent hydrolase superfamily protein</t>
  </si>
  <si>
    <t>COT23337.1</t>
  </si>
  <si>
    <t>ERS445053_01962</t>
  </si>
  <si>
    <t>PTS glucose-specific enzyme IIABC component</t>
  </si>
  <si>
    <t>ptsG_2</t>
  </si>
  <si>
    <t>COT23338.1</t>
  </si>
  <si>
    <t>ERS445053_01963</t>
  </si>
  <si>
    <t>cell division ABC transporter permease FtsX</t>
  </si>
  <si>
    <t>ftsX</t>
  </si>
  <si>
    <t>COT23339.1</t>
  </si>
  <si>
    <t>ERS445053_01964</t>
  </si>
  <si>
    <t>cell division ATP-binding protein FtsE</t>
  </si>
  <si>
    <t>ftsE_2</t>
  </si>
  <si>
    <t>COT23340.1</t>
  </si>
  <si>
    <t>ERS445053_01965</t>
  </si>
  <si>
    <t>peptide chain release factor 2</t>
  </si>
  <si>
    <t>prfB</t>
  </si>
  <si>
    <t>COT23341.1</t>
  </si>
  <si>
    <t>ERS445053_01966</t>
  </si>
  <si>
    <t>CBS domain containing protein</t>
  </si>
  <si>
    <t>COT23342.1</t>
  </si>
  <si>
    <t>ERS445053_01967</t>
  </si>
  <si>
    <t>branched-chain amino acid transport protein</t>
  </si>
  <si>
    <t>livF</t>
  </si>
  <si>
    <t>COT23343.1</t>
  </si>
  <si>
    <t>ERS445053_01968</t>
  </si>
  <si>
    <t>putative branched-chain amino acid transport protein</t>
  </si>
  <si>
    <t>lptB_2</t>
  </si>
  <si>
    <t>COT23344.1</t>
  </si>
  <si>
    <t>ERS445053_01969</t>
  </si>
  <si>
    <t>branched-chain amino acid ABC transporter permease</t>
  </si>
  <si>
    <t>livM</t>
  </si>
  <si>
    <t>COT23345.1</t>
  </si>
  <si>
    <t>ERS445053_01970</t>
  </si>
  <si>
    <t>livH</t>
  </si>
  <si>
    <t>COT23346.1</t>
  </si>
  <si>
    <t>ERS445053_01971</t>
  </si>
  <si>
    <t>ABC transporter substrate binding lipoprotein-branched chain amino acid transport</t>
  </si>
  <si>
    <t>livJ</t>
  </si>
  <si>
    <t>COT23347.1</t>
  </si>
  <si>
    <t>ERS445053_01972</t>
  </si>
  <si>
    <t>UPF0298 protein SSU98</t>
  </si>
  <si>
    <t>COT23348.1</t>
  </si>
  <si>
    <t>ERS445053_01973</t>
  </si>
  <si>
    <t>ATP-dependent Clp protease proteolytic subunit</t>
  </si>
  <si>
    <t>clpP</t>
  </si>
  <si>
    <t>COT23349.1</t>
  </si>
  <si>
    <t>ERS445053_01974</t>
  </si>
  <si>
    <t>uracil phosphoribosyltransferase</t>
  </si>
  <si>
    <t>upp</t>
  </si>
  <si>
    <t>COT23350.1</t>
  </si>
  <si>
    <t>ERS445053_01975</t>
  </si>
  <si>
    <t>dCMP deaminase</t>
  </si>
  <si>
    <t>comEB</t>
  </si>
  <si>
    <t>COT23351.1</t>
  </si>
  <si>
    <t>ERS445053_01976</t>
  </si>
  <si>
    <t>ethR</t>
  </si>
  <si>
    <t>COT23352.1</t>
  </si>
  <si>
    <t>ERS445053_01977</t>
  </si>
  <si>
    <t>fatty-acid binding protein</t>
  </si>
  <si>
    <t>COT23353.1</t>
  </si>
  <si>
    <t>ERS445053_01978</t>
  </si>
  <si>
    <t>putative flavoprotein</t>
  </si>
  <si>
    <t>COT23354.1</t>
  </si>
  <si>
    <t>ERS445053_01979</t>
  </si>
  <si>
    <t>MutT/NUDIX family protein</t>
  </si>
  <si>
    <t>mutX_3</t>
  </si>
  <si>
    <t>COT23355.1</t>
  </si>
  <si>
    <t>ERS445053_01980</t>
  </si>
  <si>
    <t>mta</t>
  </si>
  <si>
    <t>COT23356.1</t>
  </si>
  <si>
    <t>ERS445053_01981</t>
  </si>
  <si>
    <t>sodium-dependent transporter</t>
  </si>
  <si>
    <t>COT23357.1</t>
  </si>
  <si>
    <t>ERS445053_01982</t>
  </si>
  <si>
    <t>mannose-6-phosphate isomerase</t>
  </si>
  <si>
    <t>gmuF</t>
  </si>
  <si>
    <t>COT23358.1</t>
  </si>
  <si>
    <t>ERS445053_01983</t>
  </si>
  <si>
    <t>6-phospho-beta-glucosidase AscB</t>
  </si>
  <si>
    <t>bglA</t>
  </si>
  <si>
    <t>COT23359.1</t>
  </si>
  <si>
    <t>ERS445053_01984</t>
  </si>
  <si>
    <t>transposase family protein</t>
  </si>
  <si>
    <t>COT23360.1</t>
  </si>
  <si>
    <t>ERS445053_01985</t>
  </si>
  <si>
    <t>COT23361.1</t>
  </si>
  <si>
    <t>ERS445053_01986</t>
  </si>
  <si>
    <t>putative oxidase</t>
  </si>
  <si>
    <t>spxB</t>
  </si>
  <si>
    <t>COT23362.1</t>
  </si>
  <si>
    <t>ERS445053_01987</t>
  </si>
  <si>
    <t>ctpA</t>
  </si>
  <si>
    <t>COT23363.1</t>
  </si>
  <si>
    <t>ERS445053_01988</t>
  </si>
  <si>
    <t>Cu2+-exporting ATPase</t>
  </si>
  <si>
    <t>COT23364.1</t>
  </si>
  <si>
    <t>ERS445053_01989</t>
  </si>
  <si>
    <t>copY</t>
  </si>
  <si>
    <t>COT23365.1</t>
  </si>
  <si>
    <t>ERS445053_01990</t>
  </si>
  <si>
    <t>thiD</t>
  </si>
  <si>
    <t>COT23366.1</t>
  </si>
  <si>
    <t>ERS445053_01992</t>
  </si>
  <si>
    <t>thiamine-phosphate pyrophosphorylase</t>
  </si>
  <si>
    <t>thiE_1</t>
  </si>
  <si>
    <t>COT23367.1</t>
  </si>
  <si>
    <t>ERS445053_01993</t>
  </si>
  <si>
    <t>hydroxyethylthiazole kinase</t>
  </si>
  <si>
    <t>thiM_1</t>
  </si>
  <si>
    <t>COT23368.1</t>
  </si>
  <si>
    <t>ERS445053_01994</t>
  </si>
  <si>
    <t>ThiW superfamily protein</t>
  </si>
  <si>
    <t>thiW</t>
  </si>
  <si>
    <t>COT23369.1</t>
  </si>
  <si>
    <t>ERS445053_01995</t>
  </si>
  <si>
    <t>transcriptional activator TenA%2C TENA/THI-4 family protein</t>
  </si>
  <si>
    <t>tenA_1</t>
  </si>
  <si>
    <t>COT23370.1</t>
  </si>
  <si>
    <t>ERS445053_01996</t>
  </si>
  <si>
    <t>cobalt ABC transporter domain-containing protein</t>
  </si>
  <si>
    <t>COT23371.1</t>
  </si>
  <si>
    <t>ERS445053_01997</t>
  </si>
  <si>
    <t>cobalt or other cation ABC transporter ATP-binding protein</t>
  </si>
  <si>
    <t>ykoD_2</t>
  </si>
  <si>
    <t>COT23372.1</t>
  </si>
  <si>
    <t>ERS445053_01998</t>
  </si>
  <si>
    <t>cobalt ABC transporter permease</t>
  </si>
  <si>
    <t>ykoE</t>
  </si>
  <si>
    <t>COT23373.1</t>
  </si>
  <si>
    <t>ERS445053_01999</t>
  </si>
  <si>
    <t>thiE_2</t>
  </si>
  <si>
    <t>COT23374.1</t>
  </si>
  <si>
    <t>ERS445053_02001</t>
  </si>
  <si>
    <t>thiM_2</t>
  </si>
  <si>
    <t>COT23375.1</t>
  </si>
  <si>
    <t>ERS445053_02002</t>
  </si>
  <si>
    <t>transcriptional regulator%2C TENA/THI-4 family protein</t>
  </si>
  <si>
    <t>tenA_2</t>
  </si>
  <si>
    <t>COT23376.1</t>
  </si>
  <si>
    <t>ERS445053_02003</t>
  </si>
  <si>
    <t>lysyl-tRNA synthetase</t>
  </si>
  <si>
    <t>lysS</t>
  </si>
  <si>
    <t>COT23377.1</t>
  </si>
  <si>
    <t>ERS445053_02005</t>
  </si>
  <si>
    <t>L-lactate dehydrogenase (FMN-dependent)-like alpha-hydroxy acid dehydrogenase</t>
  </si>
  <si>
    <t>COT23378.1</t>
  </si>
  <si>
    <t>ERS445053_02006</t>
  </si>
  <si>
    <t>yecS_3</t>
  </si>
  <si>
    <t>COT23379.1</t>
  </si>
  <si>
    <t>ERS445053_02007</t>
  </si>
  <si>
    <t>tcyB</t>
  </si>
  <si>
    <t>COT23380.1</t>
  </si>
  <si>
    <t>ERS445053_02008</t>
  </si>
  <si>
    <t>glnQ_2</t>
  </si>
  <si>
    <t>COT23381.1</t>
  </si>
  <si>
    <t>ERS445053_02009</t>
  </si>
  <si>
    <t>ABC transporter substrate binding protein</t>
  </si>
  <si>
    <t>COT23382.1</t>
  </si>
  <si>
    <t>ERS445053_02010</t>
  </si>
  <si>
    <t>ABC transporter substrate binding lipoprotein-amino acid transport</t>
  </si>
  <si>
    <t>fliY</t>
  </si>
  <si>
    <t>COT23383.1</t>
  </si>
  <si>
    <t>ERS445053_02011</t>
  </si>
  <si>
    <t>fbpC2</t>
  </si>
  <si>
    <t>COT23384.1</t>
  </si>
  <si>
    <t>ERS445053_02012</t>
  </si>
  <si>
    <t>COT23385.1</t>
  </si>
  <si>
    <t>ERS445053_02013</t>
  </si>
  <si>
    <t>COT23386.1</t>
  </si>
  <si>
    <t>ERS445053_02014</t>
  </si>
  <si>
    <t>COT23387.1</t>
  </si>
  <si>
    <t>ERS445053_02015</t>
  </si>
  <si>
    <t>COT23388.1</t>
  </si>
  <si>
    <t>ERS445053_02016</t>
  </si>
  <si>
    <t>orotate phosphoribosyltransferase</t>
  </si>
  <si>
    <t>pyrE</t>
  </si>
  <si>
    <t>COT23389.1</t>
  </si>
  <si>
    <t>ERS445053_02017</t>
  </si>
  <si>
    <t>orotidine-5-phosphate decarboxylase</t>
  </si>
  <si>
    <t>pyrF</t>
  </si>
  <si>
    <t>COT23390.1</t>
  </si>
  <si>
    <t>ERS445053_02018</t>
  </si>
  <si>
    <t>cell division septal protein</t>
  </si>
  <si>
    <t>divIB</t>
  </si>
  <si>
    <t>COT23391.1</t>
  </si>
  <si>
    <t>ERS445053_02020</t>
  </si>
  <si>
    <t>UDP-N-acetylglucosamine:LPS N-acetylglucosamine transferase</t>
  </si>
  <si>
    <t>murG</t>
  </si>
  <si>
    <t>COT23392.1</t>
  </si>
  <si>
    <t>ERS445053_02021</t>
  </si>
  <si>
    <t>MurD D-glutamic acid adding enzyme</t>
  </si>
  <si>
    <t>murD</t>
  </si>
  <si>
    <t>COT23393.1</t>
  </si>
  <si>
    <t>ERS445053_02022</t>
  </si>
  <si>
    <t>glnQ_3</t>
  </si>
  <si>
    <t>COT23394.1</t>
  </si>
  <si>
    <t>ERS445053_02023</t>
  </si>
  <si>
    <t>COT23395.1</t>
  </si>
  <si>
    <t>ERS445053_02024</t>
  </si>
  <si>
    <t>lactococcin 972 family bacteriocin</t>
  </si>
  <si>
    <t>COT23396.1</t>
  </si>
  <si>
    <t>ERS445053_02025</t>
  </si>
  <si>
    <t>COT23397.1</t>
  </si>
  <si>
    <t>ERS445053_02026</t>
  </si>
  <si>
    <t>GTP-binding protein TypA</t>
  </si>
  <si>
    <t>typA</t>
  </si>
  <si>
    <t>COT23398.1</t>
  </si>
  <si>
    <t>ERS445053_02027</t>
  </si>
  <si>
    <t>rsuA</t>
  </si>
  <si>
    <t>COT23399.1</t>
  </si>
  <si>
    <t>ERS445053_02028</t>
  </si>
  <si>
    <t>COT23400.1</t>
  </si>
  <si>
    <t>ERS445053_02029</t>
  </si>
  <si>
    <t>rhodanese family protein</t>
  </si>
  <si>
    <t>yibN</t>
  </si>
  <si>
    <t>COT23401.1</t>
  </si>
  <si>
    <t>ERS445053_02030</t>
  </si>
  <si>
    <t>yqgQ</t>
  </si>
  <si>
    <t>COT23402.1</t>
  </si>
  <si>
    <t>ERS445053_02031</t>
  </si>
  <si>
    <t>cpsY</t>
  </si>
  <si>
    <t>COT23403.1</t>
  </si>
  <si>
    <t>ERS445053_02032</t>
  </si>
  <si>
    <t>dehydrogenase</t>
  </si>
  <si>
    <t>COT23404.1</t>
  </si>
  <si>
    <t>ERS445053_02033</t>
  </si>
  <si>
    <t>rnz</t>
  </si>
  <si>
    <t>COT23405.1</t>
  </si>
  <si>
    <t>ERS445053_02034</t>
  </si>
  <si>
    <t>cystathionine beta-lyase</t>
  </si>
  <si>
    <t>COT23406.1</t>
  </si>
  <si>
    <t>ERS445053_02035</t>
  </si>
  <si>
    <t>GTP-binding protein HflX</t>
  </si>
  <si>
    <t>hflX</t>
  </si>
  <si>
    <t>COT23407.1</t>
  </si>
  <si>
    <t>ERS445053_02036</t>
  </si>
  <si>
    <t>tRNA delta(2)-isopentenylpyrophosphate transferase</t>
  </si>
  <si>
    <t>miaA</t>
  </si>
  <si>
    <t>COT23408.1</t>
  </si>
  <si>
    <t>ERS445053_02037</t>
  </si>
  <si>
    <t>putative uncharacterized protein ORF 3</t>
  </si>
  <si>
    <t>COT23409.1</t>
  </si>
  <si>
    <t>ERS445053_02038</t>
  </si>
  <si>
    <t>thymidylate synthase</t>
  </si>
  <si>
    <t>thyA</t>
  </si>
  <si>
    <t>COT23410.1</t>
  </si>
  <si>
    <t>ERS445053_02039</t>
  </si>
  <si>
    <t>glcK</t>
  </si>
  <si>
    <t>COT23411.1</t>
  </si>
  <si>
    <t>ERS445053_02040</t>
  </si>
  <si>
    <t>lytB_4</t>
  </si>
  <si>
    <t>COT23412.1</t>
  </si>
  <si>
    <t>ERS445053_02041</t>
  </si>
  <si>
    <t>COT23413.1</t>
  </si>
  <si>
    <t>ERS445053_02042</t>
  </si>
  <si>
    <t>putative alpha/beta superfamily hydrolase</t>
  </si>
  <si>
    <t>COT23414.1</t>
  </si>
  <si>
    <t>ERS445053_02043</t>
  </si>
  <si>
    <t>chorismate binding enzyme para-aminobenzoate synthetase</t>
  </si>
  <si>
    <t>pabB</t>
  </si>
  <si>
    <t>COT23415.1</t>
  </si>
  <si>
    <t>ERS445053_02044</t>
  </si>
  <si>
    <t>zinc metalloprotease ZmpB</t>
  </si>
  <si>
    <t>iga</t>
  </si>
  <si>
    <t>COT23416.1</t>
  </si>
  <si>
    <t>ERS445053_02045</t>
  </si>
  <si>
    <t>UPF0340 protein SSU05</t>
  </si>
  <si>
    <t>COT23417.1</t>
  </si>
  <si>
    <t>ERS445053_02046</t>
  </si>
  <si>
    <t>yehU</t>
  </si>
  <si>
    <t>COT23418.1</t>
  </si>
  <si>
    <t>ERS445053_02047</t>
  </si>
  <si>
    <t>COT23419.1</t>
  </si>
  <si>
    <t>ERS445053_02048</t>
  </si>
  <si>
    <t>peptide methionine sulfoxide reductase</t>
  </si>
  <si>
    <t>msrAB</t>
  </si>
  <si>
    <t>COT23420.1</t>
  </si>
  <si>
    <t>ERS445053_02049</t>
  </si>
  <si>
    <t>COT23421.1</t>
  </si>
  <si>
    <t>ERS445053_02050</t>
  </si>
  <si>
    <t>cytochrome c-type biogenesis protein</t>
  </si>
  <si>
    <t>dsbD_2</t>
  </si>
  <si>
    <t>COT23422.1</t>
  </si>
  <si>
    <t>ERS445053_02051</t>
  </si>
  <si>
    <t>ribonuclease BN</t>
  </si>
  <si>
    <t>COT23423.1</t>
  </si>
  <si>
    <t>ERS445053_02052</t>
  </si>
  <si>
    <t>Na+/H+ antiporter</t>
  </si>
  <si>
    <t>nhaK</t>
  </si>
  <si>
    <t>COT23424.1</t>
  </si>
  <si>
    <t>ERS445053_02053</t>
  </si>
  <si>
    <t>COT23425.1</t>
  </si>
  <si>
    <t>ERS445053_02054</t>
  </si>
  <si>
    <t>COT23426.1</t>
  </si>
  <si>
    <t>ERS445053_02055</t>
  </si>
  <si>
    <t>putative Fe-S oxidoreductase</t>
  </si>
  <si>
    <t>COT23427.1</t>
  </si>
  <si>
    <t>ERS445053_02056</t>
  </si>
  <si>
    <t>radical SAM family protein</t>
  </si>
  <si>
    <t>COT23428.1</t>
  </si>
  <si>
    <t>ERS445053_02057</t>
  </si>
  <si>
    <t>COT23429.1</t>
  </si>
  <si>
    <t>ERS445053_02058</t>
  </si>
  <si>
    <t>COT23430.1</t>
  </si>
  <si>
    <t>ERS445053_02059</t>
  </si>
  <si>
    <t>COT23431.1</t>
  </si>
  <si>
    <t>ERS445053_02060</t>
  </si>
  <si>
    <t>beta-galactosidase</t>
  </si>
  <si>
    <t>lacZ</t>
  </si>
  <si>
    <t>COT23432.1</t>
  </si>
  <si>
    <t>ERS445053_02061</t>
  </si>
  <si>
    <t>PTS system galactitol-specific family transporter subunit IIC</t>
  </si>
  <si>
    <t>gatC_2</t>
  </si>
  <si>
    <t>COT23433.1</t>
  </si>
  <si>
    <t>ERS445053_02062</t>
  </si>
  <si>
    <t>PTS system IIB component (galactitol/fructose specific)</t>
  </si>
  <si>
    <t>COT23434.1</t>
  </si>
  <si>
    <t>ERS445053_02063</t>
  </si>
  <si>
    <t>COT23435.1</t>
  </si>
  <si>
    <t>ERS445053_02064</t>
  </si>
  <si>
    <t>serine protease</t>
  </si>
  <si>
    <t>prtP</t>
  </si>
  <si>
    <t>COT23436.1</t>
  </si>
  <si>
    <t>ERS445053_02065</t>
  </si>
  <si>
    <t>COT23437.1</t>
  </si>
  <si>
    <t>ERS445053_02066</t>
  </si>
  <si>
    <t>COT23438.1</t>
  </si>
  <si>
    <t>ERS445053_02067</t>
  </si>
  <si>
    <t>COT23439.1</t>
  </si>
  <si>
    <t>ERS445053_02068</t>
  </si>
  <si>
    <t>COT23440.1</t>
  </si>
  <si>
    <t>ERS445053_02069</t>
  </si>
  <si>
    <t>ATP-binding transport protein</t>
  </si>
  <si>
    <t>drrA_2</t>
  </si>
  <si>
    <t>COT23441.1</t>
  </si>
  <si>
    <t>ERS445053_02070</t>
  </si>
  <si>
    <t>50S ribosomal protein L1</t>
  </si>
  <si>
    <t>rl1</t>
  </si>
  <si>
    <t>COT23442.1</t>
  </si>
  <si>
    <t>ERS445053_02071</t>
  </si>
  <si>
    <t>50S ribosomal protein L11</t>
  </si>
  <si>
    <t>rplK</t>
  </si>
  <si>
    <t>COT23443.1</t>
  </si>
  <si>
    <t>ERS445053_02072</t>
  </si>
  <si>
    <t>carboxypeptidase</t>
  </si>
  <si>
    <t>vanYb</t>
  </si>
  <si>
    <t>COT23444.1</t>
  </si>
  <si>
    <t>ERS445053_02073</t>
  </si>
  <si>
    <t>fusion of IS1381 orf A and B</t>
  </si>
  <si>
    <t>COT23445.1</t>
  </si>
  <si>
    <t>ERS445053_02074</t>
  </si>
  <si>
    <t>COT23446.1</t>
  </si>
  <si>
    <t>ERS445053_02075</t>
  </si>
  <si>
    <t>HIT family protein</t>
  </si>
  <si>
    <t>COT23447.1</t>
  </si>
  <si>
    <t>ERS445053_02076</t>
  </si>
  <si>
    <t>peptidase%2C M42 (glutamyl aminopeptidase) family</t>
  </si>
  <si>
    <t>pepA_2</t>
  </si>
  <si>
    <t>COT23448.1</t>
  </si>
  <si>
    <t>ERS445053_02077</t>
  </si>
  <si>
    <t>branched-chain amino acid transport system II carrier protein</t>
  </si>
  <si>
    <t>brnQ</t>
  </si>
  <si>
    <t>COT23449.1</t>
  </si>
  <si>
    <t>ERS445053_02078</t>
  </si>
  <si>
    <t>COT23450.1</t>
  </si>
  <si>
    <t>ERS445053_02079</t>
  </si>
  <si>
    <t>uracil DNA glycosylase</t>
  </si>
  <si>
    <t>COT23451.1</t>
  </si>
  <si>
    <t>ERS445053_02080</t>
  </si>
  <si>
    <t>peptidase M20 superfamily</t>
  </si>
  <si>
    <t>pepV</t>
  </si>
  <si>
    <t>COT23452.1</t>
  </si>
  <si>
    <t>ERS445053_02081</t>
  </si>
  <si>
    <t>nitroreductase</t>
  </si>
  <si>
    <t>COT23453.1</t>
  </si>
  <si>
    <t>ERS445053_02082</t>
  </si>
  <si>
    <t>amino acid ABC transporter amino acid-binding protein</t>
  </si>
  <si>
    <t>tcyJ</t>
  </si>
  <si>
    <t>COT23454.1</t>
  </si>
  <si>
    <t>ERS445053_02083</t>
  </si>
  <si>
    <t>Ser/Thr protein phosphatase family protein</t>
  </si>
  <si>
    <t>COT23455.1</t>
  </si>
  <si>
    <t>ERS445053_02084</t>
  </si>
  <si>
    <t>excinuclease%2C subunit C</t>
  </si>
  <si>
    <t>uvrC</t>
  </si>
  <si>
    <t>COT23456.1</t>
  </si>
  <si>
    <t>ERS445053_02085</t>
  </si>
  <si>
    <t>proteinase</t>
  </si>
  <si>
    <t>COT23457.1</t>
  </si>
  <si>
    <t>ERS445053_02086</t>
  </si>
  <si>
    <t>peptidoglycan branched peptide synthesis protein%2C femAB family</t>
  </si>
  <si>
    <t>fibB</t>
  </si>
  <si>
    <t>COT23458.1</t>
  </si>
  <si>
    <t>ERS445053_02087</t>
  </si>
  <si>
    <t>serine/alanine-adding enzyme MurM</t>
  </si>
  <si>
    <t>femX</t>
  </si>
  <si>
    <t>COT23459.1</t>
  </si>
  <si>
    <t>ERS445053_02088</t>
  </si>
  <si>
    <t>frmB</t>
  </si>
  <si>
    <t>COT23460.1</t>
  </si>
  <si>
    <t>ERS445053_02089</t>
  </si>
  <si>
    <t>rnjB</t>
  </si>
  <si>
    <t>COT23461.1</t>
  </si>
  <si>
    <t>ERS445053_02090</t>
  </si>
  <si>
    <t>single-stranded DNA-specific exonuclease</t>
  </si>
  <si>
    <t>recJ</t>
  </si>
  <si>
    <t>COT23462.1</t>
  </si>
  <si>
    <t>ERS445053_02091</t>
  </si>
  <si>
    <t>artM_5</t>
  </si>
  <si>
    <t>COT23463.1</t>
  </si>
  <si>
    <t>ERS445053_02092</t>
  </si>
  <si>
    <t>glutamine-binding protein</t>
  </si>
  <si>
    <t>peb1A</t>
  </si>
  <si>
    <t>COT23464.1</t>
  </si>
  <si>
    <t>ERS445053_02093</t>
  </si>
  <si>
    <t>polar amino acid ABC transporter permease</t>
  </si>
  <si>
    <t>artQ_2</t>
  </si>
  <si>
    <t>COT23465.1</t>
  </si>
  <si>
    <t>ERS445053_02094</t>
  </si>
  <si>
    <t>ABC-type amino acid transporter%2C membrane-spanning permease</t>
  </si>
  <si>
    <t>yecS_4</t>
  </si>
  <si>
    <t>COT23466.1</t>
  </si>
  <si>
    <t>ERS445053_02095</t>
  </si>
  <si>
    <t>oxidoreductase</t>
  </si>
  <si>
    <t>ndoR</t>
  </si>
  <si>
    <t>COT23467.1</t>
  </si>
  <si>
    <t>ERS445053_02096</t>
  </si>
  <si>
    <t>fructose-bisphosphate aldolase</t>
  </si>
  <si>
    <t>fbaA</t>
  </si>
  <si>
    <t>COT23468.1</t>
  </si>
  <si>
    <t>ERS445053_02097</t>
  </si>
  <si>
    <t>VncS histidine kinase TCS10</t>
  </si>
  <si>
    <t>vncS</t>
  </si>
  <si>
    <t>COT23469.1</t>
  </si>
  <si>
    <t>ERS445053_02098</t>
  </si>
  <si>
    <t>VncR%2C response regulator</t>
  </si>
  <si>
    <t>regX3</t>
  </si>
  <si>
    <t>COT23470.1</t>
  </si>
  <si>
    <t>ERS445053_02099</t>
  </si>
  <si>
    <t>ABC transporter%2C transmembrane protein Vexp3</t>
  </si>
  <si>
    <t>COT23471.1</t>
  </si>
  <si>
    <t>ERS445053_02100</t>
  </si>
  <si>
    <t>ABC transporter%2C ATP-binding protein Vexp2</t>
  </si>
  <si>
    <t>lolD</t>
  </si>
  <si>
    <t>COT23472.1</t>
  </si>
  <si>
    <t>ERS445053_02101</t>
  </si>
  <si>
    <t>vexp1</t>
  </si>
  <si>
    <t>COT23473.1</t>
  </si>
  <si>
    <t>ERS445053_02102</t>
  </si>
  <si>
    <t>hyperosmolarity resistance protein Ebh</t>
  </si>
  <si>
    <t>COT23474.1</t>
  </si>
  <si>
    <t>ERS445053_02103</t>
  </si>
  <si>
    <t>leucine-rich protein</t>
  </si>
  <si>
    <t>lrp</t>
  </si>
  <si>
    <t>COT23475.1</t>
  </si>
  <si>
    <t>ERS445053_02104</t>
  </si>
  <si>
    <t>RIBOc superfamily protein</t>
  </si>
  <si>
    <t>mrnC</t>
  </si>
  <si>
    <t>COT23476.1</t>
  </si>
  <si>
    <t>ERS445053_02105</t>
  </si>
  <si>
    <t>cysteinyl-tRNA synthetase</t>
  </si>
  <si>
    <t>cysS</t>
  </si>
  <si>
    <t>COT23477.1</t>
  </si>
  <si>
    <t>ERS445053_02106</t>
  </si>
  <si>
    <t>COT23478.1</t>
  </si>
  <si>
    <t>ERS445053_02107</t>
  </si>
  <si>
    <t>serine O-acetyltransferase</t>
  </si>
  <si>
    <t>cysE</t>
  </si>
  <si>
    <t>COT23479.1</t>
  </si>
  <si>
    <t>ERS445053_02108</t>
  </si>
  <si>
    <t>polyribonucleotide nucleotidyltransferase</t>
  </si>
  <si>
    <t>pnpA</t>
  </si>
  <si>
    <t>COT23480.1</t>
  </si>
  <si>
    <t>ERS445053_02109</t>
  </si>
  <si>
    <t>5%2C10-methylenetetrahydrofolate reductase</t>
  </si>
  <si>
    <t>metF</t>
  </si>
  <si>
    <t>COT23481.1</t>
  </si>
  <si>
    <t>ERS445053_02110</t>
  </si>
  <si>
    <t>5-methyltetrahydropteroyltriglutamate/homocysteine S-methyltransferase</t>
  </si>
  <si>
    <t>metE</t>
  </si>
  <si>
    <t>COT23482.1</t>
  </si>
  <si>
    <t>ERS445053_02111</t>
  </si>
  <si>
    <t>helix-turn-helix domain-containing protein</t>
  </si>
  <si>
    <t>COT23483.1</t>
  </si>
  <si>
    <t>ERS445053_02112</t>
  </si>
  <si>
    <t>IS1239%2C transposase</t>
  </si>
  <si>
    <t>COT23484.1</t>
  </si>
  <si>
    <t>ERS445053_02113</t>
  </si>
  <si>
    <t>endonuclease/exonuclease/phosphatase family</t>
  </si>
  <si>
    <t>COT23485.1</t>
  </si>
  <si>
    <t>ERS445053_02114</t>
  </si>
  <si>
    <t>phenylalanyl-tRNA synthetase%2C beta chain</t>
  </si>
  <si>
    <t>pheT_2</t>
  </si>
  <si>
    <t>COT23486.1</t>
  </si>
  <si>
    <t>ERS445053_02115</t>
  </si>
  <si>
    <t>acetyltransferase%2C GNAT family</t>
  </si>
  <si>
    <t>paiA</t>
  </si>
  <si>
    <t>COT23487.1</t>
  </si>
  <si>
    <t>ERS445053_02116</t>
  </si>
  <si>
    <t>phenylalanyl-tRNA synthetase%2C alpha chain</t>
  </si>
  <si>
    <t>pheS</t>
  </si>
  <si>
    <t>COT23488.1</t>
  </si>
  <si>
    <t>ERS445053_02117</t>
  </si>
  <si>
    <t>beta-glucosidase</t>
  </si>
  <si>
    <t>bglH</t>
  </si>
  <si>
    <t>COT23489.1</t>
  </si>
  <si>
    <t>ERS445053_02118</t>
  </si>
  <si>
    <t>PTS system beta-glucoside-specific transporter subunit EIIABC</t>
  </si>
  <si>
    <t>bglF</t>
  </si>
  <si>
    <t>COT23490.1</t>
  </si>
  <si>
    <t>ERS445053_02119</t>
  </si>
  <si>
    <t>transcription antiterminator LicT</t>
  </si>
  <si>
    <t>licT</t>
  </si>
  <si>
    <t>COT23491.1</t>
  </si>
  <si>
    <t>ERS445053_02120</t>
  </si>
  <si>
    <t>DNA or RNA helicases of superfamily II</t>
  </si>
  <si>
    <t>COT23492.1</t>
  </si>
  <si>
    <t>ERS445053_02121</t>
  </si>
  <si>
    <t>COT23493.1</t>
  </si>
  <si>
    <t>ERS445053_02122</t>
  </si>
  <si>
    <t>transposase InsK for insertion sequence</t>
  </si>
  <si>
    <t>COT23494.1</t>
  </si>
  <si>
    <t>ERS445053_02123</t>
  </si>
  <si>
    <t>COT23495.1</t>
  </si>
  <si>
    <t>ERS445053_02124</t>
  </si>
  <si>
    <t>Fic protein family</t>
  </si>
  <si>
    <t>COT23496.1</t>
  </si>
  <si>
    <t>ERS445053_02125</t>
  </si>
  <si>
    <t>Zn-finger</t>
  </si>
  <si>
    <t>COT23497.1</t>
  </si>
  <si>
    <t>ERS445053_02126</t>
  </si>
  <si>
    <t>valyl-tRNA synthetase</t>
  </si>
  <si>
    <t>valS</t>
  </si>
  <si>
    <t>COT23498.1</t>
  </si>
  <si>
    <t>ERS445053_02127</t>
  </si>
  <si>
    <t>COT23499.1</t>
  </si>
  <si>
    <t>ERS445053_02128</t>
  </si>
  <si>
    <t>ydaF_5</t>
  </si>
  <si>
    <t>COT23500.1</t>
  </si>
  <si>
    <t>ERS445053_02129</t>
  </si>
  <si>
    <t>conserved protein/domain typically associated with flavoprotein oxygenase%2C Dim6/ntab family</t>
  </si>
  <si>
    <t>COT23501.1</t>
  </si>
  <si>
    <t>ERS445053_02130</t>
  </si>
  <si>
    <t>Helicase</t>
  </si>
  <si>
    <t>COT23502.1</t>
  </si>
  <si>
    <t>ERS445053_02132</t>
  </si>
  <si>
    <t>COT23503.1</t>
  </si>
  <si>
    <t>ERS445053_02133</t>
  </si>
  <si>
    <t>hemerythrin HHE cation binding domain subfamily</t>
  </si>
  <si>
    <t>COT23504.1</t>
  </si>
  <si>
    <t>ERS445053_02134</t>
  </si>
  <si>
    <t>Domain of uncharacterised function (DUF1858)</t>
  </si>
  <si>
    <t>COT23505.1</t>
  </si>
  <si>
    <t>ERS445053_02135</t>
  </si>
  <si>
    <t>COT23506.1</t>
  </si>
  <si>
    <t>ERS445053_02136</t>
  </si>
  <si>
    <t>COT23507.1</t>
  </si>
  <si>
    <t>ERS445053_02137</t>
  </si>
  <si>
    <t>COT23508.1</t>
  </si>
  <si>
    <t>ERS445053_02138</t>
  </si>
  <si>
    <t>ribosome-binding factor A</t>
  </si>
  <si>
    <t>rbfA</t>
  </si>
  <si>
    <t>COT23509.1</t>
  </si>
  <si>
    <t>ERS445053_02139</t>
  </si>
  <si>
    <t>translation initiation factor IF-2</t>
  </si>
  <si>
    <t>infB</t>
  </si>
  <si>
    <t>COT23510.1</t>
  </si>
  <si>
    <t>ERS445053_02140</t>
  </si>
  <si>
    <t>L7A family ribosomal protein</t>
  </si>
  <si>
    <t>COT23511.1</t>
  </si>
  <si>
    <t>ERS445053_02141</t>
  </si>
  <si>
    <t>cytosolic protein YlxR</t>
  </si>
  <si>
    <t>ylxR</t>
  </si>
  <si>
    <t>COT23512.1</t>
  </si>
  <si>
    <t>ERS445053_02142</t>
  </si>
  <si>
    <t>transcription elongation factor NusA</t>
  </si>
  <si>
    <t>nusA</t>
  </si>
  <si>
    <t>COT23513.1</t>
  </si>
  <si>
    <t>ERS445053_02143</t>
  </si>
  <si>
    <t>SP14.3 protein</t>
  </si>
  <si>
    <t>rimP</t>
  </si>
  <si>
    <t>COT23514.1</t>
  </si>
  <si>
    <t>ERS445053_02144</t>
  </si>
  <si>
    <t>tRNA (guanine-N(7)-)-methyltransferase</t>
  </si>
  <si>
    <t>trmB</t>
  </si>
  <si>
    <t>COT23515.1</t>
  </si>
  <si>
    <t>ERS445053_02145</t>
  </si>
  <si>
    <t>aminoglycoside phosphotransferase</t>
  </si>
  <si>
    <t>cotS</t>
  </si>
  <si>
    <t>COT23516.1</t>
  </si>
  <si>
    <t>ERS445053_02146</t>
  </si>
  <si>
    <t>CAAX amino terminal protease family protein</t>
  </si>
  <si>
    <t>COT23517.1</t>
  </si>
  <si>
    <t>ERS445053_02147</t>
  </si>
  <si>
    <t>immunity protein BlpZ</t>
  </si>
  <si>
    <t>blpZ</t>
  </si>
  <si>
    <t>COT23518.1</t>
  </si>
  <si>
    <t>ERS445053_02148</t>
  </si>
  <si>
    <t>metal-dependent CAAX amino terminal membrane protease</t>
  </si>
  <si>
    <t>pncO</t>
  </si>
  <si>
    <t>COT23519.1</t>
  </si>
  <si>
    <t>ERS445053_02149</t>
  </si>
  <si>
    <t>putative immunity protein BlpX</t>
  </si>
  <si>
    <t>blpX</t>
  </si>
  <si>
    <t>COT23520.1</t>
  </si>
  <si>
    <t>ERS445053_02150</t>
  </si>
  <si>
    <t>immunity protein BlpL</t>
  </si>
  <si>
    <t>COT23521.1</t>
  </si>
  <si>
    <t>ERS445053_02151</t>
  </si>
  <si>
    <t>pncG</t>
  </si>
  <si>
    <t>COT23522.1</t>
  </si>
  <si>
    <t>ERS445053_02152</t>
  </si>
  <si>
    <t>blpN protein</t>
  </si>
  <si>
    <t>blpN</t>
  </si>
  <si>
    <t>COT23523.1</t>
  </si>
  <si>
    <t>ERS445053_02153</t>
  </si>
  <si>
    <t>BlpM</t>
  </si>
  <si>
    <t>lafA</t>
  </si>
  <si>
    <t>COT23524.1</t>
  </si>
  <si>
    <t>ERS445053_02154</t>
  </si>
  <si>
    <t>lagD</t>
  </si>
  <si>
    <t>COT23525.1</t>
  </si>
  <si>
    <t>ERS445053_02155</t>
  </si>
  <si>
    <t>BlpC ABC transporter</t>
  </si>
  <si>
    <t>lcnD</t>
  </si>
  <si>
    <t>COT23526.1</t>
  </si>
  <si>
    <t>ERS445053_02156</t>
  </si>
  <si>
    <t>double glycine cleavage site bacteriolysin superfamily</t>
  </si>
  <si>
    <t>COT23527.1</t>
  </si>
  <si>
    <t>ERS445053_02157</t>
  </si>
  <si>
    <t>citS</t>
  </si>
  <si>
    <t>COT23528.1</t>
  </si>
  <si>
    <t>ERS445053_02158</t>
  </si>
  <si>
    <t>spiR2</t>
  </si>
  <si>
    <t>COT23529.1</t>
  </si>
  <si>
    <t>ERS445053_02159</t>
  </si>
  <si>
    <t>regulatory protein%2C single domain response regulator</t>
  </si>
  <si>
    <t>spiR1</t>
  </si>
  <si>
    <t>COT23530.1</t>
  </si>
  <si>
    <t>ERS445053_02160</t>
  </si>
  <si>
    <t>BlpT protein%2C fusion</t>
  </si>
  <si>
    <t>COT23531.1</t>
  </si>
  <si>
    <t>ERS445053_02161</t>
  </si>
  <si>
    <t>COT23532.1</t>
  </si>
  <si>
    <t>ERS445053_02162</t>
  </si>
  <si>
    <t>ecsA_4</t>
  </si>
  <si>
    <t>COT23533.1</t>
  </si>
  <si>
    <t>ERS445053_02163</t>
  </si>
  <si>
    <t>protein hit</t>
  </si>
  <si>
    <t>hit</t>
  </si>
  <si>
    <t>COT23534.1</t>
  </si>
  <si>
    <t>ERS445053_02164</t>
  </si>
  <si>
    <t>Hypothetical protein in cluster with Ecs transporter (in Streptococci)</t>
  </si>
  <si>
    <t>COT23535.1</t>
  </si>
  <si>
    <t>ERS445053_02165</t>
  </si>
  <si>
    <t>COT23536.1</t>
  </si>
  <si>
    <t>ERS445053_02166</t>
  </si>
  <si>
    <t>dnaJ protein%2C Heat-shock protein (activation of DnaK)</t>
  </si>
  <si>
    <t>dnaJ</t>
  </si>
  <si>
    <t>COT23537.1</t>
  </si>
  <si>
    <t>ERS445053_02167</t>
  </si>
  <si>
    <t>COT23538.1</t>
  </si>
  <si>
    <t>ERS445053_02168</t>
  </si>
  <si>
    <t>molecular chaperone DnaK</t>
  </si>
  <si>
    <t>dnaK</t>
  </si>
  <si>
    <t>COT23539.1</t>
  </si>
  <si>
    <t>ERS445053_02169</t>
  </si>
  <si>
    <t>heat shock protein GrpE</t>
  </si>
  <si>
    <t>grpE</t>
  </si>
  <si>
    <t>COT23540.1</t>
  </si>
  <si>
    <t>ERS445053_02170</t>
  </si>
  <si>
    <t>heat-inducible transcription repressor</t>
  </si>
  <si>
    <t>hrcA</t>
  </si>
  <si>
    <t>COT23541.1</t>
  </si>
  <si>
    <t>ERS445053_02171</t>
  </si>
  <si>
    <t>Protein of uncharacterised function (DUF2812)</t>
  </si>
  <si>
    <t>COT23542.1</t>
  </si>
  <si>
    <t>ERS445053_02172</t>
  </si>
  <si>
    <t>type I restriction-modification system%2C R subunit</t>
  </si>
  <si>
    <t>hsdR_2</t>
  </si>
  <si>
    <t>COT23543.1</t>
  </si>
  <si>
    <t>ERS445053_02173</t>
  </si>
  <si>
    <t>type I restriction-modification system M protein</t>
  </si>
  <si>
    <t>COT23544.1</t>
  </si>
  <si>
    <t>ERS445053_02174</t>
  </si>
  <si>
    <t>restriction endonuclease S subunit</t>
  </si>
  <si>
    <t>COT23545.1</t>
  </si>
  <si>
    <t>ERS445053_02175</t>
  </si>
  <si>
    <t>COT23546.1</t>
  </si>
  <si>
    <t>ERS445053_02176</t>
  </si>
  <si>
    <t>xerC_2</t>
  </si>
  <si>
    <t>COT23547.1</t>
  </si>
  <si>
    <t>ERS445053_02177</t>
  </si>
  <si>
    <t>putative type I restriction-modification system S protein</t>
  </si>
  <si>
    <t>COT23548.1</t>
  </si>
  <si>
    <t>ERS445053_02178</t>
  </si>
  <si>
    <t>hsdS_3</t>
  </si>
  <si>
    <t>COT23549.1</t>
  </si>
  <si>
    <t>ERS445053_02179</t>
  </si>
  <si>
    <t>COT23550.1</t>
  </si>
  <si>
    <t>ERS445053_02180</t>
  </si>
  <si>
    <t>putative glutamine transport system permease protein</t>
  </si>
  <si>
    <t>COT23551.1</t>
  </si>
  <si>
    <t>ERS445053_02181</t>
  </si>
  <si>
    <t>glnA_3</t>
  </si>
  <si>
    <t>COT23552.1</t>
  </si>
  <si>
    <t>ERS445053_02182</t>
  </si>
  <si>
    <t>EC number</t>
  </si>
  <si>
    <t>New EC Number</t>
  </si>
  <si>
    <t>KEGG Enzyme URL</t>
  </si>
  <si>
    <t>KEGG Reaction URL</t>
  </si>
  <si>
    <t>Reactants</t>
  </si>
  <si>
    <t>Products</t>
  </si>
  <si>
    <t>2.7.2.3</t>
  </si>
  <si>
    <t>https://www.genome.jp/entry/2.7.2.3</t>
  </si>
  <si>
    <t>https://www.genome.jp/entry/R01512</t>
  </si>
  <si>
    <t>C00002|C00197</t>
  </si>
  <si>
    <t>C00008|C00236</t>
  </si>
  <si>
    <t>6.3.1.2</t>
  </si>
  <si>
    <t>https://www.genome.jp/entry/6.3.1.2</t>
  </si>
  <si>
    <t>https://www.genome.jp/entry/R00253</t>
  </si>
  <si>
    <t>C00002|C00025|C00014</t>
  </si>
  <si>
    <t>C00008|C00009|C00064</t>
  </si>
  <si>
    <t>3.2.1.52</t>
  </si>
  <si>
    <t>https://www.genome.jp/entry/3.2.1.52</t>
  </si>
  <si>
    <t>https://www.genome.jp/entry/R00022</t>
  </si>
  <si>
    <t>C01674|C00001</t>
  </si>
  <si>
    <t>C00140</t>
  </si>
  <si>
    <t>https://www.genome.jp/entry/R03492</t>
  </si>
  <si>
    <t>C06135|C00001</t>
  </si>
  <si>
    <t>C01290|C01132</t>
  </si>
  <si>
    <t>https://www.genome.jp/entry/R04184</t>
  </si>
  <si>
    <t>C04737|C01132</t>
  </si>
  <si>
    <t>C03272|C00001</t>
  </si>
  <si>
    <t>https://www.genome.jp/entry/R04586</t>
  </si>
  <si>
    <t>C04884|C00001</t>
  </si>
  <si>
    <t>C04730|C01132</t>
  </si>
  <si>
    <t>https://www.genome.jp/entry/R05963</t>
  </si>
  <si>
    <t>C00001|G00094</t>
  </si>
  <si>
    <t>C01132|G00093</t>
  </si>
  <si>
    <t>https://www.genome.jp/entry/R06001</t>
  </si>
  <si>
    <t>G00123|C00001</t>
  </si>
  <si>
    <t>G00092|C01132</t>
  </si>
  <si>
    <t>https://www.genome.jp/entry/R06004</t>
  </si>
  <si>
    <t>G00109|C00001</t>
  </si>
  <si>
    <t>G00108|C01132</t>
  </si>
  <si>
    <t>https://www.genome.jp/entry/R06141</t>
  </si>
  <si>
    <t>G10336|C00001</t>
  </si>
  <si>
    <t>https://www.genome.jp/entry/R07809</t>
  </si>
  <si>
    <t>G13074|C00001</t>
  </si>
  <si>
    <t>G01391|C00140</t>
  </si>
  <si>
    <t>https://www.genome.jp/entry/R07810</t>
  </si>
  <si>
    <t>G13073|C00001</t>
  </si>
  <si>
    <t>G01391|C04132</t>
  </si>
  <si>
    <t>https://www.genome.jp/entry/R09323</t>
  </si>
  <si>
    <t>G13057|C00001</t>
  </si>
  <si>
    <t>C00140|G13058</t>
  </si>
  <si>
    <t>https://www.genome.jp/entry/R10831</t>
  </si>
  <si>
    <t>G00711|C00001</t>
  </si>
  <si>
    <t>G10008|C00140</t>
  </si>
  <si>
    <t>https://www.genome.jp/entry/R11316</t>
  </si>
  <si>
    <t>G13056|C00001</t>
  </si>
  <si>
    <t>C00140|G10665</t>
  </si>
  <si>
    <t>https://www.genome.jp/entry/R11317</t>
  </si>
  <si>
    <t>G05477|C00001</t>
  </si>
  <si>
    <t>G10920|C00140</t>
  </si>
  <si>
    <t>https://www.genome.jp/entry/R12963</t>
  </si>
  <si>
    <t>C22467|C00001</t>
  </si>
  <si>
    <t>C03405|C01132</t>
  </si>
  <si>
    <t>6.3.4.2</t>
  </si>
  <si>
    <t>https://www.genome.jp/entry/6.3.4.2</t>
  </si>
  <si>
    <t>https://www.genome.jp/entry/R00256</t>
  </si>
  <si>
    <t>C00064|C00001</t>
  </si>
  <si>
    <t>C00025|C00014</t>
  </si>
  <si>
    <t>https://www.genome.jp/entry/R00571</t>
  </si>
  <si>
    <t>C00002|C00075|C00014</t>
  </si>
  <si>
    <t>C00008|C00009|C00063</t>
  </si>
  <si>
    <t>https://www.genome.jp/entry/R00573</t>
  </si>
  <si>
    <t>C00002|C00075|C00064|C00001</t>
  </si>
  <si>
    <t>C00008|C00009|C00063|C00025</t>
  </si>
  <si>
    <t>3.6.1.27</t>
  </si>
  <si>
    <t>https://www.genome.jp/entry/3.6.1.27</t>
  </si>
  <si>
    <t>https://www.genome.jp/entry/R05627</t>
  </si>
  <si>
    <t>C04574|C00001</t>
  </si>
  <si>
    <t>C17556|C00009</t>
  </si>
  <si>
    <t>2.1.1.207</t>
  </si>
  <si>
    <t>https://www.genome.jp/entry/2.1.1.207</t>
  </si>
  <si>
    <t>3.6.3.-</t>
  </si>
  <si>
    <t>2.7.1.69</t>
  </si>
  <si>
    <t>https://www.genome.jp/entry/2.7.1.69</t>
  </si>
  <si>
    <t>3.2.1.85</t>
  </si>
  <si>
    <t>https://www.genome.jp/entry/3.2.1.85</t>
  </si>
  <si>
    <t>https://www.genome.jp/entry/R03255</t>
  </si>
  <si>
    <t>C03847|C00001</t>
  </si>
  <si>
    <t>C00069|C01113</t>
  </si>
  <si>
    <t>https://www.genome.jp/entry/R03256</t>
  </si>
  <si>
    <t>C05396|C00001</t>
  </si>
  <si>
    <t>C00221|C01113</t>
  </si>
  <si>
    <t>https://www.genome.jp/entry/R06110</t>
  </si>
  <si>
    <t>G10517|C00001</t>
  </si>
  <si>
    <t>2.7.1.-</t>
  </si>
  <si>
    <t>2.3.1.54</t>
  </si>
  <si>
    <t>https://www.genome.jp/entry/2.3.1.54</t>
  </si>
  <si>
    <t>https://www.genome.jp/entry/R00212</t>
  </si>
  <si>
    <t>C00024|C00058</t>
  </si>
  <si>
    <t>C00010|C00022</t>
  </si>
  <si>
    <t>https://www.genome.jp/entry/R06987</t>
  </si>
  <si>
    <t>C00109|C00010</t>
  </si>
  <si>
    <t>C00100|C00058</t>
  </si>
  <si>
    <t>2.7.7.7</t>
  </si>
  <si>
    <t>https://www.genome.jp/entry/2.7.7.7</t>
  </si>
  <si>
    <t>https://www.genome.jp/entry/R00379</t>
  </si>
  <si>
    <t>C00677|C00039</t>
  </si>
  <si>
    <t>C00013|C00039</t>
  </si>
  <si>
    <t>https://www.genome.jp/entry/R00375</t>
  </si>
  <si>
    <t>C00131|C00039</t>
  </si>
  <si>
    <t>https://www.genome.jp/entry/R00376</t>
  </si>
  <si>
    <t>C00286|C00039</t>
  </si>
  <si>
    <t>https://www.genome.jp/entry/R00377</t>
  </si>
  <si>
    <t>C00458|C00039</t>
  </si>
  <si>
    <t>https://www.genome.jp/entry/R00378</t>
  </si>
  <si>
    <t>C00459|C00039</t>
  </si>
  <si>
    <t>https://www.genome.jp/entry/R11029</t>
  </si>
  <si>
    <t>C11039</t>
  </si>
  <si>
    <t>C21031</t>
  </si>
  <si>
    <t>4.3.1.19</t>
  </si>
  <si>
    <t>https://www.genome.jp/entry/4.3.1.19</t>
  </si>
  <si>
    <t>https://www.genome.jp/entry/R00996</t>
  </si>
  <si>
    <t>C00188</t>
  </si>
  <si>
    <t>C00109|C00014</t>
  </si>
  <si>
    <t>https://www.genome.jp/entry/R11098</t>
  </si>
  <si>
    <t>C20905|C00001</t>
  </si>
  <si>
    <t>https://www.genome.jp/entry/R11101</t>
  </si>
  <si>
    <t>C17234</t>
  </si>
  <si>
    <t>C20905</t>
  </si>
  <si>
    <t>https://www.genome.jp/entry/R00220</t>
  </si>
  <si>
    <t>C00065</t>
  </si>
  <si>
    <t>C00022|C00014</t>
  </si>
  <si>
    <t>https://www.genome.jp/entry/R06131</t>
  </si>
  <si>
    <t>C05167</t>
  </si>
  <si>
    <t>C00161|C00014</t>
  </si>
  <si>
    <t>1.1.1.86</t>
  </si>
  <si>
    <t>https://www.genome.jp/entry/1.1.1.86</t>
  </si>
  <si>
    <t>https://www.genome.jp/entry/R04439</t>
  </si>
  <si>
    <t>C04272|C00006</t>
  </si>
  <si>
    <t>C06010|C00005|C00080</t>
  </si>
  <si>
    <t>https://www.genome.jp/entry/R03051</t>
  </si>
  <si>
    <t>C00900|C00005|C00080</t>
  </si>
  <si>
    <t>C04039|C00006</t>
  </si>
  <si>
    <t>https://www.genome.jp/entry/R04440</t>
  </si>
  <si>
    <t>C04181|C00005|C00080</t>
  </si>
  <si>
    <t>https://www.genome.jp/entry/R05068</t>
  </si>
  <si>
    <t>C06007|C00006</t>
  </si>
  <si>
    <t>C14463|C00005|C00080</t>
  </si>
  <si>
    <t>https://www.genome.jp/entry/R05069</t>
  </si>
  <si>
    <t>C06006</t>
  </si>
  <si>
    <t>C14463</t>
  </si>
  <si>
    <t>https://www.genome.jp/entry/R05071</t>
  </si>
  <si>
    <t>C06010</t>
  </si>
  <si>
    <t>C04181</t>
  </si>
  <si>
    <t>2.2.1.6</t>
  </si>
  <si>
    <t>https://www.genome.jp/entry/2.2.1.6</t>
  </si>
  <si>
    <t>https://www.genome.jp/entry/R00006</t>
  </si>
  <si>
    <t>C00900|C00011</t>
  </si>
  <si>
    <t>C00022</t>
  </si>
  <si>
    <t>https://www.genome.jp/entry/R00226</t>
  </si>
  <si>
    <t>C06010|C00011</t>
  </si>
  <si>
    <t>https://www.genome.jp/entry/R00014</t>
  </si>
  <si>
    <t>C00022|C00068</t>
  </si>
  <si>
    <t>C05125|C00011</t>
  </si>
  <si>
    <t>https://www.genome.jp/entry/R03050</t>
  </si>
  <si>
    <t>C00900|C00068</t>
  </si>
  <si>
    <t>C05125|C00022</t>
  </si>
  <si>
    <t>https://www.genome.jp/entry/R04672</t>
  </si>
  <si>
    <t>C06010|C00068</t>
  </si>
  <si>
    <t>https://www.genome.jp/entry/R04673</t>
  </si>
  <si>
    <t>C00109|C05125</t>
  </si>
  <si>
    <t>C06006|C00068</t>
  </si>
  <si>
    <t>https://www.genome.jp/entry/R08648</t>
  </si>
  <si>
    <t>C00022|C00109</t>
  </si>
  <si>
    <t>C06006|C00011</t>
  </si>
  <si>
    <t>6.3.5.-</t>
  </si>
  <si>
    <t>1.1.1.14</t>
  </si>
  <si>
    <t>https://www.genome.jp/entry/1.1.1.14</t>
  </si>
  <si>
    <t>https://www.genome.jp/entry/R07145</t>
  </si>
  <si>
    <t>C01507|C00003</t>
  </si>
  <si>
    <t>C00247|C00004|C00080</t>
  </si>
  <si>
    <t>https://www.genome.jp/entry/R00875</t>
  </si>
  <si>
    <t>C00794|C00003</t>
  </si>
  <si>
    <t>C00095|C00004|C00080</t>
  </si>
  <si>
    <t>https://www.genome.jp/entry/R01896</t>
  </si>
  <si>
    <t>C00379|C00003</t>
  </si>
  <si>
    <t>C00310|C00004|C00080</t>
  </si>
  <si>
    <t>6.4.1.2</t>
  </si>
  <si>
    <t>https://www.genome.jp/entry/6.4.1.2</t>
  </si>
  <si>
    <t>https://www.genome.jp/entry/R00742</t>
  </si>
  <si>
    <t>C00002|C00024|C00288</t>
  </si>
  <si>
    <t>C00008|C00009|C00083</t>
  </si>
  <si>
    <t>6.3.4.14</t>
  </si>
  <si>
    <t>https://www.genome.jp/entry/6.3.4.14</t>
  </si>
  <si>
    <t>https://www.genome.jp/entry/R04385</t>
  </si>
  <si>
    <t>C00002|C06250|C00288</t>
  </si>
  <si>
    <t>C00008|C00009|C04419</t>
  </si>
  <si>
    <t>4.2.1.-</t>
  </si>
  <si>
    <t>2.3.1.179</t>
  </si>
  <si>
    <t>https://www.genome.jp/entry/2.3.1.179</t>
  </si>
  <si>
    <t>https://www.genome.jp/entry/R02768</t>
  </si>
  <si>
    <t>C00173|C01209</t>
  </si>
  <si>
    <t>C00685|C00011|C00229</t>
  </si>
  <si>
    <t>https://www.genome.jp/entry/R04355</t>
  </si>
  <si>
    <t>C03939|C01209</t>
  </si>
  <si>
    <t>C05744|C00011|C00229</t>
  </si>
  <si>
    <t>https://www.genome.jp/entry/R04726</t>
  </si>
  <si>
    <t>C05223|C01209</t>
  </si>
  <si>
    <t>C05759|C00011|C00229</t>
  </si>
  <si>
    <t>https://www.genome.jp/entry/R04952</t>
  </si>
  <si>
    <t>C05745|C01209</t>
  </si>
  <si>
    <t>C05746|C00011|C00229</t>
  </si>
  <si>
    <t>https://www.genome.jp/entry/R04957</t>
  </si>
  <si>
    <t>C05749|C01209</t>
  </si>
  <si>
    <t>C05750|C00011|C00229</t>
  </si>
  <si>
    <t>https://www.genome.jp/entry/R04960</t>
  </si>
  <si>
    <t>C05752|C01209</t>
  </si>
  <si>
    <t>C05753|C00011|C00229</t>
  </si>
  <si>
    <t>https://www.genome.jp/entry/R04963</t>
  </si>
  <si>
    <t>C05755|C01209</t>
  </si>
  <si>
    <t>C05756|C00011|C00229</t>
  </si>
  <si>
    <t>https://www.genome.jp/entry/R04968</t>
  </si>
  <si>
    <t>C05761|C01209</t>
  </si>
  <si>
    <t>C05762|C00011|C00229</t>
  </si>
  <si>
    <t>https://www.genome.jp/entry/R07762</t>
  </si>
  <si>
    <t>C05764|C01209</t>
  </si>
  <si>
    <t>C16219|C00229|C00011</t>
  </si>
  <si>
    <t>https://www.genome.jp/entry/R10115</t>
  </si>
  <si>
    <t>C19673|C01209</t>
  </si>
  <si>
    <t>C20372|C00011|C00229</t>
  </si>
  <si>
    <t>https://www.genome.jp/entry/R10119</t>
  </si>
  <si>
    <t>C20375|C01209</t>
  </si>
  <si>
    <t>C20376|C00011|C00229</t>
  </si>
  <si>
    <t>1.1.1.100</t>
  </si>
  <si>
    <t>https://www.genome.jp/entry/1.1.1.100</t>
  </si>
  <si>
    <t>https://www.genome.jp/entry/R02767</t>
  </si>
  <si>
    <t>C01271|C00006</t>
  </si>
  <si>
    <t>C00685|C00005|C00080</t>
  </si>
  <si>
    <t>https://www.genome.jp/entry/R04533</t>
  </si>
  <si>
    <t>C04618|C00006</t>
  </si>
  <si>
    <t>C05744|C00005|C00080</t>
  </si>
  <si>
    <t>https://www.genome.jp/entry/R04534</t>
  </si>
  <si>
    <t>C04619|C00006</t>
  </si>
  <si>
    <t>C05753|C00005</t>
  </si>
  <si>
    <t>https://www.genome.jp/entry/R04536</t>
  </si>
  <si>
    <t>C04620|C00006</t>
  </si>
  <si>
    <t>C05750|C00005|C00080</t>
  </si>
  <si>
    <t>https://www.genome.jp/entry/R04543</t>
  </si>
  <si>
    <t>C04633|C00006</t>
  </si>
  <si>
    <t>C05762|C00005|C00080</t>
  </si>
  <si>
    <t>https://www.genome.jp/entry/R04566</t>
  </si>
  <si>
    <t>C04688|C00006</t>
  </si>
  <si>
    <t>C05759|C00005|C00080</t>
  </si>
  <si>
    <t>https://www.genome.jp/entry/R04953</t>
  </si>
  <si>
    <t>C05747|C00006</t>
  </si>
  <si>
    <t>C05746|C00005|C00080</t>
  </si>
  <si>
    <t>https://www.genome.jp/entry/R04964</t>
  </si>
  <si>
    <t>C05757|C00006</t>
  </si>
  <si>
    <t>C05756|C00005|C00080</t>
  </si>
  <si>
    <t>https://www.genome.jp/entry/R07763</t>
  </si>
  <si>
    <t>C16219|C00005|C00080</t>
  </si>
  <si>
    <t>C16220|C00006</t>
  </si>
  <si>
    <t>https://www.genome.jp/entry/R10116</t>
  </si>
  <si>
    <t>C20372|C00005|C00080</t>
  </si>
  <si>
    <t>C20373|C00006</t>
  </si>
  <si>
    <t>https://www.genome.jp/entry/R10120</t>
  </si>
  <si>
    <t>C20376|C00005|C00080</t>
  </si>
  <si>
    <t>C20377|C00006</t>
  </si>
  <si>
    <t>2.3.1.39</t>
  </si>
  <si>
    <t>https://www.genome.jp/entry/2.3.1.39</t>
  </si>
  <si>
    <t>https://www.genome.jp/entry/R01626</t>
  </si>
  <si>
    <t>C00083|C00229</t>
  </si>
  <si>
    <t>C00010|C01209</t>
  </si>
  <si>
    <t>1.13.12.16</t>
  </si>
  <si>
    <t>https://www.genome.jp/entry/1.13.12.16</t>
  </si>
  <si>
    <t>https://www.genome.jp/entry/R00025</t>
  </si>
  <si>
    <t>C18091|C00007C01847</t>
  </si>
  <si>
    <t>C00084|C00088|C00061|C00001</t>
  </si>
  <si>
    <t>1.3.-.-</t>
  </si>
  <si>
    <t>2.3.1.180</t>
  </si>
  <si>
    <t>https://www.genome.jp/entry/2.3.1.180</t>
  </si>
  <si>
    <t>https://www.genome.jp/entry/R10707</t>
  </si>
  <si>
    <t>C00024|C01209</t>
  </si>
  <si>
    <t>C05744|C00010|C00011</t>
  </si>
  <si>
    <t>2.3.1.41</t>
  </si>
  <si>
    <t>https://www.genome.jp/entry/2.3.1.41</t>
  </si>
  <si>
    <t>4.2.1.17</t>
  </si>
  <si>
    <t>https://www.genome.jp/entry/4.2.1.17</t>
  </si>
  <si>
    <t>https://www.genome.jp/entry/R02685</t>
  </si>
  <si>
    <t>C00640</t>
  </si>
  <si>
    <t>C00658|C00001</t>
  </si>
  <si>
    <t>https://www.genome.jp/entry/R03026</t>
  </si>
  <si>
    <t>C01144</t>
  </si>
  <si>
    <t>C00877|C00001</t>
  </si>
  <si>
    <t>https://www.genome.jp/entry/R03045</t>
  </si>
  <si>
    <t>C05668</t>
  </si>
  <si>
    <t>C00894|C00001</t>
  </si>
  <si>
    <t>https://www.genome.jp/entry/R04170</t>
  </si>
  <si>
    <t>C05262</t>
  </si>
  <si>
    <t>C03221|C00001</t>
  </si>
  <si>
    <t>https://www.genome.jp/entry/R04204</t>
  </si>
  <si>
    <t>C04405</t>
  </si>
  <si>
    <t>C03345|C00001</t>
  </si>
  <si>
    <t>https://www.genome.jp/entry/R04224</t>
  </si>
  <si>
    <t>C03460|C00001</t>
  </si>
  <si>
    <t>C06000</t>
  </si>
  <si>
    <t>https://www.genome.jp/entry/R04738</t>
  </si>
  <si>
    <t>C05258</t>
  </si>
  <si>
    <t>C05272|C00001</t>
  </si>
  <si>
    <t>https://www.genome.jp/entry/R04740</t>
  </si>
  <si>
    <t>C05260</t>
  </si>
  <si>
    <t>C05273|C00001</t>
  </si>
  <si>
    <t>https://www.genome.jp/entry/R04744</t>
  </si>
  <si>
    <t>C05264</t>
  </si>
  <si>
    <t>C05275|C00001</t>
  </si>
  <si>
    <t>https://www.genome.jp/entry/R04746</t>
  </si>
  <si>
    <t>C05266</t>
  </si>
  <si>
    <t>C05276|C00001</t>
  </si>
  <si>
    <t>https://www.genome.jp/entry/R04749</t>
  </si>
  <si>
    <t>C05268</t>
  </si>
  <si>
    <t>C05271|C00001</t>
  </si>
  <si>
    <t>https://www.genome.jp/entry/R07889</t>
  </si>
  <si>
    <t>C16329</t>
  </si>
  <si>
    <t>C16328|C00001</t>
  </si>
  <si>
    <t>https://www.genome.jp/entry/R07893</t>
  </si>
  <si>
    <t>C16333</t>
  </si>
  <si>
    <t>C16332|C00001</t>
  </si>
  <si>
    <t>https://www.genome.jp/entry/R07897</t>
  </si>
  <si>
    <t>C16337</t>
  </si>
  <si>
    <t>C16336|C00001</t>
  </si>
  <si>
    <t>https://www.genome.jp/entry/R07314</t>
  </si>
  <si>
    <t>C05067|C00001</t>
  </si>
  <si>
    <t>https://www.genome.jp/entry/R03224</t>
  </si>
  <si>
    <t>C01086</t>
  </si>
  <si>
    <t>C01122|C00001</t>
  </si>
  <si>
    <t>https://www.genome.jp/entry/R04137</t>
  </si>
  <si>
    <t>C05998</t>
  </si>
  <si>
    <t>C03069|C00001</t>
  </si>
  <si>
    <t>https://www.genome.jp/entry/R05595</t>
  </si>
  <si>
    <t>C05116</t>
  </si>
  <si>
    <t>https://www.genome.jp/entry/R06411</t>
  </si>
  <si>
    <t>C11946|C00001</t>
  </si>
  <si>
    <t>C11947</t>
  </si>
  <si>
    <t>https://www.genome.jp/entry/R06412</t>
  </si>
  <si>
    <t>C11945|C00001</t>
  </si>
  <si>
    <t>https://www.genome.jp/entry/R06942</t>
  </si>
  <si>
    <t>C14144|C00001</t>
  </si>
  <si>
    <t>C14145</t>
  </si>
  <si>
    <t>https://www.genome.jp/entry/R08093</t>
  </si>
  <si>
    <t>C16468|C00001</t>
  </si>
  <si>
    <t>C16469</t>
  </si>
  <si>
    <t>1.1.1.3</t>
  </si>
  <si>
    <t>https://www.genome.jp/entry/1.1.1.3</t>
  </si>
  <si>
    <t>https://www.genome.jp/entry/R01773</t>
  </si>
  <si>
    <t>C00263|C00003</t>
  </si>
  <si>
    <t>C00441|C00004|C00080</t>
  </si>
  <si>
    <t>https://www.genome.jp/entry/R01775</t>
  </si>
  <si>
    <t>C00441|C00005|C00080</t>
  </si>
  <si>
    <t>6.1.1.11</t>
  </si>
  <si>
    <t>https://www.genome.jp/entry/6.1.1.11</t>
  </si>
  <si>
    <t>https://www.genome.jp/entry/R03662</t>
  </si>
  <si>
    <t>C00002|C00065|C01650</t>
  </si>
  <si>
    <t>C00020|C00013|C02553</t>
  </si>
  <si>
    <t>https://www.genome.jp/entry/R08218</t>
  </si>
  <si>
    <t>C00002|C00065|C16636</t>
  </si>
  <si>
    <t>C00020|C00013|C06481</t>
  </si>
  <si>
    <t>3.1.26.4</t>
  </si>
  <si>
    <t>https://www.genome.jp/entry/3.1.26.4</t>
  </si>
  <si>
    <t>3.4.21.89</t>
  </si>
  <si>
    <t>https://www.genome.jp/entry/3.4.21.89</t>
  </si>
  <si>
    <t>3.1.11.5</t>
  </si>
  <si>
    <t>https://www.genome.jp/entry/3.1.11.5</t>
  </si>
  <si>
    <t>5.2.1.8</t>
  </si>
  <si>
    <t>https://www.genome.jp/entry/5.2.1.8</t>
  </si>
  <si>
    <t>https://www.genome.jp/entry/R04273</t>
  </si>
  <si>
    <t>C03798</t>
  </si>
  <si>
    <t>C03633</t>
  </si>
  <si>
    <t>3.4.21.19</t>
  </si>
  <si>
    <t>https://www.genome.jp/entry/3.4.21.19</t>
  </si>
  <si>
    <t>2.7.3.-</t>
  </si>
  <si>
    <t>2.7.13.3</t>
  </si>
  <si>
    <t>https://www.genome.jp/entry/2.7.13.3</t>
  </si>
  <si>
    <t>5.3.3.2</t>
  </si>
  <si>
    <t>https://www.genome.jp/entry/5.3.3.2</t>
  </si>
  <si>
    <t>https://www.genome.jp/entry/R01123</t>
  </si>
  <si>
    <t>C00129</t>
  </si>
  <si>
    <t>C00235</t>
  </si>
  <si>
    <t>2.7.4.2</t>
  </si>
  <si>
    <t>https://www.genome.jp/entry/2.7.4.2</t>
  </si>
  <si>
    <t>https://www.genome.jp/entry/R03245</t>
  </si>
  <si>
    <t>C00002|C01107</t>
  </si>
  <si>
    <t>C00008|C01143</t>
  </si>
  <si>
    <t>4.1.1.33</t>
  </si>
  <si>
    <t>https://www.genome.jp/entry/4.1.1.33</t>
  </si>
  <si>
    <t>https://www.genome.jp/entry/R01121</t>
  </si>
  <si>
    <t>C00002|C01143</t>
  </si>
  <si>
    <t>C00008|C00009|C00129|C00011</t>
  </si>
  <si>
    <t>3.5.1.28</t>
  </si>
  <si>
    <t>https://www.genome.jp/entry/3.5.1.28</t>
  </si>
  <si>
    <t>https://www.genome.jp/entry/R04112</t>
  </si>
  <si>
    <t>C02999|C00001</t>
  </si>
  <si>
    <t>C02713|C00041</t>
  </si>
  <si>
    <t>1.1.1.44</t>
  </si>
  <si>
    <t>https://www.genome.jp/entry/1.1.1.44</t>
  </si>
  <si>
    <t>https://www.genome.jp/entry/R01528</t>
  </si>
  <si>
    <t>C00345|C00006</t>
  </si>
  <si>
    <t>C00199|C00011|C00005|C00080</t>
  </si>
  <si>
    <t>3.1.22.4</t>
  </si>
  <si>
    <t>https://www.genome.jp/entry/3.1.22.4</t>
  </si>
  <si>
    <t>2.1.1.173</t>
  </si>
  <si>
    <t>https://www.genome.jp/entry/2.1.1.173</t>
  </si>
  <si>
    <t>https://www.genome.jp/entry/R07234</t>
  </si>
  <si>
    <t>C00019|C00240</t>
  </si>
  <si>
    <t>C00021|C04153</t>
  </si>
  <si>
    <t>3.1.22.-</t>
  </si>
  <si>
    <t>3.2.1.97</t>
  </si>
  <si>
    <t>https://www.genome.jp/entry/3.2.1.97</t>
  </si>
  <si>
    <t>https://www.genome.jp/entry/R04527</t>
  </si>
  <si>
    <t>C04776|C00001</t>
  </si>
  <si>
    <t>C07278|C02189</t>
  </si>
  <si>
    <t>https://www.genome.jp/entry/R06140</t>
  </si>
  <si>
    <t>G00024|C00001</t>
  </si>
  <si>
    <t>G10607|C02189</t>
  </si>
  <si>
    <t>1.1.1.133</t>
  </si>
  <si>
    <t>https://www.genome.jp/entry/1.1.1.133</t>
  </si>
  <si>
    <t>https://www.genome.jp/entry/R02777</t>
  </si>
  <si>
    <t>C03319|C00006</t>
  </si>
  <si>
    <t>C00688|C00005|C00080</t>
  </si>
  <si>
    <t>4.2.1.46</t>
  </si>
  <si>
    <t>https://www.genome.jp/entry/4.2.1.46</t>
  </si>
  <si>
    <t>https://www.genome.jp/entry/R06513</t>
  </si>
  <si>
    <t>C00842</t>
  </si>
  <si>
    <t>C11907|C00001</t>
  </si>
  <si>
    <t>5.1.3.13</t>
  </si>
  <si>
    <t>https://www.genome.jp/entry/5.1.3.13</t>
  </si>
  <si>
    <t>https://www.genome.jp/entry/R06514</t>
  </si>
  <si>
    <t>C11907</t>
  </si>
  <si>
    <t>C00688</t>
  </si>
  <si>
    <t>2.7.7.24</t>
  </si>
  <si>
    <t>https://www.genome.jp/entry/2.7.7.24</t>
  </si>
  <si>
    <t>https://www.genome.jp/entry/R02328</t>
  </si>
  <si>
    <t>C00459|C00103</t>
  </si>
  <si>
    <t>C00013|C00842</t>
  </si>
  <si>
    <t>1.1.1.22</t>
  </si>
  <si>
    <t>https://www.genome.jp/entry/1.1.1.22</t>
  </si>
  <si>
    <t>https://www.genome.jp/entry/R00286</t>
  </si>
  <si>
    <t>C00029|C00001|C00003</t>
  </si>
  <si>
    <t>C00167|C00004|C00080</t>
  </si>
  <si>
    <t>3.6.3.1</t>
  </si>
  <si>
    <t>https://www.genome.jp/entry/3.6.3.1</t>
  </si>
  <si>
    <t>2.4.1.-</t>
  </si>
  <si>
    <t>2.3.1.-</t>
  </si>
  <si>
    <t>2.-.-.-</t>
  </si>
  <si>
    <t>2.4.-.-</t>
  </si>
  <si>
    <t>2.7.10.2</t>
  </si>
  <si>
    <t>https://www.genome.jp/entry/2.7.10.2</t>
  </si>
  <si>
    <t>https://www.genome.jp/entry/R02584</t>
  </si>
  <si>
    <t>C00002|C00585</t>
  </si>
  <si>
    <t>C00008|C01167</t>
  </si>
  <si>
    <t>3.1.3.48</t>
  </si>
  <si>
    <t>https://www.genome.jp/entry/3.1.3.48</t>
  </si>
  <si>
    <t>https://www.genome.jp/entry/R02585</t>
  </si>
  <si>
    <t>C01167|C00001</t>
  </si>
  <si>
    <t>C00585|C00009</t>
  </si>
  <si>
    <t>3.2.1.70</t>
  </si>
  <si>
    <t>https://www.genome.jp/entry/3.2.1.70</t>
  </si>
  <si>
    <t>4.4.1.21</t>
  </si>
  <si>
    <t>https://www.genome.jp/entry/4.4.1.21</t>
  </si>
  <si>
    <t>https://www.genome.jp/entry/R01291</t>
  </si>
  <si>
    <t>C03539</t>
  </si>
  <si>
    <t>C11838|C00155</t>
  </si>
  <si>
    <t>2.7.8.13</t>
  </si>
  <si>
    <t>https://www.genome.jp/entry/2.7.8.13</t>
  </si>
  <si>
    <t>https://www.genome.jp/entry/R05629</t>
  </si>
  <si>
    <t>C04702|C17556</t>
  </si>
  <si>
    <t>C00105|C04851</t>
  </si>
  <si>
    <t>https://www.genome.jp/entry/R05630</t>
  </si>
  <si>
    <t>C04882|C17556</t>
  </si>
  <si>
    <t>C00105|C05897</t>
  </si>
  <si>
    <t>2.1.1.199</t>
  </si>
  <si>
    <t>https://www.genome.jp/entry/2.1.1.199</t>
  </si>
  <si>
    <t>3.2.1.179</t>
  </si>
  <si>
    <t>https://www.genome.jp/entry/3.2.1.179</t>
  </si>
  <si>
    <t>https://www.genome.jp/entry/R09831</t>
  </si>
  <si>
    <t>C19965|C00001</t>
  </si>
  <si>
    <t>C04053|C19966</t>
  </si>
  <si>
    <t>1.1.1.69</t>
  </si>
  <si>
    <t>https://www.genome.jp/entry/1.1.1.69</t>
  </si>
  <si>
    <t>https://www.genome.jp/entry/R01738</t>
  </si>
  <si>
    <t>C00257|C00003</t>
  </si>
  <si>
    <t>C01062|C00004|C00080</t>
  </si>
  <si>
    <t>https://www.genome.jp/entry/R01740</t>
  </si>
  <si>
    <t>C00257|C00006</t>
  </si>
  <si>
    <t>C01062|C00005|C00080</t>
  </si>
  <si>
    <t>4.1.2.21</t>
  </si>
  <si>
    <t>https://www.genome.jp/entry/4.1.2.21</t>
  </si>
  <si>
    <t>https://www.genome.jp/entry/R01064</t>
  </si>
  <si>
    <t>C01286</t>
  </si>
  <si>
    <t>C00022|C00118</t>
  </si>
  <si>
    <t>4.2.2.1</t>
  </si>
  <si>
    <t>https://www.genome.jp/entry/4.2.2.1</t>
  </si>
  <si>
    <t>https://www.genome.jp/entry/R02465</t>
  </si>
  <si>
    <t>C00518</t>
  </si>
  <si>
    <t>C04794</t>
  </si>
  <si>
    <t>https://www.genome.jp/entry/R06242</t>
  </si>
  <si>
    <t>G10505</t>
  </si>
  <si>
    <t>G02170</t>
  </si>
  <si>
    <t>1.11.1.9</t>
  </si>
  <si>
    <t>https://www.genome.jp/entry/1.11.1.9</t>
  </si>
  <si>
    <t>https://www.genome.jp/entry/R00274</t>
  </si>
  <si>
    <t>C00027|C00051</t>
  </si>
  <si>
    <t>C00127|C00001</t>
  </si>
  <si>
    <t>3.2.1.177</t>
  </si>
  <si>
    <t>https://www.genome.jp/entry/3.2.1.177</t>
  </si>
  <si>
    <t>3.2.1.86</t>
  </si>
  <si>
    <t>https://www.genome.jp/entry/3.2.1.86</t>
  </si>
  <si>
    <t>https://www.genome.jp/entry/R00839</t>
  </si>
  <si>
    <t>C04534|C00001</t>
  </si>
  <si>
    <t>C00031|C00092</t>
  </si>
  <si>
    <t>https://www.genome.jp/entry/R06112</t>
  </si>
  <si>
    <t>G10518|C00001</t>
  </si>
  <si>
    <t>https://www.genome.jp/entry/R05133</t>
  </si>
  <si>
    <t>C06187|C00001</t>
  </si>
  <si>
    <t>C00530|C01172</t>
  </si>
  <si>
    <t>https://www.genome.jp/entry/R05134</t>
  </si>
  <si>
    <t>C06188|C00001</t>
  </si>
  <si>
    <t>C02323|C01172</t>
  </si>
  <si>
    <t>2.7.6.3</t>
  </si>
  <si>
    <t>https://www.genome.jp/entry/2.7.6.3</t>
  </si>
  <si>
    <t>https://www.genome.jp/entry/R03503</t>
  </si>
  <si>
    <t>C00002|C01300</t>
  </si>
  <si>
    <t>C00020|C04807</t>
  </si>
  <si>
    <t>3.5.4.16</t>
  </si>
  <si>
    <t>https://www.genome.jp/entry/3.5.4.16</t>
  </si>
  <si>
    <t>https://www.genome.jp/entry/R00424</t>
  </si>
  <si>
    <t>C00044|C00001</t>
  </si>
  <si>
    <t>C04895|C00058</t>
  </si>
  <si>
    <t>https://www.genome.jp/entry/R00428</t>
  </si>
  <si>
    <t>C05922</t>
  </si>
  <si>
    <t>https://www.genome.jp/entry/R04639</t>
  </si>
  <si>
    <t>C04895|C00001</t>
  </si>
  <si>
    <t>C06148</t>
  </si>
  <si>
    <t>https://www.genome.jp/entry/R05046</t>
  </si>
  <si>
    <t>C05922|C00001</t>
  </si>
  <si>
    <t>C05923|C00058</t>
  </si>
  <si>
    <t>https://www.genome.jp/entry/R05048</t>
  </si>
  <si>
    <t>C05923</t>
  </si>
  <si>
    <t>6.3.2.17</t>
  </si>
  <si>
    <t>https://www.genome.jp/entry/6.3.2.17</t>
  </si>
  <si>
    <t>https://www.genome.jp/entry/R04241</t>
  </si>
  <si>
    <t>C00002|C03541|C00025</t>
  </si>
  <si>
    <t>C00008|C00009|C03541</t>
  </si>
  <si>
    <t>https://www.genome.jp/entry/R00942</t>
  </si>
  <si>
    <t>C00002|C00101|C00025</t>
  </si>
  <si>
    <t>C00008|C00009|C09332</t>
  </si>
  <si>
    <t>https://www.genome.jp/entry/R01654</t>
  </si>
  <si>
    <t>C00002|C00234|C00025</t>
  </si>
  <si>
    <t>C00008|C00009|C05928</t>
  </si>
  <si>
    <t>https://www.genome.jp/entry/R02237</t>
  </si>
  <si>
    <t>C00002|C00921|C00025</t>
  </si>
  <si>
    <t>C00008|C00009|C00415</t>
  </si>
  <si>
    <t>https://www.genome.jp/entry/R05197</t>
  </si>
  <si>
    <t>C00002|C05928|C00025</t>
  </si>
  <si>
    <t>C00008|C00009|C05929</t>
  </si>
  <si>
    <t>6.3.2.12</t>
  </si>
  <si>
    <t>https://www.genome.jp/entry/6.3.2.12</t>
  </si>
  <si>
    <t>2.5.1.15</t>
  </si>
  <si>
    <t>https://www.genome.jp/entry/2.5.1.15</t>
  </si>
  <si>
    <t>https://www.genome.jp/entry/R03067</t>
  </si>
  <si>
    <t>C04807|C00568</t>
  </si>
  <si>
    <t>C00013|C00921</t>
  </si>
  <si>
    <t>https://www.genome.jp/entry/R03066</t>
  </si>
  <si>
    <t>C01300|C00568</t>
  </si>
  <si>
    <t>C00921|C00001</t>
  </si>
  <si>
    <t>3.1.3.-</t>
  </si>
  <si>
    <t>1.1.1.1</t>
  </si>
  <si>
    <t>https://www.genome.jp/entry/1.1.1.1</t>
  </si>
  <si>
    <t>https://www.genome.jp/entry/R00623</t>
  </si>
  <si>
    <t>C00226|C00003</t>
  </si>
  <si>
    <t>C00071|C00004|C00080</t>
  </si>
  <si>
    <t>https://www.genome.jp/entry/R00754</t>
  </si>
  <si>
    <t>C00469|C00003</t>
  </si>
  <si>
    <t>C00084|C00004|C00080</t>
  </si>
  <si>
    <t>https://www.genome.jp/entry/R02124</t>
  </si>
  <si>
    <t>C00473|C00003</t>
  </si>
  <si>
    <t>C00376|C00004|C00080</t>
  </si>
  <si>
    <t>https://www.genome.jp/entry/R02878</t>
  </si>
  <si>
    <t>C00756|C00003</t>
  </si>
  <si>
    <t>C01545|C00004|C00080</t>
  </si>
  <si>
    <t>https://www.genome.jp/entry/R04805</t>
  </si>
  <si>
    <t>C05444|C00003</t>
  </si>
  <si>
    <t>C05445|C00004|C00080</t>
  </si>
  <si>
    <t>https://www.genome.jp/entry/R04880</t>
  </si>
  <si>
    <t>C05576|C00003</t>
  </si>
  <si>
    <t>C05577|C00004|C00080</t>
  </si>
  <si>
    <t>https://www.genome.jp/entry/R05233</t>
  </si>
  <si>
    <t>C06611|C00003</t>
  </si>
  <si>
    <t>C06613|C00004|C00080</t>
  </si>
  <si>
    <t>https://www.genome.jp/entry/R05234</t>
  </si>
  <si>
    <t>C06612|C00003</t>
  </si>
  <si>
    <t>C16348|C00004|C00080</t>
  </si>
  <si>
    <t>https://www.genome.jp/entry/R06917</t>
  </si>
  <si>
    <t>C14089|C00003</t>
  </si>
  <si>
    <t>C14090|C00004|C00080</t>
  </si>
  <si>
    <t>https://www.genome.jp/entry/R06927</t>
  </si>
  <si>
    <t>C02909|C00003</t>
  </si>
  <si>
    <t>C14099|C00004|C00080</t>
  </si>
  <si>
    <t>https://www.genome.jp/entry/R08281</t>
  </si>
  <si>
    <t>C07645|C00004|C00080</t>
  </si>
  <si>
    <t>C16551|C00003</t>
  </si>
  <si>
    <t>https://www.genome.jp/entry/R08306</t>
  </si>
  <si>
    <t>C16586|C00003</t>
  </si>
  <si>
    <t>C16587|C00004|C00080</t>
  </si>
  <si>
    <t>https://www.genome.jp/entry/R08557</t>
  </si>
  <si>
    <t>C00114|C00003</t>
  </si>
  <si>
    <t>C00576|C00004|C00080</t>
  </si>
  <si>
    <t>https://www.genome.jp/entry/R08558</t>
  </si>
  <si>
    <t>C00114|C00006</t>
  </si>
  <si>
    <t>C00576|C00005|C00080</t>
  </si>
  <si>
    <t>https://www.genome.jp/entry/R10783</t>
  </si>
  <si>
    <t>C16310|C00004|C00080</t>
  </si>
  <si>
    <t>C08492|C00003</t>
  </si>
  <si>
    <t>https://www.genome.jp/entry/R00624</t>
  </si>
  <si>
    <t>C01612|C00003</t>
  </si>
  <si>
    <t>C01450|C00004|C00080</t>
  </si>
  <si>
    <t>https://www.genome.jp/entry/R08310</t>
  </si>
  <si>
    <t>C16595|C00003</t>
  </si>
  <si>
    <t>C16596|C00004|C00080</t>
  </si>
  <si>
    <t>https://www.genome.jp/entry/R02246</t>
  </si>
  <si>
    <t>C00418|C00003</t>
  </si>
  <si>
    <t>C00772|C00004|C00080</t>
  </si>
  <si>
    <t>https://www.genome.jp/entry/R07105</t>
  </si>
  <si>
    <t>C06899|C00004|C00080</t>
  </si>
  <si>
    <t>C07490|C00003|C00001</t>
  </si>
  <si>
    <t>3.4.22.40</t>
  </si>
  <si>
    <t>https://www.genome.jp/entry/3.4.22.40</t>
  </si>
  <si>
    <t>3.4.22.-</t>
  </si>
  <si>
    <t>4.2.1.70</t>
  </si>
  <si>
    <t>https://www.genome.jp/entry/4.2.1.70</t>
  </si>
  <si>
    <t>https://www.genome.jp/entry/R01055</t>
  </si>
  <si>
    <t>C00106|C00117</t>
  </si>
  <si>
    <t>C01168|C00001</t>
  </si>
  <si>
    <t>5.4.99.19</t>
  </si>
  <si>
    <t>https://www.genome.jp/entry/5.4.99.19</t>
  </si>
  <si>
    <t>3.4.11.-</t>
  </si>
  <si>
    <t>3.1.-.-</t>
  </si>
  <si>
    <t>3.6.5.3</t>
  </si>
  <si>
    <t>https://www.genome.jp/entry/3.6.5.3</t>
  </si>
  <si>
    <t>https://www.genome.jp/entry/R00335</t>
  </si>
  <si>
    <t>C00035|C00009</t>
  </si>
  <si>
    <t>3.2.1.41</t>
  </si>
  <si>
    <t>https://www.genome.jp/entry/3.2.1.41</t>
  </si>
  <si>
    <t>1.14.13.107</t>
  </si>
  <si>
    <t>https://www.genome.jp/entry/1.14.13.107</t>
  </si>
  <si>
    <t>https://www.genome.jp/entry/R06398</t>
  </si>
  <si>
    <t>C06099|C00004|C00080</t>
  </si>
  <si>
    <t>C07271|C00003|C00001</t>
  </si>
  <si>
    <t>https://www.genome.jp/entry/R09385</t>
  </si>
  <si>
    <t>C00521|C00004|C00080|C00007</t>
  </si>
  <si>
    <t>C19081|C00003|C00001</t>
  </si>
  <si>
    <t>https://www.genome.jp/entry/R09389</t>
  </si>
  <si>
    <t>C00521|C00005|C00007|C00080</t>
  </si>
  <si>
    <t>C19081|C00006|C00001</t>
  </si>
  <si>
    <t>https://www.genome.jp/entry/R09393</t>
  </si>
  <si>
    <t>C06099|C00005|C00007|C00080</t>
  </si>
  <si>
    <t>C07271|C00006|C00001</t>
  </si>
  <si>
    <t>2.6.1.16</t>
  </si>
  <si>
    <t>https://www.genome.jp/entry/2.6.1.16</t>
  </si>
  <si>
    <t>https://www.genome.jp/entry/R00768</t>
  </si>
  <si>
    <t>C00064|C00085</t>
  </si>
  <si>
    <t>C00025|C00352</t>
  </si>
  <si>
    <t>3.2.1.21</t>
  </si>
  <si>
    <t>https://www.genome.jp/entry/3.2.1.21</t>
  </si>
  <si>
    <t>https://www.genome.jp/entry/R00026</t>
  </si>
  <si>
    <t>C00185|C00001</t>
  </si>
  <si>
    <t>C00221</t>
  </si>
  <si>
    <t>https://www.genome.jp/entry/R00306</t>
  </si>
  <si>
    <t>C00031</t>
  </si>
  <si>
    <t>https://www.genome.jp/entry/R02558</t>
  </si>
  <si>
    <t>C00844|C00001</t>
  </si>
  <si>
    <t>C00561|C00031</t>
  </si>
  <si>
    <t>https://www.genome.jp/entry/R02887</t>
  </si>
  <si>
    <t>C01898|C00001</t>
  </si>
  <si>
    <t>C00031|C00185</t>
  </si>
  <si>
    <t>https://www.genome.jp/entry/R02985</t>
  </si>
  <si>
    <t>C00844|C00031</t>
  </si>
  <si>
    <t>C08325|C00001</t>
  </si>
  <si>
    <t>https://www.genome.jp/entry/R03527</t>
  </si>
  <si>
    <t>C00963|C00001</t>
  </si>
  <si>
    <t>C00031|C01335</t>
  </si>
  <si>
    <t>https://www.genome.jp/entry/R04949</t>
  </si>
  <si>
    <t>C05713|C00001</t>
  </si>
  <si>
    <t>C05712|C00031</t>
  </si>
  <si>
    <t>https://www.genome.jp/entry/R04998</t>
  </si>
  <si>
    <t>C05839|C00001</t>
  </si>
  <si>
    <t>C05838|C00031</t>
  </si>
  <si>
    <t>https://www.genome.jp/entry/R06077</t>
  </si>
  <si>
    <t>G10481|C00001</t>
  </si>
  <si>
    <t>G10481|C00221</t>
  </si>
  <si>
    <t>https://www.genome.jp/entry/R06092</t>
  </si>
  <si>
    <t>G00289|C00001</t>
  </si>
  <si>
    <t>https://www.genome.jp/entry/R06104</t>
  </si>
  <si>
    <t>C00321</t>
  </si>
  <si>
    <t>https://www.genome.jp/entry/R10035</t>
  </si>
  <si>
    <t>C05143|C00001</t>
  </si>
  <si>
    <t>C03742|C00221</t>
  </si>
  <si>
    <t>https://www.genome.jp/entry/R10039</t>
  </si>
  <si>
    <t>C08334|C00001</t>
  </si>
  <si>
    <t>C18796|C00221</t>
  </si>
  <si>
    <t>https://www.genome.jp/entry/R10040</t>
  </si>
  <si>
    <t>C01594|C00001</t>
  </si>
  <si>
    <t>C02659|C00221</t>
  </si>
  <si>
    <t>https://www.genome.jp/entry/R13051</t>
  </si>
  <si>
    <t>C10216|C00001</t>
  </si>
  <si>
    <t>C10208|C00221</t>
  </si>
  <si>
    <t>https://www.genome.jp/entry/R13052</t>
  </si>
  <si>
    <t>C09126|C00001</t>
  </si>
  <si>
    <t>C06563|C00221</t>
  </si>
  <si>
    <t>https://www.genome.jp/entry/R13065</t>
  </si>
  <si>
    <t>C05623|C00001</t>
  </si>
  <si>
    <t>C00389|C00221</t>
  </si>
  <si>
    <t>https://www.genome.jp/entry/R13081</t>
  </si>
  <si>
    <t>C09009|C00001</t>
  </si>
  <si>
    <t>C00509|C00221</t>
  </si>
  <si>
    <t>6.1.1.15</t>
  </si>
  <si>
    <t>https://www.genome.jp/entry/6.1.1.15</t>
  </si>
  <si>
    <t>https://www.genome.jp/entry/R03661</t>
  </si>
  <si>
    <t>C00002|C00148|C01649</t>
  </si>
  <si>
    <t>C00020|C00013|C02702</t>
  </si>
  <si>
    <t>3.4.24.-</t>
  </si>
  <si>
    <t>2.7.7.41</t>
  </si>
  <si>
    <t>https://www.genome.jp/entry/2.7.7.41</t>
  </si>
  <si>
    <t>https://www.genome.jp/entry/R01799</t>
  </si>
  <si>
    <t>C00063|C00416</t>
  </si>
  <si>
    <t>C00013|C00269</t>
  </si>
  <si>
    <t>2.5.1.31</t>
  </si>
  <si>
    <t>https://www.genome.jp/entry/2.5.1.31</t>
  </si>
  <si>
    <t>https://www.genome.jp/entry/R06447</t>
  </si>
  <si>
    <t>C00448|C00129</t>
  </si>
  <si>
    <t>C04574|C00013</t>
  </si>
  <si>
    <t>3.6.4.12</t>
  </si>
  <si>
    <t>https://www.genome.jp/entry/3.6.4.12</t>
  </si>
  <si>
    <t>6.1.1.4</t>
  </si>
  <si>
    <t>https://www.genome.jp/entry/6.1.1.4</t>
  </si>
  <si>
    <t>https://www.genome.jp/entry/R03657</t>
  </si>
  <si>
    <t>C00002|C00123|C01645</t>
  </si>
  <si>
    <t>C00020|C00013|C02047</t>
  </si>
  <si>
    <t>1.1.1.6</t>
  </si>
  <si>
    <t>https://www.genome.jp/entry/1.1.1.6</t>
  </si>
  <si>
    <t>https://www.genome.jp/entry/R01034</t>
  </si>
  <si>
    <t>C00116|C00003</t>
  </si>
  <si>
    <t>C00184|C00004|C00080</t>
  </si>
  <si>
    <t>https://www.genome.jp/entry/R10715</t>
  </si>
  <si>
    <t>C00424|C00003</t>
  </si>
  <si>
    <t>C00546|C00004|C00080</t>
  </si>
  <si>
    <t>https://www.genome.jp/entry/R10717</t>
  </si>
  <si>
    <t>C00583|C00003</t>
  </si>
  <si>
    <t>C05235|C00004|C00080</t>
  </si>
  <si>
    <t>4.1.2.-</t>
  </si>
  <si>
    <t>4.1.1.83</t>
  </si>
  <si>
    <t>https://www.genome.jp/entry/4.1.1.83</t>
  </si>
  <si>
    <t>https://www.genome.jp/entry/R07312</t>
  </si>
  <si>
    <t>C00642|C00080</t>
  </si>
  <si>
    <t>C01468|C00011</t>
  </si>
  <si>
    <t>1.97.1.-</t>
  </si>
  <si>
    <t>3.6.3.31</t>
  </si>
  <si>
    <t>https://www.genome.jp/entry/3.6.3.31</t>
  </si>
  <si>
    <t>5.4.2.-</t>
  </si>
  <si>
    <t>2.7.7.6</t>
  </si>
  <si>
    <t>https://www.genome.jp/entry/2.7.7.6</t>
  </si>
  <si>
    <t>https://www.genome.jp/entry/R00444</t>
  </si>
  <si>
    <t>C00201|C00046</t>
  </si>
  <si>
    <t>C00013|C00046</t>
  </si>
  <si>
    <t>https://www.genome.jp/entry/R00435</t>
  </si>
  <si>
    <t>C00002|C00046</t>
  </si>
  <si>
    <t>https://www.genome.jp/entry/R00441</t>
  </si>
  <si>
    <t>C00044|C00046</t>
  </si>
  <si>
    <t>https://www.genome.jp/entry/R00442</t>
  </si>
  <si>
    <t>C00063|C00046</t>
  </si>
  <si>
    <t>https://www.genome.jp/entry/R00443</t>
  </si>
  <si>
    <t>C00075|C00046</t>
  </si>
  <si>
    <t>https://www.genome.jp/entry/R10813</t>
  </si>
  <si>
    <t>C00201</t>
  </si>
  <si>
    <t>C20864|C00013</t>
  </si>
  <si>
    <t>2.7.4.3</t>
  </si>
  <si>
    <t>https://www.genome.jp/entry/2.7.4.3</t>
  </si>
  <si>
    <t>https://www.genome.jp/entry/R00127</t>
  </si>
  <si>
    <t>C00002|C00020</t>
  </si>
  <si>
    <t>C00008</t>
  </si>
  <si>
    <t>https://www.genome.jp/entry/R01547</t>
  </si>
  <si>
    <t>C00002|C00360</t>
  </si>
  <si>
    <t>C00008|C00206</t>
  </si>
  <si>
    <t>https://www.genome.jp/entry/R11319</t>
  </si>
  <si>
    <t>C00068|C00008</t>
  </si>
  <si>
    <t>C03028|C00020</t>
  </si>
  <si>
    <t>1.97.1.4</t>
  </si>
  <si>
    <t>https://www.genome.jp/entry/1.97.1.4</t>
  </si>
  <si>
    <t>https://www.genome.jp/entry/R04710</t>
  </si>
  <si>
    <t>C00019|C05196|C05197</t>
  </si>
  <si>
    <t>C05198|C00073|C05199|C05312</t>
  </si>
  <si>
    <t>1.17.4.2</t>
  </si>
  <si>
    <t>https://www.genome.jp/entry/1.17.4.2</t>
  </si>
  <si>
    <t>https://www.genome.jp/entry/R04315</t>
  </si>
  <si>
    <t>C00677|C00343|C00001</t>
  </si>
  <si>
    <t>C03802|C00342</t>
  </si>
  <si>
    <t>https://www.genome.jp/entry/R02014</t>
  </si>
  <si>
    <t>C00131|C00343|C00001</t>
  </si>
  <si>
    <t>C00002|C00342</t>
  </si>
  <si>
    <t>https://www.genome.jp/entry/R02020</t>
  </si>
  <si>
    <t>C00286|C00343|C00001</t>
  </si>
  <si>
    <t>C00044|C00342</t>
  </si>
  <si>
    <t>https://www.genome.jp/entry/R02022</t>
  </si>
  <si>
    <t>C00458|C00343|C00001</t>
  </si>
  <si>
    <t>C00063|C00342</t>
  </si>
  <si>
    <t>https://www.genome.jp/entry/R02023</t>
  </si>
  <si>
    <t>C00460|C00343|C00001</t>
  </si>
  <si>
    <t>C00075|C00342</t>
  </si>
  <si>
    <t>2.7.8.-</t>
  </si>
  <si>
    <t>3.4.-.-</t>
  </si>
  <si>
    <t>3.4.11.9</t>
  </si>
  <si>
    <t>https://www.genome.jp/entry/3.4.11.9</t>
  </si>
  <si>
    <t>3.2.2.20</t>
  </si>
  <si>
    <t>https://www.genome.jp/entry/3.2.2.20</t>
  </si>
  <si>
    <t>2.5.1.9</t>
  </si>
  <si>
    <t>https://www.genome.jp/entry/2.5.1.9</t>
  </si>
  <si>
    <t>https://www.genome.jp/entry/R00066</t>
  </si>
  <si>
    <t>C04332</t>
  </si>
  <si>
    <t>C00255|C04732</t>
  </si>
  <si>
    <t>6.3.3.-</t>
  </si>
  <si>
    <t>3.5.1.16</t>
  </si>
  <si>
    <t>https://www.genome.jp/entry/3.5.1.16</t>
  </si>
  <si>
    <t>https://www.genome.jp/entry/R00669</t>
  </si>
  <si>
    <t>C00437|C00001</t>
  </si>
  <si>
    <t>C00033|C00077</t>
  </si>
  <si>
    <t>https://www.genome.jp/entry/R09107</t>
  </si>
  <si>
    <t>C15532|C00001</t>
  </si>
  <si>
    <t>C00033|C00327</t>
  </si>
  <si>
    <t>3.4.24.57</t>
  </si>
  <si>
    <t>https://www.genome.jp/entry/3.4.24.57</t>
  </si>
  <si>
    <t>2.8.1.-</t>
  </si>
  <si>
    <t>3.2.1.96</t>
  </si>
  <si>
    <t>https://www.genome.jp/entry/3.2.1.96</t>
  </si>
  <si>
    <t>6.3.4.5</t>
  </si>
  <si>
    <t>https://www.genome.jp/entry/6.3.4.5</t>
  </si>
  <si>
    <t>https://www.genome.jp/entry/R01954</t>
  </si>
  <si>
    <t>C00002|C00327|C00049</t>
  </si>
  <si>
    <t>C00020|C00013|C03406</t>
  </si>
  <si>
    <t>4.3.1.17</t>
  </si>
  <si>
    <t>https://www.genome.jp/entry/4.3.1.17</t>
  </si>
  <si>
    <t>https://www.genome.jp/entry/R00590</t>
  </si>
  <si>
    <t>C02218|C00001</t>
  </si>
  <si>
    <t>https://www.genome.jp/entry/R11099</t>
  </si>
  <si>
    <t>C20904|C00001</t>
  </si>
  <si>
    <t>https://www.genome.jp/entry/R11100</t>
  </si>
  <si>
    <t>C02218</t>
  </si>
  <si>
    <t>C20904</t>
  </si>
  <si>
    <t>3.1.3.5</t>
  </si>
  <si>
    <t>https://www.genome.jp/entry/3.1.3.5</t>
  </si>
  <si>
    <t>https://www.genome.jp/entry/R07297</t>
  </si>
  <si>
    <t>C02520|C00001</t>
  </si>
  <si>
    <t>C00911|C00009</t>
  </si>
  <si>
    <t>https://www.genome.jp/entry/R00183</t>
  </si>
  <si>
    <t>C0002|C00001</t>
  </si>
  <si>
    <t>C00212|C00009</t>
  </si>
  <si>
    <t>https://www.genome.jp/entry/R00511</t>
  </si>
  <si>
    <t>C00055|C00001</t>
  </si>
  <si>
    <t>C00475|C00009</t>
  </si>
  <si>
    <t>https://www.genome.jp/entry/R00963</t>
  </si>
  <si>
    <t>C00105|C00001</t>
  </si>
  <si>
    <t>C00299|C00009</t>
  </si>
  <si>
    <t>https://www.genome.jp/entry/R01126</t>
  </si>
  <si>
    <t>C00130|C00001</t>
  </si>
  <si>
    <t>C00294|C00009</t>
  </si>
  <si>
    <t>https://www.genome.jp/entry/R01227</t>
  </si>
  <si>
    <t>C00144|C00001</t>
  </si>
  <si>
    <t>C0038|C00009</t>
  </si>
  <si>
    <t>https://www.genome.jp/entry/R02323</t>
  </si>
  <si>
    <t>C00455|C00001</t>
  </si>
  <si>
    <t>C03150|C00009</t>
  </si>
  <si>
    <t>https://www.genome.jp/entry/R02719</t>
  </si>
  <si>
    <t>C00655|C00001</t>
  </si>
  <si>
    <t>C01762|C00009</t>
  </si>
  <si>
    <t>https://www.genome.jp/entry/R03346</t>
  </si>
  <si>
    <t>C01185|C00001</t>
  </si>
  <si>
    <t>C05841|C00009</t>
  </si>
  <si>
    <t>https://www.genome.jp/entry/R01569</t>
  </si>
  <si>
    <t>C00364|C00001</t>
  </si>
  <si>
    <t>C00214|C00009</t>
  </si>
  <si>
    <t>https://www.genome.jp/entry/R01664</t>
  </si>
  <si>
    <t>C00239|C00001</t>
  </si>
  <si>
    <t>C00881|C00009</t>
  </si>
  <si>
    <t>https://www.genome.jp/entry/R01968</t>
  </si>
  <si>
    <t>C00362|C00001</t>
  </si>
  <si>
    <t>C00330|C00009</t>
  </si>
  <si>
    <t>https://www.genome.jp/entry/R02088</t>
  </si>
  <si>
    <t>C00360|C00001</t>
  </si>
  <si>
    <t>C00559|C00009</t>
  </si>
  <si>
    <t>https://www.genome.jp/entry/R02102</t>
  </si>
  <si>
    <t>C00365|C00001</t>
  </si>
  <si>
    <t>C00526|C00009</t>
  </si>
  <si>
    <t>https://www.genome.jp/entry/R12958</t>
  </si>
  <si>
    <t>C06196|C00001</t>
  </si>
  <si>
    <t>C05512|C00009</t>
  </si>
  <si>
    <t>5.1.3.2</t>
  </si>
  <si>
    <t>https://www.genome.jp/entry/5.1.3.2</t>
  </si>
  <si>
    <t>https://www.genome.jp/entry/R00291</t>
  </si>
  <si>
    <t>C00029</t>
  </si>
  <si>
    <t>C00052</t>
  </si>
  <si>
    <t>https://www.genome.jp/entry/R00418</t>
  </si>
  <si>
    <t>C00043</t>
  </si>
  <si>
    <t>C00203</t>
  </si>
  <si>
    <t>https://www.genome.jp/entry/R02984</t>
  </si>
  <si>
    <t>C02097</t>
  </si>
  <si>
    <t>2.4.2.1</t>
  </si>
  <si>
    <t>https://www.genome.jp/entry/2.4.2.1</t>
  </si>
  <si>
    <t>https://www.genome.jp/entry/R08368</t>
  </si>
  <si>
    <t>C15586|C00009</t>
  </si>
  <si>
    <t>C15587|C00620</t>
  </si>
  <si>
    <t>https://www.genome.jp/entry/R01561</t>
  </si>
  <si>
    <t>C00147|C00620</t>
  </si>
  <si>
    <t>https://www.genome.jp/entry/R01863</t>
  </si>
  <si>
    <t>C00262|C00620</t>
  </si>
  <si>
    <t>https://www.genome.jp/entry/R02147</t>
  </si>
  <si>
    <t>C00387|C00009</t>
  </si>
  <si>
    <t>C00242|C00620</t>
  </si>
  <si>
    <t>https://www.genome.jp/entry/R02297</t>
  </si>
  <si>
    <t>C00385|C00620</t>
  </si>
  <si>
    <t>https://www.genome.jp/entry/R10244</t>
  </si>
  <si>
    <t>C20463|C00009</t>
  </si>
  <si>
    <t>C15587|C00672</t>
  </si>
  <si>
    <t>https://www.genome.jp/entry/R01969</t>
  </si>
  <si>
    <t>C00242|C00672</t>
  </si>
  <si>
    <t>https://www.genome.jp/entry/R02557</t>
  </si>
  <si>
    <t>C00147|C00672</t>
  </si>
  <si>
    <t>https://www.genome.jp/entry/R02748</t>
  </si>
  <si>
    <t>C00262|C00672</t>
  </si>
  <si>
    <t>https://www.genome.jp/entry/R02294</t>
  </si>
  <si>
    <t>C00153|C00620</t>
  </si>
  <si>
    <t>https://www.genome.jp/entry/R02295</t>
  </si>
  <si>
    <t>C00253|C00620|C00080</t>
  </si>
  <si>
    <t>2.8.1.1</t>
  </si>
  <si>
    <t>https://www.genome.jp/entry/2.8.1.1</t>
  </si>
  <si>
    <t>https://www.genome.jp/entry/R01931</t>
  </si>
  <si>
    <t>C00320|C00177</t>
  </si>
  <si>
    <t>C00094|C01755</t>
  </si>
  <si>
    <t>1.13.11.2</t>
  </si>
  <si>
    <t>https://www.genome.jp/entry/1.13.11.2</t>
  </si>
  <si>
    <t>https://www.genome.jp/entry/R00816</t>
  </si>
  <si>
    <t>C00090|C00007</t>
  </si>
  <si>
    <t>C00682</t>
  </si>
  <si>
    <t>https://www.genome.jp/entry/R04089</t>
  </si>
  <si>
    <t>C02923|C00007</t>
  </si>
  <si>
    <t>C06210</t>
  </si>
  <si>
    <t>https://www.genome.jp/entry/R05295</t>
  </si>
  <si>
    <t>C06730|C00007</t>
  </si>
  <si>
    <t>C06760</t>
  </si>
  <si>
    <t>https://www.genome.jp/entry/R05404</t>
  </si>
  <si>
    <t>C07085|C00007</t>
  </si>
  <si>
    <t>C07087</t>
  </si>
  <si>
    <t>https://www.genome.jp/entry/R05406</t>
  </si>
  <si>
    <t>C02375|C00007</t>
  </si>
  <si>
    <t>C07089</t>
  </si>
  <si>
    <t>https://www.genome.jp/entry/R07795</t>
  </si>
  <si>
    <t>C06336|C00007</t>
  </si>
  <si>
    <t>C02501|C00094</t>
  </si>
  <si>
    <t>5.1.3.3</t>
  </si>
  <si>
    <t>https://www.genome.jp/entry/5.1.3.3</t>
  </si>
  <si>
    <t>https://www.genome.jp/entry/R01602</t>
  </si>
  <si>
    <t>C00267</t>
  </si>
  <si>
    <t>https://www.genome.jp/entry/R10619</t>
  </si>
  <si>
    <t>C00124</t>
  </si>
  <si>
    <t>C00984</t>
  </si>
  <si>
    <t>5.3.1.-</t>
  </si>
  <si>
    <t>3.2.1.23</t>
  </si>
  <si>
    <t>https://www.genome.jp/entry/3.2.1.23</t>
  </si>
  <si>
    <t>https://www.genome.jp/entry/R01100</t>
  </si>
  <si>
    <t>C00243|C00001</t>
  </si>
  <si>
    <t>C00031|C00962</t>
  </si>
  <si>
    <t>https://www.genome.jp/entry/R01105</t>
  </si>
  <si>
    <t>C05796|C00001</t>
  </si>
  <si>
    <t>C00124|C05796</t>
  </si>
  <si>
    <t>https://www.genome.jp/entry/R01678</t>
  </si>
  <si>
    <t>C00267|C00124</t>
  </si>
  <si>
    <t>https://www.genome.jp/entry/R03355</t>
  </si>
  <si>
    <t>C01290|C00001</t>
  </si>
  <si>
    <t>C01190|C00124</t>
  </si>
  <si>
    <t>https://www.genome.jp/entry/R04633</t>
  </si>
  <si>
    <t>C04911|C00001</t>
  </si>
  <si>
    <t>C04884|C00124</t>
  </si>
  <si>
    <t>https://www.genome.jp/entry/R04783</t>
  </si>
  <si>
    <t>C05403|C00001</t>
  </si>
  <si>
    <t>C05394|C00221</t>
  </si>
  <si>
    <t>https://www.genome.jp/entry/R05112</t>
  </si>
  <si>
    <t>C06136|C00001</t>
  </si>
  <si>
    <t>C06135|C00124</t>
  </si>
  <si>
    <t>https://www.genome.jp/entry/R05994</t>
  </si>
  <si>
    <t>G00124|C00001</t>
  </si>
  <si>
    <t>G00123|C00124</t>
  </si>
  <si>
    <t>https://www.genome.jp/entry/R06010</t>
  </si>
  <si>
    <t>G00110|C00001</t>
  </si>
  <si>
    <t>G00109|C00124</t>
  </si>
  <si>
    <t>https://www.genome.jp/entry/R06098</t>
  </si>
  <si>
    <t>G10504|C00001</t>
  </si>
  <si>
    <t>https://www.genome.jp/entry/R06099</t>
  </si>
  <si>
    <t>G00092|C00001</t>
  </si>
  <si>
    <t>G10238|C00124</t>
  </si>
  <si>
    <t>https://www.genome.jp/entry/R06114</t>
  </si>
  <si>
    <t>https://www.genome.jp/entry/R06144</t>
  </si>
  <si>
    <t>G10531|C00001</t>
  </si>
  <si>
    <t>https://www.genome.jp/entry/R06202</t>
  </si>
  <si>
    <t>G10534|C00001</t>
  </si>
  <si>
    <t>C00124|G10534</t>
  </si>
  <si>
    <t>https://www.genome.jp/entry/R07807</t>
  </si>
  <si>
    <t>G01977|C00001</t>
  </si>
  <si>
    <t>G13073|C00124</t>
  </si>
  <si>
    <t>4.3.2.2</t>
  </si>
  <si>
    <t>https://www.genome.jp/entry/4.3.2.2</t>
  </si>
  <si>
    <t>https://www.genome.jp/entry/R01083</t>
  </si>
  <si>
    <t>C03794</t>
  </si>
  <si>
    <t>C00122|C00020</t>
  </si>
  <si>
    <t>https://www.genome.jp/entry/R04559</t>
  </si>
  <si>
    <t>C04823</t>
  </si>
  <si>
    <t>C00122|C04677</t>
  </si>
  <si>
    <t>https://www.genome.jp/entry/R12851</t>
  </si>
  <si>
    <t>C22395</t>
  </si>
  <si>
    <t>C22441|C00122</t>
  </si>
  <si>
    <t>4.1.1.21</t>
  </si>
  <si>
    <t>https://www.genome.jp/entry/4.1.1.21</t>
  </si>
  <si>
    <t>https://www.genome.jp/entry/R04209</t>
  </si>
  <si>
    <t>C04751</t>
  </si>
  <si>
    <t>C03373|C00011</t>
  </si>
  <si>
    <t>6.3.4.18</t>
  </si>
  <si>
    <t>https://www.genome.jp/entry/6.3.4.18</t>
  </si>
  <si>
    <t>https://www.genome.jp/entry/R07404</t>
  </si>
  <si>
    <t>C00002|C03373|C00288</t>
  </si>
  <si>
    <t>C00008|C00009|C15667</t>
  </si>
  <si>
    <t>5.4.99.18</t>
  </si>
  <si>
    <t>https://www.genome.jp/entry/5.4.99.18</t>
  </si>
  <si>
    <t>https://www.genome.jp/entry/R07405</t>
  </si>
  <si>
    <t>C15667</t>
  </si>
  <si>
    <t>6.3.4.13</t>
  </si>
  <si>
    <t>https://www.genome.jp/entry/6.3.4.13</t>
  </si>
  <si>
    <t>https://www.genome.jp/entry/R04144</t>
  </si>
  <si>
    <t>C00002|C03090|C00037</t>
  </si>
  <si>
    <t>C00008|C00009|C03838</t>
  </si>
  <si>
    <t>2.1.2.3</t>
  </si>
  <si>
    <t>https://www.genome.jp/entry/2.1.2.3</t>
  </si>
  <si>
    <t>https://www.genome.jp/entry/R04560</t>
  </si>
  <si>
    <t>C00234|C04677</t>
  </si>
  <si>
    <t>C00101|C04734</t>
  </si>
  <si>
    <t>2.1.2.2</t>
  </si>
  <si>
    <t>https://www.genome.jp/entry/2.1.2.2</t>
  </si>
  <si>
    <t>https://www.genome.jp/entry/R04325</t>
  </si>
  <si>
    <t>C00234|C03838</t>
  </si>
  <si>
    <t>C00101|C04376</t>
  </si>
  <si>
    <t>https://www.genome.jp/entry/R04326</t>
  </si>
  <si>
    <t>C03838|C00445|C00001</t>
  </si>
  <si>
    <t>C04376|C00101</t>
  </si>
  <si>
    <t>6.3.3.1</t>
  </si>
  <si>
    <t>https://www.genome.jp/entry/6.3.3.1</t>
  </si>
  <si>
    <t>https://www.genome.jp/entry/R04208</t>
  </si>
  <si>
    <t>C00002|C04640</t>
  </si>
  <si>
    <t>C00008|C00009|C03373</t>
  </si>
  <si>
    <t>2.4.2.14</t>
  </si>
  <si>
    <t>https://www.genome.jp/entry/2.4.2.14</t>
  </si>
  <si>
    <t>https://www.genome.jp/entry/R01072</t>
  </si>
  <si>
    <t>C03090|C00013|C00025</t>
  </si>
  <si>
    <t>C00064|C00119|C00001</t>
  </si>
  <si>
    <t>6.3.5.3</t>
  </si>
  <si>
    <t>https://www.genome.jp/entry/6.3.5.3</t>
  </si>
  <si>
    <t>https://www.genome.jp/entry/R04463</t>
  </si>
  <si>
    <t>C00002|C04376|C00064|C00001</t>
  </si>
  <si>
    <t>C00008|C00009|C04640|C00025</t>
  </si>
  <si>
    <t>6.3.2.6</t>
  </si>
  <si>
    <t>https://www.genome.jp/entry/6.3.2.6</t>
  </si>
  <si>
    <t>https://www.genome.jp/entry/R04591</t>
  </si>
  <si>
    <t>C00002|C04751|C00049</t>
  </si>
  <si>
    <t>C00008|C00009|C04823</t>
  </si>
  <si>
    <t>2.6.1.-</t>
  </si>
  <si>
    <t>2.6.1.1</t>
  </si>
  <si>
    <t>https://www.genome.jp/entry/2.6.1.1</t>
  </si>
  <si>
    <t>https://www.genome.jp/entry/R00355</t>
  </si>
  <si>
    <t>C00049|C00026</t>
  </si>
  <si>
    <t>C00036|C00025</t>
  </si>
  <si>
    <t>https://www.genome.jp/entry/R00694</t>
  </si>
  <si>
    <t>C00079|C00026</t>
  </si>
  <si>
    <t>C00166|C00025</t>
  </si>
  <si>
    <t>https://www.genome.jp/entry/R00734</t>
  </si>
  <si>
    <t>C00082|C00026</t>
  </si>
  <si>
    <t>C01179|C00025</t>
  </si>
  <si>
    <t>https://www.genome.jp/entry/R00895</t>
  </si>
  <si>
    <t>C00097|C00026</t>
  </si>
  <si>
    <t>C00957|C00025</t>
  </si>
  <si>
    <t>https://www.genome.jp/entry/R00896</t>
  </si>
  <si>
    <t>C00957|C00302</t>
  </si>
  <si>
    <t>https://www.genome.jp/entry/R02433</t>
  </si>
  <si>
    <t>C00506|C00026</t>
  </si>
  <si>
    <t>C05528|C00025</t>
  </si>
  <si>
    <t>https://www.genome.jp/entry/R02619</t>
  </si>
  <si>
    <t>C00606|C00026</t>
  </si>
  <si>
    <t>C05527|C00025</t>
  </si>
  <si>
    <t>https://www.genome.jp/entry/R05052</t>
  </si>
  <si>
    <t>C05947|C00026</t>
  </si>
  <si>
    <t>C05946|C00025</t>
  </si>
  <si>
    <t>2.7.6.1</t>
  </si>
  <si>
    <t>https://www.genome.jp/entry/2.7.6.1</t>
  </si>
  <si>
    <t>https://www.genome.jp/entry/R01049</t>
  </si>
  <si>
    <t>C00002|C00117</t>
  </si>
  <si>
    <t>C00020|C00119</t>
  </si>
  <si>
    <t>3.6.1.23</t>
  </si>
  <si>
    <t>https://www.genome.jp/entry/3.6.1.23</t>
  </si>
  <si>
    <t>https://www.genome.jp/entry/R02100</t>
  </si>
  <si>
    <t>C00460|C00001</t>
  </si>
  <si>
    <t>C00365|C00013</t>
  </si>
  <si>
    <t>https://www.genome.jp/entry/R11896</t>
  </si>
  <si>
    <t>C21751|C00001</t>
  </si>
  <si>
    <t>C04242|C00013</t>
  </si>
  <si>
    <t>3.5.4.-</t>
  </si>
  <si>
    <t>6.3.4.4</t>
  </si>
  <si>
    <t>https://www.genome.jp/entry/6.3.4.4</t>
  </si>
  <si>
    <t>https://www.genome.jp/entry/R01135</t>
  </si>
  <si>
    <t>C00044|C00130|C00049</t>
  </si>
  <si>
    <t>C00035|C00009|C03794</t>
  </si>
  <si>
    <t>2.4.2.8</t>
  </si>
  <si>
    <t>https://www.genome.jp/entry/2.4.2.8</t>
  </si>
  <si>
    <t>https://www.genome.jp/entry/R01132</t>
  </si>
  <si>
    <t>C00130|C00013</t>
  </si>
  <si>
    <t>C00262|C00119</t>
  </si>
  <si>
    <t>https://www.genome.jp/entry/R01229</t>
  </si>
  <si>
    <t>C00144|C00013</t>
  </si>
  <si>
    <t>C00242|C00119</t>
  </si>
  <si>
    <t>https://www.genome.jp/entry/R02142</t>
  </si>
  <si>
    <t>C00655|C00013</t>
  </si>
  <si>
    <t>C00385|C00119</t>
  </si>
  <si>
    <t>https://www.genome.jp/entry/R08237</t>
  </si>
  <si>
    <t>C02380|C00119</t>
  </si>
  <si>
    <t>C04646|C00013</t>
  </si>
  <si>
    <t>https://www.genome.jp/entry/R08238</t>
  </si>
  <si>
    <t>C16614|C00119</t>
  </si>
  <si>
    <t>C16615|C00013</t>
  </si>
  <si>
    <t>https://www.genome.jp/entry/R08245</t>
  </si>
  <si>
    <t>C07648|C00119</t>
  </si>
  <si>
    <t>C16619|C00013</t>
  </si>
  <si>
    <t>6.3.4.19</t>
  </si>
  <si>
    <t>https://www.genome.jp/entry/6.3.4.19</t>
  </si>
  <si>
    <t>https://www.genome.jp/entry/R09597</t>
  </si>
  <si>
    <t>C19722|C00047|C00002</t>
  </si>
  <si>
    <t>C19723|C00020|C00013|C00001</t>
  </si>
  <si>
    <t>3.6.4.-</t>
  </si>
  <si>
    <t>3.1.1.29</t>
  </si>
  <si>
    <t>https://www.genome.jp/entry/3.1.1.29</t>
  </si>
  <si>
    <t>https://www.genome.jp/entry/R04238</t>
  </si>
  <si>
    <t>C03880|C00001</t>
  </si>
  <si>
    <t>C03523|C00066</t>
  </si>
  <si>
    <t>3.4.21.107</t>
  </si>
  <si>
    <t>https://www.genome.jp/entry/3.4.21.107</t>
  </si>
  <si>
    <t>2.1.1.177</t>
  </si>
  <si>
    <t>https://www.genome.jp/entry/2.1.1.177</t>
  </si>
  <si>
    <t>6.1.1.2</t>
  </si>
  <si>
    <t>https://www.genome.jp/entry/6.1.1.2</t>
  </si>
  <si>
    <t>https://www.genome.jp/entry/R03664</t>
  </si>
  <si>
    <t>C00002|C00078|C01652</t>
  </si>
  <si>
    <t>C00020|C00013|C03512</t>
  </si>
  <si>
    <t>1.1.1.205</t>
  </si>
  <si>
    <t>https://www.genome.jp/entry/1.1.1.205</t>
  </si>
  <si>
    <t>https://www.genome.jp/entry/R01130</t>
  </si>
  <si>
    <t>C00130|C00003|C00001</t>
  </si>
  <si>
    <t>C00655|C00004|C00080</t>
  </si>
  <si>
    <t>https://www.genome.jp/entry/R08240</t>
  </si>
  <si>
    <t>C16618|C00004|C00080</t>
  </si>
  <si>
    <t>C04646|C00003|C00001</t>
  </si>
  <si>
    <t>2.7.8.5</t>
  </si>
  <si>
    <t>https://www.genome.jp/entry/2.7.8.5</t>
  </si>
  <si>
    <t>https://www.genome.jp/entry/R01801</t>
  </si>
  <si>
    <t>C00269|C00093</t>
  </si>
  <si>
    <t>C00055|C03892</t>
  </si>
  <si>
    <t>2.5.1.47</t>
  </si>
  <si>
    <t>https://www.genome.jp/entry/2.5.1.47</t>
  </si>
  <si>
    <t>https://www.genome.jp/entry/R00897</t>
  </si>
  <si>
    <t>C00979|C00283</t>
  </si>
  <si>
    <t>C00097|C00033</t>
  </si>
  <si>
    <t>https://www.genome.jp/entry/R03601</t>
  </si>
  <si>
    <t>C00969|C01528</t>
  </si>
  <si>
    <t>C05688|C00033</t>
  </si>
  <si>
    <t>https://www.genome.jp/entry/R04859</t>
  </si>
  <si>
    <t>C00979|C00320|C00342|C00080</t>
  </si>
  <si>
    <t>C00097|C00094|C00343|C00033</t>
  </si>
  <si>
    <t>https://www.genome.jp/entry/R07274</t>
  </si>
  <si>
    <t>C01005|C00283</t>
  </si>
  <si>
    <t>C00097|C00009</t>
  </si>
  <si>
    <t>3.6.1.-</t>
  </si>
  <si>
    <t>3.6.3.25</t>
  </si>
  <si>
    <t>https://www.genome.jp/entry/3.6.3.25</t>
  </si>
  <si>
    <t>1.-.-.-</t>
  </si>
  <si>
    <t>2.7.1.30</t>
  </si>
  <si>
    <t>https://www.genome.jp/entry/2.7.1.30</t>
  </si>
  <si>
    <t>https://www.genome.jp/entry/R00847</t>
  </si>
  <si>
    <t>C00002|C00116</t>
  </si>
  <si>
    <t>C00008|C00093</t>
  </si>
  <si>
    <t>1.1.3.21</t>
  </si>
  <si>
    <t>https://www.genome.jp/entry/1.1.3.21</t>
  </si>
  <si>
    <t>https://www.genome.jp/entry/R00846</t>
  </si>
  <si>
    <t>C00093|C00007</t>
  </si>
  <si>
    <t>C00111|C00027</t>
  </si>
  <si>
    <t>6.1.1.13</t>
  </si>
  <si>
    <t>https://www.genome.jp/entry/6.1.1.13</t>
  </si>
  <si>
    <t>https://www.genome.jp/entry/R02718</t>
  </si>
  <si>
    <t>C00002|C00133|C00653</t>
  </si>
  <si>
    <t>C00020|C00013|C04260</t>
  </si>
  <si>
    <t>https://www.genome.jp/entry/R12812</t>
  </si>
  <si>
    <t>C00002|C00133|G13185</t>
  </si>
  <si>
    <t>C00020|C00013|G13186</t>
  </si>
  <si>
    <t>https://www.genome.jp/entry/R12863</t>
  </si>
  <si>
    <t>C00002|C00133|G13167</t>
  </si>
  <si>
    <t>C00020|C00013|G13180</t>
  </si>
  <si>
    <t>https://www.genome.jp/entry/R12867</t>
  </si>
  <si>
    <t>C00002|C00133|G13170</t>
  </si>
  <si>
    <t>C00020|C00013|G13171</t>
  </si>
  <si>
    <t>https://www.genome.jp/entry/R12871</t>
  </si>
  <si>
    <t>C00002|C00133|G13174</t>
  </si>
  <si>
    <t>C00020|C00013|G13175</t>
  </si>
  <si>
    <t>https://www.genome.jp/entry/R12873</t>
  </si>
  <si>
    <t>C00002|C00133|G13176</t>
  </si>
  <si>
    <t>C00020|C00013|G13177</t>
  </si>
  <si>
    <t>https://www.genome.jp/entry/R12875</t>
  </si>
  <si>
    <t>C00002|C00133|G13178</t>
  </si>
  <si>
    <t>C00020|C00013|G13179</t>
  </si>
  <si>
    <t>https://www.genome.jp/entry/R12904</t>
  </si>
  <si>
    <t>C00002|C00133|G13192</t>
  </si>
  <si>
    <t>C00020|C00013|G13193</t>
  </si>
  <si>
    <t>2.7.1.5</t>
  </si>
  <si>
    <t>https://www.genome.jp/entry/2.7.1.5</t>
  </si>
  <si>
    <t>https://www.genome.jp/entry/R03014</t>
  </si>
  <si>
    <t>C00002|C00861</t>
  </si>
  <si>
    <t>C00008|C01131</t>
  </si>
  <si>
    <t>https://www.genome.jp/entry/R01902</t>
  </si>
  <si>
    <t>C00002|C00312</t>
  </si>
  <si>
    <t>C00008|C06441</t>
  </si>
  <si>
    <t>3.2.1.22</t>
  </si>
  <si>
    <t>https://www.genome.jp/entry/3.2.1.22</t>
  </si>
  <si>
    <t>https://www.genome.jp/entry/R01101</t>
  </si>
  <si>
    <t>C05402|C00001</t>
  </si>
  <si>
    <t>C00124|C00031</t>
  </si>
  <si>
    <t>https://www.genome.jp/entry/R01103</t>
  </si>
  <si>
    <t>C00492|C00001</t>
  </si>
  <si>
    <t>C00124|C00089</t>
  </si>
  <si>
    <t>https://www.genome.jp/entry/R01104</t>
  </si>
  <si>
    <t>C05401|C00001</t>
  </si>
  <si>
    <t>C00124|C00116</t>
  </si>
  <si>
    <t>https://www.genome.jp/entry/R01194</t>
  </si>
  <si>
    <t>C01235|C00001</t>
  </si>
  <si>
    <t>C00137|C00124</t>
  </si>
  <si>
    <t>https://www.genome.jp/entry/R01329</t>
  </si>
  <si>
    <t>C05400|C00001</t>
  </si>
  <si>
    <t>C00159|C00124</t>
  </si>
  <si>
    <t>https://www.genome.jp/entry/R02926</t>
  </si>
  <si>
    <t>C05399|C00001</t>
  </si>
  <si>
    <t>C00794|C00124</t>
  </si>
  <si>
    <t>https://www.genome.jp/entry/R03618</t>
  </si>
  <si>
    <t>C04737|C00001</t>
  </si>
  <si>
    <t>C00124|C01290</t>
  </si>
  <si>
    <t>https://www.genome.jp/entry/R03634</t>
  </si>
  <si>
    <t>C01613|C00001</t>
  </si>
  <si>
    <t>C00492|C00124</t>
  </si>
  <si>
    <t>https://www.genome.jp/entry/R04019</t>
  </si>
  <si>
    <t>C06126|C00001</t>
  </si>
  <si>
    <t>C02686|C00124</t>
  </si>
  <si>
    <t>https://www.genome.jp/entry/R04470</t>
  </si>
  <si>
    <t>C06037|C00001</t>
  </si>
  <si>
    <t>C03692|C00124</t>
  </si>
  <si>
    <t>https://www.genome.jp/entry/R05549</t>
  </si>
  <si>
    <t>C05404|C00001</t>
  </si>
  <si>
    <t>C00124|C05402</t>
  </si>
  <si>
    <t>https://www.genome.jp/entry/R05961</t>
  </si>
  <si>
    <t>C00001|G00093</t>
  </si>
  <si>
    <t>C00124|G00092</t>
  </si>
  <si>
    <t>https://www.genome.jp/entry/R06070</t>
  </si>
  <si>
    <t>G00249|C00001</t>
  </si>
  <si>
    <t>C00124|G00370</t>
  </si>
  <si>
    <t>https://www.genome.jp/entry/R06091</t>
  </si>
  <si>
    <t>G01275|C00001</t>
  </si>
  <si>
    <t>https://www.genome.jp/entry/R06093</t>
  </si>
  <si>
    <t>G10488|C00001</t>
  </si>
  <si>
    <t>https://www.genome.jp/entry/R06094</t>
  </si>
  <si>
    <t>G00497|C00001</t>
  </si>
  <si>
    <t>G11121|C00124</t>
  </si>
  <si>
    <t>https://www.genome.jp/entry/R06096</t>
  </si>
  <si>
    <t>G00501|C00001</t>
  </si>
  <si>
    <t>C00124|G01275</t>
  </si>
  <si>
    <t>https://www.genome.jp/entry/R06142</t>
  </si>
  <si>
    <t>G10529|C00001</t>
  </si>
  <si>
    <t>https://www.genome.jp/entry/R06152</t>
  </si>
  <si>
    <t>G00278|C00001</t>
  </si>
  <si>
    <t>G00249|C00124</t>
  </si>
  <si>
    <t>4.1.2.17</t>
  </si>
  <si>
    <t>https://www.genome.jp/entry/4.1.2.17</t>
  </si>
  <si>
    <t>https://www.genome.jp/entry/R02262</t>
  </si>
  <si>
    <t>C01099</t>
  </si>
  <si>
    <t>C00111|C00424</t>
  </si>
  <si>
    <t>https://www.genome.jp/entry/R12696</t>
  </si>
  <si>
    <t>C22337</t>
  </si>
  <si>
    <t>C00111|C00266</t>
  </si>
  <si>
    <t>5.3.1.25</t>
  </si>
  <si>
    <t>https://www.genome.jp/entry/5.3.1.25</t>
  </si>
  <si>
    <t>https://www.genome.jp/entry/R03163</t>
  </si>
  <si>
    <t>C01019</t>
  </si>
  <si>
    <t>C01721</t>
  </si>
  <si>
    <t>3.4.13.-</t>
  </si>
  <si>
    <t>2.7.2.2</t>
  </si>
  <si>
    <t>https://www.genome.jp/entry/2.7.2.2</t>
  </si>
  <si>
    <t>https://www.genome.jp/entry/R00150</t>
  </si>
  <si>
    <t>C00002|C00014|C00288</t>
  </si>
  <si>
    <t>C00008|C00169|C00001</t>
  </si>
  <si>
    <t>https://www.genome.jp/entry/R01395</t>
  </si>
  <si>
    <t>C00002|C01563</t>
  </si>
  <si>
    <t>C00008|C00169</t>
  </si>
  <si>
    <t>https://www.genome.jp/entry/R12185</t>
  </si>
  <si>
    <t>C00014|C00288</t>
  </si>
  <si>
    <t>C01563|C00001</t>
  </si>
  <si>
    <t>2.1.3.3</t>
  </si>
  <si>
    <t>https://www.genome.jp/entry/2.1.3.3</t>
  </si>
  <si>
    <t>https://www.genome.jp/entry/R01398</t>
  </si>
  <si>
    <t>C00169|C00077</t>
  </si>
  <si>
    <t>C00009|C00327</t>
  </si>
  <si>
    <t>3.5.3.6</t>
  </si>
  <si>
    <t>https://www.genome.jp/entry/3.5.3.6</t>
  </si>
  <si>
    <t>https://www.genome.jp/entry/R00552</t>
  </si>
  <si>
    <t>C00062|C00001</t>
  </si>
  <si>
    <t>C00327|C00014</t>
  </si>
  <si>
    <t>https://www.genome.jp/entry/R06138</t>
  </si>
  <si>
    <t>C06060|C00001</t>
  </si>
  <si>
    <t>C00241|C00014</t>
  </si>
  <si>
    <t>3.2.1.170</t>
  </si>
  <si>
    <t>https://www.genome.jp/entry/3.2.1.170</t>
  </si>
  <si>
    <t>https://www.genome.jp/entry/R12095</t>
  </si>
  <si>
    <t>C11544|C00001</t>
  </si>
  <si>
    <t>C00159|C00258</t>
  </si>
  <si>
    <t>3.2.1.24</t>
  </si>
  <si>
    <t>https://www.genome.jp/entry/3.2.1.24</t>
  </si>
  <si>
    <t>https://www.genome.jp/entry/R08717</t>
  </si>
  <si>
    <t>G00309|C00001</t>
  </si>
  <si>
    <t>G00319|C00159</t>
  </si>
  <si>
    <t>https://www.genome.jp/entry/R08718</t>
  </si>
  <si>
    <t>G00595|C00001</t>
  </si>
  <si>
    <t>G00971|C00159</t>
  </si>
  <si>
    <t>2.7.1.85</t>
  </si>
  <si>
    <t>https://www.genome.jp/entry/2.7.1.85</t>
  </si>
  <si>
    <t>https://www.genome.jp/entry/R01441</t>
  </si>
  <si>
    <t>C00002|C00185</t>
  </si>
  <si>
    <t>C00008|C04534</t>
  </si>
  <si>
    <t>https://www.genome.jp/entry/R06176</t>
  </si>
  <si>
    <t>C00002|G00289</t>
  </si>
  <si>
    <t>G11113|G10518</t>
  </si>
  <si>
    <t>2.2.1.1</t>
  </si>
  <si>
    <t>https://www.genome.jp/entry/2.2.1.1</t>
  </si>
  <si>
    <t>https://www.genome.jp/entry/R01641</t>
  </si>
  <si>
    <t>C05382|C00118</t>
  </si>
  <si>
    <t>C00117|C00231</t>
  </si>
  <si>
    <t>https://www.genome.jp/entry/R01067</t>
  </si>
  <si>
    <t>C00085|C00118</t>
  </si>
  <si>
    <t>C00279|C00231</t>
  </si>
  <si>
    <t>https://www.genome.jp/entry/R01830</t>
  </si>
  <si>
    <t>C05345|C00118</t>
  </si>
  <si>
    <t>https://www.genome.jp/entry/R06590</t>
  </si>
  <si>
    <t>C12214|C00117</t>
  </si>
  <si>
    <t>C12215|C05382</t>
  </si>
  <si>
    <t>https://www.genome.jp/entry/R06861</t>
  </si>
  <si>
    <t>C00231|C00068</t>
  </si>
  <si>
    <t>C13378|C00118</t>
  </si>
  <si>
    <t>https://www.genome.jp/entry/R06863</t>
  </si>
  <si>
    <t>C05382|C00068</t>
  </si>
  <si>
    <t>C13378|C00117</t>
  </si>
  <si>
    <t>2.2.1.7</t>
  </si>
  <si>
    <t>https://www.genome.jp/entry/2.2.1.7</t>
  </si>
  <si>
    <t>https://www.genome.jp/entry/R05636</t>
  </si>
  <si>
    <t>C11437|C00011</t>
  </si>
  <si>
    <t>4.2.1.9</t>
  </si>
  <si>
    <t>https://www.genome.jp/entry/4.2.1.9</t>
  </si>
  <si>
    <t>https://www.genome.jp/entry/R01209</t>
  </si>
  <si>
    <t>C04039</t>
  </si>
  <si>
    <t>C00141|C00001</t>
  </si>
  <si>
    <t>https://www.genome.jp/entry/R04441</t>
  </si>
  <si>
    <t>C04272</t>
  </si>
  <si>
    <t>https://www.genome.jp/entry/R05070</t>
  </si>
  <si>
    <t>C06007</t>
  </si>
  <si>
    <t>C00671|C00001</t>
  </si>
  <si>
    <t>6.1.1.21</t>
  </si>
  <si>
    <t>https://www.genome.jp/entry/6.1.1.21</t>
  </si>
  <si>
    <t>https://www.genome.jp/entry/R03655</t>
  </si>
  <si>
    <t>C00002|C00135|C01643</t>
  </si>
  <si>
    <t>C00020|C00013|C02988</t>
  </si>
  <si>
    <t>1.14.99.36</t>
  </si>
  <si>
    <t>https://www.genome.jp/entry/1.14.99.36</t>
  </si>
  <si>
    <t>6.1.1.12</t>
  </si>
  <si>
    <t>https://www.genome.jp/entry/6.1.1.12</t>
  </si>
  <si>
    <t>https://www.genome.jp/entry/R05577</t>
  </si>
  <si>
    <t>C01638|C00049|C00002</t>
  </si>
  <si>
    <t>C02984|C00013|C00020</t>
  </si>
  <si>
    <t>2.4.1.25</t>
  </si>
  <si>
    <t>https://www.genome.jp/entry/2.4.1.25</t>
  </si>
  <si>
    <t>https://www.genome.jp/entry/R05196</t>
  </si>
  <si>
    <t>C00718|C00031</t>
  </si>
  <si>
    <t>C00208</t>
  </si>
  <si>
    <t>https://www.genome.jp/entry/R06069</t>
  </si>
  <si>
    <t>G10495|C00031</t>
  </si>
  <si>
    <t>G00275</t>
  </si>
  <si>
    <t>2.4.1.1</t>
  </si>
  <si>
    <t>2.1.1.187</t>
  </si>
  <si>
    <t>https://www.genome.jp/entry/2.1.1.187</t>
  </si>
  <si>
    <t>https://www.genome.jp/entry/R07233</t>
  </si>
  <si>
    <t>C00021|C04152</t>
  </si>
  <si>
    <t>6.1.1.1</t>
  </si>
  <si>
    <t>https://www.genome.jp/entry/6.1.1.1</t>
  </si>
  <si>
    <t>https://www.genome.jp/entry/R02918</t>
  </si>
  <si>
    <t>C00002|C00082|C00787</t>
  </si>
  <si>
    <t>C00020|C00013|C02839</t>
  </si>
  <si>
    <t>2.3.1.117</t>
  </si>
  <si>
    <t>https://www.genome.jp/entry/2.3.1.117</t>
  </si>
  <si>
    <t>https://www.genome.jp/entry/R04365</t>
  </si>
  <si>
    <t>C00091|C03972|C00001</t>
  </si>
  <si>
    <t>C00010|C04462</t>
  </si>
  <si>
    <t>2.3.1.89</t>
  </si>
  <si>
    <t>https://www.genome.jp/entry/2.3.1.89</t>
  </si>
  <si>
    <t>https://www.genome.jp/entry/R04364</t>
  </si>
  <si>
    <t>C03972|C00024|C00001</t>
  </si>
  <si>
    <t>C05529|C00010</t>
  </si>
  <si>
    <t>3.5.1.47</t>
  </si>
  <si>
    <t>3.4.21.105</t>
  </si>
  <si>
    <t>https://www.genome.jp/entry/3.4.21.105</t>
  </si>
  <si>
    <t>2.7.7.9</t>
  </si>
  <si>
    <t>https://www.genome.jp/entry/2.7.7.9</t>
  </si>
  <si>
    <t>https://www.genome.jp/entry/R00289</t>
  </si>
  <si>
    <t>C00075|C00103</t>
  </si>
  <si>
    <t>C00013|C00029</t>
  </si>
  <si>
    <t>1.1.1.94</t>
  </si>
  <si>
    <t>https://www.genome.jp/entry/1.1.1.94</t>
  </si>
  <si>
    <t>https://www.genome.jp/entry/R00842</t>
  </si>
  <si>
    <t>C00093|C00003</t>
  </si>
  <si>
    <t>C00111|C00004|C00080</t>
  </si>
  <si>
    <t>https://www.genome.jp/entry/R00844</t>
  </si>
  <si>
    <t>C00093|C00006</t>
  </si>
  <si>
    <t>C00111|C00005|C00080</t>
  </si>
  <si>
    <t>3.6.3.27</t>
  </si>
  <si>
    <t>https://www.genome.jp/entry/3.6.3.27</t>
  </si>
  <si>
    <t>6.1.1.19</t>
  </si>
  <si>
    <t>https://www.genome.jp/entry/6.1.1.19</t>
  </si>
  <si>
    <t>https://www.genome.jp/entry/R03646</t>
  </si>
  <si>
    <t>C00002|C00062|C01636</t>
  </si>
  <si>
    <t>C00020|C00013|C02163</t>
  </si>
  <si>
    <t>2.4.2-</t>
  </si>
  <si>
    <t>5.3.1.9</t>
  </si>
  <si>
    <t>https://www.genome.jp/entry/5.3.1.9</t>
  </si>
  <si>
    <t>https://www.genome.jp/entry/R02740</t>
  </si>
  <si>
    <t>C00668</t>
  </si>
  <si>
    <t>C05345</t>
  </si>
  <si>
    <t>https://www.genome.jp/entry/R00771</t>
  </si>
  <si>
    <t>C00092</t>
  </si>
  <si>
    <t>C00085</t>
  </si>
  <si>
    <t>https://www.genome.jp/entry/R02739</t>
  </si>
  <si>
    <t>C01172</t>
  </si>
  <si>
    <t>https://www.genome.jp/entry/R03321</t>
  </si>
  <si>
    <t>https://www.genome.jp/entry/R13199</t>
  </si>
  <si>
    <t>6.1.1.24</t>
  </si>
  <si>
    <t>https://www.genome.jp/entry/6.1.1.24</t>
  </si>
  <si>
    <t>https://www.genome.jp/entry/R03651</t>
  </si>
  <si>
    <t>C00002|C00025|C01640</t>
  </si>
  <si>
    <t>C00020|C00013|C06112</t>
  </si>
  <si>
    <t>https://www.genome.jp/entry/R05578</t>
  </si>
  <si>
    <t>C01641|C00025|C00002</t>
  </si>
  <si>
    <t>C02987|C00013|C00020</t>
  </si>
  <si>
    <t>6.1.1.17</t>
  </si>
  <si>
    <t>https://www.genome.jp/entry/6.1.1.17</t>
  </si>
  <si>
    <t>3.5.4.1</t>
  </si>
  <si>
    <t>https://www.genome.jp/entry/3.5.4.1</t>
  </si>
  <si>
    <t>https://www.genome.jp/entry/R00974</t>
  </si>
  <si>
    <t>C00380|C00001</t>
  </si>
  <si>
    <t>C00106|C00014</t>
  </si>
  <si>
    <t>https://www.genome.jp/entry/R01411</t>
  </si>
  <si>
    <t>C02376|C00001</t>
  </si>
  <si>
    <t>C00178|C00014</t>
  </si>
  <si>
    <t>3.5.4.5</t>
  </si>
  <si>
    <t>https://www.genome.jp/entry/3.5.4.5</t>
  </si>
  <si>
    <t>https://www.genome.jp/entry/R01878</t>
  </si>
  <si>
    <t>C00475|C00001</t>
  </si>
  <si>
    <t>C00299|C00014</t>
  </si>
  <si>
    <t>https://www.genome.jp/entry/R02485</t>
  </si>
  <si>
    <t>C00881|C00001</t>
  </si>
  <si>
    <t>C00526|C00014</t>
  </si>
  <si>
    <t>https://www.genome.jp/entry/R08221</t>
  </si>
  <si>
    <t>C16635|C00001</t>
  </si>
  <si>
    <t>C12739|C00014</t>
  </si>
  <si>
    <t>4.2.3.1</t>
  </si>
  <si>
    <t>https://www.genome.jp/entry/4.2.3.1</t>
  </si>
  <si>
    <t>https://www.genome.jp/entry/R01466</t>
  </si>
  <si>
    <t>C01102|C00001</t>
  </si>
  <si>
    <t>C00188|C00009</t>
  </si>
  <si>
    <t>https://www.genome.jp/entry/R05086</t>
  </si>
  <si>
    <t>C06055|C00001</t>
  </si>
  <si>
    <t>C06056|C00009</t>
  </si>
  <si>
    <t>3.4.19.3</t>
  </si>
  <si>
    <t>https://www.genome.jp/entry/3.4.19.3</t>
  </si>
  <si>
    <t>2.4.2.29</t>
  </si>
  <si>
    <t>https://www.genome.jp/entry/2.4.2.29</t>
  </si>
  <si>
    <t>https://www.genome.jp/entry/R10209</t>
  </si>
  <si>
    <t>C01977|C16675</t>
  </si>
  <si>
    <t>C20446|C00242</t>
  </si>
  <si>
    <t>3.5.1.25</t>
  </si>
  <si>
    <t>https://www.genome.jp/entry/3.5.1.25</t>
  </si>
  <si>
    <t>https://www.genome.jp/entry/R02059</t>
  </si>
  <si>
    <t>C00357|C00001</t>
  </si>
  <si>
    <t>C00352|C00033</t>
  </si>
  <si>
    <t>1.1.1.2</t>
  </si>
  <si>
    <t>https://www.genome.jp/entry/1.1.1.2</t>
  </si>
  <si>
    <t>https://www.genome.jp/entry/R07328</t>
  </si>
  <si>
    <t>C00069|C00006</t>
  </si>
  <si>
    <t>C00071|C00005|C00080</t>
  </si>
  <si>
    <t>https://www.genome.jp/entry/R00625</t>
  </si>
  <si>
    <t>C00026|C00006</t>
  </si>
  <si>
    <t>https://www.genome.jp/entry/R00746</t>
  </si>
  <si>
    <t>C00469|C00006</t>
  </si>
  <si>
    <t>C00084|C00005|C00080</t>
  </si>
  <si>
    <t>https://www.genome.jp/entry/R01041</t>
  </si>
  <si>
    <t>C00116|C00006</t>
  </si>
  <si>
    <t>C00577|C00005|C00080</t>
  </si>
  <si>
    <t>https://www.genome.jp/entry/R05231</t>
  </si>
  <si>
    <t>C06103|C00006</t>
  </si>
  <si>
    <t>C06102|C00005|C00080</t>
  </si>
  <si>
    <t>https://www.genome.jp/entry/R01481</t>
  </si>
  <si>
    <t>C00800|C00006</t>
  </si>
  <si>
    <t>C00191|C00005|C00080</t>
  </si>
  <si>
    <t>https://www.genome.jp/entry/R02247</t>
  </si>
  <si>
    <t>C00418|C00006</t>
  </si>
  <si>
    <t>C00772|C00005|C00080</t>
  </si>
  <si>
    <t>2.7.2.1</t>
  </si>
  <si>
    <t>https://www.genome.jp/entry/2.7.2.1</t>
  </si>
  <si>
    <t>https://www.genome.jp/entry/R00315</t>
  </si>
  <si>
    <t>C00002|C00033</t>
  </si>
  <si>
    <t>C00008|C00277</t>
  </si>
  <si>
    <t>https://www.genome.jp/entry/R01353</t>
  </si>
  <si>
    <t>C00002|C00163</t>
  </si>
  <si>
    <t>C00008|C02876</t>
  </si>
  <si>
    <t>3.1.26.5</t>
  </si>
  <si>
    <t>https://www.genome.jp/entry/3.1.26.5</t>
  </si>
  <si>
    <t>4.1.1.85</t>
  </si>
  <si>
    <t>https://www.genome.jp/entry/4.1.1.85</t>
  </si>
  <si>
    <t>https://www.genome.jp/entry/R07125</t>
  </si>
  <si>
    <t>C14899|C00080</t>
  </si>
  <si>
    <t>C03291|C00011</t>
  </si>
  <si>
    <t>5.-.-.-</t>
  </si>
  <si>
    <t>5.1.3.22</t>
  </si>
  <si>
    <t>https://www.genome.jp/entry/5.1.3.22</t>
  </si>
  <si>
    <t>https://www.genome.jp/entry/R03244</t>
  </si>
  <si>
    <t>C01101</t>
  </si>
  <si>
    <t>C03291</t>
  </si>
  <si>
    <t>5.1.3.4</t>
  </si>
  <si>
    <t>https://www.genome.jp/entry/5.1.3.4</t>
  </si>
  <si>
    <t>https://www.genome.jp/entry/R05850</t>
  </si>
  <si>
    <t>C00231</t>
  </si>
  <si>
    <t>3.1.1.-</t>
  </si>
  <si>
    <t>2.4.2.19</t>
  </si>
  <si>
    <t>https://www.genome.jp/entry/2.4.2.19</t>
  </si>
  <si>
    <t>https://www.genome.jp/entry/R03348</t>
  </si>
  <si>
    <t>C01185|C00013|C00011</t>
  </si>
  <si>
    <t>C03722|C00119</t>
  </si>
  <si>
    <t>1.2.1.12</t>
  </si>
  <si>
    <t>https://www.genome.jp/entry/1.2.1.12</t>
  </si>
  <si>
    <t>https://www.genome.jp/entry/R01061</t>
  </si>
  <si>
    <t>C00118|C00009|C00003</t>
  </si>
  <si>
    <t>C00236|C00004|C00080</t>
  </si>
  <si>
    <t>5.4.99.26</t>
  </si>
  <si>
    <t>https://www.genome.jp/entry/5.4.99.26</t>
  </si>
  <si>
    <t>3.5.1.1</t>
  </si>
  <si>
    <t>https://www.genome.jp/entry/3.5.1.1</t>
  </si>
  <si>
    <t>https://www.genome.jp/entry/R00485</t>
  </si>
  <si>
    <t>C00152|C00001</t>
  </si>
  <si>
    <t>C00049|C00014</t>
  </si>
  <si>
    <t>https://www.genome.jp/entry/R06134</t>
  </si>
  <si>
    <t>C00241|C00001</t>
  </si>
  <si>
    <t>C00060|C00014</t>
  </si>
  <si>
    <t>2.6.1.2</t>
  </si>
  <si>
    <t>https://www.genome.jp/entry/2.6.1.2</t>
  </si>
  <si>
    <t>https://www.genome.jp/entry/R00258</t>
  </si>
  <si>
    <t>C00041|C00026</t>
  </si>
  <si>
    <t>C00022|C00025</t>
  </si>
  <si>
    <t>3.1.21.-</t>
  </si>
  <si>
    <t>2.1.1.182</t>
  </si>
  <si>
    <t>https://www.genome.jp/entry/2.1.1.182</t>
  </si>
  <si>
    <t>https://www.genome.jp/entry/R10716</t>
  </si>
  <si>
    <t>C00019|C20648</t>
  </si>
  <si>
    <t>C00021|C20796</t>
  </si>
  <si>
    <t>2.1.1.-</t>
  </si>
  <si>
    <t>5.1.3.1</t>
  </si>
  <si>
    <t>https://www.genome.jp/entry/5.1.3.1</t>
  </si>
  <si>
    <t>https://www.genome.jp/entry/R01529</t>
  </si>
  <si>
    <t>C00199</t>
  </si>
  <si>
    <t>2.7.6.2</t>
  </si>
  <si>
    <t>https://www.genome.jp/entry/2.7.6.2</t>
  </si>
  <si>
    <t>https://www.genome.jp/entry/R00619</t>
  </si>
  <si>
    <t>C00002|C00378</t>
  </si>
  <si>
    <t>C00020|C00068</t>
  </si>
  <si>
    <t>4.1.1.20</t>
  </si>
  <si>
    <t>https://www.genome.jp/entry/4.1.1.20</t>
  </si>
  <si>
    <t>https://www.genome.jp/entry/R00451</t>
  </si>
  <si>
    <t>C00680</t>
  </si>
  <si>
    <t>C00047|C00011</t>
  </si>
  <si>
    <t>3.6.1.7</t>
  </si>
  <si>
    <t>https://www.genome.jp/entry/3.6.1.7</t>
  </si>
  <si>
    <t>https://www.genome.jp/entry/R00539</t>
  </si>
  <si>
    <t>C02133|C00001</t>
  </si>
  <si>
    <t>C00060|C00009</t>
  </si>
  <si>
    <t>https://www.genome.jp/entry/R00317</t>
  </si>
  <si>
    <t>C00277|C00001</t>
  </si>
  <si>
    <t>C00033|C00009</t>
  </si>
  <si>
    <t>https://www.genome.jp/entry/R01421</t>
  </si>
  <si>
    <t>C06206|C00001</t>
  </si>
  <si>
    <t>C00180|C00009</t>
  </si>
  <si>
    <t>https://www.genome.jp/entry/R01515</t>
  </si>
  <si>
    <t>C00236|C00001</t>
  </si>
  <si>
    <t>C00197|C00009</t>
  </si>
  <si>
    <t>6.3.1.1</t>
  </si>
  <si>
    <t>https://www.genome.jp/entry/6.3.1.1</t>
  </si>
  <si>
    <t>https://www.genome.jp/entry/R00483</t>
  </si>
  <si>
    <t>C00002|C00049|C00014</t>
  </si>
  <si>
    <t>C00020|C00013|C00152</t>
  </si>
  <si>
    <t>2.1.1.171</t>
  </si>
  <si>
    <t>https://www.genome.jp/entry/2.1.1.171</t>
  </si>
  <si>
    <t>2.5.1.7</t>
  </si>
  <si>
    <t>https://www.genome.jp/entry/2.5.1.7</t>
  </si>
  <si>
    <t>https://www.genome.jp/entry/R00660</t>
  </si>
  <si>
    <t>C00074|C00043</t>
  </si>
  <si>
    <t>C04631|C00009</t>
  </si>
  <si>
    <t>3.1.30.-</t>
  </si>
  <si>
    <t>2.7.4.6</t>
  </si>
  <si>
    <t>https://www.genome.jp/entry/2.7.4.6</t>
  </si>
  <si>
    <t>https://www.genome.jp/entry/R00331</t>
  </si>
  <si>
    <t>C00002|C00454</t>
  </si>
  <si>
    <t>C00008|C00201</t>
  </si>
  <si>
    <t>https://www.genome.jp/entry/R00124</t>
  </si>
  <si>
    <t>C00002|C00008</t>
  </si>
  <si>
    <t>C00008|C00002</t>
  </si>
  <si>
    <t>https://www.genome.jp/entry/R00139</t>
  </si>
  <si>
    <t>C11038|C00002</t>
  </si>
  <si>
    <t>C11039|C00008</t>
  </si>
  <si>
    <t>https://www.genome.jp/entry/R00156</t>
  </si>
  <si>
    <t>C00002|C00015</t>
  </si>
  <si>
    <t>C00008|C00075</t>
  </si>
  <si>
    <t>https://www.genome.jp/entry/R00330</t>
  </si>
  <si>
    <t>C00002|C00035</t>
  </si>
  <si>
    <t>C00008|C00044</t>
  </si>
  <si>
    <t>https://www.genome.jp/entry/R00570</t>
  </si>
  <si>
    <t>C00002|C00112</t>
  </si>
  <si>
    <t>C00008|C00063</t>
  </si>
  <si>
    <t>https://www.genome.jp/entry/R00722</t>
  </si>
  <si>
    <t>C00002|C00104</t>
  </si>
  <si>
    <t>C00008|C00081</t>
  </si>
  <si>
    <t>https://www.genome.jp/entry/R01137</t>
  </si>
  <si>
    <t>C00002|C00206</t>
  </si>
  <si>
    <t>C00008|C00131</t>
  </si>
  <si>
    <t>https://www.genome.jp/entry/R01857</t>
  </si>
  <si>
    <t>C00002|C00361</t>
  </si>
  <si>
    <t>C00008|C00286</t>
  </si>
  <si>
    <t>https://www.genome.jp/entry/R02093</t>
  </si>
  <si>
    <t>C00002|C00363</t>
  </si>
  <si>
    <t>C00008|C00459</t>
  </si>
  <si>
    <t>https://www.genome.jp/entry/R02326</t>
  </si>
  <si>
    <t>C00002|C00705</t>
  </si>
  <si>
    <t>C00008|C00458</t>
  </si>
  <si>
    <t>https://www.genome.jp/entry/R02331</t>
  </si>
  <si>
    <t>C00002|C01346</t>
  </si>
  <si>
    <t>C00008|C00460</t>
  </si>
  <si>
    <t>https://www.genome.jp/entry/R03530</t>
  </si>
  <si>
    <t>C00002|C01344</t>
  </si>
  <si>
    <t>C00008|C01345</t>
  </si>
  <si>
    <t>https://www.genome.jp/entry/R12853</t>
  </si>
  <si>
    <t>C22442|C00002</t>
  </si>
  <si>
    <t>C22443|C00008</t>
  </si>
  <si>
    <t>https://www.genome.jp/entry/R11894</t>
  </si>
  <si>
    <t>C00002|C21748</t>
  </si>
  <si>
    <t>C00008|C21749</t>
  </si>
  <si>
    <t>https://www.genome.jp/entry/R11895</t>
  </si>
  <si>
    <t>C00002|C21750</t>
  </si>
  <si>
    <t>C00008|C21751</t>
  </si>
  <si>
    <t>2.7.7.27</t>
  </si>
  <si>
    <t>https://www.genome.jp/entry/2.7.7.27</t>
  </si>
  <si>
    <t>https://www.genome.jp/entry/R00948</t>
  </si>
  <si>
    <t>C00002|C00103</t>
  </si>
  <si>
    <t>C00013|C00498</t>
  </si>
  <si>
    <t>3.6.3.44</t>
  </si>
  <si>
    <t>https://www.genome.jp/entry/3.6.3.44</t>
  </si>
  <si>
    <t>6.1.1.20</t>
  </si>
  <si>
    <t>https://www.genome.jp/entry/6.1.1.20</t>
  </si>
  <si>
    <t>https://www.genome.jp/entry/R03660</t>
  </si>
  <si>
    <t>C00002|C00079|C01648</t>
  </si>
  <si>
    <t>C00020|C00013|C03511</t>
  </si>
  <si>
    <t>1.1.1.-</t>
  </si>
  <si>
    <t>2.1.1.189</t>
  </si>
  <si>
    <t>https://www.genome.jp/entry/2.1.1.189</t>
  </si>
  <si>
    <t>6.3.4.15</t>
  </si>
  <si>
    <t>https://www.genome.jp/entry/6.3.4.15</t>
  </si>
  <si>
    <t>https://www.genome.jp/entry/R04562</t>
  </si>
  <si>
    <t>C00002|C00120|C04735</t>
  </si>
  <si>
    <t>C00020|C00013|C04681</t>
  </si>
  <si>
    <t>https://www.genome.jp/entry/R01074</t>
  </si>
  <si>
    <t>C00002|C00120</t>
  </si>
  <si>
    <t>C00013|C05921</t>
  </si>
  <si>
    <t>https://www.genome.jp/entry/R05145</t>
  </si>
  <si>
    <t>C05921|C06249</t>
  </si>
  <si>
    <t>C00020|C06250</t>
  </si>
  <si>
    <t>2.4.1.7</t>
  </si>
  <si>
    <t>https://www.genome.jp/entry/2.4.1.7</t>
  </si>
  <si>
    <t>https://www.genome.jp/entry/R00803</t>
  </si>
  <si>
    <t>C00089|C00009</t>
  </si>
  <si>
    <t>C00095|C00103</t>
  </si>
  <si>
    <t>https://www.genome.jp/entry/R06034</t>
  </si>
  <si>
    <t>G00370|C00009</t>
  </si>
  <si>
    <t>3.2.1.93</t>
  </si>
  <si>
    <t>https://www.genome.jp/entry/3.2.1.93</t>
  </si>
  <si>
    <t>https://www.genome.jp/entry/R00837</t>
  </si>
  <si>
    <t>C00001|C00689</t>
  </si>
  <si>
    <t>https://www.genome.jp/entry/R06113</t>
  </si>
  <si>
    <t>C00001|G09795</t>
  </si>
  <si>
    <t>5.1.1.3</t>
  </si>
  <si>
    <t>https://www.genome.jp/entry/5.1.1.3</t>
  </si>
  <si>
    <t>https://www.genome.jp/entry/R00260</t>
  </si>
  <si>
    <t>C00025</t>
  </si>
  <si>
    <t>C00217</t>
  </si>
  <si>
    <t>3.6.1.19</t>
  </si>
  <si>
    <t>https://www.genome.jp/entry/3.6.1.19</t>
  </si>
  <si>
    <t>5.4.99.22</t>
  </si>
  <si>
    <t>https://www.genome.jp/entry/5.4.99.22</t>
  </si>
  <si>
    <t>3.6.3.34</t>
  </si>
  <si>
    <t>https://www.genome.jp/entry/3.6.3.34</t>
  </si>
  <si>
    <t>3.4.11.7</t>
  </si>
  <si>
    <t>https://www.genome.jp/entry/3.4.11.7</t>
  </si>
  <si>
    <t>1.1.1.90</t>
  </si>
  <si>
    <t>https://www.genome.jp/entry/1.1.1.90</t>
  </si>
  <si>
    <t>https://www.genome.jp/entry/R01487</t>
  </si>
  <si>
    <t>C03485|C00003</t>
  </si>
  <si>
    <t>C00193|C00004|C00080</t>
  </si>
  <si>
    <t>https://www.genome.jp/entry/R01763</t>
  </si>
  <si>
    <t>C00556|C00003</t>
  </si>
  <si>
    <t>C00261|C00004|C00080</t>
  </si>
  <si>
    <t>https://www.genome.jp/entry/R02611</t>
  </si>
  <si>
    <t>C05853|C00003</t>
  </si>
  <si>
    <t>C00601|C00004|C00080</t>
  </si>
  <si>
    <t>https://www.genome.jp/entry/R04304</t>
  </si>
  <si>
    <t>C06044|C00003</t>
  </si>
  <si>
    <t>C03765|C00004|C00080</t>
  </si>
  <si>
    <t>https://www.genome.jp/entry/R05282</t>
  </si>
  <si>
    <t>C06757|C00003</t>
  </si>
  <si>
    <t>C06758|C00004|C00080</t>
  </si>
  <si>
    <t>https://www.genome.jp/entry/R05347</t>
  </si>
  <si>
    <t>C07216|C00003</t>
  </si>
  <si>
    <t>C07209|C00004|C00080</t>
  </si>
  <si>
    <t>https://www.genome.jp/entry/R05348</t>
  </si>
  <si>
    <t>C07213|C00003</t>
  </si>
  <si>
    <t>C07214|C00004|C00080</t>
  </si>
  <si>
    <t>2.7.1.6</t>
  </si>
  <si>
    <t>https://www.genome.jp/entry/2.7.1.6</t>
  </si>
  <si>
    <t>https://www.genome.jp/entry/R01092</t>
  </si>
  <si>
    <t>C00002|C00984</t>
  </si>
  <si>
    <t>C00008|C00446</t>
  </si>
  <si>
    <t>2.7.7.10</t>
  </si>
  <si>
    <t>https://www.genome.jp/entry/2.7.7.10</t>
  </si>
  <si>
    <t>https://www.genome.jp/entry/R00502</t>
  </si>
  <si>
    <t>C00075|C00446</t>
  </si>
  <si>
    <t>C00013|C00052</t>
  </si>
  <si>
    <t>3.1.2.-</t>
  </si>
  <si>
    <t>2.1.1.72</t>
  </si>
  <si>
    <t>https://www.genome.jp/entry/2.1.1.72</t>
  </si>
  <si>
    <t>https://www.genome.jp/entry/R02961</t>
  </si>
  <si>
    <t>C00019|C00821</t>
  </si>
  <si>
    <t>C00021|C03391</t>
  </si>
  <si>
    <t>3.1.21.4</t>
  </si>
  <si>
    <t>https://www.genome.jp/entry/3.1.21.4</t>
  </si>
  <si>
    <t>2.4.2.-</t>
  </si>
  <si>
    <t>2.4.2.22</t>
  </si>
  <si>
    <t>https://www.genome.jp/entry/2.4.2.22</t>
  </si>
  <si>
    <t>3.1.11.2</t>
  </si>
  <si>
    <t>https://www.genome.jp/entry/3.1.11.2</t>
  </si>
  <si>
    <t>2.6.1.87</t>
  </si>
  <si>
    <t>https://www.genome.jp/entry/2.6.1.87</t>
  </si>
  <si>
    <t>https://www.genome.jp/entry/R07659</t>
  </si>
  <si>
    <t>C16155|C00025</t>
  </si>
  <si>
    <t>C16153|C00026</t>
  </si>
  <si>
    <t>3.6.3.19</t>
  </si>
  <si>
    <t>https://www.genome.jp/entry/3.6.3.19</t>
  </si>
  <si>
    <t>4.1.3.27</t>
  </si>
  <si>
    <t>https://www.genome.jp/entry/4.1.3.27</t>
  </si>
  <si>
    <t>https://www.genome.jp/entry/R00986</t>
  </si>
  <si>
    <t>C00251|C00064</t>
  </si>
  <si>
    <t>C00108|C00022|C00025</t>
  </si>
  <si>
    <t>https://www.genome.jp/entry/R00985</t>
  </si>
  <si>
    <t>C00251|C00014</t>
  </si>
  <si>
    <t>C00108|C00022|C00001</t>
  </si>
  <si>
    <t>2.4.2.18</t>
  </si>
  <si>
    <t>https://www.genome.jp/entry/2.4.2.18</t>
  </si>
  <si>
    <t>https://www.genome.jp/entry/R01073</t>
  </si>
  <si>
    <t>C04302|C00013</t>
  </si>
  <si>
    <t>C00108|C00119</t>
  </si>
  <si>
    <t>4.1.1.48</t>
  </si>
  <si>
    <t>https://www.genome.jp/entry/4.1.1.48</t>
  </si>
  <si>
    <t>https://www.genome.jp/entry/R03508</t>
  </si>
  <si>
    <t>C01302</t>
  </si>
  <si>
    <t>C03506|C00011|C00001</t>
  </si>
  <si>
    <t>5.3.1.24</t>
  </si>
  <si>
    <t>https://www.genome.jp/entry/5.3.1.24</t>
  </si>
  <si>
    <t>https://www.genome.jp/entry/R03509</t>
  </si>
  <si>
    <t>C04302</t>
  </si>
  <si>
    <t>4.2.1.20</t>
  </si>
  <si>
    <t>https://www.genome.jp/entry/4.2.1.20</t>
  </si>
  <si>
    <t>https://www.genome.jp/entry/R00674</t>
  </si>
  <si>
    <t>C00065|C00463</t>
  </si>
  <si>
    <t>C00078|C00001</t>
  </si>
  <si>
    <t>https://www.genome.jp/entry/R02340</t>
  </si>
  <si>
    <t>C03506</t>
  </si>
  <si>
    <t>C00463|C00118</t>
  </si>
  <si>
    <t>https://www.genome.jp/entry/R02722</t>
  </si>
  <si>
    <t>C00065|C03506</t>
  </si>
  <si>
    <t>C00078|C00118|C00001</t>
  </si>
  <si>
    <t>2.3.1.57</t>
  </si>
  <si>
    <t>https://www.genome.jp/entry/2.3.1.57</t>
  </si>
  <si>
    <t>https://www.genome.jp/entry/R03910</t>
  </si>
  <si>
    <t>C00024|C03687</t>
  </si>
  <si>
    <t>C00010|C02297</t>
  </si>
  <si>
    <t>https://www.genome.jp/entry/R01154</t>
  </si>
  <si>
    <t>C00024|C00134</t>
  </si>
  <si>
    <t>C00010|C02714</t>
  </si>
  <si>
    <t>3.2.1.39</t>
  </si>
  <si>
    <t>https://www.genome.jp/entry/3.2.1.39</t>
  </si>
  <si>
    <t>https://www.genome.jp/entry/R00308</t>
  </si>
  <si>
    <t>C00965|C00001</t>
  </si>
  <si>
    <t>C00031|C00965</t>
  </si>
  <si>
    <t>https://www.genome.jp/entry/R06204</t>
  </si>
  <si>
    <t>G10477|C00001</t>
  </si>
  <si>
    <t>C00031|G10477</t>
  </si>
  <si>
    <t>3.1.6.-</t>
  </si>
  <si>
    <t>3.1.6.1</t>
  </si>
  <si>
    <t>https://www.genome.jp/entry/3.1.6.1</t>
  </si>
  <si>
    <t>https://www.genome.jp/entry/R01243</t>
  </si>
  <si>
    <t>C00850|C00001</t>
  </si>
  <si>
    <t>C15584|C00059</t>
  </si>
  <si>
    <t>https://www.genome.jp/entry/R03980</t>
  </si>
  <si>
    <t>C02538|C00001</t>
  </si>
  <si>
    <t>C00059|C00468</t>
  </si>
  <si>
    <t>2.7.11.1</t>
  </si>
  <si>
    <t>https://www.genome.jp/entry/2.7.11.1</t>
  </si>
  <si>
    <t>https://www.genome.jp/entry/R00162</t>
  </si>
  <si>
    <t>C00002|C00017</t>
  </si>
  <si>
    <t>C00008|C00562</t>
  </si>
  <si>
    <t>https://www.genome.jp/entry/R03632</t>
  </si>
  <si>
    <t>C00002|C01609</t>
  </si>
  <si>
    <t>C00008|C02729</t>
  </si>
  <si>
    <t>3.2.1.26</t>
  </si>
  <si>
    <t>https://www.genome.jp/entry/3.2.1.26</t>
  </si>
  <si>
    <t>https://www.genome.jp/entry/R00801</t>
  </si>
  <si>
    <t>C00089|c00001</t>
  </si>
  <si>
    <t>C00095|C00031</t>
  </si>
  <si>
    <t>https://www.genome.jp/entry/R00802</t>
  </si>
  <si>
    <t>C00089|C00001</t>
  </si>
  <si>
    <t>C02336|C00267</t>
  </si>
  <si>
    <t>https://www.genome.jp/entry/R02410</t>
  </si>
  <si>
    <t>C05402|C00095</t>
  </si>
  <si>
    <t>https://www.genome.jp/entry/R03635</t>
  </si>
  <si>
    <t>C05404|C00095</t>
  </si>
  <si>
    <t>https://www.genome.jp/entry/R03921</t>
  </si>
  <si>
    <t>C16688|C00001</t>
  </si>
  <si>
    <t>C00095|C00092</t>
  </si>
  <si>
    <t>https://www.genome.jp/entry/R06087</t>
  </si>
  <si>
    <t>G00370|C00001</t>
  </si>
  <si>
    <t>https://www.genome.jp/entry/R06088</t>
  </si>
  <si>
    <t>https://www.genome.jp/entry/R06100</t>
  </si>
  <si>
    <t>G01275|C00095</t>
  </si>
  <si>
    <t>https://www.genome.jp/entry/R06101</t>
  </si>
  <si>
    <t>G00501|C00095</t>
  </si>
  <si>
    <t>https://www.genome.jp/entry/R06102</t>
  </si>
  <si>
    <t>G10508|C00001</t>
  </si>
  <si>
    <t>C02336|C00668</t>
  </si>
  <si>
    <t>3.6.4.6</t>
  </si>
  <si>
    <t>https://www.genome.jp/entry/3.6.4.6</t>
  </si>
  <si>
    <t>2.1.1.193</t>
  </si>
  <si>
    <t>https://www.genome.jp/entry/2.1.1.193</t>
  </si>
  <si>
    <t>3.4.24.15</t>
  </si>
  <si>
    <t>https://www.genome.jp/entry/3.4.24.15</t>
  </si>
  <si>
    <t>1.7.1.13</t>
  </si>
  <si>
    <t>https://www.genome.jp/entry/1.7.1.13</t>
  </si>
  <si>
    <t>https://www.genome.jp/entry/R07605</t>
  </si>
  <si>
    <t>C16675|C00006</t>
  </si>
  <si>
    <t>C15996|C00005|C00080</t>
  </si>
  <si>
    <t>1.8.1.9</t>
  </si>
  <si>
    <t>https://www.genome.jp/entry/1.8.1.9</t>
  </si>
  <si>
    <t>https://www.genome.jp/entry/R02016</t>
  </si>
  <si>
    <t>C00342|C00006</t>
  </si>
  <si>
    <t>C00343|C00005|C00080</t>
  </si>
  <si>
    <t>https://www.genome.jp/entry/R00900</t>
  </si>
  <si>
    <t>C00097|C00051|C00006</t>
  </si>
  <si>
    <t>C05526|C00005</t>
  </si>
  <si>
    <t>https://www.genome.jp/entry/R03596</t>
  </si>
  <si>
    <t>C01528|C00006|C00001</t>
  </si>
  <si>
    <t>C05684|C00005|C00080</t>
  </si>
  <si>
    <t>https://www.genome.jp/entry/R09372</t>
  </si>
  <si>
    <t>C00005|C00080|C18902</t>
  </si>
  <si>
    <t>C00006|C00001|C05703</t>
  </si>
  <si>
    <t>2.4.1.212</t>
  </si>
  <si>
    <t>https://www.genome.jp/entry/2.4.1.212</t>
  </si>
  <si>
    <t>2.4.1.52</t>
  </si>
  <si>
    <t>https://www.genome.jp/entry/2.4.1.52</t>
  </si>
  <si>
    <t>https://www.genome.jp/entry/R12807</t>
  </si>
  <si>
    <t>C00029|C22411</t>
  </si>
  <si>
    <t>C00015|C22412</t>
  </si>
  <si>
    <t>2.7.7.18</t>
  </si>
  <si>
    <t>https://www.genome.jp/entry/2.7.7.18</t>
  </si>
  <si>
    <t>https://www.genome.jp/entry/R03005</t>
  </si>
  <si>
    <t>C00002|C01185</t>
  </si>
  <si>
    <t>C00013|C00857</t>
  </si>
  <si>
    <t>https://www.genome.jp/entry/R00137</t>
  </si>
  <si>
    <t>C00002|C00455</t>
  </si>
  <si>
    <t>C00013|C00003</t>
  </si>
  <si>
    <t>3.-.-.-</t>
  </si>
  <si>
    <t>2.1.1.156</t>
  </si>
  <si>
    <t>https://www.genome.jp/entry/2.1.1.156</t>
  </si>
  <si>
    <t>https://www.genome.jp/entry/R00367</t>
  </si>
  <si>
    <t>C00019|C00037</t>
  </si>
  <si>
    <t>C00021|C00213</t>
  </si>
  <si>
    <t>https://www.genome.jp/entry/R07243</t>
  </si>
  <si>
    <t>C00019|C00213</t>
  </si>
  <si>
    <t>C00021|C01026</t>
  </si>
  <si>
    <t>https://www.genome.jp/entry/R10060</t>
  </si>
  <si>
    <t>2.7.4.8</t>
  </si>
  <si>
    <t>https://www.genome.jp/entry/2.7.4.8</t>
  </si>
  <si>
    <t>https://www.genome.jp/entry/R00332</t>
  </si>
  <si>
    <t>C00002|C00144</t>
  </si>
  <si>
    <t>C00008|C00035</t>
  </si>
  <si>
    <t>https://www.genome.jp/entry/R02090</t>
  </si>
  <si>
    <t>C00002|C00362</t>
  </si>
  <si>
    <t>C00008|C00361</t>
  </si>
  <si>
    <t>https://www.genome.jp/entry/R12852</t>
  </si>
  <si>
    <t>C22441|C00002</t>
  </si>
  <si>
    <t>C22442|C00008</t>
  </si>
  <si>
    <t>2.1.2.9</t>
  </si>
  <si>
    <t>https://www.genome.jp/entry/2.1.2.9</t>
  </si>
  <si>
    <t>https://www.genome.jp/entry/R03940</t>
  </si>
  <si>
    <t>C02430|C00234</t>
  </si>
  <si>
    <t>C00101|C03294</t>
  </si>
  <si>
    <t>2.1.1.176</t>
  </si>
  <si>
    <t>https://www.genome.jp/entry/2.1.1.176</t>
  </si>
  <si>
    <t>3.1.3.16</t>
  </si>
  <si>
    <t>https://www.genome.jp/entry/3.1.3.16</t>
  </si>
  <si>
    <t>https://www.genome.jp/entry/R00164</t>
  </si>
  <si>
    <t>C00562|C00001</t>
  </si>
  <si>
    <t>C00017|C00009</t>
  </si>
  <si>
    <t>2.3.3.-</t>
  </si>
  <si>
    <t>2.3.3.10</t>
  </si>
  <si>
    <t>https://www.genome.jp/entry/2.3.3.10</t>
  </si>
  <si>
    <t>https://www.genome.jp/entry/R01978</t>
  </si>
  <si>
    <t>C00356|C00010</t>
  </si>
  <si>
    <t>C00024|C00001|C00332</t>
  </si>
  <si>
    <t>1.1.1.88</t>
  </si>
  <si>
    <t>https://www.genome.jp/entry/1.1.1.88</t>
  </si>
  <si>
    <t>https://www.genome.jp/entry/R02081</t>
  </si>
  <si>
    <t>C00418|C00010|C00003</t>
  </si>
  <si>
    <t>C00356|C00004|C00080</t>
  </si>
  <si>
    <t>2.7.1.4</t>
  </si>
  <si>
    <t>https://www.genome.jp/entry/2.7.1.4</t>
  </si>
  <si>
    <t>https://www.genome.jp/entry/R00760</t>
  </si>
  <si>
    <t>C00002|C00095</t>
  </si>
  <si>
    <t>C00008|C00085</t>
  </si>
  <si>
    <t>https://www.genome.jp/entry/R00867</t>
  </si>
  <si>
    <t>C00008|C05345</t>
  </si>
  <si>
    <t>https://www.genome.jp/entry/R03920</t>
  </si>
  <si>
    <t>C00002|C02336</t>
  </si>
  <si>
    <t>1.6.99.-</t>
  </si>
  <si>
    <t>1.5.1.39</t>
  </si>
  <si>
    <t>https://www.genome.jp/entry/1.5.1.39</t>
  </si>
  <si>
    <t>https://www.genome.jp/entry/R05705</t>
  </si>
  <si>
    <t>C01847|C00003</t>
  </si>
  <si>
    <t>C00061|C00004|C00080</t>
  </si>
  <si>
    <t>https://www.genome.jp/entry/R05706</t>
  </si>
  <si>
    <t>C01847|C00006</t>
  </si>
  <si>
    <t>C00061|C00005|C00080</t>
  </si>
  <si>
    <t>2.5.1.54</t>
  </si>
  <si>
    <t>https://www.genome.jp/entry/2.5.1.54</t>
  </si>
  <si>
    <t>https://www.genome.jp/entry/R01826</t>
  </si>
  <si>
    <t>C00074|C00279|C00001</t>
  </si>
  <si>
    <t>C04691|C00009</t>
  </si>
  <si>
    <t>2.7.8.7</t>
  </si>
  <si>
    <t>https://www.genome.jp/entry/2.7.8.7</t>
  </si>
  <si>
    <t>https://www.genome.jp/entry/R01625</t>
  </si>
  <si>
    <t>C00010|C03688</t>
  </si>
  <si>
    <t>C00054|C00229</t>
  </si>
  <si>
    <t>5.1.1.1</t>
  </si>
  <si>
    <t>https://www.genome.jp/entry/5.1.1.1</t>
  </si>
  <si>
    <t>https://www.genome.jp/entry/R00401</t>
  </si>
  <si>
    <t>C00041</t>
  </si>
  <si>
    <t>C00133</t>
  </si>
  <si>
    <t>3.1.1.41</t>
  </si>
  <si>
    <t>https://www.genome.jp/entry/3.1.1.41</t>
  </si>
  <si>
    <t>https://www.genome.jp/entry/R03062</t>
  </si>
  <si>
    <t>C00916|C00001</t>
  </si>
  <si>
    <t>C03112|C00033</t>
  </si>
  <si>
    <t>3.2.1.18</t>
  </si>
  <si>
    <t>https://www.genome.jp/entry/3.2.1.18</t>
  </si>
  <si>
    <t>https://www.genome.jp/entry/R03491</t>
  </si>
  <si>
    <t>C01290|C00270</t>
  </si>
  <si>
    <t>C04370|C00001</t>
  </si>
  <si>
    <t>https://www.genome.jp/entry/R04018</t>
  </si>
  <si>
    <t>C02686|C00270</t>
  </si>
  <si>
    <t>C06128|C00001</t>
  </si>
  <si>
    <t>https://www.genome.jp/entry/R04634</t>
  </si>
  <si>
    <t>C06135|C00270</t>
  </si>
  <si>
    <t>https://www.genome.jp/entry/R04650</t>
  </si>
  <si>
    <t>C04911|C00270</t>
  </si>
  <si>
    <t>C04927|C00001</t>
  </si>
  <si>
    <t>https://www.genome.jp/entry/R05115</t>
  </si>
  <si>
    <t>C06140|C00270</t>
  </si>
  <si>
    <t>C06139|C00001</t>
  </si>
  <si>
    <t>https://www.genome.jp/entry/R05117</t>
  </si>
  <si>
    <t>C06140|C00001</t>
  </si>
  <si>
    <t>C06141|C00270</t>
  </si>
  <si>
    <t>https://www.genome.jp/entry/R05996</t>
  </si>
  <si>
    <t>G00116|C00270</t>
  </si>
  <si>
    <t>G00117|C00001</t>
  </si>
  <si>
    <t>https://www.genome.jp/entry/R05998</t>
  </si>
  <si>
    <t>G00116|C00001</t>
  </si>
  <si>
    <t>G00115|C00270</t>
  </si>
  <si>
    <t>https://www.genome.jp/entry/R05999</t>
  </si>
  <si>
    <t>G00092|C00270</t>
  </si>
  <si>
    <t>G00108|C00001</t>
  </si>
  <si>
    <t>https://www.genome.jp/entry/R06012</t>
  </si>
  <si>
    <t>G00123|C00270</t>
  </si>
  <si>
    <t>https://www.genome.jp/entry/R06147</t>
  </si>
  <si>
    <t>G11121|C00270</t>
  </si>
  <si>
    <t>G00317|C00001</t>
  </si>
  <si>
    <t>https://www.genome.jp/entry/R06253</t>
  </si>
  <si>
    <t>G00110|C00270</t>
  </si>
  <si>
    <t>G00111|C00001</t>
  </si>
  <si>
    <t>1.1.1.292</t>
  </si>
  <si>
    <t>https://www.genome.jp/entry/1.1.1.292</t>
  </si>
  <si>
    <t>https://www.genome.jp/entry/R08194</t>
  </si>
  <si>
    <t>C16538|C00006</t>
  </si>
  <si>
    <t>C06485|C00005|C00080</t>
  </si>
  <si>
    <t>5.1.3.9</t>
  </si>
  <si>
    <t>https://www.genome.jp/entry/5.1.3.9</t>
  </si>
  <si>
    <t>https://www.genome.jp/entry/R02770</t>
  </si>
  <si>
    <t>C00686</t>
  </si>
  <si>
    <t>C04136</t>
  </si>
  <si>
    <t>https://www.genome.jp/entry/R02087</t>
  </si>
  <si>
    <t>C00357</t>
  </si>
  <si>
    <t>C04257</t>
  </si>
  <si>
    <t>4.1.3.3</t>
  </si>
  <si>
    <t>https://www.genome.jp/entry/4.1.3.3</t>
  </si>
  <si>
    <t>https://www.genome.jp/entry/R12768</t>
  </si>
  <si>
    <t>C22382</t>
  </si>
  <si>
    <t>C00645|C00022</t>
  </si>
  <si>
    <t>https://www.genome.jp/entry/R01811</t>
  </si>
  <si>
    <t>C00270</t>
  </si>
  <si>
    <t>2.4.1.129</t>
  </si>
  <si>
    <t>https://www.genome.jp/entry/2.4.1.129</t>
  </si>
  <si>
    <t>6.3.2.4</t>
  </si>
  <si>
    <t>https://www.genome.jp/entry/6.3.2.4</t>
  </si>
  <si>
    <t>https://www.genome.jp/entry/R01150</t>
  </si>
  <si>
    <t>C00002|C00133</t>
  </si>
  <si>
    <t>C00008|C00009|C00993</t>
  </si>
  <si>
    <t>6.3.2.10</t>
  </si>
  <si>
    <t>https://www.genome.jp/entry/6.3.2.10</t>
  </si>
  <si>
    <t>https://www.genome.jp/entry/R04573</t>
  </si>
  <si>
    <t>C00002|C05892|C00993</t>
  </si>
  <si>
    <t>C00008|C00009|C04702</t>
  </si>
  <si>
    <t>https://www.genome.jp/entry/R04617</t>
  </si>
  <si>
    <t>C00002|C04887|C00993</t>
  </si>
  <si>
    <t>C00008|C00009|C04882</t>
  </si>
  <si>
    <t>6.1.1.5</t>
  </si>
  <si>
    <t>https://www.genome.jp/entry/6.1.1.5</t>
  </si>
  <si>
    <t>https://www.genome.jp/entry/R03656</t>
  </si>
  <si>
    <t>C00002|C00407|C01644</t>
  </si>
  <si>
    <t>C00020|C00013|C03127</t>
  </si>
  <si>
    <t>1.11.1.-</t>
  </si>
  <si>
    <t>2.7.6.5</t>
  </si>
  <si>
    <t>https://www.genome.jp/entry/2.7.6.5</t>
  </si>
  <si>
    <t>https://www.genome.jp/entry/R00429</t>
  </si>
  <si>
    <t>C00002|C00044</t>
  </si>
  <si>
    <t>C00020|C04494</t>
  </si>
  <si>
    <t>6.1.1.3</t>
  </si>
  <si>
    <t>https://www.genome.jp/entry/6.1.1.3</t>
  </si>
  <si>
    <t>https://www.genome.jp/entry/R03663</t>
  </si>
  <si>
    <t>C00002|C00188|C01651</t>
  </si>
  <si>
    <t>C00020|C00013|C02992</t>
  </si>
  <si>
    <t>3.6.3.8</t>
  </si>
  <si>
    <t>https://www.genome.jp/entry/3.6.3.8</t>
  </si>
  <si>
    <t>2.1.1.217</t>
  </si>
  <si>
    <t>https://www.genome.jp/entry/2.1.1.217</t>
  </si>
  <si>
    <t>1.4.3.19</t>
  </si>
  <si>
    <t>https://www.genome.jp/entry/1.4.3.19</t>
  </si>
  <si>
    <t>https://www.genome.jp/entry/R00366</t>
  </si>
  <si>
    <t>C00037|C00001|C00007</t>
  </si>
  <si>
    <t>C00048|C00014|C00027</t>
  </si>
  <si>
    <t>https://www.genome.jp/entry/R07463</t>
  </si>
  <si>
    <t>C00037|C00007</t>
  </si>
  <si>
    <t>C15809|C00027</t>
  </si>
  <si>
    <t>https://www.genome.jp/entry/R10245</t>
  </si>
  <si>
    <t>C15809|C00001</t>
  </si>
  <si>
    <t>C00048|C00014</t>
  </si>
  <si>
    <t>https://www.genome.jp/entry/R05861</t>
  </si>
  <si>
    <t>C00133|C00001|C00007</t>
  </si>
  <si>
    <t>C00022|C00014|C00027</t>
  </si>
  <si>
    <t>https://www.genome.jp/entry/R05862</t>
  </si>
  <si>
    <t>C00213|C00001|C00007</t>
  </si>
  <si>
    <t>C00048|C00218|C00027</t>
  </si>
  <si>
    <t>https://www.genome.jp/entry/R05863</t>
  </si>
  <si>
    <t>C11735|C00001|C00007</t>
  </si>
  <si>
    <t>C00048|C00797|C00027</t>
  </si>
  <si>
    <t>2.7.4.14</t>
  </si>
  <si>
    <t>https://www.genome.jp/entry/2.7.4.14</t>
  </si>
  <si>
    <t>https://www.genome.jp/entry/R00158</t>
  </si>
  <si>
    <t>C00002|C00105</t>
  </si>
  <si>
    <t>C00008|C00015</t>
  </si>
  <si>
    <t>https://www.genome.jp/entry/R00512</t>
  </si>
  <si>
    <t>C00002|C00055</t>
  </si>
  <si>
    <t>C00008|C00112</t>
  </si>
  <si>
    <t>https://www.genome.jp/entry/R01665</t>
  </si>
  <si>
    <t>C00002|C00239</t>
  </si>
  <si>
    <t>C00008|C00705</t>
  </si>
  <si>
    <t>https://www.genome.jp/entry/R11891</t>
  </si>
  <si>
    <t>C00002|C16634</t>
  </si>
  <si>
    <t>C00008|C21748</t>
  </si>
  <si>
    <t>https://www.genome.jp/entry/R11892</t>
  </si>
  <si>
    <t>C00002|C04242</t>
  </si>
  <si>
    <t>C00008|C21750</t>
  </si>
  <si>
    <t>2.7.4.25</t>
  </si>
  <si>
    <t>5.4.99.12</t>
  </si>
  <si>
    <t>https://www.genome.jp/entry/5.4.99.12</t>
  </si>
  <si>
    <t>https://www.genome.jp/entry/R03020</t>
  </si>
  <si>
    <t>C00868</t>
  </si>
  <si>
    <t>C02764</t>
  </si>
  <si>
    <t>2.7.4.7</t>
  </si>
  <si>
    <t>https://www.genome.jp/entry/2.7.4.7</t>
  </si>
  <si>
    <t>https://www.genome.jp/entry/R04509</t>
  </si>
  <si>
    <t>C00002|C04556</t>
  </si>
  <si>
    <t>C00008|C04752</t>
  </si>
  <si>
    <t>2.7.1.35</t>
  </si>
  <si>
    <t>https://www.genome.jp/entry/2.7.1.35</t>
  </si>
  <si>
    <t>https://www.genome.jp/entry/R00174</t>
  </si>
  <si>
    <t>C00002|C00250</t>
  </si>
  <si>
    <t>C00008|C00018</t>
  </si>
  <si>
    <t>https://www.genome.jp/entry/R01909</t>
  </si>
  <si>
    <t>C00002|C00314</t>
  </si>
  <si>
    <t>C00008|C00627</t>
  </si>
  <si>
    <t>https://www.genome.jp/entry/R02493</t>
  </si>
  <si>
    <t>C00002|C00534</t>
  </si>
  <si>
    <t>C00008|C00647</t>
  </si>
  <si>
    <t>3.4.13.9</t>
  </si>
  <si>
    <t>https://www.genome.jp/entry/3.4.13.9</t>
  </si>
  <si>
    <t>6.3.5.10</t>
  </si>
  <si>
    <t>https://www.genome.jp/entry/6.3.5.10</t>
  </si>
  <si>
    <t>https://www.genome.jp/entry/R05225</t>
  </si>
  <si>
    <t>C06506|C00064|C00002|C00001</t>
  </si>
  <si>
    <t>C06507|C00025|C00009|C00008</t>
  </si>
  <si>
    <t>6.3.2.-</t>
  </si>
  <si>
    <t>1.16.1.1</t>
  </si>
  <si>
    <t>https://www.genome.jp/entry/1.16.1.1</t>
  </si>
  <si>
    <t>https://www.genome.jp/entry/R02807</t>
  </si>
  <si>
    <t>C01319|C00006|C00080</t>
  </si>
  <si>
    <t>C00703|C00005</t>
  </si>
  <si>
    <t>1.8.1.4</t>
  </si>
  <si>
    <t>https://www.genome.jp/entry/1.8.1.4</t>
  </si>
  <si>
    <t>https://www.genome.jp/entry/R08550</t>
  </si>
  <si>
    <t>C16832|C00003</t>
  </si>
  <si>
    <t>C16237|C00004|C00080</t>
  </si>
  <si>
    <t>https://www.genome.jp/entry/R03815</t>
  </si>
  <si>
    <t>C02972|C00003</t>
  </si>
  <si>
    <t>C02051|C00004|C00080</t>
  </si>
  <si>
    <t>https://www.genome.jp/entry/R07618</t>
  </si>
  <si>
    <t>C15973|C00003</t>
  </si>
  <si>
    <t>C15972|C00004|C00080</t>
  </si>
  <si>
    <t>https://www.genome.jp/entry/R01698</t>
  </si>
  <si>
    <t>C00579|C00003</t>
  </si>
  <si>
    <t>C00248|C00004|C00080</t>
  </si>
  <si>
    <t>3.6.4.13</t>
  </si>
  <si>
    <t>https://www.genome.jp/entry/3.6.4.13</t>
  </si>
  <si>
    <t>3.6.3.20</t>
  </si>
  <si>
    <t>https://www.genome.jp/entry/3.6.3.20</t>
  </si>
  <si>
    <t>2.4.2.7</t>
  </si>
  <si>
    <t>https://www.genome.jp/entry/2.4.2.7</t>
  </si>
  <si>
    <t>https://www.genome.jp/entry/R00190</t>
  </si>
  <si>
    <t>C00020|C00013</t>
  </si>
  <si>
    <t>C00147|C00119</t>
  </si>
  <si>
    <t>https://www.genome.jp/entry/R04378</t>
  </si>
  <si>
    <t>C04677|C00013</t>
  </si>
  <si>
    <t>C04051|C00119</t>
  </si>
  <si>
    <t>2.3.1.46</t>
  </si>
  <si>
    <t>https://www.genome.jp/entry/2.3.1.46</t>
  </si>
  <si>
    <t>https://www.genome.jp/entry/R01777</t>
  </si>
  <si>
    <t>C00091|C00263</t>
  </si>
  <si>
    <t>C00010|C01118</t>
  </si>
  <si>
    <t>5.3.1.1</t>
  </si>
  <si>
    <t>https://www.genome.jp/entry/5.3.1.1</t>
  </si>
  <si>
    <t>https://www.genome.jp/entry/R01015</t>
  </si>
  <si>
    <t>C00118</t>
  </si>
  <si>
    <t>C00111</t>
  </si>
  <si>
    <t>3.2.1.92</t>
  </si>
  <si>
    <t>https://www.genome.jp/entry/3.2.1.92</t>
  </si>
  <si>
    <t>1.16.-.-</t>
  </si>
  <si>
    <t>1.5.1.3</t>
  </si>
  <si>
    <t>https://www.genome.jp/entry/1.5.1.3</t>
  </si>
  <si>
    <t>https://www.genome.jp/entry/R00939</t>
  </si>
  <si>
    <t>C00101|C00006</t>
  </si>
  <si>
    <t>C00415|C00005|C00080</t>
  </si>
  <si>
    <t>https://www.genome.jp/entry/R00936</t>
  </si>
  <si>
    <t>C00101|C00003</t>
  </si>
  <si>
    <t>C00415|C00004|C00080</t>
  </si>
  <si>
    <t>https://www.genome.jp/entry/R00937</t>
  </si>
  <si>
    <t>C00504|C00004|C00080</t>
  </si>
  <si>
    <t>https://www.genome.jp/entry/R00940</t>
  </si>
  <si>
    <t>C00504|C00005|C00080</t>
  </si>
  <si>
    <t>https://www.genome.jp/entry/R02235</t>
  </si>
  <si>
    <t>C00415|C00003</t>
  </si>
  <si>
    <t>https://www.genome.jp/entry/R02236</t>
  </si>
  <si>
    <t>C00415|C00006</t>
  </si>
  <si>
    <t>https://www.genome.jp/entry/R11765</t>
  </si>
  <si>
    <t>C00272|C00006</t>
  </si>
  <si>
    <t>C02953|C00005|C00080</t>
  </si>
  <si>
    <t>1.18.1.2</t>
  </si>
  <si>
    <t>https://www.genome.jp/entry/1.18.1.2</t>
  </si>
  <si>
    <t>https://www.genome.jp/entry/R01195</t>
  </si>
  <si>
    <t>C00138|C00006|C00080</t>
  </si>
  <si>
    <t>C00139|C00005</t>
  </si>
  <si>
    <t>https://www.genome.jp/entry/R10159</t>
  </si>
  <si>
    <t>C00662|C00006|C00080</t>
  </si>
  <si>
    <t>C00667|C00005</t>
  </si>
  <si>
    <t>5.4.2.3</t>
  </si>
  <si>
    <t>https://www.genome.jp/entry/5.4.2.3</t>
  </si>
  <si>
    <t>https://www.genome.jp/entry/R08193</t>
  </si>
  <si>
    <t>C04501</t>
  </si>
  <si>
    <t>5.4.2.10</t>
  </si>
  <si>
    <t>https://www.genome.jp/entry/5.4.2.10</t>
  </si>
  <si>
    <t>https://www.genome.jp/entry/R02060</t>
  </si>
  <si>
    <t>C06156</t>
  </si>
  <si>
    <t>C00352</t>
  </si>
  <si>
    <t>1.17.1.8</t>
  </si>
  <si>
    <t>https://www.genome.jp/entry/1.17.1.8</t>
  </si>
  <si>
    <t>https://www.genome.jp/entry/R04198</t>
  </si>
  <si>
    <t>C03972|C00003|C00001</t>
  </si>
  <si>
    <t>C20258|C00004|C00080</t>
  </si>
  <si>
    <t>https://www.genome.jp/entry/R04199</t>
  </si>
  <si>
    <t>C03972|C00006|C00001</t>
  </si>
  <si>
    <t>C20258|C00005|C00080</t>
  </si>
  <si>
    <t>2.7.7.72</t>
  </si>
  <si>
    <t>https://www.genome.jp/entry/2.7.7.72</t>
  </si>
  <si>
    <t>https://www.genome.jp/entry/R09382</t>
  </si>
  <si>
    <t>C02211|C00063|C00002</t>
  </si>
  <si>
    <t>C19085|C00013</t>
  </si>
  <si>
    <t>https://www.genome.jp/entry/R09383</t>
  </si>
  <si>
    <t>C02211|C00063</t>
  </si>
  <si>
    <t>C19078|C00013</t>
  </si>
  <si>
    <t>https://www.genome.jp/entry/R09384</t>
  </si>
  <si>
    <t>C19078|C00063</t>
  </si>
  <si>
    <t>C19080|C00013</t>
  </si>
  <si>
    <t>https://www.genome.jp/entry/R09386</t>
  </si>
  <si>
    <t>C19080|C00002</t>
  </si>
  <si>
    <t>2.7.7.19</t>
  </si>
  <si>
    <t>https://www.genome.jp/entry/2.7.7.19</t>
  </si>
  <si>
    <t>3.5.1.31</t>
  </si>
  <si>
    <t>https://www.genome.jp/entry/3.5.1.31</t>
  </si>
  <si>
    <t>https://www.genome.jp/entry/R00653</t>
  </si>
  <si>
    <t>C03145|C00001</t>
  </si>
  <si>
    <t>C00058|C00073</t>
  </si>
  <si>
    <t>3.5.1.88</t>
  </si>
  <si>
    <t>https://www.genome.jp/entry/3.5.1.88</t>
  </si>
  <si>
    <t>https://www.genome.jp/entry/R05635</t>
  </si>
  <si>
    <t>C11439|C00001</t>
  </si>
  <si>
    <t>C11440|C00058</t>
  </si>
  <si>
    <t>4.4.1.5</t>
  </si>
  <si>
    <t>https://www.genome.jp/entry/4.4.1.5</t>
  </si>
  <si>
    <t>https://www.genome.jp/entry/R02530</t>
  </si>
  <si>
    <t>C03451</t>
  </si>
  <si>
    <t>C00051|C00546</t>
  </si>
  <si>
    <t>6.1.1.22</t>
  </si>
  <si>
    <t>https://www.genome.jp/entry/6.1.1.22</t>
  </si>
  <si>
    <t>https://www.genome.jp/entry/R03648</t>
  </si>
  <si>
    <t>C00002|C00152|C01637</t>
  </si>
  <si>
    <t>C00020|C00013|C03402</t>
  </si>
  <si>
    <t>3.6.1.1</t>
  </si>
  <si>
    <t>https://www.genome.jp/entry/3.6.1.1</t>
  </si>
  <si>
    <t>https://www.genome.jp/entry/R00004</t>
  </si>
  <si>
    <t>C00013|C00001</t>
  </si>
  <si>
    <t>C00009</t>
  </si>
  <si>
    <t>6.3.2.13</t>
  </si>
  <si>
    <t>https://www.genome.jp/entry/6.3.2.13</t>
  </si>
  <si>
    <t>https://www.genome.jp/entry/R02788</t>
  </si>
  <si>
    <t>C00002|C00692|C00680</t>
  </si>
  <si>
    <t>C00008|C00009|C04877</t>
  </si>
  <si>
    <t>6.3.2.7</t>
  </si>
  <si>
    <t>https://www.genome.jp/entry/6.3.2.7</t>
  </si>
  <si>
    <t>https://www.genome.jp/entry/R02786</t>
  </si>
  <si>
    <t>C00002|C00692|C00047</t>
  </si>
  <si>
    <t>C00008|C00009|C05892</t>
  </si>
  <si>
    <t>2.5.1.-</t>
  </si>
  <si>
    <t>2.5.1.48</t>
  </si>
  <si>
    <t>https://www.genome.jp/entry/2.5.1.48</t>
  </si>
  <si>
    <t>https://www.genome.jp/entry/R03260</t>
  </si>
  <si>
    <t>C01118|C00097</t>
  </si>
  <si>
    <t>C02291|C00042</t>
  </si>
  <si>
    <t>https://www.genome.jp/entry/R00999</t>
  </si>
  <si>
    <t>C01118|C00001</t>
  </si>
  <si>
    <t>C00109|C00042|C00014</t>
  </si>
  <si>
    <t>https://www.genome.jp/entry/R01288</t>
  </si>
  <si>
    <t>C01118|C00283</t>
  </si>
  <si>
    <t>C00155|C00042</t>
  </si>
  <si>
    <t>https://www.genome.jp/entry/R02508</t>
  </si>
  <si>
    <t>C00542|C00042</t>
  </si>
  <si>
    <t>https://www.genome.jp/entry/R03217</t>
  </si>
  <si>
    <t>C01077|C00097</t>
  </si>
  <si>
    <t>C02291|C00033</t>
  </si>
  <si>
    <t>https://www.genome.jp/entry/R04944</t>
  </si>
  <si>
    <t>C05702|C05688</t>
  </si>
  <si>
    <t>C05699|C00009</t>
  </si>
  <si>
    <t>https://www.genome.jp/entry/R04945</t>
  </si>
  <si>
    <t>C01077|C05688</t>
  </si>
  <si>
    <t>C05699|C00033</t>
  </si>
  <si>
    <t>https://www.genome.jp/entry/R04946</t>
  </si>
  <si>
    <t>C01118|C05688</t>
  </si>
  <si>
    <t>C05699|C00042</t>
  </si>
  <si>
    <t>4.4.1.8</t>
  </si>
  <si>
    <t>https://www.genome.jp/entry/4.4.1.8</t>
  </si>
  <si>
    <t>6.3.2.8</t>
  </si>
  <si>
    <t>https://www.genome.jp/entry/6.3.2.8</t>
  </si>
  <si>
    <t>https://www.genome.jp/entry/R03193</t>
  </si>
  <si>
    <t>C00002|C01050|C00041</t>
  </si>
  <si>
    <t>C00008|C00009|C01212</t>
  </si>
  <si>
    <t>3.6.3.14</t>
  </si>
  <si>
    <t>https://www.genome.jp/entry/3.6.3.14</t>
  </si>
  <si>
    <t>5.5.1.5</t>
  </si>
  <si>
    <t>https://www.genome.jp/entry/5.5.1.5</t>
  </si>
  <si>
    <t>https://www.genome.jp/entry/R03308</t>
  </si>
  <si>
    <t>C04553</t>
  </si>
  <si>
    <t>C01163</t>
  </si>
  <si>
    <t>5.4.2.2</t>
  </si>
  <si>
    <t>https://www.genome.jp/entry/5.4.2.2</t>
  </si>
  <si>
    <t>https://www.genome.jp/entry/R08639</t>
  </si>
  <si>
    <t>C00103</t>
  </si>
  <si>
    <t>https://www.genome.jp/entry/R00959</t>
  </si>
  <si>
    <t>https://www.genome.jp/entry/R01057</t>
  </si>
  <si>
    <t>C00620</t>
  </si>
  <si>
    <t>C00117</t>
  </si>
  <si>
    <t>https://www.genome.jp/entry/R03319</t>
  </si>
  <si>
    <t>C01171</t>
  </si>
  <si>
    <t>C03735</t>
  </si>
  <si>
    <t>5.4.2.8</t>
  </si>
  <si>
    <t>https://www.genome.jp/entry/5.4.2.8</t>
  </si>
  <si>
    <t>https://www.genome.jp/entry/R01818</t>
  </si>
  <si>
    <t>C00275</t>
  </si>
  <si>
    <t>C00636</t>
  </si>
  <si>
    <t>1.1.1.274</t>
  </si>
  <si>
    <t>https://www.genome.jp/entry/1.1.1.274</t>
  </si>
  <si>
    <t>https://www.genome.jp/entry/R05823</t>
  </si>
  <si>
    <t>C06473|C00006</t>
  </si>
  <si>
    <t>C02780|C00005|C00080</t>
  </si>
  <si>
    <t>https://www.genome.jp/entry/R08878</t>
  </si>
  <si>
    <t>C15673|C00006</t>
  </si>
  <si>
    <t>6.1.1.14</t>
  </si>
  <si>
    <t>https://www.genome.jp/entry/6.1.1.14</t>
  </si>
  <si>
    <t>https://www.genome.jp/entry/R03654</t>
  </si>
  <si>
    <t>C00002|C000376|C01642</t>
  </si>
  <si>
    <t>C00020|C00013|C02412</t>
  </si>
  <si>
    <t>1.7.1.6</t>
  </si>
  <si>
    <t>https://www.genome.jp/entry/1.7.1.6</t>
  </si>
  <si>
    <t>https://www.genome.jp/entry/R05711</t>
  </si>
  <si>
    <t>C04203|C00292|C00006</t>
  </si>
  <si>
    <t>C03764|C00005|C00080</t>
  </si>
  <si>
    <t>1.6.99.3</t>
  </si>
  <si>
    <t>https://www.genome.jp/entry/1.6.99.3</t>
  </si>
  <si>
    <t>4.-.-.-</t>
  </si>
  <si>
    <t>2.6.-.-</t>
  </si>
  <si>
    <t>2.1.1.63</t>
  </si>
  <si>
    <t>https://www.genome.jp/entry/2.1.1.63</t>
  </si>
  <si>
    <t>https://www.genome.jp/entry/R04314</t>
  </si>
  <si>
    <t>C04250|C02743</t>
  </si>
  <si>
    <t>C03800|C11475</t>
  </si>
  <si>
    <t>https://www.genome.jp/entry/R04268</t>
  </si>
  <si>
    <t>C04258|C00001</t>
  </si>
  <si>
    <t>C00058|C03617</t>
  </si>
  <si>
    <t>3.1.3.23</t>
  </si>
  <si>
    <t>https://www.genome.jp/entry/3.1.3.23</t>
  </si>
  <si>
    <t>https://www.genome.jp/entry/R00804</t>
  </si>
  <si>
    <t>C00934|C00001</t>
  </si>
  <si>
    <t>C11477|C00009</t>
  </si>
  <si>
    <t>6.3.5.2</t>
  </si>
  <si>
    <t>https://www.genome.jp/entry/6.3.5.2</t>
  </si>
  <si>
    <t>https://www.genome.jp/entry/R01230</t>
  </si>
  <si>
    <t>C00002|C00655|C00014</t>
  </si>
  <si>
    <t>C00020|C00013|C00144</t>
  </si>
  <si>
    <t>https://www.genome.jp/entry/R01231</t>
  </si>
  <si>
    <t>C00002|C00655|C00064|C00001</t>
  </si>
  <si>
    <t>C00020|C00013|C00144|C00025</t>
  </si>
  <si>
    <t>https://www.genome.jp/entry/R08244</t>
  </si>
  <si>
    <t>C16618|C00002|C00064|C00001</t>
  </si>
  <si>
    <t>C16619|C00020|C00013|C00025</t>
  </si>
  <si>
    <t>3.6.3.42</t>
  </si>
  <si>
    <t>https://www.genome.jp/entry/3.6.3.42</t>
  </si>
  <si>
    <t>6.3.1.5</t>
  </si>
  <si>
    <t>https://www.genome.jp/entry/6.3.1.5</t>
  </si>
  <si>
    <t>https://www.genome.jp/entry/R00189</t>
  </si>
  <si>
    <t>C00002|C00857|C00014</t>
  </si>
  <si>
    <t>C00020|C00013|C00003</t>
  </si>
  <si>
    <t>3.5.99.6</t>
  </si>
  <si>
    <t>https://www.genome.jp/entry/3.5.99.6</t>
  </si>
  <si>
    <t>https://www.genome.jp/entry/R00765</t>
  </si>
  <si>
    <t>C00352|C00001</t>
  </si>
  <si>
    <t>C00085|C00014</t>
  </si>
  <si>
    <t>2.7.11.-</t>
  </si>
  <si>
    <t>2.4.99.-</t>
  </si>
  <si>
    <t>1.3.99.22</t>
  </si>
  <si>
    <t>https://www.genome.jp/entry/1.3.99.22</t>
  </si>
  <si>
    <t>1.3.3.3</t>
  </si>
  <si>
    <t>https://www.genome.jp/entry/1.3.3.3</t>
  </si>
  <si>
    <t>https://www.genome.jp/entry/R03220</t>
  </si>
  <si>
    <t>C03263|C00007</t>
  </si>
  <si>
    <t>C01079|C00011|C00001</t>
  </si>
  <si>
    <t>3.1.2.14</t>
  </si>
  <si>
    <t>https://www.genome.jp/entry/3.1.2.14</t>
  </si>
  <si>
    <t>https://www.genome.jp/entry/R02814</t>
  </si>
  <si>
    <t>C01203|C00001</t>
  </si>
  <si>
    <t>C00229|C00712</t>
  </si>
  <si>
    <t>https://www.genome.jp/entry/R01706</t>
  </si>
  <si>
    <t>C05764|C00001</t>
  </si>
  <si>
    <t>C00229|C00249</t>
  </si>
  <si>
    <t>https://www.genome.jp/entry/R04014</t>
  </si>
  <si>
    <t>C05223|C00001</t>
  </si>
  <si>
    <t>C00229|C02679</t>
  </si>
  <si>
    <t>https://www.genome.jp/entry/R08159</t>
  </si>
  <si>
    <t>C05761|C00001</t>
  </si>
  <si>
    <t>C00229|C06424</t>
  </si>
  <si>
    <t>https://www.genome.jp/entry/R08162</t>
  </si>
  <si>
    <t>C16520|C00001</t>
  </si>
  <si>
    <t>C00229|C08362</t>
  </si>
  <si>
    <t>https://www.genome.jp/entry/R08163</t>
  </si>
  <si>
    <t>C04088|C00001</t>
  </si>
  <si>
    <t>C00229|C01530</t>
  </si>
  <si>
    <t>https://www.genome.jp/entry/R12329</t>
  </si>
  <si>
    <t>C20683|C00001</t>
  </si>
  <si>
    <t>C00229|C00638</t>
  </si>
  <si>
    <t>3.1.3.25</t>
  </si>
  <si>
    <t>https://www.genome.jp/entry/3.1.3.25</t>
  </si>
  <si>
    <t>https://www.genome.jp/entry/R07343</t>
  </si>
  <si>
    <t>C15585|C00001</t>
  </si>
  <si>
    <t>C00137|C00009</t>
  </si>
  <si>
    <t>https://www.genome.jp/entry/R01185</t>
  </si>
  <si>
    <t>C01177|C00001</t>
  </si>
  <si>
    <t>https://www.genome.jp/entry/R01186</t>
  </si>
  <si>
    <t>C03546|C00001</t>
  </si>
  <si>
    <t>https://www.genome.jp/entry/R01187</t>
  </si>
  <si>
    <t>C04006|C00001</t>
  </si>
  <si>
    <t>2.1.1.178</t>
  </si>
  <si>
    <t>https://www.genome.jp/entry/2.1.1.178</t>
  </si>
  <si>
    <t>4.1.1.5</t>
  </si>
  <si>
    <t>https://www.genome.jp/entry/4.1.1.5</t>
  </si>
  <si>
    <t>https://www.genome.jp/entry/R02948</t>
  </si>
  <si>
    <t>C00810|C00011</t>
  </si>
  <si>
    <t>1.3.1.98</t>
  </si>
  <si>
    <t>https://www.genome.jp/entry/1.3.1.98</t>
  </si>
  <si>
    <t>https://www.genome.jp/entry/R03192</t>
  </si>
  <si>
    <t>C01050|C00006</t>
  </si>
  <si>
    <t>C04631|C00005|C00080</t>
  </si>
  <si>
    <t>https://www.genome.jp/entry/R03191</t>
  </si>
  <si>
    <t>C01050|C00003</t>
  </si>
  <si>
    <t>C04631|C00004|C00080</t>
  </si>
  <si>
    <t>6.1.1.7</t>
  </si>
  <si>
    <t>https://www.genome.jp/entry/6.1.1.7</t>
  </si>
  <si>
    <t>https://www.genome.jp/entry/R03038</t>
  </si>
  <si>
    <t>C00002|C00041|C01635</t>
  </si>
  <si>
    <t>C00020|C00013|C00886</t>
  </si>
  <si>
    <t>3.2.1.1</t>
  </si>
  <si>
    <t>https://www.genome.jp/entry/3.2.1.1</t>
  </si>
  <si>
    <t>https://www.genome.jp/entry/R02108</t>
  </si>
  <si>
    <t>C00369|C00001</t>
  </si>
  <si>
    <t>C00721|C00369</t>
  </si>
  <si>
    <t>https://www.genome.jp/entry/R02112</t>
  </si>
  <si>
    <t>C00369</t>
  </si>
  <si>
    <t>C00721|C00208</t>
  </si>
  <si>
    <t>https://www.genome.jp/entry/R06209</t>
  </si>
  <si>
    <t>G10545|C00001</t>
  </si>
  <si>
    <t>G10545|G10545</t>
  </si>
  <si>
    <t>https://www.genome.jp/entry/R11262</t>
  </si>
  <si>
    <t>C01935|C00001</t>
  </si>
  <si>
    <t>2.1.1.191</t>
  </si>
  <si>
    <t>https://www.genome.jp/entry/2.1.1.191</t>
  </si>
  <si>
    <t>4.2.1.10</t>
  </si>
  <si>
    <t>https://www.genome.jp/entry/4.2.1.10</t>
  </si>
  <si>
    <t>https://www.genome.jp/entry/R03084</t>
  </si>
  <si>
    <t>C00944</t>
  </si>
  <si>
    <t>C02637|C00001</t>
  </si>
  <si>
    <t>1.1.1.25</t>
  </si>
  <si>
    <t>https://www.genome.jp/entry/1.1.1.25</t>
  </si>
  <si>
    <t>https://www.genome.jp/entry/R02413</t>
  </si>
  <si>
    <t>C00493|C00006</t>
  </si>
  <si>
    <t>C02637|C00005|C00080</t>
  </si>
  <si>
    <t>https://www.genome.jp/entry/R12885</t>
  </si>
  <si>
    <t>C02637|C00006</t>
  </si>
  <si>
    <t>C22438|C00005|C00080</t>
  </si>
  <si>
    <t>4.2.3.4</t>
  </si>
  <si>
    <t>https://www.genome.jp/entry/4.2.3.4</t>
  </si>
  <si>
    <t>https://www.genome.jp/entry/R03083</t>
  </si>
  <si>
    <t>C04691</t>
  </si>
  <si>
    <t>C00944|C00009</t>
  </si>
  <si>
    <t>4.2.3.5</t>
  </si>
  <si>
    <t>https://www.genome.jp/entry/4.2.3.5</t>
  </si>
  <si>
    <t>https://www.genome.jp/entry/R01714</t>
  </si>
  <si>
    <t>C01269</t>
  </si>
  <si>
    <t>C00251|C00009</t>
  </si>
  <si>
    <t>1.3.1.12</t>
  </si>
  <si>
    <t>https://www.genome.jp/entry/1.3.1.12</t>
  </si>
  <si>
    <t>https://www.genome.jp/entry/R01728</t>
  </si>
  <si>
    <t>C00254|C00003</t>
  </si>
  <si>
    <t>C01179|C00011|C00004|C00080</t>
  </si>
  <si>
    <t>1.3.1.43</t>
  </si>
  <si>
    <t>https://www.genome.jp/entry/1.3.1.43</t>
  </si>
  <si>
    <t>https://www.genome.jp/entry/R00732</t>
  </si>
  <si>
    <t>C00826|C00003</t>
  </si>
  <si>
    <t>C00082|C00011|C00004|C00080</t>
  </si>
  <si>
    <t>2.5.1.19</t>
  </si>
  <si>
    <t>https://www.genome.jp/entry/2.5.1.19</t>
  </si>
  <si>
    <t>https://www.genome.jp/entry/R03460</t>
  </si>
  <si>
    <t>C00074|C03175</t>
  </si>
  <si>
    <t>C00009|C01269</t>
  </si>
  <si>
    <t>2.7.1.71</t>
  </si>
  <si>
    <t>https://www.genome.jp/entry/2.7.1.71</t>
  </si>
  <si>
    <t>https://www.genome.jp/entry/R02412</t>
  </si>
  <si>
    <t>C00002|C00493</t>
  </si>
  <si>
    <t>C00008|C03175</t>
  </si>
  <si>
    <t>4.2.1.51</t>
  </si>
  <si>
    <t>https://www.genome.jp/entry/4.2.1.51</t>
  </si>
  <si>
    <t>https://www.genome.jp/entry/R01373</t>
  </si>
  <si>
    <t>C00254</t>
  </si>
  <si>
    <t>C00166|C00001|C00011</t>
  </si>
  <si>
    <t>https://www.genome.jp/entry/R00691</t>
  </si>
  <si>
    <t>C00826</t>
  </si>
  <si>
    <t>C00079|C00001|C00011</t>
  </si>
  <si>
    <t>https://www.genome.jp/entry/R05327</t>
  </si>
  <si>
    <t>C00043|C00167</t>
  </si>
  <si>
    <t>C00518|C00015</t>
  </si>
  <si>
    <t>https://www.genome.jp/entry/R06068</t>
  </si>
  <si>
    <t>G10610|G10612</t>
  </si>
  <si>
    <t>G10505|G10619</t>
  </si>
  <si>
    <t>C00263|C00006</t>
  </si>
  <si>
    <t>2.7.1.39</t>
  </si>
  <si>
    <t>https://www.genome.jp/entry/2.7.1.39</t>
  </si>
  <si>
    <t>https://www.genome.jp/entry/R01771</t>
  </si>
  <si>
    <t>C00002|C00263</t>
  </si>
  <si>
    <t>C00008|C01102</t>
  </si>
  <si>
    <t>3.5.4.28</t>
  </si>
  <si>
    <t>https://www.genome.jp/entry/3.5.4.28</t>
  </si>
  <si>
    <t>https://www.genome.jp/entry/R00193</t>
  </si>
  <si>
    <t>C00021|C00001</t>
  </si>
  <si>
    <t>C03431|C00014</t>
  </si>
  <si>
    <t>2.1.1.37</t>
  </si>
  <si>
    <t>https://www.genome.jp/entry/2.1.1.37</t>
  </si>
  <si>
    <t>https://www.genome.jp/entry/R00380</t>
  </si>
  <si>
    <t>C00019|C00039</t>
  </si>
  <si>
    <t>C00021|C02967</t>
  </si>
  <si>
    <t>C00019|C00856</t>
  </si>
  <si>
    <t>5.1.3.24</t>
  </si>
  <si>
    <t>https://www.genome.jp/entry/5.1.3.24</t>
  </si>
  <si>
    <t>https://www.genome.jp/entry/R09797</t>
  </si>
  <si>
    <t>C19909</t>
  </si>
  <si>
    <t>C19910</t>
  </si>
  <si>
    <t>https://www.genome.jp/entry/R12769</t>
  </si>
  <si>
    <t>https://www.genome.jp/entry/R12770</t>
  </si>
  <si>
    <t>3.1.3.27</t>
  </si>
  <si>
    <t>https://www.genome.jp/entry/3.1.3.27</t>
  </si>
  <si>
    <t>https://www.genome.jp/entry/R02029</t>
  </si>
  <si>
    <t>C03892|C00001</t>
  </si>
  <si>
    <t>C00344|C00009</t>
  </si>
  <si>
    <t>1.4.1.-</t>
  </si>
  <si>
    <t>1.4.1.4</t>
  </si>
  <si>
    <t>https://www.genome.jp/entry/1.4.1.4</t>
  </si>
  <si>
    <t>https://www.genome.jp/entry/R00248</t>
  </si>
  <si>
    <t>C00025|C00006|C00001</t>
  </si>
  <si>
    <t>C00026|C00014|C00005|C00080</t>
  </si>
  <si>
    <t>https://www.genome.jp/entry/R00145</t>
  </si>
  <si>
    <t>C05167|C00001|C00003</t>
  </si>
  <si>
    <t>C00161|C00014|C00004|C00080</t>
  </si>
  <si>
    <t>https://www.genome.jp/entry/R00146</t>
  </si>
  <si>
    <t>C05167|C00001|C00006</t>
  </si>
  <si>
    <t>C00161|C00014|C00005|C00080</t>
  </si>
  <si>
    <t>4.2.99.18</t>
  </si>
  <si>
    <t>https://www.genome.jp/entry/4.2.99.18</t>
  </si>
  <si>
    <t>2.1.3.2</t>
  </si>
  <si>
    <t>https://www.genome.jp/entry/2.1.3.2</t>
  </si>
  <si>
    <t>https://www.genome.jp/entry/R01397</t>
  </si>
  <si>
    <t>C00169|C00049</t>
  </si>
  <si>
    <t>C00009|C00438</t>
  </si>
  <si>
    <t>6.3.5.5</t>
  </si>
  <si>
    <t>https://www.genome.jp/entry/6.3.5.5</t>
  </si>
  <si>
    <t>https://www.genome.jp/entry/R00575</t>
  </si>
  <si>
    <t>C00002|C00064|C00288|C00001</t>
  </si>
  <si>
    <t>C00008|C00009|C00025|C00169</t>
  </si>
  <si>
    <t>https://www.genome.jp/entry/R10948</t>
  </si>
  <si>
    <t>C00002|C00288</t>
  </si>
  <si>
    <t>C00008|C20969</t>
  </si>
  <si>
    <t>https://www.genome.jp/entry/R10949</t>
  </si>
  <si>
    <t>C00014|C20969</t>
  </si>
  <si>
    <t>C01563|C00009</t>
  </si>
  <si>
    <t>https://www.genome.jp/entry/R07641</t>
  </si>
  <si>
    <t>C00002|C00288|C00014</t>
  </si>
  <si>
    <t>C00008|C00009|C00169</t>
  </si>
  <si>
    <t>2.7.7.60</t>
  </si>
  <si>
    <t>https://www.genome.jp/entry/2.7.7.60</t>
  </si>
  <si>
    <t>https://www.genome.jp/entry/R05633</t>
  </si>
  <si>
    <t>C11434|C00063</t>
  </si>
  <si>
    <t>C11435|C00013</t>
  </si>
  <si>
    <t>1.1.1.264</t>
  </si>
  <si>
    <t>https://www.genome.jp/entry/1.1.1.264</t>
  </si>
  <si>
    <t>https://www.genome.jp/entry/R05683</t>
  </si>
  <si>
    <t>C00770|C00003</t>
  </si>
  <si>
    <t>https://www.genome.jp/entry/R05684</t>
  </si>
  <si>
    <t>C00770|C00006</t>
  </si>
  <si>
    <t>2.7.7.15</t>
  </si>
  <si>
    <t>https://www.genome.jp/entry/2.7.7.15</t>
  </si>
  <si>
    <t>https://www.genome.jp/entry/R01890</t>
  </si>
  <si>
    <t>C00063|C00588</t>
  </si>
  <si>
    <t>C00013|C00307</t>
  </si>
  <si>
    <t>https://www.genome.jp/entry/R02590</t>
  </si>
  <si>
    <t>C00063|C06459</t>
  </si>
  <si>
    <t>C00013|C05674</t>
  </si>
  <si>
    <t>5.99.1.2</t>
  </si>
  <si>
    <t>https://www.genome.jp/entry/5.99.1.2</t>
  </si>
  <si>
    <t>1.1.1.85</t>
  </si>
  <si>
    <t>https://www.genome.jp/entry/1.1.1.85</t>
  </si>
  <si>
    <t>https://www.genome.jp/entry/R01652</t>
  </si>
  <si>
    <t>C00233|C00011</t>
  </si>
  <si>
    <t>C04236</t>
  </si>
  <si>
    <t>https://www.genome.jp/entry/R04426</t>
  </si>
  <si>
    <t>C04411|C00003</t>
  </si>
  <si>
    <t>C04236|C00004|C00080</t>
  </si>
  <si>
    <t>https://www.genome.jp/entry/R10052</t>
  </si>
  <si>
    <t>C00233|C00011|C00004|C00080</t>
  </si>
  <si>
    <t>https://www.genome.jp/entry/R00994</t>
  </si>
  <si>
    <t>C00109|C00011|C00004|C00080</t>
  </si>
  <si>
    <t>C06032|C00003</t>
  </si>
  <si>
    <t>2.3.3.13</t>
  </si>
  <si>
    <t>https://www.genome.jp/entry/2.3.3.13</t>
  </si>
  <si>
    <t>https://www.genome.jp/entry/R01213</t>
  </si>
  <si>
    <t>C02504|C00010</t>
  </si>
  <si>
    <t>C00024|C00141|C00001</t>
  </si>
  <si>
    <t>4.2.1.33</t>
  </si>
  <si>
    <t>https://www.genome.jp/entry/4.2.1.33</t>
  </si>
  <si>
    <t>https://www.genome.jp/entry/R03968</t>
  </si>
  <si>
    <t>C02504</t>
  </si>
  <si>
    <t>C02631|C00001</t>
  </si>
  <si>
    <t>https://www.genome.jp/entry/R04001</t>
  </si>
  <si>
    <t>C04411</t>
  </si>
  <si>
    <t>https://www.genome.jp/entry/R10170</t>
  </si>
  <si>
    <t>1.7.1.7</t>
  </si>
  <si>
    <t>https://www.genome.jp/entry/1.7.1.7</t>
  </si>
  <si>
    <t>https://www.genome.jp/entry/R01134</t>
  </si>
  <si>
    <t>C00130|C00014|C00006</t>
  </si>
  <si>
    <t>C00144|C00005|C00080</t>
  </si>
  <si>
    <t>3.1.26.3</t>
  </si>
  <si>
    <t>https://www.genome.jp/entry/3.1.26.3</t>
  </si>
  <si>
    <t>1.1.1.49</t>
  </si>
  <si>
    <t>https://www.genome.jp/entry/1.1.1.49</t>
  </si>
  <si>
    <t>https://www.genome.jp/entry/R00835</t>
  </si>
  <si>
    <t>C00092|C00006</t>
  </si>
  <si>
    <t>C01236|C00005|C00080</t>
  </si>
  <si>
    <t>https://www.genome.jp/entry/R02736</t>
  </si>
  <si>
    <t>C01172|C00006</t>
  </si>
  <si>
    <t>3.1.25.-</t>
  </si>
  <si>
    <t>3.6.1.55</t>
  </si>
  <si>
    <t>https://www.genome.jp/entry/3.6.1.55</t>
  </si>
  <si>
    <t>https://www.genome.jp/entry/R09832</t>
  </si>
  <si>
    <t>C19967|C00001</t>
  </si>
  <si>
    <t>C19968</t>
  </si>
  <si>
    <t>6.3.4.3</t>
  </si>
  <si>
    <t>https://www.genome.jp/entry/6.3.4.3</t>
  </si>
  <si>
    <t>https://www.genome.jp/entry/R00943</t>
  </si>
  <si>
    <t>C00101|C00058|C00002</t>
  </si>
  <si>
    <t>C00008|C00009|C00234</t>
  </si>
  <si>
    <t>3.2.2.-</t>
  </si>
  <si>
    <t>1.1.1.27</t>
  </si>
  <si>
    <t>https://www.genome.jp/entry/1.1.1.27</t>
  </si>
  <si>
    <t>https://www.genome.jp/entry/R00703</t>
  </si>
  <si>
    <t>C00186|C00003</t>
  </si>
  <si>
    <t>C00022|C00004|C00080</t>
  </si>
  <si>
    <t>https://www.genome.jp/entry/R01000</t>
  </si>
  <si>
    <t>C05984|C00003</t>
  </si>
  <si>
    <t>C00109|C00004|C00080</t>
  </si>
  <si>
    <t>https://www.genome.jp/entry/R03104</t>
  </si>
  <si>
    <t>C05823|C00003</t>
  </si>
  <si>
    <t>C00957|C00004|C00080</t>
  </si>
  <si>
    <t>5.99.1.3</t>
  </si>
  <si>
    <t>https://www.genome.jp/entry/5.99.1.3</t>
  </si>
  <si>
    <t>2.5.1.49</t>
  </si>
  <si>
    <t>https://www.genome.jp/entry/2.5.1.49</t>
  </si>
  <si>
    <t>https://www.genome.jp/entry/R00651</t>
  </si>
  <si>
    <t>C01077|C00409</t>
  </si>
  <si>
    <t>C00073|C00033</t>
  </si>
  <si>
    <t>https://www.genome.jp/entry/R01287</t>
  </si>
  <si>
    <t>C01077|C00283</t>
  </si>
  <si>
    <t>C00155|C00033</t>
  </si>
  <si>
    <t>4.4.1.11</t>
  </si>
  <si>
    <t>https://www.genome.jp/entry/4.4.1.11</t>
  </si>
  <si>
    <t>https://www.genome.jp/entry/R00654</t>
  </si>
  <si>
    <t>C00073|C00001</t>
  </si>
  <si>
    <t>C00409|C00014|C00109</t>
  </si>
  <si>
    <t>https://www.genome.jp/entry/R08635</t>
  </si>
  <si>
    <t>C00073</t>
  </si>
  <si>
    <t>C00409|C17234</t>
  </si>
  <si>
    <t>https://www.genome.jp/entry/R04770</t>
  </si>
  <si>
    <t>C05335|C00001</t>
  </si>
  <si>
    <t>C05703|C00014|C00109</t>
  </si>
  <si>
    <t>5.4.99.25</t>
  </si>
  <si>
    <t>https://www.genome.jp/entry/5.4.99.25</t>
  </si>
  <si>
    <t>2.7.1.48</t>
  </si>
  <si>
    <t>https://www.genome.jp/entry/2.7.1.48</t>
  </si>
  <si>
    <t>https://www.genome.jp/entry/R00513</t>
  </si>
  <si>
    <t>C00002|C00475</t>
  </si>
  <si>
    <t>C00008|C00055</t>
  </si>
  <si>
    <t>https://www.genome.jp/entry/R00964</t>
  </si>
  <si>
    <t>C00002|C00299</t>
  </si>
  <si>
    <t>C00008|C00105</t>
  </si>
  <si>
    <t>https://www.genome.jp/entry/R00517</t>
  </si>
  <si>
    <t>C00044|C00475</t>
  </si>
  <si>
    <t>C00035|C00055</t>
  </si>
  <si>
    <t>https://www.genome.jp/entry/R00968</t>
  </si>
  <si>
    <t>C00044|C00299</t>
  </si>
  <si>
    <t>C00035|C00105</t>
  </si>
  <si>
    <t>https://www.genome.jp/entry/R08232</t>
  </si>
  <si>
    <t>C16633|C00002</t>
  </si>
  <si>
    <t>C16634|C00008</t>
  </si>
  <si>
    <t>3.1.11.6</t>
  </si>
  <si>
    <t>https://www.genome.jp/entry/3.1.11.6</t>
  </si>
  <si>
    <t>2.5.1.10</t>
  </si>
  <si>
    <t>https://www.genome.jp/entry/2.5.1.10</t>
  </si>
  <si>
    <t>https://www.genome.jp/entry/R02003</t>
  </si>
  <si>
    <t>C00341|C00129</t>
  </si>
  <si>
    <t>C00013|C00448</t>
  </si>
  <si>
    <t>2.1.1.226</t>
  </si>
  <si>
    <t>https://www.genome.jp/entry/2.1.1.226</t>
  </si>
  <si>
    <t>3.6.5.-</t>
  </si>
  <si>
    <t>2.8.1.7</t>
  </si>
  <si>
    <t>https://www.genome.jp/entry/2.8.1.7</t>
  </si>
  <si>
    <t>https://www.genome.jp/entry/R07460</t>
  </si>
  <si>
    <t>C15811|C00097</t>
  </si>
  <si>
    <t>C15812|C00041</t>
  </si>
  <si>
    <t>https://www.genome.jp/entry/R11528</t>
  </si>
  <si>
    <t>C00097|C02743</t>
  </si>
  <si>
    <t>C00041|C21440</t>
  </si>
  <si>
    <t>https://www.genome.jp/entry/R11529</t>
  </si>
  <si>
    <t>C15812|C02743</t>
  </si>
  <si>
    <t>C15811|C21440</t>
  </si>
  <si>
    <t>2.7.1.23</t>
  </si>
  <si>
    <t>https://www.genome.jp/entry/2.7.1.23</t>
  </si>
  <si>
    <t>https://www.genome.jp/entry/R00104</t>
  </si>
  <si>
    <t>C00002|C00003</t>
  </si>
  <si>
    <t>C00008|C00006</t>
  </si>
  <si>
    <t>5.4.99.23</t>
  </si>
  <si>
    <t>https://www.genome.jp/entry/5.4.99.23</t>
  </si>
  <si>
    <t>2.3.1.8</t>
  </si>
  <si>
    <t>https://www.genome.jp/entry/2.3.1.8</t>
  </si>
  <si>
    <t>https://www.genome.jp/entry/R00230</t>
  </si>
  <si>
    <t>C00024|C00009</t>
  </si>
  <si>
    <t>C00010|C00227</t>
  </si>
  <si>
    <t>https://www.genome.jp/entry/R00921</t>
  </si>
  <si>
    <t>C00100|C00009</t>
  </si>
  <si>
    <t>C02876|C00010</t>
  </si>
  <si>
    <t>2.7.7.2</t>
  </si>
  <si>
    <t>https://www.genome.jp/entry/2.7.7.2</t>
  </si>
  <si>
    <t>https://www.genome.jp/entry/R00161</t>
  </si>
  <si>
    <t>C00002|C00061</t>
  </si>
  <si>
    <t>C00013|C00016</t>
  </si>
  <si>
    <t>6.5.1.2</t>
  </si>
  <si>
    <t>https://www.genome.jp/entry/6.5.1.2</t>
  </si>
  <si>
    <t>https://www.genome.jp/entry/R00382</t>
  </si>
  <si>
    <t>C00003|C00039|C02128</t>
  </si>
  <si>
    <t>C00020|C00455|C00039</t>
  </si>
  <si>
    <t>1.2.1.9</t>
  </si>
  <si>
    <t>https://www.genome.jp/entry/1.2.1.9</t>
  </si>
  <si>
    <t>https://www.genome.jp/entry/R01058</t>
  </si>
  <si>
    <t>C00118|C00006|C00001</t>
  </si>
  <si>
    <t>C00197|C00005|C00080</t>
  </si>
  <si>
    <t>2.4.1.18</t>
  </si>
  <si>
    <t>https://www.genome.jp/entry/2.4.1.18</t>
  </si>
  <si>
    <t>https://www.genome.jp/entry/R02110</t>
  </si>
  <si>
    <t>C00718</t>
  </si>
  <si>
    <t>https://www.genome.jp/entry/R06186</t>
  </si>
  <si>
    <t>G10495</t>
  </si>
  <si>
    <t>G10545</t>
  </si>
  <si>
    <t>2.4.1.21</t>
  </si>
  <si>
    <t>https://www.genome.jp/entry/2.4.1.21</t>
  </si>
  <si>
    <t>https://www.genome.jp/entry/R02421</t>
  </si>
  <si>
    <t>C00498|C00718</t>
  </si>
  <si>
    <t>C00008|C00718</t>
  </si>
  <si>
    <t>https://www.genome.jp/entry/R06049</t>
  </si>
  <si>
    <t>G10495|G11109</t>
  </si>
  <si>
    <t>G10495|G11113</t>
  </si>
  <si>
    <t>3.1.3.3</t>
  </si>
  <si>
    <t>https://www.genome.jp/entry/3.1.3.3</t>
  </si>
  <si>
    <t>https://www.genome.jp/entry/R00582</t>
  </si>
  <si>
    <t>C01005|C00001</t>
  </si>
  <si>
    <t>C00065|C00009</t>
  </si>
  <si>
    <t>https://www.genome.jp/entry/R02853</t>
  </si>
  <si>
    <t>C02532|C00001</t>
  </si>
  <si>
    <t>C00740|C00009</t>
  </si>
  <si>
    <t>2.7.1.31</t>
  </si>
  <si>
    <t>https://www.genome.jp/entry/2.7.1.31</t>
  </si>
  <si>
    <t>https://www.genome.jp/entry/R01514</t>
  </si>
  <si>
    <t>C00002|C00258</t>
  </si>
  <si>
    <t>C00008|C00197</t>
  </si>
  <si>
    <t>4.2.1.11</t>
  </si>
  <si>
    <t>https://www.genome.jp/entry/4.2.1.11</t>
  </si>
  <si>
    <t>https://www.genome.jp/entry/R00658</t>
  </si>
  <si>
    <t>C00631</t>
  </si>
  <si>
    <t>C00074|C00001</t>
  </si>
  <si>
    <t>https://www.genome.jp/entry/R04206</t>
  </si>
  <si>
    <t>C03356</t>
  </si>
  <si>
    <t>C04309|C00001</t>
  </si>
  <si>
    <t>3.4.24.13</t>
  </si>
  <si>
    <t>https://www.genome.jp/entry/3.4.24.13</t>
  </si>
  <si>
    <t>https://www.genome.jp/entry/R04858</t>
  </si>
  <si>
    <t>2.7.7.63</t>
  </si>
  <si>
    <t>https://www.genome.jp/entry/2.7.7.63</t>
  </si>
  <si>
    <t>2.3.1.12</t>
  </si>
  <si>
    <t>https://www.genome.jp/entry/2.3.1.12</t>
  </si>
  <si>
    <t>https://www.genome.jp/entry/R02569</t>
  </si>
  <si>
    <t>C00024|C15973</t>
  </si>
  <si>
    <t>C00010|C16255</t>
  </si>
  <si>
    <t>1.2.4.4</t>
  </si>
  <si>
    <t>https://www.genome.jp/entry/1.2.4.4</t>
  </si>
  <si>
    <t>https://www.genome.jp/entry/R01701</t>
  </si>
  <si>
    <t>C00141|C15972</t>
  </si>
  <si>
    <t>C15977|C00011</t>
  </si>
  <si>
    <t>https://www.genome.jp/entry/R01702</t>
  </si>
  <si>
    <t>C00233|C15972</t>
  </si>
  <si>
    <t>C15975|C00011</t>
  </si>
  <si>
    <t>https://www.genome.jp/entry/R04225</t>
  </si>
  <si>
    <t>C00671|C15972</t>
  </si>
  <si>
    <t>C15979|C00011</t>
  </si>
  <si>
    <t>https://www.genome.jp/entry/R07599</t>
  </si>
  <si>
    <t>C00141|C00068</t>
  </si>
  <si>
    <t>C15976|C00011</t>
  </si>
  <si>
    <t>https://www.genome.jp/entry/R07600</t>
  </si>
  <si>
    <t>C15976|C15972</t>
  </si>
  <si>
    <t>C15977|C00068</t>
  </si>
  <si>
    <t>https://www.genome.jp/entry/R07601</t>
  </si>
  <si>
    <t>C00233|C00068</t>
  </si>
  <si>
    <t>C15974|C00011</t>
  </si>
  <si>
    <t>https://www.genome.jp/entry/R07602</t>
  </si>
  <si>
    <t>C15974|C15972</t>
  </si>
  <si>
    <t>C15975|C00068</t>
  </si>
  <si>
    <t>https://www.genome.jp/entry/R07603</t>
  </si>
  <si>
    <t>C00671|C00068</t>
  </si>
  <si>
    <t>C15978|C00011</t>
  </si>
  <si>
    <t>https://www.genome.jp/entry/R07604</t>
  </si>
  <si>
    <t>C15978|C15972</t>
  </si>
  <si>
    <t>C15979|C00068</t>
  </si>
  <si>
    <t>https://www.genome.jp/entry/R10996</t>
  </si>
  <si>
    <t>C00109|C00068</t>
  </si>
  <si>
    <t>C21017|C00011</t>
  </si>
  <si>
    <t>https://www.genome.jp/entry/R10997</t>
  </si>
  <si>
    <t>C21017|C15972</t>
  </si>
  <si>
    <t>C21018|C00068</t>
  </si>
  <si>
    <t>1.2.4.1</t>
  </si>
  <si>
    <t>https://www.genome.jp/entry/1.2.4.1</t>
  </si>
  <si>
    <t>https://www.genome.jp/entry/R01699</t>
  </si>
  <si>
    <t>C00022|C15972</t>
  </si>
  <si>
    <t>C16255|C00011</t>
  </si>
  <si>
    <t>https://www.genome.jp/entry/R03270</t>
  </si>
  <si>
    <t>C05125|C15972</t>
  </si>
  <si>
    <t>C16255|C00068</t>
  </si>
  <si>
    <t>3.5.2.3</t>
  </si>
  <si>
    <t>https://www.genome.jp/entry/3.5.2.3</t>
  </si>
  <si>
    <t>https://www.genome.jp/entry/R01993</t>
  </si>
  <si>
    <t>C00337|C00001</t>
  </si>
  <si>
    <t>C00438</t>
  </si>
  <si>
    <t>C19968|C00013</t>
  </si>
  <si>
    <t>3.2.2.27</t>
  </si>
  <si>
    <t>https://www.genome.jp/entry/3.2.2.27</t>
  </si>
  <si>
    <t>2.7.3.9</t>
  </si>
  <si>
    <t>https://www.genome.jp/entry/2.7.3.9</t>
  </si>
  <si>
    <t>https://www.genome.jp/entry/R02628</t>
  </si>
  <si>
    <t>C00074|C00615</t>
  </si>
  <si>
    <t>C00022|C04261</t>
  </si>
  <si>
    <t>1.17.4.1</t>
  </si>
  <si>
    <t>https://www.genome.jp/entry/1.17.4.1</t>
  </si>
  <si>
    <t>https://www.genome.jp/entry/R04294</t>
  </si>
  <si>
    <t>C04232|C00343|C00001</t>
  </si>
  <si>
    <t>C03723|C00342</t>
  </si>
  <si>
    <t>https://www.genome.jp/entry/R02017</t>
  </si>
  <si>
    <t>C00206|C00343|C00001</t>
  </si>
  <si>
    <t>C00342|C00008</t>
  </si>
  <si>
    <t>https://www.genome.jp/entry/R02018</t>
  </si>
  <si>
    <t>C01346|C00343|C00001</t>
  </si>
  <si>
    <t>C00342|C00015</t>
  </si>
  <si>
    <t>https://www.genome.jp/entry/R02019</t>
  </si>
  <si>
    <t>C00361|C00343|C00001</t>
  </si>
  <si>
    <t>C00035|C00342</t>
  </si>
  <si>
    <t>https://www.genome.jp/entry/R02024</t>
  </si>
  <si>
    <t>C00705|C00343|C00001</t>
  </si>
  <si>
    <t>C00342|C00112</t>
  </si>
  <si>
    <t>https://www.genome.jp/entry/R08363</t>
  </si>
  <si>
    <t>C04232|C16664|C00001</t>
  </si>
  <si>
    <t>C03723|C16663</t>
  </si>
  <si>
    <t>https://www.genome.jp/entry/R08364</t>
  </si>
  <si>
    <t>C04232|C03170|C00001</t>
  </si>
  <si>
    <t>C03723|C02090</t>
  </si>
  <si>
    <t>https://www.genome.jp/entry/R11893</t>
  </si>
  <si>
    <t>C21750|C00343|C00001</t>
  </si>
  <si>
    <t>C21748|C00342</t>
  </si>
  <si>
    <t>4.1.2.40</t>
  </si>
  <si>
    <t>https://www.genome.jp/entry/4.1.2.40</t>
  </si>
  <si>
    <t>https://www.genome.jp/entry/R01069</t>
  </si>
  <si>
    <t>C03785</t>
  </si>
  <si>
    <t>C00111|C00118</t>
  </si>
  <si>
    <t>2.7.1.144</t>
  </si>
  <si>
    <t>https://www.genome.jp/entry/2.7.1.144</t>
  </si>
  <si>
    <t>https://www.genome.jp/entry/R03236</t>
  </si>
  <si>
    <t>C01097|C00002</t>
  </si>
  <si>
    <t>C03785|C00008</t>
  </si>
  <si>
    <t>5.3.1.26</t>
  </si>
  <si>
    <t>https://www.genome.jp/entry/5.3.1.26</t>
  </si>
  <si>
    <t>https://www.genome.jp/entry/R03240</t>
  </si>
  <si>
    <t>C01113</t>
  </si>
  <si>
    <t>C01097</t>
  </si>
  <si>
    <t>3.4.11.18</t>
  </si>
  <si>
    <t>https://www.genome.jp/entry/3.4.11.18</t>
  </si>
  <si>
    <t>2.4.1.250</t>
  </si>
  <si>
    <t>https://www.genome.jp/entry/2.4.1.250</t>
  </si>
  <si>
    <t>https://www.genome.jp/entry/R09634</t>
  </si>
  <si>
    <t>C00043|C04006</t>
  </si>
  <si>
    <t>C19761|C00015</t>
  </si>
  <si>
    <t>2.7.7.-</t>
  </si>
  <si>
    <t>4.1.1.31</t>
  </si>
  <si>
    <t>https://www.genome.jp/entry/4.1.1.31</t>
  </si>
  <si>
    <t>https://www.genome.jp/entry/R00345</t>
  </si>
  <si>
    <t>C00009|C00036</t>
  </si>
  <si>
    <t>C00001|C00074|C00011</t>
  </si>
  <si>
    <t>3.2.1.-</t>
  </si>
  <si>
    <t>2.1.2.1</t>
  </si>
  <si>
    <t>https://www.genome.jp/entry/2.1.2.1</t>
  </si>
  <si>
    <t>https://www.genome.jp/entry/R00945</t>
  </si>
  <si>
    <t>C00143|C00037|C00001</t>
  </si>
  <si>
    <t>C00101|C00065</t>
  </si>
  <si>
    <t>https://www.genome.jp/entry/R09099</t>
  </si>
  <si>
    <t>C00065|C01217</t>
  </si>
  <si>
    <t>C04377|C00037|C00001</t>
  </si>
  <si>
    <t>2.7.1.21</t>
  </si>
  <si>
    <t>https://www.genome.jp/entry/2.7.1.21</t>
  </si>
  <si>
    <t>https://www.genome.jp/entry/R01567</t>
  </si>
  <si>
    <t>C00002|C00214</t>
  </si>
  <si>
    <t>C00008|C00364</t>
  </si>
  <si>
    <t>https://www.genome.jp/entry/R02099</t>
  </si>
  <si>
    <t>C00002|C00526</t>
  </si>
  <si>
    <t>C00008|C00365</t>
  </si>
  <si>
    <t>https://www.genome.jp/entry/R08233</t>
  </si>
  <si>
    <t>C11736|C00002</t>
  </si>
  <si>
    <t>C04242|C00008</t>
  </si>
  <si>
    <t>5.3.2.-</t>
  </si>
  <si>
    <t>4.3.3.7</t>
  </si>
  <si>
    <t>https://www.genome.jp/entry/4.3.3.7</t>
  </si>
  <si>
    <t>https://www.genome.jp/entry/R10147</t>
  </si>
  <si>
    <t>C00441|C00022</t>
  </si>
  <si>
    <t>C20258|C00001</t>
  </si>
  <si>
    <t>1.2.1.11</t>
  </si>
  <si>
    <t>https://www.genome.jp/entry/1.2.1.11</t>
  </si>
  <si>
    <t>https://www.genome.jp/entry/R02291</t>
  </si>
  <si>
    <t>C00441|C00009|C00006</t>
  </si>
  <si>
    <t>C03082|C00005|C00080</t>
  </si>
  <si>
    <t>4.99.1.1</t>
  </si>
  <si>
    <t>https://www.genome.jp/entry/4.99.1.1</t>
  </si>
  <si>
    <t>3.4.11.4</t>
  </si>
  <si>
    <t>https://www.genome.jp/entry/3.4.11.4</t>
  </si>
  <si>
    <t>1.8.1.8</t>
  </si>
  <si>
    <t>https://www.genome.jp/entry/1.8.1.8</t>
  </si>
  <si>
    <t>https://www.genome.jp/entry/R03913</t>
  </si>
  <si>
    <t>C02315|C00003</t>
  </si>
  <si>
    <t>C02582|C00004|C00080</t>
  </si>
  <si>
    <t>https://www.genome.jp/entry/R03914</t>
  </si>
  <si>
    <t>C02315|C00006</t>
  </si>
  <si>
    <t>C02582|C00005|C00080</t>
  </si>
  <si>
    <t>3.1.4.46</t>
  </si>
  <si>
    <t>https://www.genome.jp/entry/3.1.4.46</t>
  </si>
  <si>
    <t>https://www.genome.jp/entry/R00857</t>
  </si>
  <si>
    <t>C03120|C00001</t>
  </si>
  <si>
    <t>C00069|C00093</t>
  </si>
  <si>
    <t>https://www.genome.jp/entry/R01030</t>
  </si>
  <si>
    <t>C00670|C00001</t>
  </si>
  <si>
    <t>C00114|C00093</t>
  </si>
  <si>
    <t>https://www.genome.jp/entry/R01470</t>
  </si>
  <si>
    <t>C01233|C00001</t>
  </si>
  <si>
    <t>C00189|C00093</t>
  </si>
  <si>
    <t>3.2.2.16</t>
  </si>
  <si>
    <t>https://www.genome.jp/entry/3.2.2.16</t>
  </si>
  <si>
    <t>https://www.genome.jp/entry/R01401</t>
  </si>
  <si>
    <t>C00170|C00001</t>
  </si>
  <si>
    <t>C00147|C03089</t>
  </si>
  <si>
    <t>3.2.2.9</t>
  </si>
  <si>
    <t>https://www.genome.jp/entry/3.2.2.9</t>
  </si>
  <si>
    <t>https://www.genome.jp/entry/R00194</t>
  </si>
  <si>
    <t>C03539|C00147</t>
  </si>
  <si>
    <t>https://www.genome.jp/entry/R12621</t>
  </si>
  <si>
    <t>C05198|C00001</t>
  </si>
  <si>
    <t>C22288|C00147</t>
  </si>
  <si>
    <t>3.6.1.13</t>
  </si>
  <si>
    <t>https://www.genome.jp/entry/3.6.1.13</t>
  </si>
  <si>
    <t>https://www.genome.jp/entry/R01054</t>
  </si>
  <si>
    <t>C00301|C00001</t>
  </si>
  <si>
    <t>C00020|C00117</t>
  </si>
  <si>
    <t>3.1.13.1</t>
  </si>
  <si>
    <t>https://www.genome.jp/entry/3.1.13.1</t>
  </si>
  <si>
    <t>2.7.1.24</t>
  </si>
  <si>
    <t>https://www.genome.jp/entry/2.7.1.24</t>
  </si>
  <si>
    <t>https://www.genome.jp/entry/R00130</t>
  </si>
  <si>
    <t>C00002|C00882</t>
  </si>
  <si>
    <t>C00008|C00010</t>
  </si>
  <si>
    <t>3.2.2.23</t>
  </si>
  <si>
    <t>https://www.genome.jp/entry/3.2.2.23</t>
  </si>
  <si>
    <t>2.7.1.66</t>
  </si>
  <si>
    <t>https://www.genome.jp/entry/2.7.1.66</t>
  </si>
  <si>
    <t>https://www.genome.jp/entry/R05626</t>
  </si>
  <si>
    <t>C00002|C17558</t>
  </si>
  <si>
    <t>C00008|C17556</t>
  </si>
  <si>
    <t>2.7.1.107</t>
  </si>
  <si>
    <t>https://www.genome.jp/entry/2.7.1.107</t>
  </si>
  <si>
    <t>https://www.genome.jp/entry/R02240</t>
  </si>
  <si>
    <t>C00002|C00641</t>
  </si>
  <si>
    <t>C00008|C00416</t>
  </si>
  <si>
    <t>1.3.1.14</t>
  </si>
  <si>
    <t>https://www.genome.jp/entry/1.3.1.14</t>
  </si>
  <si>
    <t>https://www.genome.jp/entry/R01869</t>
  </si>
  <si>
    <t>C00337|C00003</t>
  </si>
  <si>
    <t>C00295|C00080|C00004</t>
  </si>
  <si>
    <t>1.4.1.1</t>
  </si>
  <si>
    <t>https://www.genome.jp/entry/1.4.1.1</t>
  </si>
  <si>
    <t>https://www.genome.jp/entry/R00396</t>
  </si>
  <si>
    <t>C00041|C00003|C00001</t>
  </si>
  <si>
    <t>C00022|C00014|C00004|C00080</t>
  </si>
  <si>
    <t>C00037|C00001|C00003</t>
  </si>
  <si>
    <t>C00048|C00014|C00004|C00080</t>
  </si>
  <si>
    <t>2.7.4.22</t>
  </si>
  <si>
    <t>https://www.genome.jp/entry/2.7.4.22</t>
  </si>
  <si>
    <t>2.1.1.74</t>
  </si>
  <si>
    <t>https://www.genome.jp/entry/2.1.1.74</t>
  </si>
  <si>
    <t>https://www.genome.jp/entry/R12548</t>
  </si>
  <si>
    <t>C00143|C01764|C00004|C00080</t>
  </si>
  <si>
    <t>C00101|C03446|C00003</t>
  </si>
  <si>
    <t>https://www.genome.jp/entry/R03704</t>
  </si>
  <si>
    <t>C00143|C01764|C01352</t>
  </si>
  <si>
    <t>C00101|C03446|C00016</t>
  </si>
  <si>
    <t>2.1.1.198</t>
  </si>
  <si>
    <t>https://www.genome.jp/entry/2.1.1.198</t>
  </si>
  <si>
    <t>2.7.4.9</t>
  </si>
  <si>
    <t>https://www.genome.jp/entry/2.7.4.9</t>
  </si>
  <si>
    <t>https://www.genome.jp/entry/R02094</t>
  </si>
  <si>
    <t>C00002|C00364</t>
  </si>
  <si>
    <t>C00008|C00363</t>
  </si>
  <si>
    <t>https://www.genome.jp/entry/R02098</t>
  </si>
  <si>
    <t>C00002|C00365</t>
  </si>
  <si>
    <t>C00008|C01346</t>
  </si>
  <si>
    <t>1.5.1.2</t>
  </si>
  <si>
    <t>https://www.genome.jp/entry/1.5.1.2</t>
  </si>
  <si>
    <t>https://www.genome.jp/entry/R01248</t>
  </si>
  <si>
    <t>C00148|C00003</t>
  </si>
  <si>
    <t>C03912|C00004|C00080</t>
  </si>
  <si>
    <t>https://www.genome.jp/entry/R01251</t>
  </si>
  <si>
    <t>C00148|C00006</t>
  </si>
  <si>
    <t>C03912|C00005|C00080</t>
  </si>
  <si>
    <t>https://www.genome.jp/entry/R03291</t>
  </si>
  <si>
    <t>C01157|C00003</t>
  </si>
  <si>
    <t>C04281|C00004|C00080</t>
  </si>
  <si>
    <t>https://www.genome.jp/entry/R03293</t>
  </si>
  <si>
    <t>C01157|C00006</t>
  </si>
  <si>
    <t>C04281|C00005|C00080</t>
  </si>
  <si>
    <t>1.2.1.41</t>
  </si>
  <si>
    <t>https://www.genome.jp/entry/1.2.1.41</t>
  </si>
  <si>
    <t>https://www.genome.jp/entry/R03313</t>
  </si>
  <si>
    <t>C01165|C00009|C00006</t>
  </si>
  <si>
    <t>C03287|C00005|C00080</t>
  </si>
  <si>
    <t>2.7.2.11</t>
  </si>
  <si>
    <t>https://www.genome.jp/entry/2.7.2.11</t>
  </si>
  <si>
    <t>https://www.genome.jp/entry/R00239</t>
  </si>
  <si>
    <t>C00002|C00025</t>
  </si>
  <si>
    <t>C00008|C03287</t>
  </si>
  <si>
    <t>3.4.23.36</t>
  </si>
  <si>
    <t>https://www.genome.jp/entry/3.4.23.36</t>
  </si>
  <si>
    <t>3.5.1.77</t>
  </si>
  <si>
    <t>https://www.genome.jp/entry/3.5.1.77</t>
  </si>
  <si>
    <t>https://www.genome.jp/entry/R02190</t>
  </si>
  <si>
    <t>C05226|C00001</t>
  </si>
  <si>
    <t>C00405|C00014|C00011</t>
  </si>
  <si>
    <t>3.5.3.12</t>
  </si>
  <si>
    <t>https://www.genome.jp/entry/3.5.3.12</t>
  </si>
  <si>
    <t>https://www.genome.jp/entry/R01416</t>
  </si>
  <si>
    <t>C00179|C00001</t>
  </si>
  <si>
    <t>C00436|C00014</t>
  </si>
  <si>
    <t>2.5.1.16</t>
  </si>
  <si>
    <t>https://www.genome.jp/entry/2.5.1.16</t>
  </si>
  <si>
    <t>https://www.genome.jp/entry/R01920</t>
  </si>
  <si>
    <t>C01137|C00134</t>
  </si>
  <si>
    <t>C00170|C00315</t>
  </si>
  <si>
    <t>https://www.genome.jp/entry/R08359</t>
  </si>
  <si>
    <t>C01137|C01672</t>
  </si>
  <si>
    <t>C00170|C16565</t>
  </si>
  <si>
    <t>4.1.1.19</t>
  </si>
  <si>
    <t>https://www.genome.jp/entry/4.1.1.19</t>
  </si>
  <si>
    <t>https://www.genome.jp/entry/R00566</t>
  </si>
  <si>
    <t>C00062</t>
  </si>
  <si>
    <t>C00179|C00011</t>
  </si>
  <si>
    <t>2.7.1.40</t>
  </si>
  <si>
    <t>https://www.genome.jp/entry/2.7.1.40</t>
  </si>
  <si>
    <t>https://www.genome.jp/entry/R00200</t>
  </si>
  <si>
    <t>C00002|C00022</t>
  </si>
  <si>
    <t>C00008|C00074</t>
  </si>
  <si>
    <t>https://www.genome.jp/entry/R00430</t>
  </si>
  <si>
    <t>C00044|C00022</t>
  </si>
  <si>
    <t>C00035|C00074</t>
  </si>
  <si>
    <t>https://www.genome.jp/entry/R00572</t>
  </si>
  <si>
    <t>C00063|C00022</t>
  </si>
  <si>
    <t>C00112|C00074</t>
  </si>
  <si>
    <t>https://www.genome.jp/entry/R00659</t>
  </si>
  <si>
    <t>C00075|C00022</t>
  </si>
  <si>
    <t>C00015|C00074</t>
  </si>
  <si>
    <t>https://www.genome.jp/entry/R00724</t>
  </si>
  <si>
    <t>C00081|C00022</t>
  </si>
  <si>
    <t>C00104|C00074</t>
  </si>
  <si>
    <t>https://www.genome.jp/entry/R01138</t>
  </si>
  <si>
    <t>C00131|C00022</t>
  </si>
  <si>
    <t>C00206|C00074</t>
  </si>
  <si>
    <t>https://www.genome.jp/entry/R01858</t>
  </si>
  <si>
    <t>C00286|C00022</t>
  </si>
  <si>
    <t>C00361|C00074</t>
  </si>
  <si>
    <t>https://www.genome.jp/entry/R02320</t>
  </si>
  <si>
    <t>C00201|C00022</t>
  </si>
  <si>
    <t>C00454|C00074</t>
  </si>
  <si>
    <t>2.7.1.11</t>
  </si>
  <si>
    <t>https://www.genome.jp/entry/2.7.1.11</t>
  </si>
  <si>
    <t>https://www.genome.jp/entry/R04779</t>
  </si>
  <si>
    <t>C00002|C05345</t>
  </si>
  <si>
    <t>C00008|C05378</t>
  </si>
  <si>
    <t>https://www.genome.jp/entry/R00756</t>
  </si>
  <si>
    <t>C00002|C00085</t>
  </si>
  <si>
    <t>C00008|C00354</t>
  </si>
  <si>
    <t>https://www.genome.jp/entry/R00767</t>
  </si>
  <si>
    <t>C00063|C00085</t>
  </si>
  <si>
    <t>C00112|C00354</t>
  </si>
  <si>
    <t>https://www.genome.jp/entry/R00769</t>
  </si>
  <si>
    <t>C00075|C00085</t>
  </si>
  <si>
    <t>C00015|C00354</t>
  </si>
  <si>
    <t>https://www.genome.jp/entry/R00770</t>
  </si>
  <si>
    <t>C00081|C00085</t>
  </si>
  <si>
    <t>C00104|C00354</t>
  </si>
  <si>
    <t>https://www.genome.jp/entry/R01843</t>
  </si>
  <si>
    <t>C00002|C05382</t>
  </si>
  <si>
    <t>C00008|C00447</t>
  </si>
  <si>
    <t>https://www.genome.jp/entry/R03237</t>
  </si>
  <si>
    <t>C00063|C01097</t>
  </si>
  <si>
    <t>C00112|C03785</t>
  </si>
  <si>
    <t>https://www.genome.jp/entry/R03238</t>
  </si>
  <si>
    <t>C00075|C01097</t>
  </si>
  <si>
    <t>C00015|C03785</t>
  </si>
  <si>
    <t>https://www.genome.jp/entry/R03239</t>
  </si>
  <si>
    <t>C00081|C01097</t>
  </si>
  <si>
    <t>C00104|C03785</t>
  </si>
  <si>
    <t>3.4.14.11</t>
  </si>
  <si>
    <t>https://www.genome.jp/entry/3.4.14.11</t>
  </si>
  <si>
    <t>3.1.21.3</t>
  </si>
  <si>
    <t>https://www.genome.jp/entry/3.1.21.3</t>
  </si>
  <si>
    <t>2.8.1.4</t>
  </si>
  <si>
    <t>https://www.genome.jp/entry/2.8.1.4</t>
  </si>
  <si>
    <t>https://www.genome.jp/entry/R03923</t>
  </si>
  <si>
    <t>C00097|C02342</t>
  </si>
  <si>
    <t>C00065|C04161</t>
  </si>
  <si>
    <t>https://www.genome.jp/entry/R07461</t>
  </si>
  <si>
    <t>C15812|C15813|C00030</t>
  </si>
  <si>
    <t>C00020|C15814|C15811|C00028</t>
  </si>
  <si>
    <t>2.7.1.56</t>
  </si>
  <si>
    <t>https://www.genome.jp/entry/2.7.1.56</t>
  </si>
  <si>
    <t>https://www.genome.jp/entry/R13203</t>
  </si>
  <si>
    <t>C00002|C01094</t>
  </si>
  <si>
    <t>https://www.genome.jp/entry/R02071</t>
  </si>
  <si>
    <t>3.4.16.4</t>
  </si>
  <si>
    <t>https://www.genome.jp/entry/3.4.16.4</t>
  </si>
  <si>
    <t>1.8.4.14</t>
  </si>
  <si>
    <t>https://www.genome.jp/entry/1.8.4.14</t>
  </si>
  <si>
    <t>https://www.genome.jp/entry/R07608</t>
  </si>
  <si>
    <t>C00073|C00343|C00001</t>
  </si>
  <si>
    <t>C15998|C00342</t>
  </si>
  <si>
    <t>https://www.genome.jp/entry/R02025</t>
  </si>
  <si>
    <t>C02989|C00342</t>
  </si>
  <si>
    <t>2.6.1.42</t>
  </si>
  <si>
    <t>https://www.genome.jp/entry/2.6.1.42</t>
  </si>
  <si>
    <t>https://www.genome.jp/entry/R01090</t>
  </si>
  <si>
    <t>C00123|C00026</t>
  </si>
  <si>
    <t>C00233|C00025</t>
  </si>
  <si>
    <t>https://www.genome.jp/entry/R01214</t>
  </si>
  <si>
    <t>C00183|C00026</t>
  </si>
  <si>
    <t>C00141|C00025</t>
  </si>
  <si>
    <t>https://www.genome.jp/entry/R02199</t>
  </si>
  <si>
    <t>C00407|C00026</t>
  </si>
  <si>
    <t>C00671|C00025</t>
  </si>
  <si>
    <t>https://www.genome.jp/entry/R10991</t>
  </si>
  <si>
    <t>C02356|C00026</t>
  </si>
  <si>
    <t>C00109|C00025</t>
  </si>
  <si>
    <t>5.99.1.-</t>
  </si>
  <si>
    <t>3.6.3.17</t>
  </si>
  <si>
    <t>https://www.genome.jp/entry/3.6.3.17</t>
  </si>
  <si>
    <t>4.1.2.4</t>
  </si>
  <si>
    <t>https://www.genome.jp/entry/4.1.2.4</t>
  </si>
  <si>
    <t>https://www.genome.jp/entry/R01066</t>
  </si>
  <si>
    <t>C00673</t>
  </si>
  <si>
    <t>C00118|C00084</t>
  </si>
  <si>
    <t>2.4.2.2</t>
  </si>
  <si>
    <t>https://www.genome.jp/entry/2.4.2.2</t>
  </si>
  <si>
    <t>https://www.genome.jp/entry/R01570</t>
  </si>
  <si>
    <t>C00178|C00672</t>
  </si>
  <si>
    <t>https://www.genome.jp/entry/R01876</t>
  </si>
  <si>
    <t>C00106|C00620</t>
  </si>
  <si>
    <t>https://www.genome.jp/entry/R02296</t>
  </si>
  <si>
    <t>C00380|C00620</t>
  </si>
  <si>
    <t>https://www.genome.jp/entry/R02484</t>
  </si>
  <si>
    <t>C00106|C00672</t>
  </si>
  <si>
    <t>https://www.genome.jp/entry/R02298</t>
  </si>
  <si>
    <t>C03169|C00009</t>
  </si>
  <si>
    <t>C00396|C00620|C00080</t>
  </si>
  <si>
    <t>2.1.1.172</t>
  </si>
  <si>
    <t>https://www.genome.jp/entry/2.1.1.172</t>
  </si>
  <si>
    <t>2.7.1.33</t>
  </si>
  <si>
    <t>https://www.genome.jp/entry/2.7.1.33</t>
  </si>
  <si>
    <t>https://www.genome.jp/entry/R03018</t>
  </si>
  <si>
    <t>C00002|C00864</t>
  </si>
  <si>
    <t>C00008|C03492</t>
  </si>
  <si>
    <t>https://www.genome.jp/entry/R02971</t>
  </si>
  <si>
    <t>C00002|C00831</t>
  </si>
  <si>
    <t>C00008|C01134</t>
  </si>
  <si>
    <t>https://www.genome.jp/entry/R04391</t>
  </si>
  <si>
    <t>C00002|C04079</t>
  </si>
  <si>
    <t>C00008|C04352</t>
  </si>
  <si>
    <t>5.4.2.7</t>
  </si>
  <si>
    <t>https://www.genome.jp/entry/5.4.2.7</t>
  </si>
  <si>
    <t>https://www.genome.jp/entry/R02749</t>
  </si>
  <si>
    <t>C00672</t>
  </si>
  <si>
    <t>5.3.1.6</t>
  </si>
  <si>
    <t>https://www.genome.jp/entry/5.3.1.6</t>
  </si>
  <si>
    <t>https://www.genome.jp/entry/R01056</t>
  </si>
  <si>
    <t>https://www.genome.jp/entry/R09030</t>
  </si>
  <si>
    <t>C02962</t>
  </si>
  <si>
    <t>C18096</t>
  </si>
  <si>
    <t>1.5.1.5</t>
  </si>
  <si>
    <t>https://www.genome.jp/entry/1.5.1.5</t>
  </si>
  <si>
    <t>https://www.genome.jp/entry/R01220</t>
  </si>
  <si>
    <t>C00143|C00006</t>
  </si>
  <si>
    <t>C00445|C00005</t>
  </si>
  <si>
    <t>3.1.3.18</t>
  </si>
  <si>
    <t>https://www.genome.jp/entry/3.1.3.18</t>
  </si>
  <si>
    <t>https://www.genome.jp/entry/R01334</t>
  </si>
  <si>
    <t>C00988|C00001</t>
  </si>
  <si>
    <t>C00160|C00009</t>
  </si>
  <si>
    <t>3.4.11.2</t>
  </si>
  <si>
    <t>https://www.genome.jp/entry/3.4.11.2</t>
  </si>
  <si>
    <t>https://www.genome.jp/entry/R00899</t>
  </si>
  <si>
    <t>C01419|C00001</t>
  </si>
  <si>
    <t>C00097|C00037</t>
  </si>
  <si>
    <t>https://www.genome.jp/entry/R04951</t>
  </si>
  <si>
    <t>C05729|C00001</t>
  </si>
  <si>
    <t>C05726|C00037</t>
  </si>
  <si>
    <t>1.1.1.163</t>
  </si>
  <si>
    <t>https://www.genome.jp/entry/1.1.1.163</t>
  </si>
  <si>
    <t>https://www.genome.jp/entry/R02553</t>
  </si>
  <si>
    <t>C02020|C00003</t>
  </si>
  <si>
    <t>C00557|C00004|C00080</t>
  </si>
  <si>
    <t>https://www.genome.jp/entry/R02229</t>
  </si>
  <si>
    <t>C00414|C00004|C00080</t>
  </si>
  <si>
    <t>C00854|C00003</t>
  </si>
  <si>
    <t>6.1.1.10</t>
  </si>
  <si>
    <t>https://www.genome.jp/entry/6.1.1.10</t>
  </si>
  <si>
    <t>https://www.genome.jp/entry/R03659</t>
  </si>
  <si>
    <t>C00002|C00073|C01647</t>
  </si>
  <si>
    <t>C00020|C00013|C02430</t>
  </si>
  <si>
    <t>https://www.genome.jp/entry/R04773</t>
  </si>
  <si>
    <t>C00002|C05335|C01647</t>
  </si>
  <si>
    <t>C00020|C00013|C05336</t>
  </si>
  <si>
    <t>1.8.1.7</t>
  </si>
  <si>
    <t>https://www.genome.jp/entry/1.8.1.7</t>
  </si>
  <si>
    <t>https://www.genome.jp/entry/R00115</t>
  </si>
  <si>
    <t>C00051|C00006</t>
  </si>
  <si>
    <t>C00127|C00005|C00080</t>
  </si>
  <si>
    <t>https://www.genome.jp/entry/R00094</t>
  </si>
  <si>
    <t>C00051|C00003</t>
  </si>
  <si>
    <t>C00127|C00004|C00080</t>
  </si>
  <si>
    <t>2.1.1.228</t>
  </si>
  <si>
    <t>https://www.genome.jp/entry/2.1.1.228</t>
  </si>
  <si>
    <t>https://www.genome.jp/entry/R00597</t>
  </si>
  <si>
    <t>C00019|C01977</t>
  </si>
  <si>
    <t>C00021|C04157</t>
  </si>
  <si>
    <t>2.1.1.192</t>
  </si>
  <si>
    <t>https://www.genome.jp/entry/2.1.1.192</t>
  </si>
  <si>
    <t>1.15.1.1</t>
  </si>
  <si>
    <t>https://www.genome.jp/entry/1.15.1.1</t>
  </si>
  <si>
    <t>https://www.genome.jp/entry/R00275</t>
  </si>
  <si>
    <t>C00704|C00080</t>
  </si>
  <si>
    <t>C00027|C00007</t>
  </si>
  <si>
    <t>1.3.98.1</t>
  </si>
  <si>
    <t>https://www.genome.jp/entry/1.3.98.1</t>
  </si>
  <si>
    <t>https://www.genome.jp/entry/R01867</t>
  </si>
  <si>
    <t>C00337|C00122</t>
  </si>
  <si>
    <t>C00295|C00042</t>
  </si>
  <si>
    <t>2.5.1.6</t>
  </si>
  <si>
    <t>3.4.21.92</t>
  </si>
  <si>
    <t>2.4.2.9</t>
  </si>
  <si>
    <t>5.3.1.8</t>
  </si>
  <si>
    <t>1.2.3.3</t>
  </si>
  <si>
    <t>2.7.1.49</t>
  </si>
  <si>
    <t>2.5.1.3</t>
  </si>
  <si>
    <t>2.7.1.50</t>
  </si>
  <si>
    <t>3.5.99.2</t>
  </si>
  <si>
    <t>6.1.1.6</t>
  </si>
  <si>
    <t>3.6.3.30</t>
  </si>
  <si>
    <t>2.4.2.10</t>
  </si>
  <si>
    <t>4.1.1.23</t>
  </si>
  <si>
    <t>2.4.1.227</t>
  </si>
  <si>
    <t>6.3.2.9</t>
  </si>
  <si>
    <t>3.1.26.11</t>
  </si>
  <si>
    <t>2.5.1.75</t>
  </si>
  <si>
    <t>2.1.1.45</t>
  </si>
  <si>
    <t>2.7.1.2</t>
  </si>
  <si>
    <t>2.6.1.85</t>
  </si>
  <si>
    <t>1.8.4.11</t>
  </si>
  <si>
    <t>3.4.21.96</t>
  </si>
  <si>
    <t>2.3.2.17</t>
  </si>
  <si>
    <t>2.3.2.16</t>
  </si>
  <si>
    <t>3.1.2.12</t>
  </si>
  <si>
    <t>1.18.1.3</t>
  </si>
  <si>
    <t>4.1.2.13</t>
  </si>
  <si>
    <t>3.1.26.-</t>
  </si>
  <si>
    <t>6.1.1.16</t>
  </si>
  <si>
    <t>2.3.1.30</t>
  </si>
  <si>
    <t>2.7.7.8</t>
  </si>
  <si>
    <t>1.5.1.20</t>
  </si>
  <si>
    <t>2.1.1.14</t>
  </si>
  <si>
    <t>6.1.1.9</t>
  </si>
  <si>
    <t>2.1.1.33</t>
  </si>
  <si>
    <t>Metabolites</t>
  </si>
  <si>
    <t>Initial Concentration (mM)</t>
  </si>
  <si>
    <t>Object</t>
  </si>
  <si>
    <t>C00001</t>
  </si>
  <si>
    <t>Water</t>
  </si>
  <si>
    <t>C00002</t>
  </si>
  <si>
    <t>ATP</t>
  </si>
  <si>
    <t>C00003</t>
  </si>
  <si>
    <t>NAD+</t>
  </si>
  <si>
    <t>C00004</t>
  </si>
  <si>
    <t>NADH</t>
  </si>
  <si>
    <t>C00005</t>
  </si>
  <si>
    <t>NADPH</t>
  </si>
  <si>
    <t>C00006</t>
  </si>
  <si>
    <t>NADP+</t>
  </si>
  <si>
    <t>C00007</t>
  </si>
  <si>
    <t>Oxygen</t>
  </si>
  <si>
    <t>ADP</t>
  </si>
  <si>
    <t>Phosphoric Acid</t>
  </si>
  <si>
    <t>C00010</t>
  </si>
  <si>
    <t>CoA</t>
  </si>
  <si>
    <t>C00011</t>
  </si>
  <si>
    <t>Carbon Dioxide</t>
  </si>
  <si>
    <t>C00013</t>
  </si>
  <si>
    <t>Diphosphoric Acid</t>
  </si>
  <si>
    <t>C00014</t>
  </si>
  <si>
    <t>Ammonia</t>
  </si>
  <si>
    <t>C00015</t>
  </si>
  <si>
    <t>UDP</t>
  </si>
  <si>
    <t>C00017</t>
  </si>
  <si>
    <t>Protein</t>
  </si>
  <si>
    <t>C00018</t>
  </si>
  <si>
    <t>Pyridoxal Phosphate(PLP)</t>
  </si>
  <si>
    <t>C00019</t>
  </si>
  <si>
    <t>SAM</t>
  </si>
  <si>
    <t>C00020</t>
  </si>
  <si>
    <t>AMP</t>
  </si>
  <si>
    <t>C00021</t>
  </si>
  <si>
    <t>S-Adenosyl-L-Homocysteine(SAH)</t>
  </si>
  <si>
    <t>Pyruvate</t>
  </si>
  <si>
    <t>C00024</t>
  </si>
  <si>
    <t>Acetyl-CoA</t>
  </si>
  <si>
    <t>L-Glutamate</t>
  </si>
  <si>
    <t>C00026</t>
  </si>
  <si>
    <t>2-Oxoglutarate</t>
  </si>
  <si>
    <t>C00027</t>
  </si>
  <si>
    <t>Hydrogen Peroxide</t>
  </si>
  <si>
    <t>C00028</t>
  </si>
  <si>
    <t>Acceptor</t>
  </si>
  <si>
    <t>UDP-glucose</t>
  </si>
  <si>
    <t>C00030</t>
  </si>
  <si>
    <t>Reduced Acceptor</t>
  </si>
  <si>
    <t>D-Glucose</t>
  </si>
  <si>
    <t>C00033</t>
  </si>
  <si>
    <t>Acetate</t>
  </si>
  <si>
    <t>C00035</t>
  </si>
  <si>
    <t>GDP</t>
  </si>
  <si>
    <t>C00036</t>
  </si>
  <si>
    <t>Oxaloacetate</t>
  </si>
  <si>
    <t>C00037</t>
  </si>
  <si>
    <t>Glycine</t>
  </si>
  <si>
    <t>C00039</t>
  </si>
  <si>
    <t>DNA</t>
  </si>
  <si>
    <t>L-Alanine</t>
  </si>
  <si>
    <t>C00042</t>
  </si>
  <si>
    <t>Succinate</t>
  </si>
  <si>
    <t>UDP-N-Acetyl-Alpha-D-Glucosamine</t>
  </si>
  <si>
    <t>C00044</t>
  </si>
  <si>
    <t>GTP</t>
  </si>
  <si>
    <t>C00046</t>
  </si>
  <si>
    <t>RNA</t>
  </si>
  <si>
    <t>C00047</t>
  </si>
  <si>
    <t>L-Lysine</t>
  </si>
  <si>
    <t>C00048</t>
  </si>
  <si>
    <t>Glyoxylate</t>
  </si>
  <si>
    <t>C00049</t>
  </si>
  <si>
    <t>L-Aspartate</t>
  </si>
  <si>
    <t>C00051</t>
  </si>
  <si>
    <t>Glutathione</t>
  </si>
  <si>
    <t>UDP-D-Galactose</t>
  </si>
  <si>
    <t>C00054</t>
  </si>
  <si>
    <t>Adenosine 3',5'-bisphosphate</t>
  </si>
  <si>
    <t>C00055</t>
  </si>
  <si>
    <t>Cytidine-5'-monophosphate/CMP</t>
  </si>
  <si>
    <t>C00058</t>
  </si>
  <si>
    <t>Formate</t>
  </si>
  <si>
    <t>C00059</t>
  </si>
  <si>
    <t>Sulfate</t>
  </si>
  <si>
    <t>C00060</t>
  </si>
  <si>
    <t>Carboxylate</t>
  </si>
  <si>
    <t>C00061</t>
  </si>
  <si>
    <t>Flavin Mononucleotide/FMN</t>
  </si>
  <si>
    <t>L-Arginine</t>
  </si>
  <si>
    <t>C00063</t>
  </si>
  <si>
    <t>CTP</t>
  </si>
  <si>
    <t>C00064</t>
  </si>
  <si>
    <t>L-Glutamine</t>
  </si>
  <si>
    <t>L-Serine</t>
  </si>
  <si>
    <t>C00066</t>
  </si>
  <si>
    <t>C00068</t>
  </si>
  <si>
    <t>Thiamin Diphosphate</t>
  </si>
  <si>
    <t>C00069</t>
  </si>
  <si>
    <t>Alcohol</t>
  </si>
  <si>
    <t>C00071</t>
  </si>
  <si>
    <t>Aldehyde</t>
  </si>
  <si>
    <t>L-Methionine</t>
  </si>
  <si>
    <t>C00074</t>
  </si>
  <si>
    <t>Phosphoenolpyruvate</t>
  </si>
  <si>
    <t>C00075</t>
  </si>
  <si>
    <t>UTP</t>
  </si>
  <si>
    <t>C00077</t>
  </si>
  <si>
    <t>L-Ornithine</t>
  </si>
  <si>
    <t>C00078</t>
  </si>
  <si>
    <t>L-Tryptophan</t>
  </si>
  <si>
    <t>C00079</t>
  </si>
  <si>
    <t>L-Phenylalanine</t>
  </si>
  <si>
    <t>C00080</t>
  </si>
  <si>
    <t>H+</t>
  </si>
  <si>
    <t>C00081</t>
  </si>
  <si>
    <t>ITP</t>
  </si>
  <si>
    <t>C00082</t>
  </si>
  <si>
    <t>L-Tyrosine</t>
  </si>
  <si>
    <t>C00083</t>
  </si>
  <si>
    <t>Malonyl-CoA</t>
  </si>
  <si>
    <t>C00084</t>
  </si>
  <si>
    <t>Acetaldehyde</t>
  </si>
  <si>
    <t>D-Fructose</t>
  </si>
  <si>
    <t>C00088</t>
  </si>
  <si>
    <t>Nitrite</t>
  </si>
  <si>
    <t>C00089</t>
  </si>
  <si>
    <t>Sucrose</t>
  </si>
  <si>
    <t>C00090</t>
  </si>
  <si>
    <t>Catechol</t>
  </si>
  <si>
    <t>C00091</t>
  </si>
  <si>
    <t>Succinyl-CoA</t>
  </si>
  <si>
    <t>C00093</t>
  </si>
  <si>
    <t>sn-Glycerol 3-Phosphate</t>
  </si>
  <si>
    <t>C00094</t>
  </si>
  <si>
    <t>Sulfite</t>
  </si>
  <si>
    <t>C00095</t>
  </si>
  <si>
    <t>C00097</t>
  </si>
  <si>
    <t>L-Cysteine</t>
  </si>
  <si>
    <t>C00100</t>
  </si>
  <si>
    <t>Propanoyl-CoA</t>
  </si>
  <si>
    <t>C00101</t>
  </si>
  <si>
    <t>Tetrahydrofolate</t>
  </si>
  <si>
    <t>Glucose 1-Phosphate</t>
  </si>
  <si>
    <t>C00104</t>
  </si>
  <si>
    <t>IDP</t>
  </si>
  <si>
    <t>C00105</t>
  </si>
  <si>
    <t>UMP</t>
  </si>
  <si>
    <t>C00106</t>
  </si>
  <si>
    <t>Uracil</t>
  </si>
  <si>
    <t>C00108</t>
  </si>
  <si>
    <t>Anthranilate</t>
  </si>
  <si>
    <t>C00109</t>
  </si>
  <si>
    <t>2-Oxobutanoate</t>
  </si>
  <si>
    <t>Glycerone Phosphate</t>
  </si>
  <si>
    <t>C00112</t>
  </si>
  <si>
    <t>CDP</t>
  </si>
  <si>
    <t>C00114</t>
  </si>
  <si>
    <t>Choline</t>
  </si>
  <si>
    <t>C00116</t>
  </si>
  <si>
    <t>Glycerol</t>
  </si>
  <si>
    <t>D-Ribose 5-Phosphate</t>
  </si>
  <si>
    <t>D-Glyceraldehyde 3-Phosphate</t>
  </si>
  <si>
    <t>C00119</t>
  </si>
  <si>
    <t>5-Phospho-alpha-D-ribose 1-diphosphate</t>
  </si>
  <si>
    <t>C00120</t>
  </si>
  <si>
    <t>Biotin</t>
  </si>
  <si>
    <t>C00122</t>
  </si>
  <si>
    <t>Fumarate</t>
  </si>
  <si>
    <t>C00123</t>
  </si>
  <si>
    <t>L-Leucine</t>
  </si>
  <si>
    <t>D-Galactose</t>
  </si>
  <si>
    <t>C00127</t>
  </si>
  <si>
    <t>Glutathione disulfide</t>
  </si>
  <si>
    <t>Isopentenyl Diphosphate</t>
  </si>
  <si>
    <t>C00130</t>
  </si>
  <si>
    <t>IMP</t>
  </si>
  <si>
    <t>C00131</t>
  </si>
  <si>
    <t>dATP</t>
  </si>
  <si>
    <t>D-Alanine</t>
  </si>
  <si>
    <t>C00134</t>
  </si>
  <si>
    <t>Putrescine</t>
  </si>
  <si>
    <t>C00135</t>
  </si>
  <si>
    <t>L-Histidine</t>
  </si>
  <si>
    <t>C00137</t>
  </si>
  <si>
    <t>myo-Inositol</t>
  </si>
  <si>
    <t>C00138</t>
  </si>
  <si>
    <t>Reduced ferredoxin</t>
  </si>
  <si>
    <t>C00139</t>
  </si>
  <si>
    <t>Oxidized ferredoxin</t>
  </si>
  <si>
    <t>N-Acetyl-D-glucosamine</t>
  </si>
  <si>
    <t>C00141</t>
  </si>
  <si>
    <t>3-Methyl-2-oxobutanoic acid</t>
  </si>
  <si>
    <t>C00143</t>
  </si>
  <si>
    <t>5,10-Methylenetetrahydrofolate</t>
  </si>
  <si>
    <t>C00144</t>
  </si>
  <si>
    <t>GMP</t>
  </si>
  <si>
    <t>C00147</t>
  </si>
  <si>
    <t>Adenine</t>
  </si>
  <si>
    <t>C00148</t>
  </si>
  <si>
    <t>L-Proline</t>
  </si>
  <si>
    <t>C00152</t>
  </si>
  <si>
    <t>L-Asparagine</t>
  </si>
  <si>
    <t>C00153</t>
  </si>
  <si>
    <t>Nicotinamide</t>
  </si>
  <si>
    <t>C00155</t>
  </si>
  <si>
    <t>L-Homocysteine</t>
  </si>
  <si>
    <t>C00159</t>
  </si>
  <si>
    <t>D-Mannose</t>
  </si>
  <si>
    <t>C00160</t>
  </si>
  <si>
    <t>Glycolate</t>
  </si>
  <si>
    <t>C00161</t>
  </si>
  <si>
    <t>2-Oxo acid</t>
  </si>
  <si>
    <t>C00163</t>
  </si>
  <si>
    <t>Propanoate</t>
  </si>
  <si>
    <t>C00166</t>
  </si>
  <si>
    <t>Phenylpyruvate</t>
  </si>
  <si>
    <t>C00167</t>
  </si>
  <si>
    <t>UDP-glucuronate</t>
  </si>
  <si>
    <t>C00169</t>
  </si>
  <si>
    <t>Carbamoyl Phosphate</t>
  </si>
  <si>
    <t>C00170</t>
  </si>
  <si>
    <t>5'-Methylthioadenosine</t>
  </si>
  <si>
    <t>C00173</t>
  </si>
  <si>
    <t>Acyl-[acyl-carrier protein]</t>
  </si>
  <si>
    <t>C00177</t>
  </si>
  <si>
    <t>Cyanide ion</t>
  </si>
  <si>
    <t>C00178</t>
  </si>
  <si>
    <t>Thymine</t>
  </si>
  <si>
    <t>C00180</t>
  </si>
  <si>
    <t>Benzoate</t>
  </si>
  <si>
    <t>C00183</t>
  </si>
  <si>
    <t>L-Valine</t>
  </si>
  <si>
    <t>C00184</t>
  </si>
  <si>
    <t>Glycerone</t>
  </si>
  <si>
    <t>C00185</t>
  </si>
  <si>
    <t>Cellobiose</t>
  </si>
  <si>
    <t>C00186</t>
  </si>
  <si>
    <t>(S)-Lactate</t>
  </si>
  <si>
    <t>L-Threonine</t>
  </si>
  <si>
    <t>C00189</t>
  </si>
  <si>
    <t>Ethanolamine</t>
  </si>
  <si>
    <t>C00191</t>
  </si>
  <si>
    <t>D-Glucuronate</t>
  </si>
  <si>
    <t>C00193</t>
  </si>
  <si>
    <t>Aromatic aldehyde</t>
  </si>
  <si>
    <t>C00197</t>
  </si>
  <si>
    <t>3-Phospho-D-glycerate</t>
  </si>
  <si>
    <t>D-Ribulose 5-phosphate</t>
  </si>
  <si>
    <t>NTP</t>
  </si>
  <si>
    <t>UDP-N-acetyl-D-galactosamine</t>
  </si>
  <si>
    <t>C00206</t>
  </si>
  <si>
    <t>dADP</t>
  </si>
  <si>
    <t>Maltose</t>
  </si>
  <si>
    <t>C00212</t>
  </si>
  <si>
    <t>Adenosine</t>
  </si>
  <si>
    <t>C00213</t>
  </si>
  <si>
    <t>Sarcosine</t>
  </si>
  <si>
    <t>C00214</t>
  </si>
  <si>
    <t>Thymidine</t>
  </si>
  <si>
    <t>D-Glutamate</t>
  </si>
  <si>
    <t>C00218</t>
  </si>
  <si>
    <t>Methylamine</t>
  </si>
  <si>
    <t>beta-D-Glucose</t>
  </si>
  <si>
    <t>C00226</t>
  </si>
  <si>
    <t>Primary Alcohol</t>
  </si>
  <si>
    <t>C00227</t>
  </si>
  <si>
    <t>Acetyl Phosphate</t>
  </si>
  <si>
    <t>C00229</t>
  </si>
  <si>
    <t>Acyl-carrier protein</t>
  </si>
  <si>
    <t>D-Xylulose 5-Phosphate</t>
  </si>
  <si>
    <t>C00233</t>
  </si>
  <si>
    <t>4-Methyl-2-oxopentanoate</t>
  </si>
  <si>
    <t>C00234</t>
  </si>
  <si>
    <t>10-Formyltetrahydrofolate</t>
  </si>
  <si>
    <t>Dimethylallyl diphosphate</t>
  </si>
  <si>
    <t>C00236</t>
  </si>
  <si>
    <t>3-Phospho-D-glyceroyl phosphate</t>
  </si>
  <si>
    <t>C00239</t>
  </si>
  <si>
    <t>dCMP</t>
  </si>
  <si>
    <t>C00240</t>
  </si>
  <si>
    <t>rRNA</t>
  </si>
  <si>
    <t>C00241</t>
  </si>
  <si>
    <t>Amide</t>
  </si>
  <si>
    <t>C00242</t>
  </si>
  <si>
    <t>Guanine</t>
  </si>
  <si>
    <t>C00243</t>
  </si>
  <si>
    <t>Lactose</t>
  </si>
  <si>
    <t>C00247</t>
  </si>
  <si>
    <t>L-Sorbose</t>
  </si>
  <si>
    <t>C00248</t>
  </si>
  <si>
    <t>Lipoamide</t>
  </si>
  <si>
    <t>C00249</t>
  </si>
  <si>
    <t>Hexadecanoic acid</t>
  </si>
  <si>
    <t>C00250</t>
  </si>
  <si>
    <t>Pyridoxal</t>
  </si>
  <si>
    <t>C00251</t>
  </si>
  <si>
    <t>Chorismate</t>
  </si>
  <si>
    <t>C00253</t>
  </si>
  <si>
    <t>Nicotinate</t>
  </si>
  <si>
    <t>Prephenate</t>
  </si>
  <si>
    <t>C00255</t>
  </si>
  <si>
    <t>Riboflavin</t>
  </si>
  <si>
    <t>C00257</t>
  </si>
  <si>
    <t>D-Gluconic Acid</t>
  </si>
  <si>
    <t>C00258</t>
  </si>
  <si>
    <t>D-Glycerate</t>
  </si>
  <si>
    <t>C00261</t>
  </si>
  <si>
    <t>Benzaldehyde</t>
  </si>
  <si>
    <t>C00262</t>
  </si>
  <si>
    <t>Hypoxanthine</t>
  </si>
  <si>
    <t>C00263</t>
  </si>
  <si>
    <t>L-Homoserine</t>
  </si>
  <si>
    <t>C00266</t>
  </si>
  <si>
    <t>Glycolaldehyde</t>
  </si>
  <si>
    <t>alpha-D-Glucose</t>
  </si>
  <si>
    <t>C00269</t>
  </si>
  <si>
    <t>CDP-diacylglycerol</t>
  </si>
  <si>
    <t>N-Acetylneuraminate</t>
  </si>
  <si>
    <t>C00272</t>
  </si>
  <si>
    <t>Tetrahydrobiopterin</t>
  </si>
  <si>
    <t>D-Mannose 6-phosphate</t>
  </si>
  <si>
    <t>C00277</t>
  </si>
  <si>
    <t>D-Erythrose</t>
  </si>
  <si>
    <t>C00279</t>
  </si>
  <si>
    <t>D-Erythrose 4-phosphate</t>
  </si>
  <si>
    <t>C00283</t>
  </si>
  <si>
    <t>Hydrogen Sulfide</t>
  </si>
  <si>
    <t>C00286</t>
  </si>
  <si>
    <t>dGTP</t>
  </si>
  <si>
    <t>C00288</t>
  </si>
  <si>
    <t>HCO3-</t>
  </si>
  <si>
    <t>C00292</t>
  </si>
  <si>
    <t>Aniline</t>
  </si>
  <si>
    <t>C00294</t>
  </si>
  <si>
    <t>Inosine</t>
  </si>
  <si>
    <t>C00295</t>
  </si>
  <si>
    <t>Orotate</t>
  </si>
  <si>
    <t>C00299</t>
  </si>
  <si>
    <t>Uridine</t>
  </si>
  <si>
    <t>C00301</t>
  </si>
  <si>
    <t>ADP-ribose</t>
  </si>
  <si>
    <t>C00302</t>
  </si>
  <si>
    <t>Glutamate</t>
  </si>
  <si>
    <t>C00307</t>
  </si>
  <si>
    <t>CDP-choline</t>
  </si>
  <si>
    <t>C00310</t>
  </si>
  <si>
    <t>D-Xylulose</t>
  </si>
  <si>
    <t>C00312</t>
  </si>
  <si>
    <t>L-Xylulose</t>
  </si>
  <si>
    <t>C00314</t>
  </si>
  <si>
    <t>Pyridoxine</t>
  </si>
  <si>
    <t>C00315</t>
  </si>
  <si>
    <t>Spermidine</t>
  </si>
  <si>
    <t>C00320</t>
  </si>
  <si>
    <t>Thiosulfate</t>
  </si>
  <si>
    <t>C00327</t>
  </si>
  <si>
    <t>L-Citrulline</t>
  </si>
  <si>
    <t>C00330</t>
  </si>
  <si>
    <t>Deoxyguanosine</t>
  </si>
  <si>
    <t>C00332</t>
  </si>
  <si>
    <t>Acetoacetyl-CoA</t>
  </si>
  <si>
    <t>C00337</t>
  </si>
  <si>
    <t>(S)-Dihydroorotate</t>
  </si>
  <si>
    <t>C00341</t>
  </si>
  <si>
    <t>Geranyl diphosphate</t>
  </si>
  <si>
    <t>C00342</t>
  </si>
  <si>
    <t>Thioredoxin</t>
  </si>
  <si>
    <t>C00343</t>
  </si>
  <si>
    <t>Thioredoxin disulfide</t>
  </si>
  <si>
    <t>C00344</t>
  </si>
  <si>
    <t>Phosphatidylglycerol</t>
  </si>
  <si>
    <t>C00345</t>
  </si>
  <si>
    <t>6-Phospho-D-gluconate</t>
  </si>
  <si>
    <t>D-Glucosamine 6-phosphate</t>
  </si>
  <si>
    <t>C00354</t>
  </si>
  <si>
    <t>D-Fructose 1,6-bisphosphate</t>
  </si>
  <si>
    <t>C00356</t>
  </si>
  <si>
    <t>(S)-3-Hydroxy-3-methylglutaryl-CoA</t>
  </si>
  <si>
    <t>N-Acetyl-D-glucosamine 6-phosphate</t>
  </si>
  <si>
    <t>C00360</t>
  </si>
  <si>
    <t>dAMP</t>
  </si>
  <si>
    <t>C00361</t>
  </si>
  <si>
    <t>dGDP</t>
  </si>
  <si>
    <t>C00362</t>
  </si>
  <si>
    <t>dGMP</t>
  </si>
  <si>
    <t>C00363</t>
  </si>
  <si>
    <t>dTDP</t>
  </si>
  <si>
    <t>C00364</t>
  </si>
  <si>
    <t>dTMP</t>
  </si>
  <si>
    <t>C00365</t>
  </si>
  <si>
    <t>dUMP</t>
  </si>
  <si>
    <t>Starch</t>
  </si>
  <si>
    <t>C00376</t>
  </si>
  <si>
    <t>Retinal</t>
  </si>
  <si>
    <t>C00378</t>
  </si>
  <si>
    <t>Thiamine</t>
  </si>
  <si>
    <t>C00379</t>
  </si>
  <si>
    <t>Xylitol</t>
  </si>
  <si>
    <t>C00380</t>
  </si>
  <si>
    <t>Cytosine</t>
  </si>
  <si>
    <t>C00385</t>
  </si>
  <si>
    <t>Xanthine</t>
  </si>
  <si>
    <t>C00387</t>
  </si>
  <si>
    <t>Guanosine</t>
  </si>
  <si>
    <t>C00389</t>
  </si>
  <si>
    <t>Quercetin</t>
  </si>
  <si>
    <t>C00396</t>
  </si>
  <si>
    <t>Pyrimidine</t>
  </si>
  <si>
    <t>C00405</t>
  </si>
  <si>
    <t>D-Amino acid</t>
  </si>
  <si>
    <t>C00407</t>
  </si>
  <si>
    <t>L-Isoleucine</t>
  </si>
  <si>
    <t>C00409</t>
  </si>
  <si>
    <t>Methanethiol</t>
  </si>
  <si>
    <t>C00414</t>
  </si>
  <si>
    <t>Cyclohexanone</t>
  </si>
  <si>
    <t>C00415</t>
  </si>
  <si>
    <t>Dihydrofolate</t>
  </si>
  <si>
    <t>C00416</t>
  </si>
  <si>
    <t>Phosphatidate</t>
  </si>
  <si>
    <t>C00418</t>
  </si>
  <si>
    <t>( R )-Mevalonate</t>
  </si>
  <si>
    <t>C00424</t>
  </si>
  <si>
    <t>(S)-Lactaldehyde</t>
  </si>
  <si>
    <t>C00436</t>
  </si>
  <si>
    <t>N-Carbamoylputrescine</t>
  </si>
  <si>
    <t>C00437</t>
  </si>
  <si>
    <t>N-Acetylornithine</t>
  </si>
  <si>
    <t>N-Carbamoyl-L-aspartate</t>
  </si>
  <si>
    <t>C00441</t>
  </si>
  <si>
    <t>L-Aspartate 4-semialdehyde</t>
  </si>
  <si>
    <t>C00445</t>
  </si>
  <si>
    <t>5,10-Methenyltetrahydrofolate</t>
  </si>
  <si>
    <t>C00446</t>
  </si>
  <si>
    <t>alpha-D-Galactose 1-phosphate</t>
  </si>
  <si>
    <t>C00447</t>
  </si>
  <si>
    <t>Sedoheptulose 1,7-bisphosphate</t>
  </si>
  <si>
    <t>C00448</t>
  </si>
  <si>
    <t>Farnesyl diphosphate</t>
  </si>
  <si>
    <t>C00454</t>
  </si>
  <si>
    <t>NDP</t>
  </si>
  <si>
    <t>C00455</t>
  </si>
  <si>
    <t>Nicotinamide-D-ribonucleotide</t>
  </si>
  <si>
    <t>C00458</t>
  </si>
  <si>
    <t>dCTP</t>
  </si>
  <si>
    <t>C00459</t>
  </si>
  <si>
    <t>dTTP</t>
  </si>
  <si>
    <t>C00460</t>
  </si>
  <si>
    <t>dUTP</t>
  </si>
  <si>
    <t>C00463</t>
  </si>
  <si>
    <t>2,3-Benzopyrrole</t>
  </si>
  <si>
    <t>C00468</t>
  </si>
  <si>
    <t>Estrone</t>
  </si>
  <si>
    <t>C00469</t>
  </si>
  <si>
    <t>Ethanol</t>
  </si>
  <si>
    <t>C00473</t>
  </si>
  <si>
    <t>Retinol</t>
  </si>
  <si>
    <t>C00475</t>
  </si>
  <si>
    <t>Cytidine</t>
  </si>
  <si>
    <t>C00492</t>
  </si>
  <si>
    <t>Raffinose</t>
  </si>
  <si>
    <t>C00493</t>
  </si>
  <si>
    <t>3,4,5-Trihydroxy-1-cyclohexenecarboxylic acid</t>
  </si>
  <si>
    <t>C00498</t>
  </si>
  <si>
    <t>ADP-glucose</t>
  </si>
  <si>
    <t>C00504</t>
  </si>
  <si>
    <t>Folate</t>
  </si>
  <si>
    <t>C00506</t>
  </si>
  <si>
    <t>L-Cysteate</t>
  </si>
  <si>
    <t>C00509</t>
  </si>
  <si>
    <t>Naringenin</t>
  </si>
  <si>
    <t>Hyaluronate</t>
  </si>
  <si>
    <t>C00521</t>
  </si>
  <si>
    <t>(S)-Limonene</t>
  </si>
  <si>
    <t>C00526</t>
  </si>
  <si>
    <t>Deoxyuridine</t>
  </si>
  <si>
    <t>C00530</t>
  </si>
  <si>
    <t>Hydroquinone</t>
  </si>
  <si>
    <t>C00534</t>
  </si>
  <si>
    <t>Pyridoxamine</t>
  </si>
  <si>
    <t>C00542</t>
  </si>
  <si>
    <t>Cystathionine</t>
  </si>
  <si>
    <t>C00546</t>
  </si>
  <si>
    <t>Methylglyoxal</t>
  </si>
  <si>
    <t>C00556</t>
  </si>
  <si>
    <t>Benzyl alcohol</t>
  </si>
  <si>
    <t>C00557</t>
  </si>
  <si>
    <t>Cyclopentanone</t>
  </si>
  <si>
    <t>C00559</t>
  </si>
  <si>
    <t>Deoxyadenosine</t>
  </si>
  <si>
    <t>C00561</t>
  </si>
  <si>
    <t>Mandelonitrile</t>
  </si>
  <si>
    <t>C00562</t>
  </si>
  <si>
    <t>Phosphoprotein</t>
  </si>
  <si>
    <t>C00568</t>
  </si>
  <si>
    <t>4-Aminobenzoate</t>
  </si>
  <si>
    <t>C00576</t>
  </si>
  <si>
    <t>Betaine aldehyde</t>
  </si>
  <si>
    <t>C00577</t>
  </si>
  <si>
    <t>D-Glyceraldehyde</t>
  </si>
  <si>
    <t>C00579</t>
  </si>
  <si>
    <t>Dihydrolipoamide</t>
  </si>
  <si>
    <t>C00583</t>
  </si>
  <si>
    <t>Propane-1,2-diol</t>
  </si>
  <si>
    <t>C00585</t>
  </si>
  <si>
    <t>C00588</t>
  </si>
  <si>
    <t>Choline phosphate</t>
  </si>
  <si>
    <t>C00601</t>
  </si>
  <si>
    <t>Phenylacetaldehyde</t>
  </si>
  <si>
    <t>C00606</t>
  </si>
  <si>
    <t>3-Sulfino-L-alanine</t>
  </si>
  <si>
    <t>C00615</t>
  </si>
  <si>
    <t>Protein histidine</t>
  </si>
  <si>
    <t>alpha-D-Ribose 1-phosphate</t>
  </si>
  <si>
    <t>C00627</t>
  </si>
  <si>
    <t>Pyridoxine phosphate</t>
  </si>
  <si>
    <t>2-Phospho-D-glycerate</t>
  </si>
  <si>
    <t>D-Mannose 1-phosphate</t>
  </si>
  <si>
    <t>C00638</t>
  </si>
  <si>
    <t>Long-chain fatty acid</t>
  </si>
  <si>
    <t>(3S)-3-Hydroxyacyl-CoA</t>
  </si>
  <si>
    <t>C00641</t>
  </si>
  <si>
    <t>1,2-Diacyl-sn-glycerol</t>
  </si>
  <si>
    <t>C00642</t>
  </si>
  <si>
    <t>4-Hydroxyphenylacetate</t>
  </si>
  <si>
    <t>C00645</t>
  </si>
  <si>
    <t>N-Acetyl-D-mannosamine</t>
  </si>
  <si>
    <t>C00647</t>
  </si>
  <si>
    <t>Pyridoxamine phosphate</t>
  </si>
  <si>
    <t>C00653</t>
  </si>
  <si>
    <t>Poly(ribitol phosphate)</t>
  </si>
  <si>
    <t>C00655</t>
  </si>
  <si>
    <t>Xanthosine 5'-phosphate</t>
  </si>
  <si>
    <t>C00658</t>
  </si>
  <si>
    <t>trans-2,3-Dehydroacyl-CoA</t>
  </si>
  <si>
    <t>C00662</t>
  </si>
  <si>
    <t>Reduced adrenal ferredoxin</t>
  </si>
  <si>
    <t>C00667</t>
  </si>
  <si>
    <t>Oxidized adrenal ferredoxin</t>
  </si>
  <si>
    <t>alpha-D-Glucose 6-phosphate</t>
  </si>
  <si>
    <t>C00670</t>
  </si>
  <si>
    <t>Glycerophosphocholine</t>
  </si>
  <si>
    <t>C00671</t>
  </si>
  <si>
    <t>(S)-3-Methyl-2-oxopentanoic acid</t>
  </si>
  <si>
    <t>2-Deoxy-D-ribose 1-phosphate</t>
  </si>
  <si>
    <t>2-Deoxy-D-ribose 5-phosphate</t>
  </si>
  <si>
    <t>C00677</t>
  </si>
  <si>
    <t>Deoxynucleoside triphosphate</t>
  </si>
  <si>
    <t>meso-2,6-Diaminoheptanedioate</t>
  </si>
  <si>
    <t>2-Hydroxymuconate semialdehyde</t>
  </si>
  <si>
    <t>C00685</t>
  </si>
  <si>
    <t>3-Oxoacyl-[acyl-carrier protein]</t>
  </si>
  <si>
    <t>N-Acyl-D-mannosamine 6-phosphate</t>
  </si>
  <si>
    <t>dTDP-4-dehydro-beta-L-rhamnose</t>
  </si>
  <si>
    <t>C00689</t>
  </si>
  <si>
    <t>Trehalose 6-phosphate</t>
  </si>
  <si>
    <t>C00692</t>
  </si>
  <si>
    <t>UDP-N-acetylmuramoyl-L-alanyl-D-glutamate</t>
  </si>
  <si>
    <t>C00703</t>
  </si>
  <si>
    <t>Mercury(2+)</t>
  </si>
  <si>
    <t>C00704</t>
  </si>
  <si>
    <t>Superoxide</t>
  </si>
  <si>
    <t>C00705</t>
  </si>
  <si>
    <t>dCDP</t>
  </si>
  <si>
    <t>C00712</t>
  </si>
  <si>
    <t>(9Z)-Octadecenoic acid</t>
  </si>
  <si>
    <t>Amylose</t>
  </si>
  <si>
    <t>C00721</t>
  </si>
  <si>
    <t>Dextrin</t>
  </si>
  <si>
    <t>C00740</t>
  </si>
  <si>
    <t>D-Serine</t>
  </si>
  <si>
    <t>C00756</t>
  </si>
  <si>
    <t>1-Octanol</t>
  </si>
  <si>
    <t>C00770</t>
  </si>
  <si>
    <t>L-Idonate</t>
  </si>
  <si>
    <t>C00772</t>
  </si>
  <si>
    <t>Mevaldate</t>
  </si>
  <si>
    <t>C00787</t>
  </si>
  <si>
    <t>tRNA(Tyr)</t>
  </si>
  <si>
    <t>C00794</t>
  </si>
  <si>
    <t>D-Sorbitol</t>
  </si>
  <si>
    <t>C00797</t>
  </si>
  <si>
    <t>Ethylamine</t>
  </si>
  <si>
    <t>C00800</t>
  </si>
  <si>
    <t>L-Gulonate</t>
  </si>
  <si>
    <t>C00810</t>
  </si>
  <si>
    <t>(R)-Acetoin</t>
  </si>
  <si>
    <t>C00821</t>
  </si>
  <si>
    <t>DNA adenine</t>
  </si>
  <si>
    <t>L-Arogenate</t>
  </si>
  <si>
    <t>C00831</t>
  </si>
  <si>
    <t>Pantethiene</t>
  </si>
  <si>
    <t>dTDP-glucose</t>
  </si>
  <si>
    <t>C00844</t>
  </si>
  <si>
    <t>Prunasin</t>
  </si>
  <si>
    <t>C00850</t>
  </si>
  <si>
    <t>Aryl sulfate</t>
  </si>
  <si>
    <t>C00854</t>
  </si>
  <si>
    <t>Cyclohexanol</t>
  </si>
  <si>
    <t>C00856</t>
  </si>
  <si>
    <t>DNA cytosine</t>
  </si>
  <si>
    <t>C00857</t>
  </si>
  <si>
    <t>Deamino-NAD+</t>
  </si>
  <si>
    <t>C00861</t>
  </si>
  <si>
    <t>L-Rhamnulose</t>
  </si>
  <si>
    <t>C00864</t>
  </si>
  <si>
    <t>Pantothenate</t>
  </si>
  <si>
    <t>tRNA uridine</t>
  </si>
  <si>
    <t>C00877</t>
  </si>
  <si>
    <t>Crotonoyl-CoA</t>
  </si>
  <si>
    <t>C00881</t>
  </si>
  <si>
    <t>Deoxycytidine</t>
  </si>
  <si>
    <t>C00882</t>
  </si>
  <si>
    <t>Dephospho-CoA</t>
  </si>
  <si>
    <t>C00886</t>
  </si>
  <si>
    <t>L-Alanyl-tRNA</t>
  </si>
  <si>
    <t>C00894</t>
  </si>
  <si>
    <t>Propenoyl-CoA</t>
  </si>
  <si>
    <t>C00900</t>
  </si>
  <si>
    <t>2-Acetolactate</t>
  </si>
  <si>
    <t>C00911</t>
  </si>
  <si>
    <t>Ribonucleoside</t>
  </si>
  <si>
    <t>C00916</t>
  </si>
  <si>
    <t>Cephalosporin C</t>
  </si>
  <si>
    <t>C00921</t>
  </si>
  <si>
    <t>Dihydropteroate</t>
  </si>
  <si>
    <t>C00934</t>
  </si>
  <si>
    <t>sugar phosphate</t>
  </si>
  <si>
    <t>3-Dehydroquinate</t>
  </si>
  <si>
    <t>C00957</t>
  </si>
  <si>
    <t>Mercaptopyruvate</t>
  </si>
  <si>
    <t>C00962</t>
  </si>
  <si>
    <t>beta-D-Galactose</t>
  </si>
  <si>
    <t>C00963</t>
  </si>
  <si>
    <t>beta-D-Glucoside</t>
  </si>
  <si>
    <t>C00965</t>
  </si>
  <si>
    <t>1,3-beta-D-Glucan</t>
  </si>
  <si>
    <t>C00969</t>
  </si>
  <si>
    <t>3-Hydroxypropanal</t>
  </si>
  <si>
    <t>C00979</t>
  </si>
  <si>
    <t>O-Acetyl-L-serine</t>
  </si>
  <si>
    <t>alpha-D-Galactose</t>
  </si>
  <si>
    <t>C00988</t>
  </si>
  <si>
    <t>2-Phosphoglycolate</t>
  </si>
  <si>
    <t>C00993</t>
  </si>
  <si>
    <t>D-Alanyl-D-alanine</t>
  </si>
  <si>
    <t>C01005</t>
  </si>
  <si>
    <t>O-Phospho-L-serine</t>
  </si>
  <si>
    <t>L-Fucose</t>
  </si>
  <si>
    <t>C01026</t>
  </si>
  <si>
    <t>N,N-Dimethylglycine</t>
  </si>
  <si>
    <t>C01050</t>
  </si>
  <si>
    <t>UDP-N-acetylmuramate</t>
  </si>
  <si>
    <t>C01062</t>
  </si>
  <si>
    <t>5-Dehydro-D-gluconate</t>
  </si>
  <si>
    <t>C01077</t>
  </si>
  <si>
    <t>O-Acetyl-L-homoserine</t>
  </si>
  <si>
    <t>C01079</t>
  </si>
  <si>
    <t>Protoporphyrinogen IX</t>
  </si>
  <si>
    <t>(3R)-3-Hydroxyacyl-CoA</t>
  </si>
  <si>
    <t>C01094</t>
  </si>
  <si>
    <t>D-Fructose 1-phosphate</t>
  </si>
  <si>
    <t>D-Tagatose 6-phosphate</t>
  </si>
  <si>
    <t>L-Fuculose 1-phosphate</t>
  </si>
  <si>
    <t>L-Ribulose 5-phosphate</t>
  </si>
  <si>
    <t>C01102</t>
  </si>
  <si>
    <t>O-Phospho-L-homoserine</t>
  </si>
  <si>
    <t>C01107</t>
  </si>
  <si>
    <t>(R)-5-Phosphomevalonate</t>
  </si>
  <si>
    <t>D-Galactose 6-phosphate</t>
  </si>
  <si>
    <t>C01118</t>
  </si>
  <si>
    <t>O-Succinyl-L-homoserine</t>
  </si>
  <si>
    <t>C01122</t>
  </si>
  <si>
    <t>cis-2,3-Dehydroacyl-CoA</t>
  </si>
  <si>
    <t>C01131</t>
  </si>
  <si>
    <t>L-Rhamnulose 1-phosphate</t>
  </si>
  <si>
    <t>C01132</t>
  </si>
  <si>
    <t>N-Acetyl-D-galactosamine</t>
  </si>
  <si>
    <t>C01134</t>
  </si>
  <si>
    <t>Pantetheine 4'-phosphate</t>
  </si>
  <si>
    <t>C01137</t>
  </si>
  <si>
    <t>S-Adenosylmethioninamine</t>
  </si>
  <si>
    <t>C01143</t>
  </si>
  <si>
    <t>(R)-5-Diphosphomevalonate</t>
  </si>
  <si>
    <t>(S)-3-Hydroxybutanoyl-CoA</t>
  </si>
  <si>
    <t>C01157</t>
  </si>
  <si>
    <t>Hydroxyproline</t>
  </si>
  <si>
    <t>3-Carboxy-cis,cis-muconate</t>
  </si>
  <si>
    <t>C01165</t>
  </si>
  <si>
    <t>L-Glutamate 5-semialdehyde</t>
  </si>
  <si>
    <t>C01167</t>
  </si>
  <si>
    <t>Protein tyrosine phosphate</t>
  </si>
  <si>
    <t>C01168</t>
  </si>
  <si>
    <t>Pseudouridine 5'-phosphate</t>
  </si>
  <si>
    <t>alpha-D-Hexose 1-phosphate</t>
  </si>
  <si>
    <t>beta-D-Glucose 6-phosphate</t>
  </si>
  <si>
    <t>C01177</t>
  </si>
  <si>
    <t>Inositol 1-phosphate</t>
  </si>
  <si>
    <t>C01179</t>
  </si>
  <si>
    <t>3-(4-Hydroxyphenyl)pyruvate</t>
  </si>
  <si>
    <t>C01185</t>
  </si>
  <si>
    <t>Nicotinate D-ribonucleotide</t>
  </si>
  <si>
    <t>C01190</t>
  </si>
  <si>
    <t>Glucosylceramide</t>
  </si>
  <si>
    <t>C01203</t>
  </si>
  <si>
    <t>Oleoyl-[acyl-carrier protein]</t>
  </si>
  <si>
    <t>C01209</t>
  </si>
  <si>
    <t>Malonyl-[acp]</t>
  </si>
  <si>
    <t>C01212</t>
  </si>
  <si>
    <t>UDP-N-acetylmuramoyl-L-alanine</t>
  </si>
  <si>
    <t>C01217</t>
  </si>
  <si>
    <t>5,6,7,8-Tetrahydromethanopterin</t>
  </si>
  <si>
    <t>C01233</t>
  </si>
  <si>
    <t>Glycerophosphoethanolamine</t>
  </si>
  <si>
    <t>C01235</t>
  </si>
  <si>
    <t>alpha-D-Galactosyl-(1-&gt;3)-1D-myo-inositol</t>
  </si>
  <si>
    <t>C01236</t>
  </si>
  <si>
    <t>D-Glucono-1,5-lactone 6-phosphate</t>
  </si>
  <si>
    <t>5-O-(1-Carboxyvinyl)-3-phosphoshikimate</t>
  </si>
  <si>
    <t>C01271</t>
  </si>
  <si>
    <t>(R)-3-Hydroxyacyl-[acyl-carrier protein]</t>
  </si>
  <si>
    <t>2-Dehydro-3-deoxy-6-phospho-D-galactonate</t>
  </si>
  <si>
    <t>C01290</t>
  </si>
  <si>
    <t>Lactosylceramide</t>
  </si>
  <si>
    <t>C01300</t>
  </si>
  <si>
    <t>6-(Hydroxymethyl)-7,8-dihydropterin</t>
  </si>
  <si>
    <t>1-(2-Carboxyphenylamino)-1-deoxy-D-ribulose 5-phosphate</t>
  </si>
  <si>
    <t>C01319</t>
  </si>
  <si>
    <t>Mercury</t>
  </si>
  <si>
    <t>C01335</t>
  </si>
  <si>
    <t>ROH</t>
  </si>
  <si>
    <t>C01344</t>
  </si>
  <si>
    <t>2'-Deoxyinosine-5'-diphosphate</t>
  </si>
  <si>
    <t>C01345</t>
  </si>
  <si>
    <t>2'-Deoxyinosine-5'-triphosphate</t>
  </si>
  <si>
    <t>C01346</t>
  </si>
  <si>
    <t>dUDP</t>
  </si>
  <si>
    <t>C01352</t>
  </si>
  <si>
    <t>FADH2</t>
  </si>
  <si>
    <t>C01419</t>
  </si>
  <si>
    <t>Cys-Gly</t>
  </si>
  <si>
    <t>C01450</t>
  </si>
  <si>
    <t>Ketone</t>
  </si>
  <si>
    <t>C01468</t>
  </si>
  <si>
    <t>4-Cresol</t>
  </si>
  <si>
    <t>C01507</t>
  </si>
  <si>
    <t>L-Iditol</t>
  </si>
  <si>
    <t>C01528</t>
  </si>
  <si>
    <t>Hydrogen Selenide</t>
  </si>
  <si>
    <t>C01530</t>
  </si>
  <si>
    <t>Octadecanoic acid</t>
  </si>
  <si>
    <t>C01545</t>
  </si>
  <si>
    <t>Octanal</t>
  </si>
  <si>
    <t>C01563</t>
  </si>
  <si>
    <t>Carbamate</t>
  </si>
  <si>
    <t>C01594</t>
  </si>
  <si>
    <t>Linamarin</t>
  </si>
  <si>
    <t>C01609</t>
  </si>
  <si>
    <t>Protamine</t>
  </si>
  <si>
    <t>C01612</t>
  </si>
  <si>
    <t>Secondary alcohol</t>
  </si>
  <si>
    <t>C01613</t>
  </si>
  <si>
    <t>Stachyose</t>
  </si>
  <si>
    <t>C01635</t>
  </si>
  <si>
    <t>tRNA(Ala)</t>
  </si>
  <si>
    <t>C01636</t>
  </si>
  <si>
    <t>tRNA(Arg)</t>
  </si>
  <si>
    <t>C01637</t>
  </si>
  <si>
    <t>tRNA(Asn)</t>
  </si>
  <si>
    <t>C01638</t>
  </si>
  <si>
    <t>tRNA(Asp)</t>
  </si>
  <si>
    <t>C01640</t>
  </si>
  <si>
    <t>tRNA(Gln)</t>
  </si>
  <si>
    <t>C01641</t>
  </si>
  <si>
    <t>tRNA(Glu)</t>
  </si>
  <si>
    <t>C01642</t>
  </si>
  <si>
    <t>tRNA(Gly)</t>
  </si>
  <si>
    <t>C01643</t>
  </si>
  <si>
    <t>tRNA(His)</t>
  </si>
  <si>
    <t>C01644</t>
  </si>
  <si>
    <t>tRNA(Ile)</t>
  </si>
  <si>
    <t>C01645</t>
  </si>
  <si>
    <t>tRNA(Leu)</t>
  </si>
  <si>
    <t>C01647</t>
  </si>
  <si>
    <t>tRNA(Met)</t>
  </si>
  <si>
    <t>C01648</t>
  </si>
  <si>
    <t>tRNA(Phe)</t>
  </si>
  <si>
    <t>C01649</t>
  </si>
  <si>
    <t>tRNA(Pro)</t>
  </si>
  <si>
    <t>C01650</t>
  </si>
  <si>
    <t>tRNA(Ser)</t>
  </si>
  <si>
    <t>C01651</t>
  </si>
  <si>
    <t>tRNA(Thr)</t>
  </si>
  <si>
    <t>C01652</t>
  </si>
  <si>
    <t>tRNA(Trp)</t>
  </si>
  <si>
    <t>C01672</t>
  </si>
  <si>
    <t>Cadaverine</t>
  </si>
  <si>
    <t>C01674</t>
  </si>
  <si>
    <t>Chitobiose</t>
  </si>
  <si>
    <t>L-Fuculose</t>
  </si>
  <si>
    <t>C01755</t>
  </si>
  <si>
    <t>Thiocyanate</t>
  </si>
  <si>
    <t>C01762</t>
  </si>
  <si>
    <t>Xanthosine</t>
  </si>
  <si>
    <t>C01764</t>
  </si>
  <si>
    <t>tRNA UpsiC</t>
  </si>
  <si>
    <t>C01847</t>
  </si>
  <si>
    <t>FMNH2</t>
  </si>
  <si>
    <t>C01898</t>
  </si>
  <si>
    <t>Cellodextrin</t>
  </si>
  <si>
    <t>C01935</t>
  </si>
  <si>
    <t>Maltodextrin</t>
  </si>
  <si>
    <t>C01977</t>
  </si>
  <si>
    <t>tRNA guanine</t>
  </si>
  <si>
    <t>C02020</t>
  </si>
  <si>
    <t>Cyclopentanol</t>
  </si>
  <si>
    <t>C02047</t>
  </si>
  <si>
    <t>L-Leucyl-tRNA</t>
  </si>
  <si>
    <t>C02051</t>
  </si>
  <si>
    <t>Lipoylprotein</t>
  </si>
  <si>
    <t>C02090</t>
  </si>
  <si>
    <t>Trypanothione</t>
  </si>
  <si>
    <t>dTDP-galactose</t>
  </si>
  <si>
    <t>C02128</t>
  </si>
  <si>
    <t>5'-Phospho-DNA</t>
  </si>
  <si>
    <t>C02133</t>
  </si>
  <si>
    <t>Acyl phosphate</t>
  </si>
  <si>
    <t>C02163</t>
  </si>
  <si>
    <t>L-Arginyl-tRNA</t>
  </si>
  <si>
    <t>C02189</t>
  </si>
  <si>
    <t>Protein L-serine</t>
  </si>
  <si>
    <t>C02211</t>
  </si>
  <si>
    <t>tRNA precursor</t>
  </si>
  <si>
    <t>Dehydroalanine</t>
  </si>
  <si>
    <t>C02291</t>
  </si>
  <si>
    <t>L-Cystathionine</t>
  </si>
  <si>
    <t>C02297</t>
  </si>
  <si>
    <t>N-Acetyldiamine</t>
  </si>
  <si>
    <t>C02315</t>
  </si>
  <si>
    <t>Protein dithiol</t>
  </si>
  <si>
    <t>C02323</t>
  </si>
  <si>
    <t>Salicyl alcohol</t>
  </si>
  <si>
    <t>C02336</t>
  </si>
  <si>
    <t>beta-D-Fructose</t>
  </si>
  <si>
    <t>C02342</t>
  </si>
  <si>
    <t>'Activated' tRNA</t>
  </si>
  <si>
    <t>C02356</t>
  </si>
  <si>
    <t>(S)-2-Aminobutanoate</t>
  </si>
  <si>
    <t>C02375</t>
  </si>
  <si>
    <t>4-Chlorocatechol</t>
  </si>
  <si>
    <t>C02376</t>
  </si>
  <si>
    <t>5-Methylcytosine</t>
  </si>
  <si>
    <t>C02380</t>
  </si>
  <si>
    <t>Mercaptopurine</t>
  </si>
  <si>
    <t>C02412</t>
  </si>
  <si>
    <t>Glycyl-tRNA(Gly)</t>
  </si>
  <si>
    <t>C02430</t>
  </si>
  <si>
    <t>L-Methionyl-tRNA</t>
  </si>
  <si>
    <t>C02501</t>
  </si>
  <si>
    <t>2-Hydroxymuconate</t>
  </si>
  <si>
    <t>alpha-Isopropylmalate</t>
  </si>
  <si>
    <t>C02520</t>
  </si>
  <si>
    <t>5'-Ribonucleotide</t>
  </si>
  <si>
    <t>C02532</t>
  </si>
  <si>
    <t>D-O-Phosphoserine</t>
  </si>
  <si>
    <t>C02538</t>
  </si>
  <si>
    <t>Estrone 3-sulfate</t>
  </si>
  <si>
    <t>C02553</t>
  </si>
  <si>
    <t>L-Seryl-tRNA(Ser)</t>
  </si>
  <si>
    <t>C02582</t>
  </si>
  <si>
    <t>Protein disulfide</t>
  </si>
  <si>
    <t>C02631</t>
  </si>
  <si>
    <t>2-Isopropylmaleate</t>
  </si>
  <si>
    <t>C02637</t>
  </si>
  <si>
    <t>3-Dehydroshikimate</t>
  </si>
  <si>
    <t>C02659</t>
  </si>
  <si>
    <t>Acetone cyanohydrin</t>
  </si>
  <si>
    <t>C02679</t>
  </si>
  <si>
    <t>Dodecanoic acid</t>
  </si>
  <si>
    <t>C02686</t>
  </si>
  <si>
    <t>Galactosylceramide</t>
  </si>
  <si>
    <t>C02702</t>
  </si>
  <si>
    <t>L-Prolyl-tRNA(Pro)</t>
  </si>
  <si>
    <t>C02713</t>
  </si>
  <si>
    <t>N-Acetylmuramate</t>
  </si>
  <si>
    <t>C02714</t>
  </si>
  <si>
    <t>N-Acetylputrescine</t>
  </si>
  <si>
    <t>C02729</t>
  </si>
  <si>
    <t>O-Phosphoprotamine</t>
  </si>
  <si>
    <t>C02743</t>
  </si>
  <si>
    <t>Protein L-cysteine</t>
  </si>
  <si>
    <t>tRNA pseudouridine</t>
  </si>
  <si>
    <t>C02780</t>
  </si>
  <si>
    <t>2,5-Didehydro-D-gluconate</t>
  </si>
  <si>
    <t>C02839</t>
  </si>
  <si>
    <t>L-Tyrosyl-tRNA(Tyr)</t>
  </si>
  <si>
    <t>C02876</t>
  </si>
  <si>
    <t>Propanoyl phosphate</t>
  </si>
  <si>
    <t>C02909</t>
  </si>
  <si>
    <t>(2-Naphthyl)methanol</t>
  </si>
  <si>
    <t>C02923</t>
  </si>
  <si>
    <t>2,3-Dihydroxytoluene</t>
  </si>
  <si>
    <t>C02953</t>
  </si>
  <si>
    <t>7,8-Dihydrobiopterin</t>
  </si>
  <si>
    <t>D-Allose 6-phosphate</t>
  </si>
  <si>
    <t>C02967</t>
  </si>
  <si>
    <t>DNA 5-methylcytosine</t>
  </si>
  <si>
    <t>C02972</t>
  </si>
  <si>
    <t>Dihydrolipoylprotein</t>
  </si>
  <si>
    <t>C02984</t>
  </si>
  <si>
    <t>L-Aspartyl-tRNA(Asp)</t>
  </si>
  <si>
    <t>C02987</t>
  </si>
  <si>
    <t>L-Glutamyl-tRNA(Glu)</t>
  </si>
  <si>
    <t>C02988</t>
  </si>
  <si>
    <t>L-Histidyl-tRNA(His)</t>
  </si>
  <si>
    <t>C02989</t>
  </si>
  <si>
    <t>L-Methionine S-oxide</t>
  </si>
  <si>
    <t>C02992</t>
  </si>
  <si>
    <t>L-Threonyl-tRNA(Thr)</t>
  </si>
  <si>
    <t>C02999</t>
  </si>
  <si>
    <t>N-Acetylmuramoyl-Ala</t>
  </si>
  <si>
    <t>C03028</t>
  </si>
  <si>
    <t>Thiamin triphosphate</t>
  </si>
  <si>
    <t>C03069</t>
  </si>
  <si>
    <t>3-Methylcrotonyl-CoA</t>
  </si>
  <si>
    <t>C03082</t>
  </si>
  <si>
    <t>4-Phospho-L-aspartate</t>
  </si>
  <si>
    <t>C03089</t>
  </si>
  <si>
    <t>5-Methylthio-D-ribose</t>
  </si>
  <si>
    <t>C03090</t>
  </si>
  <si>
    <t>5-Phosphoribosylamine</t>
  </si>
  <si>
    <t>C03112</t>
  </si>
  <si>
    <t>Deacetylcephalosporin C</t>
  </si>
  <si>
    <t>C03120</t>
  </si>
  <si>
    <t>Glycerophosphodiester</t>
  </si>
  <si>
    <t>C03127</t>
  </si>
  <si>
    <t>L-Isoleucyl-tRNA(Ile)</t>
  </si>
  <si>
    <t>C03145</t>
  </si>
  <si>
    <t>N-Formylmethionine</t>
  </si>
  <si>
    <t>C03150</t>
  </si>
  <si>
    <t>Nicotinamide-beta-riboside</t>
  </si>
  <si>
    <t>C03169</t>
  </si>
  <si>
    <t>Pyrimidine nucleoside</t>
  </si>
  <si>
    <t>C03170</t>
  </si>
  <si>
    <t>Trypanothione disulfide</t>
  </si>
  <si>
    <t>C03175</t>
  </si>
  <si>
    <t>Shikimate 3-phosphate</t>
  </si>
  <si>
    <t>C03221</t>
  </si>
  <si>
    <t>2-trans-Dodecenoyl-CoA</t>
  </si>
  <si>
    <t>C03263</t>
  </si>
  <si>
    <t>Coproporphyrinogen III</t>
  </si>
  <si>
    <t>C03272</t>
  </si>
  <si>
    <t>Globoside</t>
  </si>
  <si>
    <t>C03287</t>
  </si>
  <si>
    <t>L-Glutamyl 5-phosphate</t>
  </si>
  <si>
    <t>L-Xylulose 5-phosphate</t>
  </si>
  <si>
    <t>C03294</t>
  </si>
  <si>
    <t>N-Formylmethionyl-tRNA</t>
  </si>
  <si>
    <t>C03319</t>
  </si>
  <si>
    <t>dTDP-L-rhamnose</t>
  </si>
  <si>
    <t>C03345</t>
  </si>
  <si>
    <t>2-Methylbut-2-enoyl-CoA</t>
  </si>
  <si>
    <t>3-Phospho-D-erythronate</t>
  </si>
  <si>
    <t>C03373</t>
  </si>
  <si>
    <t>Aminoimidazole ribotide</t>
  </si>
  <si>
    <t>C03391</t>
  </si>
  <si>
    <t>DNA 6-methylaminopurine</t>
  </si>
  <si>
    <t>C03402</t>
  </si>
  <si>
    <t>L-Asparaginyl-tRNA(Asn)</t>
  </si>
  <si>
    <t>C03405</t>
  </si>
  <si>
    <t>Lactosylceramide sulfate</t>
  </si>
  <si>
    <t>C03406</t>
  </si>
  <si>
    <t>N-(L-Arginino)succinate</t>
  </si>
  <si>
    <t>C03431</t>
  </si>
  <si>
    <t>S-Inosyl-L-homocysteine</t>
  </si>
  <si>
    <t>C03446</t>
  </si>
  <si>
    <t>tRNA TpsiC</t>
  </si>
  <si>
    <t>S-D-Lactoylglutathione</t>
  </si>
  <si>
    <t>C03460</t>
  </si>
  <si>
    <t>Methacrylyl-CoA</t>
  </si>
  <si>
    <t>C03485</t>
  </si>
  <si>
    <t>Aromatic alcohol</t>
  </si>
  <si>
    <t>C03492</t>
  </si>
  <si>
    <t>D-4'-Phosphopantothenate</t>
  </si>
  <si>
    <t>Indoleglycerol phosphate</t>
  </si>
  <si>
    <t>C03511</t>
  </si>
  <si>
    <t>L-Phenylalanyl-tRNA(Phe)</t>
  </si>
  <si>
    <t>C03512</t>
  </si>
  <si>
    <t>L-Tryptophanyl-tRNA(Trp)</t>
  </si>
  <si>
    <t>C03523</t>
  </si>
  <si>
    <t>N-Substituted amino acid</t>
  </si>
  <si>
    <t>S-Ribosyl-L-homocysteine</t>
  </si>
  <si>
    <t>C03541</t>
  </si>
  <si>
    <t>Tetrahydrofolyl-[Glu](n)</t>
  </si>
  <si>
    <t>C03546</t>
  </si>
  <si>
    <t>Inositol 4-phosphate</t>
  </si>
  <si>
    <t>C03617</t>
  </si>
  <si>
    <t>L-Methionylaminoacyl-tRNA</t>
  </si>
  <si>
    <t>Peptidylproline (omega=0)</t>
  </si>
  <si>
    <t>C03687</t>
  </si>
  <si>
    <t>Alkane-alpha</t>
  </si>
  <si>
    <t>C03688</t>
  </si>
  <si>
    <t>Apo-[acyl-carrier protein]</t>
  </si>
  <si>
    <t>C03692</t>
  </si>
  <si>
    <t>1,2-Diacyl-3-beta-D-galactosyl-sn-glycerol</t>
  </si>
  <si>
    <t>C03722</t>
  </si>
  <si>
    <t>Quinolinate</t>
  </si>
  <si>
    <t>C03723</t>
  </si>
  <si>
    <t>Ribonucleoside diphosphate</t>
  </si>
  <si>
    <t>alpha-D-Hexose 6-phosphate</t>
  </si>
  <si>
    <t>C03742</t>
  </si>
  <si>
    <t>(S)-4-Hydroxymandelonitrile</t>
  </si>
  <si>
    <t>C03764</t>
  </si>
  <si>
    <t>4-(Dimethylamino)phenylazobenzene</t>
  </si>
  <si>
    <t>C03765</t>
  </si>
  <si>
    <t>4-Hydroxyphenylacetaldehyde</t>
  </si>
  <si>
    <t>D-Tagatose 1,6-bisphosphate</t>
  </si>
  <si>
    <t>Adenylosuccinic acid</t>
  </si>
  <si>
    <t>Peptidylproline (omega=180)</t>
  </si>
  <si>
    <t>C03800</t>
  </si>
  <si>
    <t>Protein S-methyl-L-cysteine</t>
  </si>
  <si>
    <t>C03802</t>
  </si>
  <si>
    <t>Ribonucleoside 5'-triphosphate</t>
  </si>
  <si>
    <t>C03838</t>
  </si>
  <si>
    <t>5'-Phosphoribosylglycinamide</t>
  </si>
  <si>
    <t>C03847</t>
  </si>
  <si>
    <t>6-Phospho-beta-D-galactoside</t>
  </si>
  <si>
    <t>C03880</t>
  </si>
  <si>
    <t>N-Substituted aminoacyl-tRNA</t>
  </si>
  <si>
    <t>C03892</t>
  </si>
  <si>
    <t>Phosphatidylglycerophosphate</t>
  </si>
  <si>
    <t>C03912</t>
  </si>
  <si>
    <t>1-Pyrroline-5-carboxylate</t>
  </si>
  <si>
    <t>C03939</t>
  </si>
  <si>
    <t>Acetyl-[acp]</t>
  </si>
  <si>
    <t>C03972</t>
  </si>
  <si>
    <t>2,3,4,5-Tetrahydrodipicolinate</t>
  </si>
  <si>
    <t>C04006</t>
  </si>
  <si>
    <t>D-myo-Inositol 3-phosphate</t>
  </si>
  <si>
    <t>2,3-Dihydroxy-isovaleric acid</t>
  </si>
  <si>
    <t>C04051</t>
  </si>
  <si>
    <t>5-Amino-4-imidazolecarboxyamide</t>
  </si>
  <si>
    <t>C04053</t>
  </si>
  <si>
    <t>5-Dehydro-4-deoxy-D-glucuronate</t>
  </si>
  <si>
    <t>C04079</t>
  </si>
  <si>
    <t>N-Pantothenoylcysteine</t>
  </si>
  <si>
    <t>C04088</t>
  </si>
  <si>
    <t>Stearoyl-[acyl-carrier protein]</t>
  </si>
  <si>
    <t>C04132</t>
  </si>
  <si>
    <t>N-Acetyl-D-glucosamine 6-sulfate</t>
  </si>
  <si>
    <t>N-Acyl-D-glucosamine 6-phosphate</t>
  </si>
  <si>
    <t>C04152</t>
  </si>
  <si>
    <t>rRNA containing N1-methylguanine</t>
  </si>
  <si>
    <t>C04153</t>
  </si>
  <si>
    <t>rRNA containing N2-methylguanine</t>
  </si>
  <si>
    <t>C04157</t>
  </si>
  <si>
    <t>N1-Methylguanine in tRNA</t>
  </si>
  <si>
    <t>C04161</t>
  </si>
  <si>
    <t>tRNA containing a thionucleotide</t>
  </si>
  <si>
    <t>2-Oxo-3-hydroxyisovalerate</t>
  </si>
  <si>
    <t>C04203</t>
  </si>
  <si>
    <t>p-Amino-N,N-dimethylaniline</t>
  </si>
  <si>
    <t>C04232</t>
  </si>
  <si>
    <t>2'-Deoxyribonucleoside 5'-diphosphate</t>
  </si>
  <si>
    <t>3-Carboxy-4-methyl-2-oxopentanoate</t>
  </si>
  <si>
    <t>C04242</t>
  </si>
  <si>
    <t>5-Fluorodeoxyuridine monophosphate</t>
  </si>
  <si>
    <t>C04250</t>
  </si>
  <si>
    <t>DNA containing 6-O-methylguanine</t>
  </si>
  <si>
    <t>N-Acetylmannosamine 6-phosphate</t>
  </si>
  <si>
    <t>C04258</t>
  </si>
  <si>
    <t>N-Formyl-L-methionylaminoacyl-tRNA</t>
  </si>
  <si>
    <t>C04260</t>
  </si>
  <si>
    <t>O-D-Alanyl-poly(ribitol phosphate)</t>
  </si>
  <si>
    <t>C04261</t>
  </si>
  <si>
    <t>Protein N-pros-phospho-L-histidine</t>
  </si>
  <si>
    <t>(R)-2,3-Dihydroxy-3-methylbutanoate</t>
  </si>
  <si>
    <t>C04281</t>
  </si>
  <si>
    <t>L-1-Pyrroline-3-hydroxy-5-carboxylate</t>
  </si>
  <si>
    <t>N-(5-Phospho-D-ribosyl)anthranilate</t>
  </si>
  <si>
    <t>C04309</t>
  </si>
  <si>
    <t>Phosphoenol-4-deoxy-3-tetrulosonate</t>
  </si>
  <si>
    <t>6,7-Dimethyl-8-(D-ribityl)lumazine</t>
  </si>
  <si>
    <t>C04352</t>
  </si>
  <si>
    <t>(R)-4'-Phosphopantothenoyl-L-cysteine</t>
  </si>
  <si>
    <t>C04370</t>
  </si>
  <si>
    <t>S-Adenosyl-L-homocysteine</t>
  </si>
  <si>
    <t>C04376</t>
  </si>
  <si>
    <t>5'-Phosphoribosyl-N-formylglycinamide</t>
  </si>
  <si>
    <t>C04377</t>
  </si>
  <si>
    <t>5,10-Methylenetetrahydromethanopterin</t>
  </si>
  <si>
    <t>(S)-3-Hydroxy-2-methylbutyryl-CoA</t>
  </si>
  <si>
    <t>3-Isopropylmalate</t>
  </si>
  <si>
    <t>C04419</t>
  </si>
  <si>
    <t>Carboxybiotin-carboxyl-carrier protein</t>
  </si>
  <si>
    <t>C04462</t>
  </si>
  <si>
    <t>N-Succinyl-2-L-amino-6-oxoheptanedioate</t>
  </si>
  <si>
    <t>C04494</t>
  </si>
  <si>
    <t>Guanosine 3'-diphosphate 5'-triphosphate</t>
  </si>
  <si>
    <t>N-Acetyl-alpha-D-glucosamine 1-phosphate</t>
  </si>
  <si>
    <t>C04534</t>
  </si>
  <si>
    <t>6-Phospho-beta-D-glucosyl-(1,4)-D-glucose</t>
  </si>
  <si>
    <t>3-Carboxy-2,5-dihydro-5-oxofuran-2-acetate</t>
  </si>
  <si>
    <t>C04556</t>
  </si>
  <si>
    <t>4-Amino-2-methyl-5-(phosphooxymethyl)pyrimidine</t>
  </si>
  <si>
    <t>C04574</t>
  </si>
  <si>
    <t>di-trans,poly-cis-Undecaprenyl diphosphate</t>
  </si>
  <si>
    <t>C04618</t>
  </si>
  <si>
    <t>(3R)-3-Hydroxybutanoyl-[acyl-carrier protein]</t>
  </si>
  <si>
    <t>C04619</t>
  </si>
  <si>
    <t>(3R)-3-Hydroxydecanoyl-[acyl-carrier protein]</t>
  </si>
  <si>
    <t>C04620</t>
  </si>
  <si>
    <t>(3R)-3-Hydroxyoctanoyl-[acyl-carrier protein]</t>
  </si>
  <si>
    <t>C04631</t>
  </si>
  <si>
    <t>UDP-N-acetyl-3-(1-carboxyvinyl)-D-glucosamine</t>
  </si>
  <si>
    <t>C04633</t>
  </si>
  <si>
    <t>(3R)-3-Hydroxypalmitoyl-[acyl-carrier protein]</t>
  </si>
  <si>
    <t>C04640</t>
  </si>
  <si>
    <t>2-(Formamido)-N1-(5'-phosphoribosyl)acetamidine</t>
  </si>
  <si>
    <t>C04646</t>
  </si>
  <si>
    <t>6-Thioinosine-5'-monophosphate</t>
  </si>
  <si>
    <t>C04677</t>
  </si>
  <si>
    <t>1-(5'-Phosphoribosyl)-5-amino-4-imidazolecarboxamide</t>
  </si>
  <si>
    <t>C04681</t>
  </si>
  <si>
    <t>[Acetyl-CoA:carbon-dioxide ligase (ADP-forming)]</t>
  </si>
  <si>
    <t>C04688</t>
  </si>
  <si>
    <t>(3R)-3-Hydroxytetradecanoyl-[acyl-carrier protein]</t>
  </si>
  <si>
    <t>2-Dehydro-3-deoxy-D-arabino-heptonate 7-phosphate</t>
  </si>
  <si>
    <t>C04702</t>
  </si>
  <si>
    <t>UDPMurNAc(oyl-L-Ala-D-gamma-Glu-L-Lys-D-Ala-D-Ala)</t>
  </si>
  <si>
    <t>C04730</t>
  </si>
  <si>
    <t>GM3</t>
  </si>
  <si>
    <t>C04732</t>
  </si>
  <si>
    <t>5-Amino-6-(1-D-ribitylamino)uracil</t>
  </si>
  <si>
    <t>C04734</t>
  </si>
  <si>
    <t>1-(5'-Phosphoribosyl)-5-formamido-4-imidazolecarboxamide</t>
  </si>
  <si>
    <t>C04735</t>
  </si>
  <si>
    <t>Apo-[acetyl-CoA carboxylase]</t>
  </si>
  <si>
    <t>C04737</t>
  </si>
  <si>
    <t>alpha-D-Galactosyl-(1-&gt;4)-beta-D-galactosyl-(1-&gt;4)-beta-D-glucosyl-(1&lt;-&gt;1)-ceramide</t>
  </si>
  <si>
    <t>1-(5-Phospho-D-ribosyl)-5-amino-4-imidazolecarboxylate</t>
  </si>
  <si>
    <t>C04752</t>
  </si>
  <si>
    <t>4-Amino-5-hydroxymethyl-2-methylpyrimidine diphosphate</t>
  </si>
  <si>
    <t>C04776</t>
  </si>
  <si>
    <t>T antigen</t>
  </si>
  <si>
    <t>3-(4-Deoxy-beta-D-gluc-4-enuronosyl)-N-acetyl-D-glucosamine</t>
  </si>
  <si>
    <t>C04807</t>
  </si>
  <si>
    <t>6-Hydroxymethyl-7,8-dihydropterin diphosphate</t>
  </si>
  <si>
    <t>1-(5'-Phosphoribosyl)-5-amino-4-(N-succinocarboxamide)-imidazole</t>
  </si>
  <si>
    <t>C04851</t>
  </si>
  <si>
    <t>MurAc(oyl-L-Ala-D-gamma-Glu-L-Lys-D-Ala-D-Ala)-diphospho-undecaprenol</t>
  </si>
  <si>
    <t>C04877</t>
  </si>
  <si>
    <t>UDP-N-acetylmuramoyl-L-alanyl-gamma-D-glutamyl-meso-2,6-diaminopimelate</t>
  </si>
  <si>
    <t>C04882</t>
  </si>
  <si>
    <t>UDP-N-acetylmuramoyl-L-alanyl-D-glutamyl-6-carboxy-L-lysyl-D-alanyl-D-alanine</t>
  </si>
  <si>
    <t>C04884</t>
  </si>
  <si>
    <t>N-Acetyl-D-galactosaminyl-(N-acetylneuraminyl)-D-galactosyl-D-glucosylceramide</t>
  </si>
  <si>
    <t>C04887</t>
  </si>
  <si>
    <t>alpha-N-Acetylneuraminyl-2,8-alpha-N-acetylneuraminyl-2,3-beta-D-galactosyl-R</t>
  </si>
  <si>
    <t>C04895</t>
  </si>
  <si>
    <t>7,8-Dihydroneopterin 3'-triphosphate</t>
  </si>
  <si>
    <t>C04911</t>
  </si>
  <si>
    <t>D-Galactosyl-N-acetyl-D-galactosaminyl-(N-acetylneuraminyl)-D-galactosyl-D-glucosylceramide</t>
  </si>
  <si>
    <t>C04927</t>
  </si>
  <si>
    <t>N-Acetylneuraminyl-D-galactosyl-N-acetyl-D-galactosaminyl-(N-acetylneuraminyl)-D-galactosyl-D-glucosylceramide</t>
  </si>
  <si>
    <t>C05067</t>
  </si>
  <si>
    <t>trans-3-Enoyl-CoA</t>
  </si>
  <si>
    <t>3-Hydroxybutyryl-CoA</t>
  </si>
  <si>
    <t>C05125</t>
  </si>
  <si>
    <t>2-Hydroxyethyl-ThPP</t>
  </si>
  <si>
    <t>C05143</t>
  </si>
  <si>
    <t>(S)-4-Hydroxymandelonitrile beta-D-glucoside</t>
  </si>
  <si>
    <t>alpha-Amino acid</t>
  </si>
  <si>
    <t>C05196</t>
  </si>
  <si>
    <t>Dihydroflavodoxin</t>
  </si>
  <si>
    <t>C05197</t>
  </si>
  <si>
    <t>Protein glycine</t>
  </si>
  <si>
    <t>C05198</t>
  </si>
  <si>
    <t>5'-Deoxyadenosine</t>
  </si>
  <si>
    <t>C05199</t>
  </si>
  <si>
    <t>Flavodoxin semiquinone</t>
  </si>
  <si>
    <t>C05223</t>
  </si>
  <si>
    <t>Dodecanoyl-[acp]</t>
  </si>
  <si>
    <t>C05226</t>
  </si>
  <si>
    <t>N-Carbamoyl-D-amino acid</t>
  </si>
  <si>
    <t>C05235</t>
  </si>
  <si>
    <t>Hydroxyacetone</t>
  </si>
  <si>
    <t>(S)-3-Hydroxyhexadecanoyl-CoA</t>
  </si>
  <si>
    <t>(S)-3-Hydroxytetradecanoyl-CoA</t>
  </si>
  <si>
    <t>(S)-3-Hydroxydodecanoyl-CoA</t>
  </si>
  <si>
    <t>(S)-Hydroxydecanoyl-CoA</t>
  </si>
  <si>
    <t>(S)-Hydroxyoctanoyl-CoA</t>
  </si>
  <si>
    <t>(S)-3-Hydroxyhexanoyl-CoA</t>
  </si>
  <si>
    <t>C05271</t>
  </si>
  <si>
    <t>(2E)-Hexenoyl-CoA</t>
  </si>
  <si>
    <t>C05272</t>
  </si>
  <si>
    <t>(2E)-Hexadecenoyl-CoA</t>
  </si>
  <si>
    <t>C05273</t>
  </si>
  <si>
    <t>(2E)-Tetradecenoyl-CoA</t>
  </si>
  <si>
    <t>C05275</t>
  </si>
  <si>
    <t>(2E)-Decenoyl-CoA</t>
  </si>
  <si>
    <t>C05276</t>
  </si>
  <si>
    <t>(2E)-Octenoyl-CoA</t>
  </si>
  <si>
    <t>C05312</t>
  </si>
  <si>
    <t>Protein glycin-2-yl radical</t>
  </si>
  <si>
    <t>C05335</t>
  </si>
  <si>
    <t>L-Selenomethionine</t>
  </si>
  <si>
    <t>C05336</t>
  </si>
  <si>
    <t>Selenomethionyl-tRNA(Met)</t>
  </si>
  <si>
    <t>beta-D-Fructose 6-phosphate</t>
  </si>
  <si>
    <t>C05378</t>
  </si>
  <si>
    <t>beta-D-Fructose 1,6-bisphosphate</t>
  </si>
  <si>
    <t>C05382</t>
  </si>
  <si>
    <t>Sedoheptulose 7-phosphate</t>
  </si>
  <si>
    <t>C05394</t>
  </si>
  <si>
    <t>3-Keto-beta-D-galactose</t>
  </si>
  <si>
    <t>C05396</t>
  </si>
  <si>
    <t>Lactose 6'-phosphate</t>
  </si>
  <si>
    <t>C05399</t>
  </si>
  <si>
    <t>Melibiitol</t>
  </si>
  <si>
    <t>C05400</t>
  </si>
  <si>
    <t>Epimelibiose</t>
  </si>
  <si>
    <t>C05401</t>
  </si>
  <si>
    <t>Galactosylglycerol</t>
  </si>
  <si>
    <t>C05402</t>
  </si>
  <si>
    <t>Melibiose</t>
  </si>
  <si>
    <t>C05403</t>
  </si>
  <si>
    <t>3-Ketolactose</t>
  </si>
  <si>
    <t>C05404</t>
  </si>
  <si>
    <t>Manninotriose</t>
  </si>
  <si>
    <t>C05444</t>
  </si>
  <si>
    <t>5beta-Cholestane-3alpha,7alpha,26-triol</t>
  </si>
  <si>
    <t>C05445</t>
  </si>
  <si>
    <t>3alpha,7alpha-Dihydroxy-5beta-cholestan-26-al</t>
  </si>
  <si>
    <t>C05512</t>
  </si>
  <si>
    <t>2'-Deoxyinosine</t>
  </si>
  <si>
    <t>C05526</t>
  </si>
  <si>
    <t>S-Glutathionyl-L-cysteine</t>
  </si>
  <si>
    <t>C05527</t>
  </si>
  <si>
    <t>3-Sulfinopyruvate</t>
  </si>
  <si>
    <t>C05528</t>
  </si>
  <si>
    <t>3-Sulfopyruvic acid</t>
  </si>
  <si>
    <t>C05529</t>
  </si>
  <si>
    <t>Thiosulfuric acid</t>
  </si>
  <si>
    <t>C05576</t>
  </si>
  <si>
    <t>3,4-Dihydroxyphenylethyleneglycol</t>
  </si>
  <si>
    <t>C05577</t>
  </si>
  <si>
    <t>3,4-Dihydroxymandelaldehyde</t>
  </si>
  <si>
    <t>C05623</t>
  </si>
  <si>
    <t>Isoquercitrin</t>
  </si>
  <si>
    <t>3-Hydroxypropionyl-CoA</t>
  </si>
  <si>
    <t>C05674</t>
  </si>
  <si>
    <t>CMP-2-trimethylaminoethylphosphonate</t>
  </si>
  <si>
    <t>C05684</t>
  </si>
  <si>
    <t>Selenite</t>
  </si>
  <si>
    <t>C05688</t>
  </si>
  <si>
    <t>L-Selenocysteine</t>
  </si>
  <si>
    <t>C05699</t>
  </si>
  <si>
    <t>L-Selenocystathionine</t>
  </si>
  <si>
    <t>C05702</t>
  </si>
  <si>
    <t>O-Phosphorylhomoserine</t>
  </si>
  <si>
    <t>C05703</t>
  </si>
  <si>
    <t>Methylselenol</t>
  </si>
  <si>
    <t>C05712</t>
  </si>
  <si>
    <t>Cyanohydrin</t>
  </si>
  <si>
    <t>C05713</t>
  </si>
  <si>
    <t>Cyanoglucoside</t>
  </si>
  <si>
    <t>C05726</t>
  </si>
  <si>
    <t>L-Cysteine S-conjugate</t>
  </si>
  <si>
    <t>C05729</t>
  </si>
  <si>
    <t>R-S-Cysteinylglycine</t>
  </si>
  <si>
    <t>C05744</t>
  </si>
  <si>
    <t>Acetoacetyl-[acp]</t>
  </si>
  <si>
    <t>C05745</t>
  </si>
  <si>
    <t>Butyryl-[acp]</t>
  </si>
  <si>
    <t>C05746</t>
  </si>
  <si>
    <t>3-Oxohexanoyl-[acp]</t>
  </si>
  <si>
    <t>C05747</t>
  </si>
  <si>
    <t>(3R)-3-Hydroxyhexanoyl-[acyl-carrier protein]</t>
  </si>
  <si>
    <t>C05749</t>
  </si>
  <si>
    <t>Hexanoyl-[acp]</t>
  </si>
  <si>
    <t>C05750</t>
  </si>
  <si>
    <t>3-Oxooctanoyl-[acp]</t>
  </si>
  <si>
    <t>C05752</t>
  </si>
  <si>
    <t>Octanoyl-[acp]</t>
  </si>
  <si>
    <t>C05753</t>
  </si>
  <si>
    <t>3-Oxodecanoyl-[acp]</t>
  </si>
  <si>
    <t>C05755</t>
  </si>
  <si>
    <t>Decanoyl-[acp]</t>
  </si>
  <si>
    <t>C05756</t>
  </si>
  <si>
    <t>3-Oxododecanoyl-[acp]</t>
  </si>
  <si>
    <t>C05757</t>
  </si>
  <si>
    <t>(3R)-3-Hydroxydodecanoyl-[acyl-carrier protein]</t>
  </si>
  <si>
    <t>C05759</t>
  </si>
  <si>
    <t>3-Oxotetradecanoyl-[acp]</t>
  </si>
  <si>
    <t>C05761</t>
  </si>
  <si>
    <t>Tetradecanoyl-[acp]</t>
  </si>
  <si>
    <t>C05762</t>
  </si>
  <si>
    <t>3-Oxohexadecanoyl-[acp]</t>
  </si>
  <si>
    <t>C05764</t>
  </si>
  <si>
    <t>Hexadecanoyl-[acp]</t>
  </si>
  <si>
    <t>C05796</t>
  </si>
  <si>
    <t>Galactan</t>
  </si>
  <si>
    <t>C05823</t>
  </si>
  <si>
    <t>3-Mercaptolactate</t>
  </si>
  <si>
    <t>C05838</t>
  </si>
  <si>
    <t>2-Coumarinate</t>
  </si>
  <si>
    <t>C05839</t>
  </si>
  <si>
    <t>beta-D-Glucosyl-2-coumarinate</t>
  </si>
  <si>
    <t>C05841</t>
  </si>
  <si>
    <t>beta-D-Ribosylnicotinate</t>
  </si>
  <si>
    <t>C05853</t>
  </si>
  <si>
    <t>Phenylethyl alcohol</t>
  </si>
  <si>
    <t>C05892</t>
  </si>
  <si>
    <t>UDP-N-acetylmuramoyl-L-alanyl-gamma-D-glutamyl-L-lysine</t>
  </si>
  <si>
    <t>C05897</t>
  </si>
  <si>
    <t>Undecaprenyl-diphospho-N-acetylmuramoyl-L-alanyl-D-glutamyl-meso-2,6-diaminopimeloyl-D-alanyl-D-alanine</t>
  </si>
  <si>
    <t>C05921</t>
  </si>
  <si>
    <t>Biotinyl-5'-AMP</t>
  </si>
  <si>
    <t>Formamidopyrimidine nucleoside triphosphate</t>
  </si>
  <si>
    <t>2,5-Diaminopyrimidine nucleoside triphosphate</t>
  </si>
  <si>
    <t>C05928</t>
  </si>
  <si>
    <t>(6R)-10-Formyltetrahydropteroyldiglutamate</t>
  </si>
  <si>
    <t>C05929</t>
  </si>
  <si>
    <t>10-Formyl-THF-polyglutamate</t>
  </si>
  <si>
    <t>C05946</t>
  </si>
  <si>
    <t>(4R)-4-Hydroxy-2-oxoglutarate</t>
  </si>
  <si>
    <t>C05947</t>
  </si>
  <si>
    <t>erythro-4-Hydroxy-L-glutamate</t>
  </si>
  <si>
    <t>C05984</t>
  </si>
  <si>
    <t>2-Hydroxybutanoic acid</t>
  </si>
  <si>
    <t>3-Hydroxyisovaleryl-CoA</t>
  </si>
  <si>
    <t>(S)-3-Hydroxyisobutyryl-CoA</t>
  </si>
  <si>
    <t>(S)-2-Aceto-2-hydroxybutanoate</t>
  </si>
  <si>
    <t>(R)-2,3-Dihydroxy-3-methylpentanoate</t>
  </si>
  <si>
    <t>(S)-2-Acetolactate</t>
  </si>
  <si>
    <t>C06032</t>
  </si>
  <si>
    <t>D-erythro-3-Methylmalate</t>
  </si>
  <si>
    <t>C06037</t>
  </si>
  <si>
    <t>Digalactosyl-diacylglycerol</t>
  </si>
  <si>
    <t>C06044</t>
  </si>
  <si>
    <t>Tyrosol</t>
  </si>
  <si>
    <t>C06055</t>
  </si>
  <si>
    <t>O-Phospho-4-hydroxy-L-threonine</t>
  </si>
  <si>
    <t>C06056</t>
  </si>
  <si>
    <t>Hydroxythreonine</t>
  </si>
  <si>
    <t>C06060</t>
  </si>
  <si>
    <t>Amidine</t>
  </si>
  <si>
    <t>C06099</t>
  </si>
  <si>
    <t>(R)-Limonene</t>
  </si>
  <si>
    <t>C06102</t>
  </si>
  <si>
    <t>6-Oxohexanoic acid</t>
  </si>
  <si>
    <t>C06103</t>
  </si>
  <si>
    <t>6-Hydroxyhexanoate</t>
  </si>
  <si>
    <t>C06112</t>
  </si>
  <si>
    <t>L-Glutamyl-tRNA(Gln)</t>
  </si>
  <si>
    <t>C06126</t>
  </si>
  <si>
    <t>Digalactosylceramide</t>
  </si>
  <si>
    <t>C06128</t>
  </si>
  <si>
    <t>GM4</t>
  </si>
  <si>
    <t>C06135</t>
  </si>
  <si>
    <t>GA2</t>
  </si>
  <si>
    <t>C06136</t>
  </si>
  <si>
    <t>GA1</t>
  </si>
  <si>
    <t>C06139</t>
  </si>
  <si>
    <t>GQ1</t>
  </si>
  <si>
    <t>C06140</t>
  </si>
  <si>
    <t>GT1b</t>
  </si>
  <si>
    <t>C06141</t>
  </si>
  <si>
    <t>GD1b</t>
  </si>
  <si>
    <t>2,5-Diamino-6-(5'-triphosphoryl-3',4'-trihydroxy-2'-oxopentyl)-amino-4-oxopyrimidine</t>
  </si>
  <si>
    <t>D-Glucosamine 1-phosphate</t>
  </si>
  <si>
    <t>C06187</t>
  </si>
  <si>
    <t>Arbutin-6P</t>
  </si>
  <si>
    <t>C06188</t>
  </si>
  <si>
    <t>Salicin-6P</t>
  </si>
  <si>
    <t>C06196</t>
  </si>
  <si>
    <t>dIMP</t>
  </si>
  <si>
    <t>C06206</t>
  </si>
  <si>
    <t>Benzoyl phosphate</t>
  </si>
  <si>
    <t>2-Hydroxy-6-oxo-hept-2,4-dienoate</t>
  </si>
  <si>
    <t>C06249</t>
  </si>
  <si>
    <t>Apo-[carboxylase]</t>
  </si>
  <si>
    <t>C06250</t>
  </si>
  <si>
    <t>Holo-[carboxylase]</t>
  </si>
  <si>
    <t>C06336</t>
  </si>
  <si>
    <t>3-Sulfocatechol</t>
  </si>
  <si>
    <t>C06424</t>
  </si>
  <si>
    <t>Tetradecanoic acid</t>
  </si>
  <si>
    <t>C06441</t>
  </si>
  <si>
    <t>L-Xylulose 1-phosphate</t>
  </si>
  <si>
    <t>C06459</t>
  </si>
  <si>
    <t>2-Trimethylaminoethylphosphonate</t>
  </si>
  <si>
    <t>C06473</t>
  </si>
  <si>
    <t>2-Keto-D-gluconic acid</t>
  </si>
  <si>
    <t>C06481</t>
  </si>
  <si>
    <t>L-Seryl-tRNA(Sec)</t>
  </si>
  <si>
    <t>C06485</t>
  </si>
  <si>
    <t>1,5-Anhydro-D-fructose</t>
  </si>
  <si>
    <t>C06506</t>
  </si>
  <si>
    <t>Adenosyl cobyrinate a,c diamide</t>
  </si>
  <si>
    <t>C06507</t>
  </si>
  <si>
    <t>Adenosylcobyric acid</t>
  </si>
  <si>
    <t>C06563</t>
  </si>
  <si>
    <t>Genistein</t>
  </si>
  <si>
    <t>C06611</t>
  </si>
  <si>
    <t>trans-3-Chloroallyl alcohol</t>
  </si>
  <si>
    <t>C06612</t>
  </si>
  <si>
    <t>cis-3-Chloroallyl alcohol</t>
  </si>
  <si>
    <t>C06613</t>
  </si>
  <si>
    <t>trans-3-Chloro-2-propenal</t>
  </si>
  <si>
    <t>C06730</t>
  </si>
  <si>
    <t>4-Methylcatechol</t>
  </si>
  <si>
    <t>C06757</t>
  </si>
  <si>
    <t>4-Tolylcarbinol</t>
  </si>
  <si>
    <t>C06758</t>
  </si>
  <si>
    <t>p-Formyltoluene</t>
  </si>
  <si>
    <t>2-Hydroxy-5-methyl-cis,cis-muconic semialdehyde</t>
  </si>
  <si>
    <t>C06899</t>
  </si>
  <si>
    <t>Chloral hydrate</t>
  </si>
  <si>
    <t>C07085</t>
  </si>
  <si>
    <t>3-Vinylcatechol</t>
  </si>
  <si>
    <t>2-Hydroxy-6-oxoocta-2,4,7-trienoate</t>
  </si>
  <si>
    <t>5-Chloro-2-hydroxymuconic semialdehyde</t>
  </si>
  <si>
    <t>C07209</t>
  </si>
  <si>
    <t>3-Methylbenzaldehyde</t>
  </si>
  <si>
    <t>C07213</t>
  </si>
  <si>
    <t>2-Methylbenzyl alcohol</t>
  </si>
  <si>
    <t>C07214</t>
  </si>
  <si>
    <t>2-Methylbenzaldehyde</t>
  </si>
  <si>
    <t>C07216</t>
  </si>
  <si>
    <t>3-Methylbenzyl alcohol</t>
  </si>
  <si>
    <t>C07271</t>
  </si>
  <si>
    <t>Limonene-1,2-epoxide</t>
  </si>
  <si>
    <t>C07278</t>
  </si>
  <si>
    <t>beta-D-Galactosyl-(1-&gt;3)-N-acetyl-D-galactosamine</t>
  </si>
  <si>
    <t>C07490</t>
  </si>
  <si>
    <t>Trichloroethanol</t>
  </si>
  <si>
    <t>C07645</t>
  </si>
  <si>
    <t>Aldophosphamide</t>
  </si>
  <si>
    <t>C07648</t>
  </si>
  <si>
    <t>Thioguanine</t>
  </si>
  <si>
    <t>C08325</t>
  </si>
  <si>
    <t>Amygdalin</t>
  </si>
  <si>
    <t>C08334</t>
  </si>
  <si>
    <t>Lotaustralin</t>
  </si>
  <si>
    <t>C08362</t>
  </si>
  <si>
    <t>(9Z)-Hexadecenoic acid</t>
  </si>
  <si>
    <t>C08492</t>
  </si>
  <si>
    <t>3-Hexenol</t>
  </si>
  <si>
    <t>C09009</t>
  </si>
  <si>
    <t>Isobutyrylmallotochromene</t>
  </si>
  <si>
    <t>C09126</t>
  </si>
  <si>
    <t>Genistin</t>
  </si>
  <si>
    <t>C09332</t>
  </si>
  <si>
    <t>THF-L-glutamate</t>
  </si>
  <si>
    <t>C10208</t>
  </si>
  <si>
    <t>Daidzein</t>
  </si>
  <si>
    <t>C10216</t>
  </si>
  <si>
    <t>Daidzin</t>
  </si>
  <si>
    <t>C11038</t>
  </si>
  <si>
    <t>2'-Deoxy-5-hydroxymethylcytidine-5'-diphosphate</t>
  </si>
  <si>
    <t>2'-Deoxy-5-hydroxymethylcytidine-5'-triphosphate</t>
  </si>
  <si>
    <t>C11434</t>
  </si>
  <si>
    <t>2-C-Methyl-D-erythritol 4-phosphate</t>
  </si>
  <si>
    <t>C11435</t>
  </si>
  <si>
    <t>4-(Cytidine 5'-diphospho)-2-C-methyl-D-erythritol</t>
  </si>
  <si>
    <t>C11437</t>
  </si>
  <si>
    <t>1-Deoxy-D-xylulose 5-phosphate</t>
  </si>
  <si>
    <t>C11439</t>
  </si>
  <si>
    <t>Formyl-L-methionyl peptide</t>
  </si>
  <si>
    <t>C11440</t>
  </si>
  <si>
    <t>Methionyl peptide</t>
  </si>
  <si>
    <t>C11475</t>
  </si>
  <si>
    <t>DNA containing guanine</t>
  </si>
  <si>
    <t>C11477</t>
  </si>
  <si>
    <t>Sugar</t>
  </si>
  <si>
    <t>C11544</t>
  </si>
  <si>
    <t>2-O-(alpha-D-Mannosyl)-D-glycerate</t>
  </si>
  <si>
    <t>C11735</t>
  </si>
  <si>
    <t>N-Ethylglycine</t>
  </si>
  <si>
    <t>C11736</t>
  </si>
  <si>
    <t>Floxuridine</t>
  </si>
  <si>
    <t>C11838</t>
  </si>
  <si>
    <t>(S)-4,5-Dihydroxypentane-2,3-dione</t>
  </si>
  <si>
    <t>dTDP-4-oxo-6-deoxy-D-glucose</t>
  </si>
  <si>
    <t>C11945</t>
  </si>
  <si>
    <t>trans-2-Methyl-5-isopropylhexa-2,5-dienoyl-CoA</t>
  </si>
  <si>
    <t>C11946</t>
  </si>
  <si>
    <t>cis-2-Methyl-5-isopropylhexa-2,5-dienoyl-CoA</t>
  </si>
  <si>
    <t>3-Hydroxy-2,6-dimethyl-5-methylene-heptanoyl-CoA</t>
  </si>
  <si>
    <t>C12214</t>
  </si>
  <si>
    <t>Aminofructose 6-phosphate</t>
  </si>
  <si>
    <t>C12215</t>
  </si>
  <si>
    <t>Iminoerythrose 4-phosphate</t>
  </si>
  <si>
    <t>C12739</t>
  </si>
  <si>
    <t>Doxifluridine</t>
  </si>
  <si>
    <t>C13378</t>
  </si>
  <si>
    <t>alpha,beta-Dihydroxyethyl-TPP</t>
  </si>
  <si>
    <t>C14089</t>
  </si>
  <si>
    <t>1-Naphthalenemethanol</t>
  </si>
  <si>
    <t>C14090</t>
  </si>
  <si>
    <t>1-Formylnaphthalene</t>
  </si>
  <si>
    <t>C14099</t>
  </si>
  <si>
    <t>2-Naphthaldehyde</t>
  </si>
  <si>
    <t>C14144</t>
  </si>
  <si>
    <t>2,3-Didehydroadipyl-CoA</t>
  </si>
  <si>
    <t>(3S)-3-Hydroxyadipyl-CoA</t>
  </si>
  <si>
    <t>(R)-3-Hydroxy-3-methyl-2-oxopentanoate</t>
  </si>
  <si>
    <t>C14899</t>
  </si>
  <si>
    <t>3-Dehydro-L-gulonate 6-phosphate</t>
  </si>
  <si>
    <t>C15532</t>
  </si>
  <si>
    <t>N-Acetyl-L-citrulline</t>
  </si>
  <si>
    <t>C15584</t>
  </si>
  <si>
    <t>Phenol</t>
  </si>
  <si>
    <t>C15585</t>
  </si>
  <si>
    <t>myo-Inositol phosphate</t>
  </si>
  <si>
    <t>C15586</t>
  </si>
  <si>
    <t>N-D-Ribosylpurine</t>
  </si>
  <si>
    <t>C15587</t>
  </si>
  <si>
    <t>Purine</t>
  </si>
  <si>
    <t>5-Carboxyamino-1-(5-phospho-D-ribosyl)imidazole</t>
  </si>
  <si>
    <t>C15673</t>
  </si>
  <si>
    <t>2-Dehydro-L-idonate</t>
  </si>
  <si>
    <t>C15809</t>
  </si>
  <si>
    <t>Iminoglycine</t>
  </si>
  <si>
    <t>C15811</t>
  </si>
  <si>
    <t>[Enzyme]-cysteine</t>
  </si>
  <si>
    <t>C15812</t>
  </si>
  <si>
    <t>[Enzyme]-S-sulfanylcysteine</t>
  </si>
  <si>
    <t>C15813</t>
  </si>
  <si>
    <t>Adenylyl-[sulfur-carrier protein]</t>
  </si>
  <si>
    <t>C15814</t>
  </si>
  <si>
    <t>Thiocarboxy-[sulfur-carrier protein]</t>
  </si>
  <si>
    <t>C15972</t>
  </si>
  <si>
    <t>Enzyme N6-(lipoyl)lysine</t>
  </si>
  <si>
    <t>C15973</t>
  </si>
  <si>
    <t>Enzyme N6-(dihydrolipoyl)lysine</t>
  </si>
  <si>
    <t>C15974</t>
  </si>
  <si>
    <t>3-Methyl-1-hydroxybutyl-ThPP</t>
  </si>
  <si>
    <t>C15975</t>
  </si>
  <si>
    <t>S-(3-Methylbutanoyl)-dihydrolipoamide-E</t>
  </si>
  <si>
    <t>C15976</t>
  </si>
  <si>
    <t>2-Methyl-1-hydroxypropyl-TPP</t>
  </si>
  <si>
    <t>C15977</t>
  </si>
  <si>
    <t>[Dihydrolipoyllysine-residue (2-methylpropanoyl)transferase] S-(2-methylpropanoyl)dihydrolipoyllysine</t>
  </si>
  <si>
    <t>C15978</t>
  </si>
  <si>
    <t>2-Methyl-1-hydroxybutyl-TPP</t>
  </si>
  <si>
    <t>C15979</t>
  </si>
  <si>
    <t>S-(2-Methylbutanoyl)-dihydrolipoamide-E</t>
  </si>
  <si>
    <t>C15996</t>
  </si>
  <si>
    <t>7-Cyano-7-carbaguanine</t>
  </si>
  <si>
    <t>C15998</t>
  </si>
  <si>
    <t>L-Methionine (R)-S-oxide</t>
  </si>
  <si>
    <t>C16153</t>
  </si>
  <si>
    <t>UDP-L-Ara4N</t>
  </si>
  <si>
    <t>C16155</t>
  </si>
  <si>
    <t>UDP-L-Ara4O</t>
  </si>
  <si>
    <t>C16219</t>
  </si>
  <si>
    <t>3-Oxostearoyl-[acp]</t>
  </si>
  <si>
    <t>C16220</t>
  </si>
  <si>
    <t>(3R)-3-Hydroxyoctadecanoyl-[acyl-carrier protein]</t>
  </si>
  <si>
    <t>C16237</t>
  </si>
  <si>
    <t>Protein N6-(lipoyl)lysine</t>
  </si>
  <si>
    <t>C16255</t>
  </si>
  <si>
    <t>[Dihydrolipoyllysine-residue acetyltransferase] S-acetyldihydrolipoyllysine</t>
  </si>
  <si>
    <t>C16310</t>
  </si>
  <si>
    <t>3-Hexenal</t>
  </si>
  <si>
    <t>C16328</t>
  </si>
  <si>
    <t>trans-2-Enoyl-OPC8-CoA</t>
  </si>
  <si>
    <t>3-Hydroxy-OPC8-CoA</t>
  </si>
  <si>
    <t>C16332</t>
  </si>
  <si>
    <t>trans-2-Enoyl-OPC6-CoA</t>
  </si>
  <si>
    <t>3-Hydroxy-OPC6-CoA</t>
  </si>
  <si>
    <t>C16336</t>
  </si>
  <si>
    <t>trans-2-Enoyl-OPC4-CoA</t>
  </si>
  <si>
    <t>3-Hydroxy-OPC4-CoA</t>
  </si>
  <si>
    <t>C16348</t>
  </si>
  <si>
    <t>cis-3-Chloro-2-propenal</t>
  </si>
  <si>
    <t>C16468</t>
  </si>
  <si>
    <t>(2E)-5-Methylhexa-2,4-dienoyl-CoA</t>
  </si>
  <si>
    <t>3-Hydroxy-5-methylhex-4-enoyl-CoA</t>
  </si>
  <si>
    <t>C16520</t>
  </si>
  <si>
    <t>Hexadecenoyl-[acyl-carrier protein]</t>
  </si>
  <si>
    <t>C16538</t>
  </si>
  <si>
    <t>1,5-Anhydro-D-mannitol</t>
  </si>
  <si>
    <t>C16551</t>
  </si>
  <si>
    <t>Alcophosphamide</t>
  </si>
  <si>
    <t>C16565</t>
  </si>
  <si>
    <t>Aminopropylcadaverine</t>
  </si>
  <si>
    <t>C16586</t>
  </si>
  <si>
    <t>2-Phenyl-1,3-propanediol monocarbamate</t>
  </si>
  <si>
    <t>C16587</t>
  </si>
  <si>
    <t>3-Carbamoyl-2-phenylpropionaldehyde</t>
  </si>
  <si>
    <t>C16595</t>
  </si>
  <si>
    <t>4-Hydroxy-5-phenyltetrahydro-1,3-oxazin-2-one</t>
  </si>
  <si>
    <t>C16596</t>
  </si>
  <si>
    <t>5-Phenyl-1,3-oxazinane-2,4-dione</t>
  </si>
  <si>
    <t>C16614</t>
  </si>
  <si>
    <t>Thiopurine S-methylether</t>
  </si>
  <si>
    <t>C16615</t>
  </si>
  <si>
    <t>6-Methylthioinosine-5'-monophosphate</t>
  </si>
  <si>
    <t>C16618</t>
  </si>
  <si>
    <t>6-Thioxanthine 5'-monophosphate</t>
  </si>
  <si>
    <t>C16619</t>
  </si>
  <si>
    <t>6-Thioguanosine monophosphate</t>
  </si>
  <si>
    <t>C16633</t>
  </si>
  <si>
    <t>5-Fluorouridine</t>
  </si>
  <si>
    <t>C16634</t>
  </si>
  <si>
    <t>5-Fluorouridine monophosphate</t>
  </si>
  <si>
    <t>C16635</t>
  </si>
  <si>
    <t>5'-Deoxy-5-fluorocytidine</t>
  </si>
  <si>
    <t>C16636</t>
  </si>
  <si>
    <t>tRNA(Sec)</t>
  </si>
  <si>
    <t>C16663</t>
  </si>
  <si>
    <t>Tryparedoxin</t>
  </si>
  <si>
    <t>C16664</t>
  </si>
  <si>
    <t>Tryparedoxin disulfide</t>
  </si>
  <si>
    <t>C16675</t>
  </si>
  <si>
    <t>7-Aminomethyl-7-carbaguanine</t>
  </si>
  <si>
    <t>C16688</t>
  </si>
  <si>
    <t>Sucrose 6-phosphate</t>
  </si>
  <si>
    <t>C16832</t>
  </si>
  <si>
    <t>[Protein]-N6-[(R)-dihydrolipoyl]-L-lysine</t>
  </si>
  <si>
    <t>2-Aminobut-2-enoate</t>
  </si>
  <si>
    <t>C17556</t>
  </si>
  <si>
    <t>di-trans,poly-cis-Undecaprenyl phosphate</t>
  </si>
  <si>
    <t>C17558</t>
  </si>
  <si>
    <t>di-trans,poly-cis-Undecaprenol</t>
  </si>
  <si>
    <t>C18091</t>
  </si>
  <si>
    <t>Ethylnitronate</t>
  </si>
  <si>
    <t>D-Allulose 6-phosphate</t>
  </si>
  <si>
    <t>C18796</t>
  </si>
  <si>
    <t>(2R)-2-Hydroxy-2-methylbutanenitrile</t>
  </si>
  <si>
    <t>C18902</t>
  </si>
  <si>
    <t>Methylselenic acid</t>
  </si>
  <si>
    <t>C19078</t>
  </si>
  <si>
    <t>tRNA with a 3' cytidine</t>
  </si>
  <si>
    <t>C19080</t>
  </si>
  <si>
    <t>tRNA with a 3' CC end</t>
  </si>
  <si>
    <t>C19081</t>
  </si>
  <si>
    <t>(4S)-Limonene-1,2-epoxide</t>
  </si>
  <si>
    <t>C19085</t>
  </si>
  <si>
    <t>tRNA with a 3' CCA end</t>
  </si>
  <si>
    <t>C19673</t>
  </si>
  <si>
    <t>Malonyl-[acp] methyl ester</t>
  </si>
  <si>
    <t>C19722</t>
  </si>
  <si>
    <t>[tRNA(Ile2)]-cytidine34</t>
  </si>
  <si>
    <t>C19723</t>
  </si>
  <si>
    <t>[tRNA(Ile2)]-lysidine34</t>
  </si>
  <si>
    <t>C19761</t>
  </si>
  <si>
    <t>1-O-(2-Acetamido-2-deoxy-alpha-D-glucopyranosyl)-1D-myo-inositol 3-phosphate</t>
  </si>
  <si>
    <t>N-Acetyl-alpha-neuraminate</t>
  </si>
  <si>
    <t>N-Acetyl-beta-neuraminate</t>
  </si>
  <si>
    <t>C19965</t>
  </si>
  <si>
    <t>beta-D-4-Deoxy-Delta4-GlcA-(1-&gt;4)-beta-D-Glc-(1-&gt;4)-alpha-L-Rha-(1-&gt;3)-D-Glc</t>
  </si>
  <si>
    <t>C19966</t>
  </si>
  <si>
    <t>beta-D-Glc-(1-&gt;4)-alpha-L-Rha-(1-&gt;3)-D-Glc</t>
  </si>
  <si>
    <t>C19967</t>
  </si>
  <si>
    <t>8-Oxo-dGTP</t>
  </si>
  <si>
    <t>8-Oxo-dGMP</t>
  </si>
  <si>
    <t>C20258</t>
  </si>
  <si>
    <t>(2S,4S)-4-Hydroxy-2,3,4,5-tetrahydrodipicolinate</t>
  </si>
  <si>
    <t>C20372</t>
  </si>
  <si>
    <t>3-Ketoglutaryl-[acp] methyl ester</t>
  </si>
  <si>
    <t>C20373</t>
  </si>
  <si>
    <t>3-Hydroxyglutaryl-[acp] methyl ester</t>
  </si>
  <si>
    <t>C20375</t>
  </si>
  <si>
    <t>Glutaryl-[acp] methyl ester</t>
  </si>
  <si>
    <t>C20376</t>
  </si>
  <si>
    <t>3-Ketopimeloyl-[acp] methyl ester</t>
  </si>
  <si>
    <t>C20377</t>
  </si>
  <si>
    <t>3-Hydroxypimeloyl-[acp] methyl ester</t>
  </si>
  <si>
    <t>C20446</t>
  </si>
  <si>
    <t>tRNA 7-aminomethyl-7-carbaguanine</t>
  </si>
  <si>
    <t>C20463</t>
  </si>
  <si>
    <t>Purine deoxyribonucleoside</t>
  </si>
  <si>
    <t>C20648</t>
  </si>
  <si>
    <t>Adenine in rRNA</t>
  </si>
  <si>
    <t>C20683</t>
  </si>
  <si>
    <t>Long-chain acyl-[acyl-carrier protein]</t>
  </si>
  <si>
    <t>C20796</t>
  </si>
  <si>
    <t>N6-Dimethyladenine in rRNA</t>
  </si>
  <si>
    <t>C20864</t>
  </si>
  <si>
    <t>5'-Triphospho-[mRNA]</t>
  </si>
  <si>
    <t>2-Iminopropanoate</t>
  </si>
  <si>
    <t>2-Iminobutanoate</t>
  </si>
  <si>
    <t>C20969</t>
  </si>
  <si>
    <t>Carboxyphosphate</t>
  </si>
  <si>
    <t>C21017</t>
  </si>
  <si>
    <t>2-Hydroxypropyl-ThPP</t>
  </si>
  <si>
    <t>C21018</t>
  </si>
  <si>
    <t>S-Propyldihydrolipoamide-E</t>
  </si>
  <si>
    <t>DNA 5-hydroxymethylcytosine</t>
  </si>
  <si>
    <t>C21440</t>
  </si>
  <si>
    <t>[Protein]-S-sulfanyl-L-cysteine</t>
  </si>
  <si>
    <t>C21748</t>
  </si>
  <si>
    <t>5-Fluorouridine diphosphate</t>
  </si>
  <si>
    <t>C21749</t>
  </si>
  <si>
    <t>5-Fluorouridine triphosphate</t>
  </si>
  <si>
    <t>C21750</t>
  </si>
  <si>
    <t>5-Fluorodeoxyuridine diphosphate</t>
  </si>
  <si>
    <t>C21751</t>
  </si>
  <si>
    <t>5-Fluorodeoxyuridine triphosphate</t>
  </si>
  <si>
    <t>C22288</t>
  </si>
  <si>
    <t>5-Deoxy-D-ribose</t>
  </si>
  <si>
    <t>D-Ribulose 1-phosphate</t>
  </si>
  <si>
    <t>Aceneuramic acid</t>
  </si>
  <si>
    <t>dSMP</t>
  </si>
  <si>
    <t>C22411</t>
  </si>
  <si>
    <t>4-O-{Poly[(2R)-glycerophospho]-(2R)-glycerophospho}-N-acetyl-beta-D-mannosaminyl-(1-&gt;4)-N-acetyl-alpha-D-glucosaminyl-diphospho-ditrans,octacis-undecaprenol</t>
  </si>
  <si>
    <t>C22412</t>
  </si>
  <si>
    <t>[(2-Glc)-Gro-P]n-Gro-P-ManNAc-GlcNAc-PP-undecaprenol</t>
  </si>
  <si>
    <t>C22438</t>
  </si>
  <si>
    <t>3,5-Dehydroshikimate</t>
  </si>
  <si>
    <t>C22441</t>
  </si>
  <si>
    <t>dZMP</t>
  </si>
  <si>
    <t>C22442</t>
  </si>
  <si>
    <t>dZDP</t>
  </si>
  <si>
    <t>C22443</t>
  </si>
  <si>
    <t>dZTP</t>
  </si>
  <si>
    <t>C22467</t>
  </si>
  <si>
    <t>SM2a</t>
  </si>
  <si>
    <t>G00024</t>
  </si>
  <si>
    <t>G00092</t>
  </si>
  <si>
    <t>G00093</t>
  </si>
  <si>
    <t>Globotriaosylceramide</t>
  </si>
  <si>
    <t>G00094</t>
  </si>
  <si>
    <t>G00108</t>
  </si>
  <si>
    <t>G00109</t>
  </si>
  <si>
    <t>GM2</t>
  </si>
  <si>
    <t>G00110</t>
  </si>
  <si>
    <t>GM1</t>
  </si>
  <si>
    <t>G00111</t>
  </si>
  <si>
    <t>GD1a</t>
  </si>
  <si>
    <t>G00115</t>
  </si>
  <si>
    <t>G00116</t>
  </si>
  <si>
    <t>G00117</t>
  </si>
  <si>
    <t>GQ1b</t>
  </si>
  <si>
    <t>G00123</t>
  </si>
  <si>
    <t>G00124</t>
  </si>
  <si>
    <t>Asialo-GM1</t>
  </si>
  <si>
    <t>G00249</t>
  </si>
  <si>
    <t>G00278</t>
  </si>
  <si>
    <t>G00289</t>
  </si>
  <si>
    <t>G00309</t>
  </si>
  <si>
    <t>(GlcNAc)1 (Man)3</t>
  </si>
  <si>
    <t>G00317</t>
  </si>
  <si>
    <t>G00319</t>
  </si>
  <si>
    <t>(GlcNAc)1 (Man)2</t>
  </si>
  <si>
    <t>G00370</t>
  </si>
  <si>
    <t>G00497</t>
  </si>
  <si>
    <t>Galabiosylceramide</t>
  </si>
  <si>
    <t>G00501</t>
  </si>
  <si>
    <t>G00595</t>
  </si>
  <si>
    <t>G00711</t>
  </si>
  <si>
    <t>(GlcA)1 (GlcNAc)2</t>
  </si>
  <si>
    <t>G00971</t>
  </si>
  <si>
    <t>(GlcNAc)1 (Man)1</t>
  </si>
  <si>
    <t>G01275</t>
  </si>
  <si>
    <t>G01391</t>
  </si>
  <si>
    <t>(Gal)1 (GlcNAc)1 (S)1</t>
  </si>
  <si>
    <t>G01977</t>
  </si>
  <si>
    <t>(Gal)2 (GlcNAc)2 (S)2</t>
  </si>
  <si>
    <t>Hyaluronan-derived disaccharide</t>
  </si>
  <si>
    <t>G05477</t>
  </si>
  <si>
    <t>(GlcNAc)3 (LFuc)2 (Man)3</t>
  </si>
  <si>
    <t>G09795</t>
  </si>
  <si>
    <t>G10008</t>
  </si>
  <si>
    <t>(GlcA)1 (GlcNAc)1</t>
  </si>
  <si>
    <t>G10238</t>
  </si>
  <si>
    <t>G10336</t>
  </si>
  <si>
    <t>G10477</t>
  </si>
  <si>
    <t>G10481</t>
  </si>
  <si>
    <t>1,4-beta-D-Glucan</t>
  </si>
  <si>
    <t>G10488</t>
  </si>
  <si>
    <t>Galactinol</t>
  </si>
  <si>
    <t>1,4-alpha-D-Glucan</t>
  </si>
  <si>
    <t>G10504</t>
  </si>
  <si>
    <t>Hyaluronic acid</t>
  </si>
  <si>
    <t>G10508</t>
  </si>
  <si>
    <t>Sucrose 6'-phosphate</t>
  </si>
  <si>
    <t>G10517</t>
  </si>
  <si>
    <t>G10518</t>
  </si>
  <si>
    <t>(Glc)2 (P)1</t>
  </si>
  <si>
    <t>G10529</t>
  </si>
  <si>
    <t>G10531</t>
  </si>
  <si>
    <t>G10534</t>
  </si>
  <si>
    <t>(Gal)1 (*)2</t>
  </si>
  <si>
    <t>G10607</t>
  </si>
  <si>
    <t>(Gal)1 (GalNAc)1</t>
  </si>
  <si>
    <t>G10610</t>
  </si>
  <si>
    <t>UDP-N-acetyl-D-glucosamine</t>
  </si>
  <si>
    <t>G10612</t>
  </si>
  <si>
    <t>UDP-D-glucuronate</t>
  </si>
  <si>
    <t>G10619</t>
  </si>
  <si>
    <t>G10665</t>
  </si>
  <si>
    <t>(GlcNAc)2 (LFuc)1 (Man)3 (Xyl)1 (Asn)1</t>
  </si>
  <si>
    <t>G10920</t>
  </si>
  <si>
    <t>(GlcNAc)2 (LFuc)2 (Man)3 (Asn)1</t>
  </si>
  <si>
    <t>G11109</t>
  </si>
  <si>
    <t>G11113</t>
  </si>
  <si>
    <t>G11121</t>
  </si>
  <si>
    <t>G13056</t>
  </si>
  <si>
    <t>(GlcNAc)4 (LFuc)1 (Man)3 (Xyl)1 (Asn)1</t>
  </si>
  <si>
    <t>G13057</t>
  </si>
  <si>
    <t>(Gal)1 (GlcNAc)3 (LFuc)1 (Man)3 (Asn)1</t>
  </si>
  <si>
    <t>G13058</t>
  </si>
  <si>
    <t>(Gal)1 (GlcNAc)2 (LFuc)1 (Man)3 (Asn)1</t>
  </si>
  <si>
    <t>G13073</t>
  </si>
  <si>
    <t>(Gal)1 (GlcNAc)2 (S)2</t>
  </si>
  <si>
    <t>G13074</t>
  </si>
  <si>
    <t>(Gal)1 (GlcNAc)2 (S)1</t>
  </si>
  <si>
    <t>G13167</t>
  </si>
  <si>
    <t>alpha-Glycosylated WTA</t>
  </si>
  <si>
    <t>G13170</t>
  </si>
  <si>
    <t>beta-Glycosylated WTA</t>
  </si>
  <si>
    <t>G13171</t>
  </si>
  <si>
    <t>(Ala)1 (Glc)1 (GlcNAc)1 (Gro)1 (ManNAc)1 (Rib-ol)2 (*)1 (P)3 (PP-Und)1</t>
  </si>
  <si>
    <t>G13174</t>
  </si>
  <si>
    <t>alpha-O-GlcNAcylated WTA; (GlcNAc)2 (Gro)2 (ManNAc)1 (Rib-ol)1 (*)1 (P)3 (PP-Und)1</t>
  </si>
  <si>
    <t>G13175</t>
  </si>
  <si>
    <t>(Ala)1 (GlcNAc)2 (Gro)2 (ManNAc)1 (Rib-ol)1 (*)1 (P)3 (PP-Und)1</t>
  </si>
  <si>
    <t>G13176</t>
  </si>
  <si>
    <t>beta-O-GlcNAcylated WTA; (GlcNAc)2 (Gro)2 (ManNAc)1 (Rib-ol)1 (*)1 (P)3 (PP-Und)1</t>
  </si>
  <si>
    <t>G13177</t>
  </si>
  <si>
    <t>G13178</t>
  </si>
  <si>
    <t>(GlcNAc)2 (Gro)2 (ManNAc)1 (Rib-ol)1 (*)1 (P)3 (PP-Und)1</t>
  </si>
  <si>
    <t>G13179</t>
  </si>
  <si>
    <t>G13180</t>
  </si>
  <si>
    <t>(Ala)1 (Glc)1 (GlcNAc)1 (Gro)2 (ManNAc)1 (*)1 (P)2 (PP-Und)1</t>
  </si>
  <si>
    <t>G13185</t>
  </si>
  <si>
    <t>(DAG)1 (Glc)2 (GlcNAc)1 (Gro)2 (*)1 (P)2</t>
  </si>
  <si>
    <t>G13186</t>
  </si>
  <si>
    <t>(Ala)1 (DAG)1 (Glc)2 (GlcNAc)1 (Gro)2 (*)1 (P)2</t>
  </si>
  <si>
    <t>G13192</t>
  </si>
  <si>
    <t>(DAG)1 (Gal)2 (Glc)1 (Gro)2 (*)1 (P)2</t>
  </si>
  <si>
    <t>G13193</t>
  </si>
  <si>
    <t>(Ala)1 (DAG)1 (Gal)2 (Glc)1 (Gro)2 (*)1 (P)2</t>
  </si>
  <si>
    <t>No</t>
  </si>
  <si>
    <t>EC_number</t>
  </si>
  <si>
    <t>Enzyme mRNA</t>
  </si>
  <si>
    <t>Enzymes</t>
  </si>
  <si>
    <t>Enzyme Turnover (/s)</t>
  </si>
  <si>
    <t>Enzyme Km (nM)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</si>
  <si>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</si>
  <si>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</si>
  <si>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</si>
  <si>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</si>
  <si>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</si>
  <si>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</si>
  <si>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Transcription Equation</t>
  </si>
  <si>
    <t>Translation Equation</t>
  </si>
  <si>
    <t>2_7_2_3</t>
  </si>
  <si>
    <t>6_3_1_2</t>
  </si>
  <si>
    <t>3_2_1_52</t>
  </si>
  <si>
    <t>6_3_4_2</t>
  </si>
  <si>
    <t>3_6_1_27</t>
  </si>
  <si>
    <t>2_1_1_207</t>
  </si>
  <si>
    <t>2_7_1_69</t>
  </si>
  <si>
    <t>3_2_1_85</t>
  </si>
  <si>
    <t>2_3_1_54</t>
  </si>
  <si>
    <t>2_7_7_7</t>
  </si>
  <si>
    <t>4_3_1_19</t>
  </si>
  <si>
    <t>1_1_1_86</t>
  </si>
  <si>
    <t>2_2_1_6</t>
  </si>
  <si>
    <t>1_1_1_14</t>
  </si>
  <si>
    <t>6_4_1_2</t>
  </si>
  <si>
    <t>6_3_4_14</t>
  </si>
  <si>
    <t>2_3_1_179</t>
  </si>
  <si>
    <t>1_1_1_100</t>
  </si>
  <si>
    <t>2_3_1_39</t>
  </si>
  <si>
    <t>1_13_12_16</t>
  </si>
  <si>
    <t>2_3_1_180</t>
  </si>
  <si>
    <t>2_3_1_41</t>
  </si>
  <si>
    <t>4_2_1_17</t>
  </si>
  <si>
    <t>1_1_1_3</t>
  </si>
  <si>
    <t>6_1_1_11</t>
  </si>
  <si>
    <t>3_1_26_4</t>
  </si>
  <si>
    <t>3_4_21_89</t>
  </si>
  <si>
    <t>3_1_11_5</t>
  </si>
  <si>
    <t>5_2_1_8</t>
  </si>
  <si>
    <t>3_4_21_19</t>
  </si>
  <si>
    <t>2_7_13_3</t>
  </si>
  <si>
    <t>5_3_3_2</t>
  </si>
  <si>
    <t>2_7_4_2</t>
  </si>
  <si>
    <t>4_1_1_33</t>
  </si>
  <si>
    <t>3_5_1_28</t>
  </si>
  <si>
    <t>1_1_1_44</t>
  </si>
  <si>
    <t>3_1_22_4</t>
  </si>
  <si>
    <t>2_1_1_173</t>
  </si>
  <si>
    <t>3_2_1_97</t>
  </si>
  <si>
    <t>1_1_1_133</t>
  </si>
  <si>
    <t>4_2_1_46</t>
  </si>
  <si>
    <t>5_1_3_13</t>
  </si>
  <si>
    <t>2_7_7_24</t>
  </si>
  <si>
    <t>1_1_1_22</t>
  </si>
  <si>
    <t>3_6_3_1</t>
  </si>
  <si>
    <t>2_7_10_2</t>
  </si>
  <si>
    <t>3_1_3_48</t>
  </si>
  <si>
    <t>3_2_1_70</t>
  </si>
  <si>
    <t>4_4_1_21</t>
  </si>
  <si>
    <t>2_7_8_13</t>
  </si>
  <si>
    <t>2_1_1_199</t>
  </si>
  <si>
    <t>3_2_1_86</t>
  </si>
  <si>
    <t>1_1_1_69</t>
  </si>
  <si>
    <t>4_1_2_21</t>
  </si>
  <si>
    <t>4_2_2_1</t>
  </si>
  <si>
    <t>1_11_1_9</t>
  </si>
  <si>
    <t>3_2_1_177</t>
  </si>
  <si>
    <t>2_7_6_3</t>
  </si>
  <si>
    <t>3_5_4_16</t>
  </si>
  <si>
    <t>6_3_2_17</t>
  </si>
  <si>
    <t>6_3_2_12</t>
  </si>
  <si>
    <t>2_5_1_15</t>
  </si>
  <si>
    <t>1_1_1_1</t>
  </si>
  <si>
    <t>3_4_22_40</t>
  </si>
  <si>
    <t>4_2_1_70</t>
  </si>
  <si>
    <t>5_4_99_19</t>
  </si>
  <si>
    <t>3_6_5_3</t>
  </si>
  <si>
    <t>1_14_13_107</t>
  </si>
  <si>
    <t>2_6_1_16</t>
  </si>
  <si>
    <t>3_2_1_21</t>
  </si>
  <si>
    <t>6_1_1_15</t>
  </si>
  <si>
    <t>2_7_7_41</t>
  </si>
  <si>
    <t>2_5_1_31</t>
  </si>
  <si>
    <t>3_6_4_12</t>
  </si>
  <si>
    <t>6_1_1_4</t>
  </si>
  <si>
    <t>1_1_1_6</t>
  </si>
  <si>
    <t>4_1_1_83</t>
  </si>
  <si>
    <t>2_7_7_6</t>
  </si>
  <si>
    <t>2_7_4_3</t>
  </si>
  <si>
    <t>1_17_4_2</t>
  </si>
  <si>
    <t>3_4_11_9</t>
  </si>
  <si>
    <t>3_2_2_20</t>
  </si>
  <si>
    <t>2_5_1_9</t>
  </si>
  <si>
    <t>3_5_1_16</t>
  </si>
  <si>
    <t>4_3_1_17</t>
  </si>
  <si>
    <t>3_1_3_5</t>
  </si>
  <si>
    <t>5_1_3_2</t>
  </si>
  <si>
    <t>2_4_2_1</t>
  </si>
  <si>
    <t>2_4_2_14</t>
  </si>
  <si>
    <t>6_3_5_3</t>
  </si>
  <si>
    <t>6_3_2_6</t>
  </si>
  <si>
    <t>2_6_1_1</t>
  </si>
  <si>
    <t>2_7_6_1</t>
  </si>
  <si>
    <t>3_5_1_25</t>
  </si>
  <si>
    <t>3_4_19_3</t>
  </si>
  <si>
    <t>2_3_1_57</t>
  </si>
  <si>
    <t>3_5_4_1</t>
  </si>
  <si>
    <t>3_5_4_5</t>
  </si>
  <si>
    <t>4_2_3_1</t>
  </si>
  <si>
    <t>2_5_1_54</t>
  </si>
  <si>
    <t>3_6_3_27</t>
  </si>
  <si>
    <t>6_3_1_1</t>
  </si>
  <si>
    <t>2_1_1_171</t>
  </si>
  <si>
    <t>2_5_1_7</t>
  </si>
  <si>
    <t>2_7_4_6</t>
  </si>
  <si>
    <t>3_4_21_107</t>
  </si>
  <si>
    <t>2_1_1_177</t>
  </si>
  <si>
    <t>6_1_1_2</t>
  </si>
  <si>
    <t>1_1_1_205</t>
  </si>
  <si>
    <t>2_7_8_5</t>
  </si>
  <si>
    <t>2_5_1_47</t>
  </si>
  <si>
    <t>3_6_3_31</t>
  </si>
  <si>
    <t>3_6_3_19</t>
  </si>
  <si>
    <t>4_1_3_27</t>
  </si>
  <si>
    <t>4_1_1_48</t>
  </si>
  <si>
    <t>5_3_1_24</t>
  </si>
  <si>
    <t>4_2_1_20</t>
  </si>
  <si>
    <t>3_4_24_57</t>
  </si>
  <si>
    <t>2_8_1_1</t>
  </si>
  <si>
    <t>1_13_11_2</t>
  </si>
  <si>
    <t>5_1_3_3</t>
  </si>
  <si>
    <t>2_7_2_2</t>
  </si>
  <si>
    <t>3_5_3_6</t>
  </si>
  <si>
    <t>3_2_1_170</t>
  </si>
  <si>
    <t>3_2_1_24</t>
  </si>
  <si>
    <t>2_7_1_85</t>
  </si>
  <si>
    <t>2_2_1_1</t>
  </si>
  <si>
    <t>2_2_1_7</t>
  </si>
  <si>
    <t>4_2_1_9</t>
  </si>
  <si>
    <t>6_1_1_21</t>
  </si>
  <si>
    <t>1_14_99_36</t>
  </si>
  <si>
    <t>6_1_1_12</t>
  </si>
  <si>
    <t>2_4_1_25</t>
  </si>
  <si>
    <t>2_4_1_1</t>
  </si>
  <si>
    <t>2_1_1_187</t>
  </si>
  <si>
    <t>6_1_1_1</t>
  </si>
  <si>
    <t>2_7_1_30</t>
  </si>
  <si>
    <t>1_1_3_21</t>
  </si>
  <si>
    <t>6_1_1_13</t>
  </si>
  <si>
    <t>2_7_1_5</t>
  </si>
  <si>
    <t>4_1_2_17</t>
  </si>
  <si>
    <t>5_3_1_25</t>
  </si>
  <si>
    <t>2_7_2_1</t>
  </si>
  <si>
    <t>3_1_26_5</t>
  </si>
  <si>
    <t>4_1_1_85</t>
  </si>
  <si>
    <t>5_1_3_22</t>
  </si>
  <si>
    <t>5_1_3_4</t>
  </si>
  <si>
    <t>2_7_1_6</t>
  </si>
  <si>
    <t>2_7_7_10</t>
  </si>
  <si>
    <t>2_1_1_72</t>
  </si>
  <si>
    <t>4_1_1_20</t>
  </si>
  <si>
    <t>3_6_1_19</t>
  </si>
  <si>
    <t>5_4_99_22</t>
  </si>
  <si>
    <t>3_6_3_34</t>
  </si>
  <si>
    <t>5_1_3_9</t>
  </si>
  <si>
    <t>4_1_3_3</t>
  </si>
  <si>
    <t>2_7_1_71</t>
  </si>
  <si>
    <t>4_2_1_51</t>
  </si>
  <si>
    <t>2_7_1_39</t>
  </si>
  <si>
    <t>2_7_1_48</t>
  </si>
  <si>
    <t>5_1_3_1</t>
  </si>
  <si>
    <t>2_7_6_2</t>
  </si>
  <si>
    <t>4_1_1_31</t>
  </si>
  <si>
    <t>4_3_3_7</t>
  </si>
  <si>
    <t>1_2_1_11</t>
  </si>
  <si>
    <t>4_99_1_1</t>
  </si>
  <si>
    <t>3_4_11_4</t>
  </si>
  <si>
    <t>1_8_1_8</t>
  </si>
  <si>
    <t>3_1_4_46</t>
  </si>
  <si>
    <t>3_2_2_16</t>
  </si>
  <si>
    <t>3_2_2_9</t>
  </si>
  <si>
    <t>4_2_99_18</t>
  </si>
  <si>
    <t>2_1_3_2</t>
  </si>
  <si>
    <t>6_3_5_5</t>
  </si>
  <si>
    <t>2_7_7_72</t>
  </si>
  <si>
    <t>2_7_7_19</t>
  </si>
  <si>
    <t>3_5_1_31</t>
  </si>
  <si>
    <t>3_5_1_88</t>
  </si>
  <si>
    <t>4_4_1_5</t>
  </si>
  <si>
    <t>6_1_1_22</t>
  </si>
  <si>
    <t>3_6_1_1</t>
  </si>
  <si>
    <t>6_3_2_13</t>
  </si>
  <si>
    <t>6_3_2_7</t>
  </si>
  <si>
    <t>3_6_3_44</t>
  </si>
  <si>
    <t>2_5_1_48</t>
  </si>
  <si>
    <t>4_4_1_8</t>
  </si>
  <si>
    <t>5_5_1_5</t>
  </si>
  <si>
    <t>5_4_2_3</t>
  </si>
  <si>
    <t>5_4_2_10</t>
  </si>
  <si>
    <t>1_17_1_8</t>
  </si>
  <si>
    <t>2_7_7_15</t>
  </si>
  <si>
    <t>2_7_7_9</t>
  </si>
  <si>
    <t>1_1_1_292</t>
  </si>
  <si>
    <t>2_7_1_4</t>
  </si>
  <si>
    <t>1_5_1_39</t>
  </si>
  <si>
    <t>3_6_3_20</t>
  </si>
  <si>
    <t>2_1_1_63</t>
  </si>
  <si>
    <t>1_18_1_2</t>
  </si>
  <si>
    <t>1_18_1_3</t>
  </si>
  <si>
    <t>2_7_7_27</t>
  </si>
  <si>
    <t>1_2_3_3</t>
  </si>
  <si>
    <t>4_2_1_33</t>
  </si>
  <si>
    <t>1_7_1_7</t>
  </si>
  <si>
    <t>3_1_26_3</t>
  </si>
  <si>
    <t>1_1_1_49</t>
  </si>
  <si>
    <t>1_1_1_85</t>
  </si>
  <si>
    <t>3_4_16_4</t>
  </si>
  <si>
    <t>2_7_7_63</t>
  </si>
  <si>
    <t>1_7_1_6</t>
  </si>
  <si>
    <t>1_6_99_3</t>
  </si>
  <si>
    <t>2_6_1_42</t>
  </si>
  <si>
    <t>2_5_1_75</t>
  </si>
  <si>
    <t>2_1_1_45</t>
  </si>
  <si>
    <t>2_7_1_2</t>
  </si>
  <si>
    <t>2_6_1_85</t>
  </si>
  <si>
    <t>3_4_23_36</t>
  </si>
  <si>
    <t>2_7_3_9</t>
  </si>
  <si>
    <t>1_1_1_163</t>
  </si>
  <si>
    <t>6_1_1_10</t>
  </si>
  <si>
    <t>1_8_1_7</t>
  </si>
  <si>
    <t>2_1_1_228</t>
  </si>
  <si>
    <t>1_15_1_1</t>
  </si>
  <si>
    <t>1_3_98_1</t>
  </si>
  <si>
    <t>2_5_1_6</t>
  </si>
  <si>
    <t>1_1_1_274</t>
  </si>
  <si>
    <t>2_1_1_172</t>
  </si>
  <si>
    <t>2_7_1_33</t>
  </si>
  <si>
    <t>2_4_2_8</t>
  </si>
  <si>
    <t>6_3_4_19</t>
  </si>
  <si>
    <t>4_4_1_11</t>
  </si>
  <si>
    <t>5_4_99_25</t>
  </si>
  <si>
    <t>2_7_1_35</t>
  </si>
  <si>
    <t>5_4_99_12</t>
  </si>
  <si>
    <t>2_7_4_7</t>
  </si>
  <si>
    <t>2_7_1_40</t>
  </si>
  <si>
    <t>2_7_1_11</t>
  </si>
  <si>
    <t>2_7_7_18</t>
  </si>
  <si>
    <t>1_8_4_14</t>
  </si>
  <si>
    <t>3_6_3_17</t>
  </si>
  <si>
    <t>3_5_4_28</t>
  </si>
  <si>
    <t>2_1_1_37</t>
  </si>
  <si>
    <t>5_1_3_24</t>
  </si>
  <si>
    <t>6_1_1_16</t>
  </si>
  <si>
    <t>2_3_1_30</t>
  </si>
  <si>
    <t>2_7_7_8</t>
  </si>
  <si>
    <t>1_5_1_20</t>
  </si>
  <si>
    <t>2_1_1_14</t>
  </si>
  <si>
    <t>3_2_1_96</t>
  </si>
  <si>
    <t>6_3_4_5</t>
  </si>
  <si>
    <t>3_2_1_23</t>
  </si>
  <si>
    <t>4_3_2_2</t>
  </si>
  <si>
    <t>4_1_1_21</t>
  </si>
  <si>
    <t>6_3_4_18</t>
  </si>
  <si>
    <t>5_4_99_18</t>
  </si>
  <si>
    <t>6_3_4_13</t>
  </si>
  <si>
    <t>2_1_2_3</t>
  </si>
  <si>
    <t>2_1_2_2</t>
  </si>
  <si>
    <t>6_3_3_1</t>
  </si>
  <si>
    <t>3_6_1_23</t>
  </si>
  <si>
    <t>6_3_4_4</t>
  </si>
  <si>
    <t>3_1_1_29</t>
  </si>
  <si>
    <t>3_6_3_25</t>
  </si>
  <si>
    <t>3_2_1_22</t>
  </si>
  <si>
    <t>2_1_3_3</t>
  </si>
  <si>
    <t>2_3_1_117</t>
  </si>
  <si>
    <t>2_3_1_89</t>
  </si>
  <si>
    <t>3_5_1_47</t>
  </si>
  <si>
    <t>3_4_21_105</t>
  </si>
  <si>
    <t>1_1_1_94</t>
  </si>
  <si>
    <t>6_1_1_19</t>
  </si>
  <si>
    <t>5_3_1_9</t>
  </si>
  <si>
    <t>6_1_1_24</t>
  </si>
  <si>
    <t>6_1_1_17</t>
  </si>
  <si>
    <t>2_4_2_29</t>
  </si>
  <si>
    <t>1_1_1_2</t>
  </si>
  <si>
    <t>2_4_2_19</t>
  </si>
  <si>
    <t>1_2_1_12</t>
  </si>
  <si>
    <t>5_4_99_26</t>
  </si>
  <si>
    <t>3_5_1_1</t>
  </si>
  <si>
    <t>2_6_1_2</t>
  </si>
  <si>
    <t>2_1_1_182</t>
  </si>
  <si>
    <t>1_97_1_4</t>
  </si>
  <si>
    <t>3_6_1_7</t>
  </si>
  <si>
    <t>6_1_1_20</t>
  </si>
  <si>
    <t>2_1_1_189</t>
  </si>
  <si>
    <t>6_3_4_15</t>
  </si>
  <si>
    <t>2_4_1_7</t>
  </si>
  <si>
    <t>3_2_1_93</t>
  </si>
  <si>
    <t>5_1_1_3</t>
  </si>
  <si>
    <t>3_4_11_7</t>
  </si>
  <si>
    <t>1_1_1_90</t>
  </si>
  <si>
    <t>3_1_21_4</t>
  </si>
  <si>
    <t>2_4_2_22</t>
  </si>
  <si>
    <t>3_1_11_2</t>
  </si>
  <si>
    <t>2_6_1_87</t>
  </si>
  <si>
    <t>2_4_2_18</t>
  </si>
  <si>
    <t>3_2_1_39</t>
  </si>
  <si>
    <t>3_1_6_1</t>
  </si>
  <si>
    <t>2_7_11_1</t>
  </si>
  <si>
    <t>3_2_1_26</t>
  </si>
  <si>
    <t>3_6_4_6</t>
  </si>
  <si>
    <t>2_1_1_193</t>
  </si>
  <si>
    <t>3_4_24_15</t>
  </si>
  <si>
    <t>1_7_1_13</t>
  </si>
  <si>
    <t>1_8_1_9</t>
  </si>
  <si>
    <t>2_4_1_212</t>
  </si>
  <si>
    <t>2_4_1_52</t>
  </si>
  <si>
    <t>2_1_1_156</t>
  </si>
  <si>
    <t>2_7_4_8</t>
  </si>
  <si>
    <t>2_1_2_9</t>
  </si>
  <si>
    <t>2_1_1_176</t>
  </si>
  <si>
    <t>3_1_3_16</t>
  </si>
  <si>
    <t>2_3_3_10</t>
  </si>
  <si>
    <t>1_1_1_88</t>
  </si>
  <si>
    <t>2_7_8_7</t>
  </si>
  <si>
    <t>5_1_1_1</t>
  </si>
  <si>
    <t>3_1_1_41</t>
  </si>
  <si>
    <t>3_2_1_18</t>
  </si>
  <si>
    <t>2_4_1_129</t>
  </si>
  <si>
    <t>6_3_2_4</t>
  </si>
  <si>
    <t>6_3_2_10</t>
  </si>
  <si>
    <t>6_1_1_5</t>
  </si>
  <si>
    <t>2_7_6_5</t>
  </si>
  <si>
    <t>6_1_1_3</t>
  </si>
  <si>
    <t>3_6_3_8</t>
  </si>
  <si>
    <t>2_1_1_217</t>
  </si>
  <si>
    <t>1_4_3_19</t>
  </si>
  <si>
    <t>2_7_4_14</t>
  </si>
  <si>
    <t>2_7_4_25</t>
  </si>
  <si>
    <t>3_4_13_9</t>
  </si>
  <si>
    <t>6_3_5_10</t>
  </si>
  <si>
    <t>1_16_1_1</t>
  </si>
  <si>
    <t>1_8_1_4</t>
  </si>
  <si>
    <t>3_6_4_13</t>
  </si>
  <si>
    <t>2_4_2_7</t>
  </si>
  <si>
    <t>2_3_1_46</t>
  </si>
  <si>
    <t>5_3_1_1</t>
  </si>
  <si>
    <t>3_2_1_92</t>
  </si>
  <si>
    <t>1_5_1_3</t>
  </si>
  <si>
    <t>6_3_2_8</t>
  </si>
  <si>
    <t>3_6_3_14</t>
  </si>
  <si>
    <t>5_4_2_2</t>
  </si>
  <si>
    <t>5_4_2_8</t>
  </si>
  <si>
    <t>6_1_1_14</t>
  </si>
  <si>
    <t>3_1_3_23</t>
  </si>
  <si>
    <t>6_3_5_2</t>
  </si>
  <si>
    <t>3_6_3_42</t>
  </si>
  <si>
    <t>6_3_1_5</t>
  </si>
  <si>
    <t>3_5_99_6</t>
  </si>
  <si>
    <t>1_3_99_22</t>
  </si>
  <si>
    <t>1_3_3_3</t>
  </si>
  <si>
    <t>3_1_2_14</t>
  </si>
  <si>
    <t>3_1_3_25</t>
  </si>
  <si>
    <t>2_1_1_178</t>
  </si>
  <si>
    <t>4_1_1_5</t>
  </si>
  <si>
    <t>1_3_1_98</t>
  </si>
  <si>
    <t>6_1_1_7</t>
  </si>
  <si>
    <t>3_2_1_1</t>
  </si>
  <si>
    <t>2_1_1_191</t>
  </si>
  <si>
    <t>4_2_1_10</t>
  </si>
  <si>
    <t>1_1_1_25</t>
  </si>
  <si>
    <t>4_2_3_4</t>
  </si>
  <si>
    <t>4_2_3_5</t>
  </si>
  <si>
    <t>1_3_1_12</t>
  </si>
  <si>
    <t>1_3_1_43</t>
  </si>
  <si>
    <t>2_5_1_19</t>
  </si>
  <si>
    <t>3_1_3_27</t>
  </si>
  <si>
    <t>1_4_1_4</t>
  </si>
  <si>
    <t>2_7_7_60</t>
  </si>
  <si>
    <t>1_1_1_264</t>
  </si>
  <si>
    <t>5_99_1_2</t>
  </si>
  <si>
    <t>2_3_3_13</t>
  </si>
  <si>
    <t>3_6_1_55</t>
  </si>
  <si>
    <t>6_3_4_3</t>
  </si>
  <si>
    <t>1_1_1_27</t>
  </si>
  <si>
    <t>5_99_1_3</t>
  </si>
  <si>
    <t>2_5_1_49</t>
  </si>
  <si>
    <t>3_1_11_6</t>
  </si>
  <si>
    <t>2_5_1_10</t>
  </si>
  <si>
    <t>2_1_1_226</t>
  </si>
  <si>
    <t>2_8_1_7</t>
  </si>
  <si>
    <t>2_7_1_23</t>
  </si>
  <si>
    <t>5_4_99_23</t>
  </si>
  <si>
    <t>2_3_1_8</t>
  </si>
  <si>
    <t>2_7_7_2</t>
  </si>
  <si>
    <t>6_5_1_2</t>
  </si>
  <si>
    <t>3_2_1_41</t>
  </si>
  <si>
    <t>1_2_1_9</t>
  </si>
  <si>
    <t>2_4_1_18</t>
  </si>
  <si>
    <t>2_4_1_21</t>
  </si>
  <si>
    <t>3_1_3_3</t>
  </si>
  <si>
    <t>2_7_1_31</t>
  </si>
  <si>
    <t>4_2_1_11</t>
  </si>
  <si>
    <t>3_4_24_13</t>
  </si>
  <si>
    <t>2_3_1_12</t>
  </si>
  <si>
    <t>1_2_4_4</t>
  </si>
  <si>
    <t>1_2_4_1</t>
  </si>
  <si>
    <t>3_5_2_3</t>
  </si>
  <si>
    <t>3_2_2_27</t>
  </si>
  <si>
    <t>1_17_4_1</t>
  </si>
  <si>
    <t>4_1_2_40</t>
  </si>
  <si>
    <t>2_7_1_144</t>
  </si>
  <si>
    <t>5_3_1_26</t>
  </si>
  <si>
    <t>3_4_11_18</t>
  </si>
  <si>
    <t>2_4_1_250</t>
  </si>
  <si>
    <t>2_1_2_1</t>
  </si>
  <si>
    <t>2_7_1_21</t>
  </si>
  <si>
    <t>3_6_1_13</t>
  </si>
  <si>
    <t>3_1_13_1</t>
  </si>
  <si>
    <t>2_7_1_24</t>
  </si>
  <si>
    <t>3_2_2_23</t>
  </si>
  <si>
    <t>2_7_1_66</t>
  </si>
  <si>
    <t>2_7_1_107</t>
  </si>
  <si>
    <t>1_3_1_14</t>
  </si>
  <si>
    <t>1_4_1_1</t>
  </si>
  <si>
    <t>2_7_4_22</t>
  </si>
  <si>
    <t>2_1_1_74</t>
  </si>
  <si>
    <t>2_1_1_198</t>
  </si>
  <si>
    <t>2_7_4_9</t>
  </si>
  <si>
    <t>1_5_1_2</t>
  </si>
  <si>
    <t>1_2_1_41</t>
  </si>
  <si>
    <t>2_7_2_11</t>
  </si>
  <si>
    <t>3_5_1_77</t>
  </si>
  <si>
    <t>3_5_3_12</t>
  </si>
  <si>
    <t>2_5_1_16</t>
  </si>
  <si>
    <t>4_1_1_19</t>
  </si>
  <si>
    <t>3_4_14_11</t>
  </si>
  <si>
    <t>3_1_21_3</t>
  </si>
  <si>
    <t>2_8_1_4</t>
  </si>
  <si>
    <t>2_7_1_56</t>
  </si>
  <si>
    <t>4_1_2_4</t>
  </si>
  <si>
    <t>2_4_2_2</t>
  </si>
  <si>
    <t>5_4_2_7</t>
  </si>
  <si>
    <t>5_3_1_6</t>
  </si>
  <si>
    <t>1_5_1_5</t>
  </si>
  <si>
    <t>3_1_3_18</t>
  </si>
  <si>
    <t>3_4_11_2</t>
  </si>
  <si>
    <t>2_1_1_192</t>
  </si>
  <si>
    <t>3_4_21_92</t>
  </si>
  <si>
    <t>2_4_2_9</t>
  </si>
  <si>
    <t>5_3_1_8</t>
  </si>
  <si>
    <t>2_7_1_49</t>
  </si>
  <si>
    <t>2_5_1_3</t>
  </si>
  <si>
    <t>2_7_1_50</t>
  </si>
  <si>
    <t>3_5_99_2</t>
  </si>
  <si>
    <t>6_1_1_6</t>
  </si>
  <si>
    <t>3_6_3_30</t>
  </si>
  <si>
    <t>2_4_2_10</t>
  </si>
  <si>
    <t>4_1_1_23</t>
  </si>
  <si>
    <t>2_4_1_227</t>
  </si>
  <si>
    <t>6_3_2_9</t>
  </si>
  <si>
    <t>3_1_26_11</t>
  </si>
  <si>
    <t>1_8_4_11</t>
  </si>
  <si>
    <t>3_4_21_96</t>
  </si>
  <si>
    <t>2_3_2_17</t>
  </si>
  <si>
    <t>2_3_2_16</t>
  </si>
  <si>
    <t>3_1_2_12</t>
  </si>
  <si>
    <t>4_1_2_13</t>
  </si>
  <si>
    <t>6_1_1_9</t>
  </si>
  <si>
    <t>2_1_1_33</t>
  </si>
  <si>
    <t>Reactants (Addition)</t>
  </si>
  <si>
    <t>Reactants
(Multiplication)</t>
  </si>
  <si>
    <t>Products 
(Addition)</t>
  </si>
  <si>
    <t>Products 
(Multiplication)</t>
  </si>
  <si>
    <t>Rate Law</t>
  </si>
  <si>
    <t>Equation</t>
  </si>
  <si>
    <t>C00002 + C00197</t>
  </si>
  <si>
    <t>C00002 * C00197</t>
  </si>
  <si>
    <t>C00008 + C00236</t>
  </si>
  <si>
    <t>C00008 * C00236</t>
  </si>
  <si>
    <t>C00002 + C00025 + C00014</t>
  </si>
  <si>
    <t>C00002 * C00025 * C00014</t>
  </si>
  <si>
    <t>C00008 + C00009 + C00064</t>
  </si>
  <si>
    <t>C00008 * C00009 * C00064</t>
  </si>
  <si>
    <t>C01674 + C00001</t>
  </si>
  <si>
    <t>C01674 * C00001</t>
  </si>
  <si>
    <t>C06135 + C00001</t>
  </si>
  <si>
    <t>C06135 * C00001</t>
  </si>
  <si>
    <t>C01290 + C01132</t>
  </si>
  <si>
    <t>C01290 * C01132</t>
  </si>
  <si>
    <t>C04737 + C01132</t>
  </si>
  <si>
    <t>C04737 * C01132</t>
  </si>
  <si>
    <t>C03272 + C00001</t>
  </si>
  <si>
    <t>C03272 * C00001</t>
  </si>
  <si>
    <t>C04884 + C00001</t>
  </si>
  <si>
    <t>C04884 * C00001</t>
  </si>
  <si>
    <t>C04730 + C01132</t>
  </si>
  <si>
    <t>C04730 * C01132</t>
  </si>
  <si>
    <t>C00001 + G00094</t>
  </si>
  <si>
    <t>C00001 * G00094</t>
  </si>
  <si>
    <t>C01132 + G00093</t>
  </si>
  <si>
    <t>C01132 * G00093</t>
  </si>
  <si>
    <t>G00123 + C00001</t>
  </si>
  <si>
    <t>G00123 * C00001</t>
  </si>
  <si>
    <t>G00092 + C01132</t>
  </si>
  <si>
    <t>G00092 * C01132</t>
  </si>
  <si>
    <t>G00109 + C00001</t>
  </si>
  <si>
    <t>G00109 * C00001</t>
  </si>
  <si>
    <t>G00108 + C01132</t>
  </si>
  <si>
    <t>G00108 * C01132</t>
  </si>
  <si>
    <t>G10336 + C00001</t>
  </si>
  <si>
    <t>G10336 * C00001</t>
  </si>
  <si>
    <t>G13074 + C00001</t>
  </si>
  <si>
    <t>G13074 * C00001</t>
  </si>
  <si>
    <t>G01391 + C00140</t>
  </si>
  <si>
    <t>G01391 * C00140</t>
  </si>
  <si>
    <t>G13073 + C00001</t>
  </si>
  <si>
    <t>G13073 * C00001</t>
  </si>
  <si>
    <t>G01391 + C04132</t>
  </si>
  <si>
    <t>G01391 * C04132</t>
  </si>
  <si>
    <t>G13057 + C00001</t>
  </si>
  <si>
    <t>G13057 * C00001</t>
  </si>
  <si>
    <t>C00140 + G13058</t>
  </si>
  <si>
    <t>C00140 * G13058</t>
  </si>
  <si>
    <t>G00711 + C00001</t>
  </si>
  <si>
    <t>G00711 * C00001</t>
  </si>
  <si>
    <t>G10008 + C00140</t>
  </si>
  <si>
    <t>G10008 * C00140</t>
  </si>
  <si>
    <t>G13056 + C00001</t>
  </si>
  <si>
    <t>G13056 * C00001</t>
  </si>
  <si>
    <t>C00140 + G10665</t>
  </si>
  <si>
    <t>C00140 * G10665</t>
  </si>
  <si>
    <t>G05477 + C00001</t>
  </si>
  <si>
    <t>G05477 * C00001</t>
  </si>
  <si>
    <t>G10920 + C00140</t>
  </si>
  <si>
    <t>G10920 * C00140</t>
  </si>
  <si>
    <t>C22467 + C00001</t>
  </si>
  <si>
    <t>C22467 * C00001</t>
  </si>
  <si>
    <t>C03405 + C01132</t>
  </si>
  <si>
    <t>C03405 * C01132</t>
  </si>
  <si>
    <t>C00064 + C00001</t>
  </si>
  <si>
    <t>C00064 * C00001</t>
  </si>
  <si>
    <t>C00025 + C00014</t>
  </si>
  <si>
    <t>C00025 * C00014</t>
  </si>
  <si>
    <t>C00002 + C00075 + C00014</t>
  </si>
  <si>
    <t>C00002 * C00075 * C00014</t>
  </si>
  <si>
    <t>C00008 + C00009 + C00063</t>
  </si>
  <si>
    <t>C00008 * C00009 * C00063</t>
  </si>
  <si>
    <t>C00002 + C00075 + C00064 + C00001</t>
  </si>
  <si>
    <t>C00002 * C00075 * C00064 * C00001</t>
  </si>
  <si>
    <t>C00008 + C00009 + C00063 + C00025</t>
  </si>
  <si>
    <t>C00008 * C00009 * C00063 * C00025</t>
  </si>
  <si>
    <t>C04574 + C00001</t>
  </si>
  <si>
    <t>C04574 * C00001</t>
  </si>
  <si>
    <t>C17556 + C00009</t>
  </si>
  <si>
    <t>C17556 * C00009</t>
  </si>
  <si>
    <t>C03847 + C00001</t>
  </si>
  <si>
    <t>C03847 * C00001</t>
  </si>
  <si>
    <t>C00069 + C01113</t>
  </si>
  <si>
    <t>C00069 * C01113</t>
  </si>
  <si>
    <t>C05396 + C00001</t>
  </si>
  <si>
    <t>C05396 * C00001</t>
  </si>
  <si>
    <t>C00221 + C01113</t>
  </si>
  <si>
    <t>C00221 * C01113</t>
  </si>
  <si>
    <t>G10517 + C00001</t>
  </si>
  <si>
    <t>G10517 * C00001</t>
  </si>
  <si>
    <t>C00024 + C00058</t>
  </si>
  <si>
    <t>C00024 * C00058</t>
  </si>
  <si>
    <t>C00010 + C00022</t>
  </si>
  <si>
    <t>C00010 * C00022</t>
  </si>
  <si>
    <t>C00109 + C00010</t>
  </si>
  <si>
    <t>C00109 * C00010</t>
  </si>
  <si>
    <t>C00100 + C00058</t>
  </si>
  <si>
    <t>C00100 * C00058</t>
  </si>
  <si>
    <t>C00677 + C00039</t>
  </si>
  <si>
    <t>C00677 * C00039</t>
  </si>
  <si>
    <t>C00013 + C00039</t>
  </si>
  <si>
    <t>C00013 * C00039</t>
  </si>
  <si>
    <t>C00131 + C00039</t>
  </si>
  <si>
    <t>C00131 * C00039</t>
  </si>
  <si>
    <t>C00286 + C00039</t>
  </si>
  <si>
    <t>C00286 * C00039</t>
  </si>
  <si>
    <t>C00458 + C00039</t>
  </si>
  <si>
    <t>C00458 * C00039</t>
  </si>
  <si>
    <t>C00459 + C00039</t>
  </si>
  <si>
    <t>C00459 * C00039</t>
  </si>
  <si>
    <t>C00109 + C00014</t>
  </si>
  <si>
    <t>C00109 * C00014</t>
  </si>
  <si>
    <t>C20905 + C00001</t>
  </si>
  <si>
    <t>C20905 * C00001</t>
  </si>
  <si>
    <t>C00022 + C00014</t>
  </si>
  <si>
    <t>C00022 * C00014</t>
  </si>
  <si>
    <t>C00161 + C00014</t>
  </si>
  <si>
    <t>C00161 * C00014</t>
  </si>
  <si>
    <t>C04272 + C00006</t>
  </si>
  <si>
    <t>C04272 * C00006</t>
  </si>
  <si>
    <t>C06010 + C00005 + C00080</t>
  </si>
  <si>
    <t>C06010 * C00005 * C00080</t>
  </si>
  <si>
    <t>C00900 + C00005 + C00080</t>
  </si>
  <si>
    <t>C00900 * C00005 * C00080</t>
  </si>
  <si>
    <t>C04039 + C00006</t>
  </si>
  <si>
    <t>C04039 * C00006</t>
  </si>
  <si>
    <t>C04181 + C00005 + C00080</t>
  </si>
  <si>
    <t>C04181 * C00005 * C00080</t>
  </si>
  <si>
    <t>C06007 + C00006</t>
  </si>
  <si>
    <t>C06007 * C00006</t>
  </si>
  <si>
    <t>C14463 + C00005 + C00080</t>
  </si>
  <si>
    <t>C14463 * C00005 * C00080</t>
  </si>
  <si>
    <t>C00900 + C00011</t>
  </si>
  <si>
    <t>C00900 * C00011</t>
  </si>
  <si>
    <t>C06010 + C00011</t>
  </si>
  <si>
    <t>C06010 * C00011</t>
  </si>
  <si>
    <t>C00022 + C00068</t>
  </si>
  <si>
    <t>C00022 * C00068</t>
  </si>
  <si>
    <t>C05125 + C00011</t>
  </si>
  <si>
    <t>C05125 * C00011</t>
  </si>
  <si>
    <t>C00900 + C00068</t>
  </si>
  <si>
    <t>C00900 * C00068</t>
  </si>
  <si>
    <t>C05125 + C00022</t>
  </si>
  <si>
    <t>C05125 * C00022</t>
  </si>
  <si>
    <t>C06010 + C00068</t>
  </si>
  <si>
    <t>C06010 * C00068</t>
  </si>
  <si>
    <t>C00109 + C05125</t>
  </si>
  <si>
    <t>C00109 * C05125</t>
  </si>
  <si>
    <t>C06006 + C00068</t>
  </si>
  <si>
    <t>C06006 * C00068</t>
  </si>
  <si>
    <t>C00022 + C00109</t>
  </si>
  <si>
    <t>C00022 * C00109</t>
  </si>
  <si>
    <t>C06006 + C00011</t>
  </si>
  <si>
    <t>C06006 * C00011</t>
  </si>
  <si>
    <t>C01507 + C00003</t>
  </si>
  <si>
    <t>C01507 * C00003</t>
  </si>
  <si>
    <t>C00247 + C00004 + C00080</t>
  </si>
  <si>
    <t>C00247 * C00004 * C00080</t>
  </si>
  <si>
    <t>C00794 + C00003</t>
  </si>
  <si>
    <t>C00794 * C00003</t>
  </si>
  <si>
    <t>C00095 + C00004 + C00080</t>
  </si>
  <si>
    <t>C00095 * C00004 * C00080</t>
  </si>
  <si>
    <t>C00379 + C00003</t>
  </si>
  <si>
    <t>C00379 * C00003</t>
  </si>
  <si>
    <t>C00310 + C00004 + C00080</t>
  </si>
  <si>
    <t>C00310 * C00004 * C00080</t>
  </si>
  <si>
    <t>C00002 + C00024 + C00288</t>
  </si>
  <si>
    <t>C00002 * C00024 * C00288</t>
  </si>
  <si>
    <t>C00008 + C00009 + C00083</t>
  </si>
  <si>
    <t>C00008 * C00009 * C00083</t>
  </si>
  <si>
    <t>C00002 + C06250 + C00288</t>
  </si>
  <si>
    <t>C00002 * C06250 * C00288</t>
  </si>
  <si>
    <t>C00008 + C00009 + C04419</t>
  </si>
  <si>
    <t>C00008 * C00009 * C04419</t>
  </si>
  <si>
    <t>C03939 + C01209</t>
  </si>
  <si>
    <t>C03939 * C01209</t>
  </si>
  <si>
    <t>C05744 + C00011 + C00229</t>
  </si>
  <si>
    <t>C05744 * C00011 * C00229</t>
  </si>
  <si>
    <t>C05223 + C01209</t>
  </si>
  <si>
    <t>C05223 * C01209</t>
  </si>
  <si>
    <t>C05759 + C00011 + C00229</t>
  </si>
  <si>
    <t>C05759 * C00011 * C00229</t>
  </si>
  <si>
    <t>C05745 + C01209</t>
  </si>
  <si>
    <t>C05745 * C01209</t>
  </si>
  <si>
    <t>C05746 + C00011 + C00229</t>
  </si>
  <si>
    <t>C05746 * C00011 * C00229</t>
  </si>
  <si>
    <t>C05749 + C01209</t>
  </si>
  <si>
    <t>C05749 * C01209</t>
  </si>
  <si>
    <t>C05750 + C00011 + C00229</t>
  </si>
  <si>
    <t>C05750 * C00011 * C00229</t>
  </si>
  <si>
    <t>C05752 + C01209</t>
  </si>
  <si>
    <t>C05752 * C01209</t>
  </si>
  <si>
    <t>C05753 + C00011 + C00229</t>
  </si>
  <si>
    <t>C05753 * C00011 * C00229</t>
  </si>
  <si>
    <t>C05755 + C01209</t>
  </si>
  <si>
    <t>C05755 * C01209</t>
  </si>
  <si>
    <t>C05756 + C00011 + C00229</t>
  </si>
  <si>
    <t>C05756 * C00011 * C00229</t>
  </si>
  <si>
    <t>C05761 + C01209</t>
  </si>
  <si>
    <t>C05761 * C01209</t>
  </si>
  <si>
    <t>C05762 + C00011 + C00229</t>
  </si>
  <si>
    <t>C05762 * C00011 * C00229</t>
  </si>
  <si>
    <t>C05764 + C01209</t>
  </si>
  <si>
    <t>C05764 * C01209</t>
  </si>
  <si>
    <t>C16219 + C00229 + C00011</t>
  </si>
  <si>
    <t>C16219 * C00229 * C00011</t>
  </si>
  <si>
    <t>C19673 + C01209</t>
  </si>
  <si>
    <t>C19673 * C01209</t>
  </si>
  <si>
    <t>C20372 + C00011 + C00229</t>
  </si>
  <si>
    <t>C20372 * C00011 * C00229</t>
  </si>
  <si>
    <t>C20375 + C01209</t>
  </si>
  <si>
    <t>C20375 * C01209</t>
  </si>
  <si>
    <t>C20376 + C00011 + C00229</t>
  </si>
  <si>
    <t>C20376 * C00011 * C00229</t>
  </si>
  <si>
    <t>C01271 + C00006</t>
  </si>
  <si>
    <t>C01271 * C00006</t>
  </si>
  <si>
    <t>C00685 + C00005 + C00080</t>
  </si>
  <si>
    <t>C00685 * C00005 * C00080</t>
  </si>
  <si>
    <t>C04618 + C00006</t>
  </si>
  <si>
    <t>C04618 * C00006</t>
  </si>
  <si>
    <t>C05744 + C00005 + C00080</t>
  </si>
  <si>
    <t>C05744 * C00005 * C00080</t>
  </si>
  <si>
    <t>C04619 + C00006</t>
  </si>
  <si>
    <t>C04619 * C00006</t>
  </si>
  <si>
    <t>C05753 + C00005</t>
  </si>
  <si>
    <t>C05753 * C00005</t>
  </si>
  <si>
    <t>C04620 + C00006</t>
  </si>
  <si>
    <t>C04620 * C00006</t>
  </si>
  <si>
    <t>C05750 + C00005 + C00080</t>
  </si>
  <si>
    <t>C05750 * C00005 * C00080</t>
  </si>
  <si>
    <t>C04633 + C00006</t>
  </si>
  <si>
    <t>C04633 * C00006</t>
  </si>
  <si>
    <t>C05762 + C00005 + C00080</t>
  </si>
  <si>
    <t>C05762 * C00005 * C00080</t>
  </si>
  <si>
    <t>C04688 + C00006</t>
  </si>
  <si>
    <t>C04688 * C00006</t>
  </si>
  <si>
    <t>C05759 + C00005 + C00080</t>
  </si>
  <si>
    <t>C05759 * C00005 * C00080</t>
  </si>
  <si>
    <t>C05747 + C00006</t>
  </si>
  <si>
    <t>C05747 * C00006</t>
  </si>
  <si>
    <t>C05746 + C00005 + C00080</t>
  </si>
  <si>
    <t>C05746 * C00005 * C00080</t>
  </si>
  <si>
    <t>C05757 + C00006</t>
  </si>
  <si>
    <t>C05757 * C00006</t>
  </si>
  <si>
    <t>C05756 + C00005 + C00080</t>
  </si>
  <si>
    <t>C05756 * C00005 * C00080</t>
  </si>
  <si>
    <t>C16219 + C00005 + C00080</t>
  </si>
  <si>
    <t>C16219 * C00005 * C00080</t>
  </si>
  <si>
    <t>C16220 + C00006</t>
  </si>
  <si>
    <t>C16220 * C00006</t>
  </si>
  <si>
    <t>C20372 + C00005 + C00080</t>
  </si>
  <si>
    <t>C20372 * C00005 * C00080</t>
  </si>
  <si>
    <t>C20373 + C00006</t>
  </si>
  <si>
    <t>C20373 * C00006</t>
  </si>
  <si>
    <t>C20376 + C00005 + C00080</t>
  </si>
  <si>
    <t>C20376 * C00005 * C00080</t>
  </si>
  <si>
    <t>C20377 + C00006</t>
  </si>
  <si>
    <t>C20377 * C00006</t>
  </si>
  <si>
    <t>C00083 + C00229</t>
  </si>
  <si>
    <t>C00083 * C00229</t>
  </si>
  <si>
    <t>C00010 + C01209</t>
  </si>
  <si>
    <t>C00010 * C01209</t>
  </si>
  <si>
    <t>C00084 + C00088 + C00061 + C00001</t>
  </si>
  <si>
    <t>C00084 * C00088 * C00061 * C00001</t>
  </si>
  <si>
    <t>C00024 + C01209</t>
  </si>
  <si>
    <t>C00024 * C01209</t>
  </si>
  <si>
    <t>C05744 + C00010 + C00011</t>
  </si>
  <si>
    <t>C05744 * C00010 * C00011</t>
  </si>
  <si>
    <t>C00173 + C01209</t>
  </si>
  <si>
    <t>C00173 * C01209</t>
  </si>
  <si>
    <t>C00685 + C00011 + C00229</t>
  </si>
  <si>
    <t>C00685 * C00011 * C00229</t>
  </si>
  <si>
    <t>C00658 + C00001</t>
  </si>
  <si>
    <t>C00658 * C00001</t>
  </si>
  <si>
    <t>C00877 + C00001</t>
  </si>
  <si>
    <t>C00877 * C00001</t>
  </si>
  <si>
    <t>C00894 + C00001</t>
  </si>
  <si>
    <t>C00894 * C00001</t>
  </si>
  <si>
    <t>C03221 + C00001</t>
  </si>
  <si>
    <t>C03221 * C00001</t>
  </si>
  <si>
    <t>C03345 + C00001</t>
  </si>
  <si>
    <t>C03345 * C00001</t>
  </si>
  <si>
    <t>C03460 + C00001</t>
  </si>
  <si>
    <t>C03460 * C00001</t>
  </si>
  <si>
    <t>C05272 + C00001</t>
  </si>
  <si>
    <t>C05272 * C00001</t>
  </si>
  <si>
    <t>C05273 + C00001</t>
  </si>
  <si>
    <t>C05273 * C00001</t>
  </si>
  <si>
    <t>C05275 + C00001</t>
  </si>
  <si>
    <t>C05275 * C00001</t>
  </si>
  <si>
    <t>C05276 + C00001</t>
  </si>
  <si>
    <t>C05276 * C00001</t>
  </si>
  <si>
    <t>C05271 + C00001</t>
  </si>
  <si>
    <t>C05271 * C00001</t>
  </si>
  <si>
    <t>C16328 + C00001</t>
  </si>
  <si>
    <t>C16328 * C00001</t>
  </si>
  <si>
    <t>C16332 + C00001</t>
  </si>
  <si>
    <t>C16332 * C00001</t>
  </si>
  <si>
    <t>C16336 + C00001</t>
  </si>
  <si>
    <t>C16336 * C00001</t>
  </si>
  <si>
    <t>C05067 + C00001</t>
  </si>
  <si>
    <t>C05067 * C00001</t>
  </si>
  <si>
    <t>C01122 + C00001</t>
  </si>
  <si>
    <t>C01122 * C00001</t>
  </si>
  <si>
    <t>C03069 + C00001</t>
  </si>
  <si>
    <t>C03069 * C00001</t>
  </si>
  <si>
    <t>C11946 + C00001</t>
  </si>
  <si>
    <t>C11946 * C00001</t>
  </si>
  <si>
    <t>C11945 + C00001</t>
  </si>
  <si>
    <t>C11945 * C00001</t>
  </si>
  <si>
    <t>C14144 + C00001</t>
  </si>
  <si>
    <t>C14144 * C00001</t>
  </si>
  <si>
    <t>C16468 + C00001</t>
  </si>
  <si>
    <t>C16468 * C00001</t>
  </si>
  <si>
    <t>C00263 + C00003</t>
  </si>
  <si>
    <t>C00263 * C00003</t>
  </si>
  <si>
    <t>C00441 + C00004 + C00080</t>
  </si>
  <si>
    <t>C00441 * C00004 * C00080</t>
  </si>
  <si>
    <t>C00441 + C00005 + C00080</t>
  </si>
  <si>
    <t>C00441 * C00005 * C00080</t>
  </si>
  <si>
    <t>C00002 + C00065 + C01650</t>
  </si>
  <si>
    <t>C00002 * C00065 * C01650</t>
  </si>
  <si>
    <t>C00020 + C00013 + C02553</t>
  </si>
  <si>
    <t>C00020 * C00013 * C02553</t>
  </si>
  <si>
    <t>C00002 + C00065 + C16636</t>
  </si>
  <si>
    <t>C00002 * C00065 * C16636</t>
  </si>
  <si>
    <t>C00020 + C00013 + C06481</t>
  </si>
  <si>
    <t>C00020 * C00013 * C06481</t>
  </si>
  <si>
    <t>C00002 + C01107</t>
  </si>
  <si>
    <t>C00002 * C01107</t>
  </si>
  <si>
    <t>C00008 + C01143</t>
  </si>
  <si>
    <t>C00008 * C01143</t>
  </si>
  <si>
    <t>C00002 + C01143</t>
  </si>
  <si>
    <t>C00002 * C01143</t>
  </si>
  <si>
    <t>C00008 + C00009 + C00129 + C00011</t>
  </si>
  <si>
    <t>C00008 * C00009 * C00129 * C00011</t>
  </si>
  <si>
    <t>C02999 + C00001</t>
  </si>
  <si>
    <t>C02999 * C00001</t>
  </si>
  <si>
    <t>C02713 + C00041</t>
  </si>
  <si>
    <t>C02713 * C00041</t>
  </si>
  <si>
    <t>C00345 + C00006</t>
  </si>
  <si>
    <t>C00345 * C00006</t>
  </si>
  <si>
    <t>C00199 + C00011 + C00005 + C00080</t>
  </si>
  <si>
    <t>C00199 * C00011 * C00005 * C00080</t>
  </si>
  <si>
    <t>C00019 + C00240</t>
  </si>
  <si>
    <t>C00019 * C00240</t>
  </si>
  <si>
    <t>C00021 + C04153</t>
  </si>
  <si>
    <t>C00021 * C04153</t>
  </si>
  <si>
    <t>C04776 + C00001</t>
  </si>
  <si>
    <t>C04776 * C00001</t>
  </si>
  <si>
    <t>C07278 + C02189</t>
  </si>
  <si>
    <t>C07278 * C02189</t>
  </si>
  <si>
    <t>G00024 + C00001</t>
  </si>
  <si>
    <t>G00024 * C00001</t>
  </si>
  <si>
    <t>G10607 + C02189</t>
  </si>
  <si>
    <t>G10607 * C02189</t>
  </si>
  <si>
    <t>C03319 + C00006</t>
  </si>
  <si>
    <t>C03319 * C00006</t>
  </si>
  <si>
    <t>C00688 + C00005 + C00080</t>
  </si>
  <si>
    <t>C00688 * C00005 * C00080</t>
  </si>
  <si>
    <t>C11907 + C00001</t>
  </si>
  <si>
    <t>C11907 * C00001</t>
  </si>
  <si>
    <t>C00459 + C00103</t>
  </si>
  <si>
    <t>C00459 * C00103</t>
  </si>
  <si>
    <t>C00013 + C00842</t>
  </si>
  <si>
    <t>C00013 * C00842</t>
  </si>
  <si>
    <t>C00029 + C00001 + C00003</t>
  </si>
  <si>
    <t>C00029 * C00001 * C00003</t>
  </si>
  <si>
    <t>C00167 + C00004 + C00080</t>
  </si>
  <si>
    <t>C00167 * C00004 * C00080</t>
  </si>
  <si>
    <t>C00002 + C00585</t>
  </si>
  <si>
    <t>C00002 * C00585</t>
  </si>
  <si>
    <t>C00008 + C01167</t>
  </si>
  <si>
    <t>C00008 * C01167</t>
  </si>
  <si>
    <t>C01167 + C00001</t>
  </si>
  <si>
    <t>C01167 * C00001</t>
  </si>
  <si>
    <t>C00585 + C00009</t>
  </si>
  <si>
    <t>C00585 * C00009</t>
  </si>
  <si>
    <t>C11838 + C00155</t>
  </si>
  <si>
    <t>C11838 * C00155</t>
  </si>
  <si>
    <t>C04702 + C17556</t>
  </si>
  <si>
    <t>C04702 * C17556</t>
  </si>
  <si>
    <t>C00105 + C04851</t>
  </si>
  <si>
    <t>C00105 * C04851</t>
  </si>
  <si>
    <t>C04882 + C17556</t>
  </si>
  <si>
    <t>C04882 * C17556</t>
  </si>
  <si>
    <t>C00105 + C05897</t>
  </si>
  <si>
    <t>C00105 * C05897</t>
  </si>
  <si>
    <t>3_2_1_179</t>
  </si>
  <si>
    <t>C19965 + C00001</t>
  </si>
  <si>
    <t>C19965 * C00001</t>
  </si>
  <si>
    <t>C04053 + C19966</t>
  </si>
  <si>
    <t>C04053 * C19966</t>
  </si>
  <si>
    <t>C00257 + C00003</t>
  </si>
  <si>
    <t>C00257 * C00003</t>
  </si>
  <si>
    <t>C01062 + C00004 + C00080</t>
  </si>
  <si>
    <t>C01062 * C00004 * C00080</t>
  </si>
  <si>
    <t>C00257 + C00006</t>
  </si>
  <si>
    <t>C00257 * C00006</t>
  </si>
  <si>
    <t>C01062 + C00005 + C00080</t>
  </si>
  <si>
    <t>C01062 * C00005 * C00080</t>
  </si>
  <si>
    <t>C00022 + C00118</t>
  </si>
  <si>
    <t>C00022 * C00118</t>
  </si>
  <si>
    <t>C00027 + C00051</t>
  </si>
  <si>
    <t>C00027 * C00051</t>
  </si>
  <si>
    <t>C00127 + C00001</t>
  </si>
  <si>
    <t>C00127 * C00001</t>
  </si>
  <si>
    <t>C04534 + C00001</t>
  </si>
  <si>
    <t>C04534 * C00001</t>
  </si>
  <si>
    <t>C00031 + C00092</t>
  </si>
  <si>
    <t>C00031 * C00092</t>
  </si>
  <si>
    <t>G10518 + C00001</t>
  </si>
  <si>
    <t>G10518 * C00001</t>
  </si>
  <si>
    <t>C06187 + C00001</t>
  </si>
  <si>
    <t>C06187 * C00001</t>
  </si>
  <si>
    <t>C00530 + C01172</t>
  </si>
  <si>
    <t>C00530 * C01172</t>
  </si>
  <si>
    <t>C06188 + C00001</t>
  </si>
  <si>
    <t>C06188 * C00001</t>
  </si>
  <si>
    <t>C02323 + C01172</t>
  </si>
  <si>
    <t>C02323 * C01172</t>
  </si>
  <si>
    <t>C00002 + C01300</t>
  </si>
  <si>
    <t>C00002 * C01300</t>
  </si>
  <si>
    <t>C00020 + C04807</t>
  </si>
  <si>
    <t>C00020 * C04807</t>
  </si>
  <si>
    <t>C00044 + C00001</t>
  </si>
  <si>
    <t>C00044 * C00001</t>
  </si>
  <si>
    <t>C04895 + C00058</t>
  </si>
  <si>
    <t>C04895 * C00058</t>
  </si>
  <si>
    <t>C04895 + C00001</t>
  </si>
  <si>
    <t>C04895 * C00001</t>
  </si>
  <si>
    <t>C05922 + C00001</t>
  </si>
  <si>
    <t>C05922 * C00001</t>
  </si>
  <si>
    <t>C05923 + C00058</t>
  </si>
  <si>
    <t>05923 * C00058</t>
  </si>
  <si>
    <t>C00002 + C03541 + C00025</t>
  </si>
  <si>
    <t>C00002 * C03541 * C00025</t>
  </si>
  <si>
    <t>C00008 + C00009 + C03541</t>
  </si>
  <si>
    <t>C00008 * C00009 * C03541</t>
  </si>
  <si>
    <t>C00002 + C00101 + C00025</t>
  </si>
  <si>
    <t>C00002 * C00101 * C00025</t>
  </si>
  <si>
    <t>C00008 + C00009 + C09332</t>
  </si>
  <si>
    <t>C00008 * C00009 * C09332</t>
  </si>
  <si>
    <t>C00002 + C00234 + C00025</t>
  </si>
  <si>
    <t>C00002 * C00234 * C00025</t>
  </si>
  <si>
    <t>C00008 + C00009 + C05928</t>
  </si>
  <si>
    <t>C00008 * C00009 * C05928</t>
  </si>
  <si>
    <t>C00002 + C00921 + C00025</t>
  </si>
  <si>
    <t>C00002 * C00921 * C00025</t>
  </si>
  <si>
    <t>C00008 + C00009 + C00415</t>
  </si>
  <si>
    <t>C00008 * C00009 * C00415</t>
  </si>
  <si>
    <t>C00002 + C05928 + C00025</t>
  </si>
  <si>
    <t>C00002 * C05928 * C00025</t>
  </si>
  <si>
    <t>C00008 + C00009 + C05929</t>
  </si>
  <si>
    <t>C00008 * C00009 * C05929</t>
  </si>
  <si>
    <t>C04807 + C00568</t>
  </si>
  <si>
    <t>C04807 * C00568</t>
  </si>
  <si>
    <t>C00013 + C00921</t>
  </si>
  <si>
    <t>C00013 * C00921</t>
  </si>
  <si>
    <t>C01300 + C00568</t>
  </si>
  <si>
    <t>C01300 * C00568</t>
  </si>
  <si>
    <t>C00921 + C00001</t>
  </si>
  <si>
    <t>C00921 * C00001</t>
  </si>
  <si>
    <t>C00226 + C00003</t>
  </si>
  <si>
    <t>C00226 * C00003</t>
  </si>
  <si>
    <t>C00071 + C00004 + C00080</t>
  </si>
  <si>
    <t>C00071 * C00004 * C00080</t>
  </si>
  <si>
    <t>C00469 + C00003</t>
  </si>
  <si>
    <t>C00469 * C00003</t>
  </si>
  <si>
    <t>C00084 + C00004 + C00080</t>
  </si>
  <si>
    <t>C00084 * C00004 * C00080</t>
  </si>
  <si>
    <t>C00473 + C00003</t>
  </si>
  <si>
    <t>C00473 * C00003</t>
  </si>
  <si>
    <t>C00376 + C00004 + C00080</t>
  </si>
  <si>
    <t>C00376 * C00004 * C00080</t>
  </si>
  <si>
    <t>C00756 + C00003</t>
  </si>
  <si>
    <t>C00756 * C00003</t>
  </si>
  <si>
    <t>C01545 + C00004 + C00080</t>
  </si>
  <si>
    <t>C01545 * C00004 * C00080</t>
  </si>
  <si>
    <t>C05444 + C00003</t>
  </si>
  <si>
    <t>C05444 * C00003</t>
  </si>
  <si>
    <t>C05445 + C00004 + C00080</t>
  </si>
  <si>
    <t>C05445 * C00004 * C00080</t>
  </si>
  <si>
    <t>C05576 + C00003</t>
  </si>
  <si>
    <t>C05576 * C00003</t>
  </si>
  <si>
    <t>C05577 + C00004 + C00080</t>
  </si>
  <si>
    <t>C05577 * C00004 * C00080</t>
  </si>
  <si>
    <t>C06611 + C00003</t>
  </si>
  <si>
    <t>C06611 * C00003</t>
  </si>
  <si>
    <t>C06613 + C00004 + C00080</t>
  </si>
  <si>
    <t>C06613 * C00004 * C00080</t>
  </si>
  <si>
    <t>C06612 + C00003</t>
  </si>
  <si>
    <t>C06612 * C00003</t>
  </si>
  <si>
    <t>C16348 + C00004 + C00080</t>
  </si>
  <si>
    <t>C16348 * C00004 * C00080</t>
  </si>
  <si>
    <t>C14089 + C00003</t>
  </si>
  <si>
    <t>C14089 * C00003</t>
  </si>
  <si>
    <t>C14090 + C00004 + C00080</t>
  </si>
  <si>
    <t>C14090 * C00004 * C00080</t>
  </si>
  <si>
    <t>C02909 + C00003</t>
  </si>
  <si>
    <t>C02909 * C00003</t>
  </si>
  <si>
    <t>C14099 + C00004 + C00080</t>
  </si>
  <si>
    <t>C14099 * C00004 * C00080</t>
  </si>
  <si>
    <t>C07645 + C00004 + C00080</t>
  </si>
  <si>
    <t>C07645 * C00004 * C00080</t>
  </si>
  <si>
    <t>C16551 + C00003</t>
  </si>
  <si>
    <t>C16551 * C00003</t>
  </si>
  <si>
    <t>C16586 + C00003</t>
  </si>
  <si>
    <t>C16586 * C00003</t>
  </si>
  <si>
    <t>C16587 + C00004 + C00080</t>
  </si>
  <si>
    <t>C16587 * C00004 * C00080</t>
  </si>
  <si>
    <t>C00114 + C00003</t>
  </si>
  <si>
    <t>C00114 * C00003</t>
  </si>
  <si>
    <t>C00576 + C00004 + C00080</t>
  </si>
  <si>
    <t>C00576 * C00004 * C00080</t>
  </si>
  <si>
    <t>C00114 + C00006</t>
  </si>
  <si>
    <t>C00114 * C00006</t>
  </si>
  <si>
    <t>C00576 + C00005 + C00080</t>
  </si>
  <si>
    <t>C00576 * C00005 * C00080</t>
  </si>
  <si>
    <t>C16310 + C00004 + C00080</t>
  </si>
  <si>
    <t>C16310 * C00004 * C00080</t>
  </si>
  <si>
    <t>C08492 + C00003</t>
  </si>
  <si>
    <t>C08492 * C00003</t>
  </si>
  <si>
    <t>C01612 + C00003</t>
  </si>
  <si>
    <t>C01612 * C00003</t>
  </si>
  <si>
    <t>C01450 + C00004 + C00080</t>
  </si>
  <si>
    <t>C01450 * C00004 * C00080</t>
  </si>
  <si>
    <t>C16595 + C00003</t>
  </si>
  <si>
    <t>C16595 * C00003</t>
  </si>
  <si>
    <t>C16596 + C00004 + C00080</t>
  </si>
  <si>
    <t>C16596 * C00004 * C00080</t>
  </si>
  <si>
    <t>C00418 + C00003</t>
  </si>
  <si>
    <t>C00418 * C00003</t>
  </si>
  <si>
    <t>C00772 + C00004 + C00080</t>
  </si>
  <si>
    <t>C00772 * C00004 * C00080</t>
  </si>
  <si>
    <t>C06899 + C00004 + C00080</t>
  </si>
  <si>
    <t>C06899 * C00004 * C00080</t>
  </si>
  <si>
    <t>C07490 + C00003 + C00001</t>
  </si>
  <si>
    <t>C07490 * C00003 * C00001</t>
  </si>
  <si>
    <t>C00106 + C00117</t>
  </si>
  <si>
    <t>C00106 * C00117</t>
  </si>
  <si>
    <t>C01168 + C00001</t>
  </si>
  <si>
    <t>C01168 * C00001</t>
  </si>
  <si>
    <t>C00035 + C00009</t>
  </si>
  <si>
    <t>C00035 * C00009</t>
  </si>
  <si>
    <t>C06099 + C00004 + C00080</t>
  </si>
  <si>
    <t>C06099 * C00004 * C00080</t>
  </si>
  <si>
    <t>C07271 + C00003 + C00001</t>
  </si>
  <si>
    <t>C07271 * C00003 * C00001</t>
  </si>
  <si>
    <t>C00521 + C00004 + C00080 + C00007</t>
  </si>
  <si>
    <t>C00521 * C00004 * C00080 * C00007</t>
  </si>
  <si>
    <t>C19081 + C00003 + C00001</t>
  </si>
  <si>
    <t>C19081 * C00003 * C00001</t>
  </si>
  <si>
    <t>C00521 + C00005 + C00007 + C00080</t>
  </si>
  <si>
    <t>C00521 * C00005 * C00007 * C00080</t>
  </si>
  <si>
    <t>C19081 + C00006 + C00001</t>
  </si>
  <si>
    <t>C19081 * C00006 * C00001</t>
  </si>
  <si>
    <t>C06099 + C00005 + C00007 + C00080</t>
  </si>
  <si>
    <t>C06099 * C00005 * C00007 * C00080</t>
  </si>
  <si>
    <t>C07271 + C00006 + C00001</t>
  </si>
  <si>
    <t>C07271 * C00006 * C00001</t>
  </si>
  <si>
    <t>C00064 + C00085</t>
  </si>
  <si>
    <t>C00064 * C00085</t>
  </si>
  <si>
    <t>C00025 + C00352</t>
  </si>
  <si>
    <t>C00025 * C00352</t>
  </si>
  <si>
    <t>C00185 + C00001</t>
  </si>
  <si>
    <t>C00185 * C00001</t>
  </si>
  <si>
    <t>C00844 + C00001</t>
  </si>
  <si>
    <t>C00844 * C00001</t>
  </si>
  <si>
    <t>C00561 + C00031</t>
  </si>
  <si>
    <t>C00561 * C00031</t>
  </si>
  <si>
    <t>C01898 + C00001</t>
  </si>
  <si>
    <t>C01898 * C00001</t>
  </si>
  <si>
    <t>C00031 + C00185</t>
  </si>
  <si>
    <t>C00031 * C00185</t>
  </si>
  <si>
    <t>C00844 + C00031</t>
  </si>
  <si>
    <t>C00844 * C00031</t>
  </si>
  <si>
    <t>C08325 + C00001</t>
  </si>
  <si>
    <t>C08325 * C00001</t>
  </si>
  <si>
    <t>C00963 + C00001</t>
  </si>
  <si>
    <t>C00963 * C00001</t>
  </si>
  <si>
    <t>C00031 + C01335</t>
  </si>
  <si>
    <t>C00031 * C01335</t>
  </si>
  <si>
    <t>C05713 + C00001</t>
  </si>
  <si>
    <t>C05713 * C00001</t>
  </si>
  <si>
    <t>C05712 + C00031</t>
  </si>
  <si>
    <t>C05712 * C00031</t>
  </si>
  <si>
    <t>C05839 + C00001</t>
  </si>
  <si>
    <t>C05839 * C00001</t>
  </si>
  <si>
    <t>C05838 + C00031</t>
  </si>
  <si>
    <t>C05838 * C00031</t>
  </si>
  <si>
    <t>G10481 + C00001</t>
  </si>
  <si>
    <t>G10481 * C00001</t>
  </si>
  <si>
    <t>G10481 + C00221</t>
  </si>
  <si>
    <t>G10481 * C00221</t>
  </si>
  <si>
    <t>G00289 + C00001</t>
  </si>
  <si>
    <t>G00289 * C00001</t>
  </si>
  <si>
    <t>C05143 + C00001</t>
  </si>
  <si>
    <t>C05143 * C00001</t>
  </si>
  <si>
    <t>C03742 + C00221</t>
  </si>
  <si>
    <t>C03742 * C00221</t>
  </si>
  <si>
    <t>C08334 + C00001</t>
  </si>
  <si>
    <t>C08334 * C00001</t>
  </si>
  <si>
    <t>C18796 + C00221</t>
  </si>
  <si>
    <t>C18796 * C00221</t>
  </si>
  <si>
    <t>C01594 + C00001</t>
  </si>
  <si>
    <t>C01594 * C00001</t>
  </si>
  <si>
    <t>C02659 + C00221</t>
  </si>
  <si>
    <t>C02659 * C00221</t>
  </si>
  <si>
    <t>C10216 + C00001</t>
  </si>
  <si>
    <t>C10216 * C00001</t>
  </si>
  <si>
    <t>C10208 + C00221</t>
  </si>
  <si>
    <t>C10208 * C00221</t>
  </si>
  <si>
    <t>C09126 + C00001</t>
  </si>
  <si>
    <t>C09126 * C00001</t>
  </si>
  <si>
    <t>C06563 + C00221</t>
  </si>
  <si>
    <t>C06563 * C00221</t>
  </si>
  <si>
    <t>C05623 + C00001</t>
  </si>
  <si>
    <t>C05623 * C00001</t>
  </si>
  <si>
    <t>C00389 + C00221</t>
  </si>
  <si>
    <t>C00389 * C00221</t>
  </si>
  <si>
    <t>C09009 + C00001</t>
  </si>
  <si>
    <t>C09009 * C00001</t>
  </si>
  <si>
    <t>C00509 + C00221</t>
  </si>
  <si>
    <t>C00509 * C00221</t>
  </si>
  <si>
    <t>C00002 + C00148 + C01649</t>
  </si>
  <si>
    <t>C00002 * C00148 * C01649</t>
  </si>
  <si>
    <t>C00020 + C00013 + C02702</t>
  </si>
  <si>
    <t>C00020 * C00013 * C02702</t>
  </si>
  <si>
    <t>C00063 + C00416</t>
  </si>
  <si>
    <t>C00063 * C00416</t>
  </si>
  <si>
    <t>C00013 + C00269</t>
  </si>
  <si>
    <t>C00013 * C00269</t>
  </si>
  <si>
    <t>C00448 + C00129</t>
  </si>
  <si>
    <t>C00448 * C00129</t>
  </si>
  <si>
    <t>C04574 + C00013</t>
  </si>
  <si>
    <t>C04574 * C00013</t>
  </si>
  <si>
    <t>C00002 + C00123 + C01645</t>
  </si>
  <si>
    <t>C00002 * C00123 * C01645</t>
  </si>
  <si>
    <t>C00020 + C00013 + C02047</t>
  </si>
  <si>
    <t>C00020 * C00013 * C02047</t>
  </si>
  <si>
    <t>C00116 + C00003</t>
  </si>
  <si>
    <t>C00116 * C00003</t>
  </si>
  <si>
    <t>C00184 + C00004 + C00080</t>
  </si>
  <si>
    <t>C00184 * C00004 * C00080</t>
  </si>
  <si>
    <t>C00424 + C00003</t>
  </si>
  <si>
    <t>C00424 * C00003</t>
  </si>
  <si>
    <t>C00546 + C00004 + C00080</t>
  </si>
  <si>
    <t>C00546 * C00004 * C00080</t>
  </si>
  <si>
    <t>C00583 + C00003</t>
  </si>
  <si>
    <t>C00583 * C00003</t>
  </si>
  <si>
    <t>C05235 + C00004 + C00080</t>
  </si>
  <si>
    <t>C05235 * C00004 * C00080</t>
  </si>
  <si>
    <t>C00642 + C00080</t>
  </si>
  <si>
    <t>C00642 * C00080</t>
  </si>
  <si>
    <t>C01468 + C00011</t>
  </si>
  <si>
    <t>C01468 * C00011</t>
  </si>
  <si>
    <t>C00201 + C00046</t>
  </si>
  <si>
    <t>C00201 * C00046</t>
  </si>
  <si>
    <t>C00013 + C00046</t>
  </si>
  <si>
    <t>C00013 * C00046</t>
  </si>
  <si>
    <t>C00002 + C00046</t>
  </si>
  <si>
    <t>C00002 * C00046</t>
  </si>
  <si>
    <t>C00044 + C00046</t>
  </si>
  <si>
    <t>C00044 * C00046</t>
  </si>
  <si>
    <t>C00063 + C00046</t>
  </si>
  <si>
    <t>C00063 * C00046</t>
  </si>
  <si>
    <t>C00075 + C00046</t>
  </si>
  <si>
    <t>C00075 * C00046</t>
  </si>
  <si>
    <t>C20864 + C00013</t>
  </si>
  <si>
    <t>C20864 * C00013</t>
  </si>
  <si>
    <t>C00002 + C00020</t>
  </si>
  <si>
    <t>C00002 * C00020</t>
  </si>
  <si>
    <t>C00002 + C00360</t>
  </si>
  <si>
    <t>C00002 * C00360</t>
  </si>
  <si>
    <t>C00008 + C00206</t>
  </si>
  <si>
    <t>C00008 * C00206</t>
  </si>
  <si>
    <t>C00068 + C00008</t>
  </si>
  <si>
    <t>C00068 * C00008</t>
  </si>
  <si>
    <t>C03028 + C00020</t>
  </si>
  <si>
    <t>C03028 * C00020</t>
  </si>
  <si>
    <t>C00019 + C05196 + C05197</t>
  </si>
  <si>
    <t>C00019 * C05196 * C05197</t>
  </si>
  <si>
    <t>C05198 + C00073 + C05199 + C05312</t>
  </si>
  <si>
    <t>C05198 * C00073 * C05199 * C05312</t>
  </si>
  <si>
    <t>C00677 + C00343 + C00001</t>
  </si>
  <si>
    <t>C00677 * C00343 * C00001</t>
  </si>
  <si>
    <t>C03802 + C00342</t>
  </si>
  <si>
    <t>C03802 * C00342</t>
  </si>
  <si>
    <t>C00131 + C00343 + C00001</t>
  </si>
  <si>
    <t>C00131 * C00343 * C00001</t>
  </si>
  <si>
    <t>C00002 + C00342</t>
  </si>
  <si>
    <t>C00002 * C00342</t>
  </si>
  <si>
    <t>C00286 + C00343 + C00001</t>
  </si>
  <si>
    <t>C00286 * C00343 * C00001</t>
  </si>
  <si>
    <t>C00044 + C00342</t>
  </si>
  <si>
    <t>C00044 * C00342</t>
  </si>
  <si>
    <t>C00458 + C00343 + C00001</t>
  </si>
  <si>
    <t>C00458 * C00343 * C00001</t>
  </si>
  <si>
    <t>C00063 + C00342</t>
  </si>
  <si>
    <t>C00063 * C00342</t>
  </si>
  <si>
    <t>C00460 + C00343 + C00001</t>
  </si>
  <si>
    <t>C00460 * C00343 * C00001</t>
  </si>
  <si>
    <t>C00075 + C00342</t>
  </si>
  <si>
    <t>C00075 * C00342</t>
  </si>
  <si>
    <t>C00255 + C04732</t>
  </si>
  <si>
    <t>C00255 * C04732</t>
  </si>
  <si>
    <t>C00437 + C00001</t>
  </si>
  <si>
    <t>C00437 * C00001</t>
  </si>
  <si>
    <t>C00033 + C00077</t>
  </si>
  <si>
    <t>C00033 * C00077</t>
  </si>
  <si>
    <t>C15532 + C00001</t>
  </si>
  <si>
    <t>C15532 * C00001</t>
  </si>
  <si>
    <t>C00033 + C00327</t>
  </si>
  <si>
    <t>C00033 * C00327</t>
  </si>
  <si>
    <t>C00002 + C00327 + C00049</t>
  </si>
  <si>
    <t>C00002 * C00327 * C00049</t>
  </si>
  <si>
    <t>C00020 + C00013 + C03406</t>
  </si>
  <si>
    <t>C00020 * C00013 * C03406</t>
  </si>
  <si>
    <t>C02218 + C00001</t>
  </si>
  <si>
    <t>C02218 * C00001</t>
  </si>
  <si>
    <t>C20904 + C00001</t>
  </si>
  <si>
    <t>C20904 * C00001</t>
  </si>
  <si>
    <t>C02520 + C00001</t>
  </si>
  <si>
    <t>C02520 * C00001</t>
  </si>
  <si>
    <t>C00911 + C00009</t>
  </si>
  <si>
    <t>C00911 * C00009</t>
  </si>
  <si>
    <t>C00212 + C00009</t>
  </si>
  <si>
    <t>C00212 * C00009</t>
  </si>
  <si>
    <t>C00055 + C00001</t>
  </si>
  <si>
    <t>C00055 * C00001</t>
  </si>
  <si>
    <t>C00475 + C00009</t>
  </si>
  <si>
    <t>C00475 * C00009</t>
  </si>
  <si>
    <t>C00105 + C00001</t>
  </si>
  <si>
    <t>C00105 * C00001</t>
  </si>
  <si>
    <t>C00130 + C00001</t>
  </si>
  <si>
    <t>C00130 * C00001</t>
  </si>
  <si>
    <t>C00294 + C00009</t>
  </si>
  <si>
    <t>C00294 * C00009</t>
  </si>
  <si>
    <t>C00144 + C00001</t>
  </si>
  <si>
    <t>C00144 * C00001</t>
  </si>
  <si>
    <t>C00455 + C00001</t>
  </si>
  <si>
    <t>C00455 * C00001</t>
  </si>
  <si>
    <t>C03150 + C00009</t>
  </si>
  <si>
    <t>C03150 * C00009</t>
  </si>
  <si>
    <t>C00655 + C00001</t>
  </si>
  <si>
    <t>C00655 * C00001</t>
  </si>
  <si>
    <t>C01762 + C00009</t>
  </si>
  <si>
    <t>C01762 * C00009</t>
  </si>
  <si>
    <t>C01185 + C00001</t>
  </si>
  <si>
    <t>C01185 * C00001</t>
  </si>
  <si>
    <t>C05841 + C00009</t>
  </si>
  <si>
    <t>C05841 * C00009</t>
  </si>
  <si>
    <t>C00364 + C00001</t>
  </si>
  <si>
    <t>C00364 * C00001</t>
  </si>
  <si>
    <t>C00214 + C00009</t>
  </si>
  <si>
    <t>C00214 * C00009</t>
  </si>
  <si>
    <t>C00239 + C00001</t>
  </si>
  <si>
    <t>C00239 * C00001</t>
  </si>
  <si>
    <t>C00881 + C00009</t>
  </si>
  <si>
    <t>C00881 * C00009</t>
  </si>
  <si>
    <t>C00362 + C00001</t>
  </si>
  <si>
    <t>C00362 * C00001</t>
  </si>
  <si>
    <t>C00330 + C00009</t>
  </si>
  <si>
    <t>C00330 * C00009</t>
  </si>
  <si>
    <t>C00360 + C00001</t>
  </si>
  <si>
    <t>C00360 * C00001</t>
  </si>
  <si>
    <t>C00559 + C00009</t>
  </si>
  <si>
    <t>C00559 * C00009</t>
  </si>
  <si>
    <t>C00365 + C00001</t>
  </si>
  <si>
    <t>C00365 * C00001</t>
  </si>
  <si>
    <t>C00526 + C00009</t>
  </si>
  <si>
    <t>C00526 * C00009</t>
  </si>
  <si>
    <t>C06196 + C00001</t>
  </si>
  <si>
    <t>C06196 * C00001</t>
  </si>
  <si>
    <t>C05512 + C00009</t>
  </si>
  <si>
    <t>C05512 * C00009</t>
  </si>
  <si>
    <t>C15586 + C00009</t>
  </si>
  <si>
    <t>C15586 * C00009</t>
  </si>
  <si>
    <t>C15587 + C00620</t>
  </si>
  <si>
    <t>C15587 * C00620</t>
  </si>
  <si>
    <t>C00147 + C00620</t>
  </si>
  <si>
    <t>C00147 * C00620</t>
  </si>
  <si>
    <t>C00262 + C00620</t>
  </si>
  <si>
    <t>C00262 * C00620</t>
  </si>
  <si>
    <t>C00387 + C00009</t>
  </si>
  <si>
    <t>C00387 * C00009</t>
  </si>
  <si>
    <t>C00242 + C00620</t>
  </si>
  <si>
    <t>C00242 * C00620</t>
  </si>
  <si>
    <t>C00385 + C00620</t>
  </si>
  <si>
    <t>C00385 * C00620</t>
  </si>
  <si>
    <t>C20463 + C00009</t>
  </si>
  <si>
    <t>C20463 * C00009</t>
  </si>
  <si>
    <t>C15587 + C00672</t>
  </si>
  <si>
    <t>C15587 * C00672</t>
  </si>
  <si>
    <t>C00242 + C00672</t>
  </si>
  <si>
    <t>C00242 * C00672</t>
  </si>
  <si>
    <t>C00147 + C00672</t>
  </si>
  <si>
    <t>C00147 * C00672</t>
  </si>
  <si>
    <t>C00262 + C00672</t>
  </si>
  <si>
    <t>C00262 * C00672</t>
  </si>
  <si>
    <t>C00153 + C00620</t>
  </si>
  <si>
    <t>C00153 * C00620</t>
  </si>
  <si>
    <t>C00253 + C00620 + C00080</t>
  </si>
  <si>
    <t>C00253 * C00620 * C00080</t>
  </si>
  <si>
    <t>C00320 + C00177</t>
  </si>
  <si>
    <t>C00320 * C00177</t>
  </si>
  <si>
    <t>C00094 + C01755</t>
  </si>
  <si>
    <t>C00094 * C01755</t>
  </si>
  <si>
    <t>C00090 + C00007</t>
  </si>
  <si>
    <t>C00090 * C00007</t>
  </si>
  <si>
    <t>C02923 + C00007</t>
  </si>
  <si>
    <t>C02923 * C00007</t>
  </si>
  <si>
    <t>C06730 + C00007</t>
  </si>
  <si>
    <t>C06730 * C00007</t>
  </si>
  <si>
    <t>C07085 + C00007</t>
  </si>
  <si>
    <t>C07085 * C00007</t>
  </si>
  <si>
    <t>C02375 + C00007</t>
  </si>
  <si>
    <t>C02375 * C00007</t>
  </si>
  <si>
    <t>C06336 + C00007</t>
  </si>
  <si>
    <t>C06336 * C00007</t>
  </si>
  <si>
    <t>C02501 + C00094</t>
  </si>
  <si>
    <t>C02501 * C00094</t>
  </si>
  <si>
    <t>C00243 + C00001</t>
  </si>
  <si>
    <t>C00243 * C00001</t>
  </si>
  <si>
    <t>C00031 + C00962</t>
  </si>
  <si>
    <t>C00031 * C00962</t>
  </si>
  <si>
    <t>C05796 + C00001</t>
  </si>
  <si>
    <t>C05796 * C00001</t>
  </si>
  <si>
    <t>C00124 + C05796</t>
  </si>
  <si>
    <t>C00124 * C05796</t>
  </si>
  <si>
    <t>C00267 + C00124</t>
  </si>
  <si>
    <t>C00267 * C00124</t>
  </si>
  <si>
    <t>C01290 + C00001</t>
  </si>
  <si>
    <t>C01290 * C00001</t>
  </si>
  <si>
    <t>C01190 + C00124</t>
  </si>
  <si>
    <t>C01190 * C00124</t>
  </si>
  <si>
    <t>C04911 + C00001</t>
  </si>
  <si>
    <t>C04911 * C00001</t>
  </si>
  <si>
    <t>C04884 + C00124</t>
  </si>
  <si>
    <t>C04884 * C00124</t>
  </si>
  <si>
    <t>C05403 + C00001</t>
  </si>
  <si>
    <t>C05403 * C00001</t>
  </si>
  <si>
    <t>C05394 + C00221</t>
  </si>
  <si>
    <t>C05394 * C00221</t>
  </si>
  <si>
    <t>C06136 + C00001</t>
  </si>
  <si>
    <t>C06136 * C00001</t>
  </si>
  <si>
    <t>C06135 + C00124</t>
  </si>
  <si>
    <t>C06135 * C00124</t>
  </si>
  <si>
    <t>G00124 + C00001</t>
  </si>
  <si>
    <t>G00124 * C00001</t>
  </si>
  <si>
    <t>G00123 + C00124</t>
  </si>
  <si>
    <t>G00123 * C00124</t>
  </si>
  <si>
    <t>G00110 + C00001</t>
  </si>
  <si>
    <t>G00110 * C00001</t>
  </si>
  <si>
    <t>G00109 + C00124</t>
  </si>
  <si>
    <t>G00109 * C00124</t>
  </si>
  <si>
    <t>G10504 + C00001</t>
  </si>
  <si>
    <t>G10504 * C00001</t>
  </si>
  <si>
    <t>G00092 + C00001</t>
  </si>
  <si>
    <t>G00092 * C00001</t>
  </si>
  <si>
    <t>G10238 + C00124</t>
  </si>
  <si>
    <t>G10238 * C00124</t>
  </si>
  <si>
    <t>G10531 + C00001</t>
  </si>
  <si>
    <t>G10531 * C00001</t>
  </si>
  <si>
    <t>G10534 + C00001</t>
  </si>
  <si>
    <t>G10534 * C00001</t>
  </si>
  <si>
    <t>C00124 + G10534</t>
  </si>
  <si>
    <t>C00124 * G10534</t>
  </si>
  <si>
    <t>G01977 + C00001</t>
  </si>
  <si>
    <t>G01977 * C00001</t>
  </si>
  <si>
    <t>G13073 + C00124</t>
  </si>
  <si>
    <t>G13073 * C00124</t>
  </si>
  <si>
    <t>C00122 + C00020</t>
  </si>
  <si>
    <t>C00122 * C00020</t>
  </si>
  <si>
    <t>C00122 + C04677</t>
  </si>
  <si>
    <t>C00122 * C04677</t>
  </si>
  <si>
    <t>C22441 + C00122</t>
  </si>
  <si>
    <t>C22441 * C00122</t>
  </si>
  <si>
    <t>C03373 + C00011</t>
  </si>
  <si>
    <t>C03373 * C00011</t>
  </si>
  <si>
    <t>C00002 + C03373 + C00288</t>
  </si>
  <si>
    <t>C00002 * C03373 * C00288</t>
  </si>
  <si>
    <t>C00008 + C00009 + C15667</t>
  </si>
  <si>
    <t>C00008 * C00009 * C15667</t>
  </si>
  <si>
    <t>C00002 + C03090 + C00037</t>
  </si>
  <si>
    <t>C00002 * C03090 * C00037</t>
  </si>
  <si>
    <t>C00008 + C00009 + C03838</t>
  </si>
  <si>
    <t>C00008 * C00009 * C03838</t>
  </si>
  <si>
    <t>C00234 + C04677</t>
  </si>
  <si>
    <t>C00234 * C04677</t>
  </si>
  <si>
    <t>C00101 + C04734</t>
  </si>
  <si>
    <t>C00101 * C04734</t>
  </si>
  <si>
    <t>C00234 + C03838</t>
  </si>
  <si>
    <t>C00234 * C03838</t>
  </si>
  <si>
    <t>C00101 + C04376</t>
  </si>
  <si>
    <t>C00101 * C04376</t>
  </si>
  <si>
    <t>C03838 + C00445 + C00001</t>
  </si>
  <si>
    <t>C03838 * C00445 * C00001</t>
  </si>
  <si>
    <t>C04376 + C00101</t>
  </si>
  <si>
    <t>C04376 * C00101</t>
  </si>
  <si>
    <t>C00002 + C04640</t>
  </si>
  <si>
    <t>C00002 * C04640</t>
  </si>
  <si>
    <t>C00008 + C00009 + C03373</t>
  </si>
  <si>
    <t>C00008 * C00009 * C03373</t>
  </si>
  <si>
    <t>C03090 + C00013 + C00025</t>
  </si>
  <si>
    <t>C03090 * C00013 * C00025</t>
  </si>
  <si>
    <t>C00064 + C00119 + C00001</t>
  </si>
  <si>
    <t>C00064 * C00119 * C00001</t>
  </si>
  <si>
    <t>C00002 + C04376 + C00064 + C00001</t>
  </si>
  <si>
    <t>C00002 * C04376 * C00064 * C00001</t>
  </si>
  <si>
    <t>C00008 + C00009 + C04640 + C00025</t>
  </si>
  <si>
    <t>C00008 * C00009 * C04640 * C00025</t>
  </si>
  <si>
    <t>C00002 + C04751 + C00049</t>
  </si>
  <si>
    <t>C00002 * C04751 * C00049</t>
  </si>
  <si>
    <t>C00008 + C00009 + C04823</t>
  </si>
  <si>
    <t>C00008 * C00009 * C04823</t>
  </si>
  <si>
    <t>C00049 + C00026</t>
  </si>
  <si>
    <t>C00049 * C00026</t>
  </si>
  <si>
    <t>C00036 + C00025</t>
  </si>
  <si>
    <t>C00036 * C00025</t>
  </si>
  <si>
    <t>C00079 + C00026</t>
  </si>
  <si>
    <t>C00079 * C00026</t>
  </si>
  <si>
    <t>C00166 + C00025</t>
  </si>
  <si>
    <t>C00166 * C00025</t>
  </si>
  <si>
    <t>C00082 + C00026</t>
  </si>
  <si>
    <t>C00082 * C00026</t>
  </si>
  <si>
    <t>C01179 + C00025</t>
  </si>
  <si>
    <t>C01179 * C00025</t>
  </si>
  <si>
    <t>C00097 + C00026</t>
  </si>
  <si>
    <t>C00097 * C00026</t>
  </si>
  <si>
    <t>C00957 + C00025</t>
  </si>
  <si>
    <t>C00957 * C00025</t>
  </si>
  <si>
    <t>C00957 + C00302</t>
  </si>
  <si>
    <t>C00957 * C00302</t>
  </si>
  <si>
    <t>C00506 + C00026</t>
  </si>
  <si>
    <t>C00506 * C00026</t>
  </si>
  <si>
    <t>C05528 + C00025</t>
  </si>
  <si>
    <t>C05528 * C00025</t>
  </si>
  <si>
    <t>C00606 + C00026</t>
  </si>
  <si>
    <t>C00606 * C00026</t>
  </si>
  <si>
    <t>C05527 + C00025</t>
  </si>
  <si>
    <t>C05527 * C00025</t>
  </si>
  <si>
    <t>C05947 + C00026</t>
  </si>
  <si>
    <t>C05947 * C00026</t>
  </si>
  <si>
    <t>C05946 + C00025</t>
  </si>
  <si>
    <t>C05946 * C00025</t>
  </si>
  <si>
    <t>C00002 + C00117</t>
  </si>
  <si>
    <t>C00002 * C00117</t>
  </si>
  <si>
    <t>C00020 + C00119</t>
  </si>
  <si>
    <t>C00020 * C00119</t>
  </si>
  <si>
    <t>C00460 + C00001</t>
  </si>
  <si>
    <t>C00460 * C00001</t>
  </si>
  <si>
    <t>C00365 + C00013</t>
  </si>
  <si>
    <t>C00365 * C00013</t>
  </si>
  <si>
    <t>C21751 + C00001</t>
  </si>
  <si>
    <t>C21751 * C00001</t>
  </si>
  <si>
    <t>C04242 + C00013</t>
  </si>
  <si>
    <t>C04242 * C00013</t>
  </si>
  <si>
    <t>C00044 + C00130 + C00049</t>
  </si>
  <si>
    <t>C00044 * C00130 * C00049</t>
  </si>
  <si>
    <t>C00035 + C00009 + C03794</t>
  </si>
  <si>
    <t>C00035 * C00009 * C03794</t>
  </si>
  <si>
    <t>C00130 + C00013</t>
  </si>
  <si>
    <t>C00130 * C00013</t>
  </si>
  <si>
    <t>C00262 + C00119</t>
  </si>
  <si>
    <t>C00262 * C00119</t>
  </si>
  <si>
    <t>C00144 + C00013</t>
  </si>
  <si>
    <t>C00144 * C00013</t>
  </si>
  <si>
    <t>C00242 + C00119</t>
  </si>
  <si>
    <t>C00242 * C00119</t>
  </si>
  <si>
    <t>C00655 + C00013</t>
  </si>
  <si>
    <t>C00655 * C00013</t>
  </si>
  <si>
    <t>C00385 + C00119</t>
  </si>
  <si>
    <t>C00385 * C00119</t>
  </si>
  <si>
    <t>C02380 + C00119</t>
  </si>
  <si>
    <t>C02380 * C00119</t>
  </si>
  <si>
    <t>C04646 + C00013</t>
  </si>
  <si>
    <t>C04646 * C00013</t>
  </si>
  <si>
    <t>C16614 + C00119</t>
  </si>
  <si>
    <t>C16614 * C00119</t>
  </si>
  <si>
    <t>C16615 + C00013</t>
  </si>
  <si>
    <t>C16615 * C00013</t>
  </si>
  <si>
    <t>C07648 + C00119</t>
  </si>
  <si>
    <t>C07648 * C00119</t>
  </si>
  <si>
    <t>C16619 + C00013</t>
  </si>
  <si>
    <t>C16619 * C00013</t>
  </si>
  <si>
    <t>C19722 + C00047 + C00002</t>
  </si>
  <si>
    <t>C19722 * C00047 * C00002</t>
  </si>
  <si>
    <t>C19723 + C00020 + C00013 + C00001</t>
  </si>
  <si>
    <t>C19723 * C00020 * C00013 * C00001</t>
  </si>
  <si>
    <t>C03880 + C00001</t>
  </si>
  <si>
    <t>C03880 * C00001</t>
  </si>
  <si>
    <t>C03523 + C00066</t>
  </si>
  <si>
    <t>C03523 * C00066</t>
  </si>
  <si>
    <t>C00002 + C00078 + C01652</t>
  </si>
  <si>
    <t>C00002 * C00078 * C01652</t>
  </si>
  <si>
    <t>C00020 + C00013 + C03512</t>
  </si>
  <si>
    <t>C00020 * C00013 * C03512</t>
  </si>
  <si>
    <t>C00130 + C00003 + C00001</t>
  </si>
  <si>
    <t>C00130 * C00003 * C00001</t>
  </si>
  <si>
    <t>C00655 + C00004 + C00080</t>
  </si>
  <si>
    <t>C00655 * C00004 * C00080</t>
  </si>
  <si>
    <t>C16618 + C00004 + C00080</t>
  </si>
  <si>
    <t>C16618 * C00004 * C00080</t>
  </si>
  <si>
    <t>C04646 + C00003 + C00001</t>
  </si>
  <si>
    <t>C04646 * C00003 * C00001</t>
  </si>
  <si>
    <t>C00269 + C00093</t>
  </si>
  <si>
    <t>C00269 * C00093</t>
  </si>
  <si>
    <t>C00055 + C03892</t>
  </si>
  <si>
    <t>C00055 * C03892</t>
  </si>
  <si>
    <t>C00979 + C00283</t>
  </si>
  <si>
    <t>C00979 * C00283</t>
  </si>
  <si>
    <t>C00097 + C00033</t>
  </si>
  <si>
    <t>C00097 * C00033</t>
  </si>
  <si>
    <t>C00969 + C01528</t>
  </si>
  <si>
    <t>C00969 * C01528</t>
  </si>
  <si>
    <t>C05688 + C00033</t>
  </si>
  <si>
    <t>C05688 * C00033</t>
  </si>
  <si>
    <t>C00979 + C00320 + C00342 + C00080</t>
  </si>
  <si>
    <t>C00979 * C00320 * C00342 * C00080</t>
  </si>
  <si>
    <t>C00097 + C00094 + C00343 + C00033</t>
  </si>
  <si>
    <t>C00097 * C00094 * C00343 * C00033</t>
  </si>
  <si>
    <t>C01005 + C00283</t>
  </si>
  <si>
    <t>C01005 * C00283</t>
  </si>
  <si>
    <t>C00097 + C00009</t>
  </si>
  <si>
    <t>C00097 * C00009</t>
  </si>
  <si>
    <t>C00002 + C00116</t>
  </si>
  <si>
    <t>C00002 * C00116</t>
  </si>
  <si>
    <t>C00008 + C00093</t>
  </si>
  <si>
    <t>C00008 * C00093</t>
  </si>
  <si>
    <t>C00093 + C00007</t>
  </si>
  <si>
    <t>C00093 * C00007</t>
  </si>
  <si>
    <t>C00111 + C00027</t>
  </si>
  <si>
    <t>C00111 * C00027</t>
  </si>
  <si>
    <t>C00002 + C00133 + C00653</t>
  </si>
  <si>
    <t>C00002 * C00133 * C00653</t>
  </si>
  <si>
    <t>C00020 + C00013 + C04260</t>
  </si>
  <si>
    <t>C00020 * C00013 * C04260</t>
  </si>
  <si>
    <t>C00002 + C00133 + G13185</t>
  </si>
  <si>
    <t>C00002 * C00133 * G13185</t>
  </si>
  <si>
    <t>C00020 + C00013 + G13186</t>
  </si>
  <si>
    <t>C00020 * C00013 * G13186</t>
  </si>
  <si>
    <t>C00002 + C00133 + G13167</t>
  </si>
  <si>
    <t>C00002 * C00133 * G13167</t>
  </si>
  <si>
    <t>C00020 + C00013 + G13180</t>
  </si>
  <si>
    <t>C00020 * C00013 * G13180</t>
  </si>
  <si>
    <t>C00002 + C00133 + G13170</t>
  </si>
  <si>
    <t>C00002 * C00133 * G13170</t>
  </si>
  <si>
    <t>C00020 + C00013 + G13171</t>
  </si>
  <si>
    <t>C00020 * C00013 * G13171</t>
  </si>
  <si>
    <t>C00002 + C00133 + G13174</t>
  </si>
  <si>
    <t>C00002 * C00133 * G13174</t>
  </si>
  <si>
    <t>C00020 + C00013 + G13175</t>
  </si>
  <si>
    <t>C00020 * C00013 * G13175</t>
  </si>
  <si>
    <t>C00002 + C00133 + G13176</t>
  </si>
  <si>
    <t>C00002 * C00133 * G13176</t>
  </si>
  <si>
    <t>C00020 + C00013 + G13177</t>
  </si>
  <si>
    <t>C00020 * C00013 * G13177</t>
  </si>
  <si>
    <t>C00002 + C00133 + G13178</t>
  </si>
  <si>
    <t>C00002 * C00133 * G13178</t>
  </si>
  <si>
    <t>C00020 + C00013 + G13179</t>
  </si>
  <si>
    <t>C00020 * C00013 * G13179</t>
  </si>
  <si>
    <t>C00002 + C00133 + G13192</t>
  </si>
  <si>
    <t>C00002 * C00133 * G13192</t>
  </si>
  <si>
    <t>C00020 + C00013 + G13193</t>
  </si>
  <si>
    <t>C00020 * C00013 * G13193</t>
  </si>
  <si>
    <t>C00002 + C00861</t>
  </si>
  <si>
    <t>C00002 * C00861</t>
  </si>
  <si>
    <t>C00008 + C01131</t>
  </si>
  <si>
    <t>C00008 * C01131</t>
  </si>
  <si>
    <t>C00002 + C00312</t>
  </si>
  <si>
    <t>C00002 * C00312</t>
  </si>
  <si>
    <t>C00008 + C06441</t>
  </si>
  <si>
    <t>C00008 * C06441</t>
  </si>
  <si>
    <t>C05402 + C00001</t>
  </si>
  <si>
    <t>C05402 * C00001</t>
  </si>
  <si>
    <t>C00124 + C00031</t>
  </si>
  <si>
    <t>C00124 * C00031</t>
  </si>
  <si>
    <t>C00492 + C00001</t>
  </si>
  <si>
    <t>C00492 * C00001</t>
  </si>
  <si>
    <t>C00124 + C00089</t>
  </si>
  <si>
    <t>C00124 * C00089</t>
  </si>
  <si>
    <t>C05401 + C00001</t>
  </si>
  <si>
    <t>C05401 * C00001</t>
  </si>
  <si>
    <t>C00124 + C00116</t>
  </si>
  <si>
    <t>C00124 * C00116</t>
  </si>
  <si>
    <t>C01235 + C00001</t>
  </si>
  <si>
    <t>C01235 * C00001</t>
  </si>
  <si>
    <t>C00137 + C00124</t>
  </si>
  <si>
    <t>C00137 * C00124</t>
  </si>
  <si>
    <t>C05400 + C00001</t>
  </si>
  <si>
    <t>C05400 * C00001</t>
  </si>
  <si>
    <t>C00159 + C00124</t>
  </si>
  <si>
    <t>C00159 * C00124</t>
  </si>
  <si>
    <t>C05399 + C00001</t>
  </si>
  <si>
    <t>C05399 * C00001</t>
  </si>
  <si>
    <t>C00794 + C00124</t>
  </si>
  <si>
    <t>C00794 * C00124</t>
  </si>
  <si>
    <t>C04737 + C00001</t>
  </si>
  <si>
    <t>C04737 * C00001</t>
  </si>
  <si>
    <t>C00124 + C01290</t>
  </si>
  <si>
    <t>C00124 * C01290</t>
  </si>
  <si>
    <t>C01613 + C00001</t>
  </si>
  <si>
    <t>C01613 * C00001</t>
  </si>
  <si>
    <t>C00492 + C00124</t>
  </si>
  <si>
    <t>C00492 * C00124</t>
  </si>
  <si>
    <t>C06126 + C00001</t>
  </si>
  <si>
    <t>C06126 * C00001</t>
  </si>
  <si>
    <t>C02686 + C00124</t>
  </si>
  <si>
    <t>C02686 * C00124</t>
  </si>
  <si>
    <t>C06037 + C00001</t>
  </si>
  <si>
    <t>C06037 * C00001</t>
  </si>
  <si>
    <t>C03692 + C00124</t>
  </si>
  <si>
    <t>C03692 * C00124</t>
  </si>
  <si>
    <t>C05404 + C00001</t>
  </si>
  <si>
    <t>C05404 * C00001</t>
  </si>
  <si>
    <t>C00124 + C05402</t>
  </si>
  <si>
    <t>C00124 * C05402</t>
  </si>
  <si>
    <t>C00001 + G00093</t>
  </si>
  <si>
    <t>C00001 * G00093</t>
  </si>
  <si>
    <t>C00124 + G00092</t>
  </si>
  <si>
    <t>C00124 * G00092</t>
  </si>
  <si>
    <t>G00249 + C00001</t>
  </si>
  <si>
    <t>G00249 * C00001</t>
  </si>
  <si>
    <t>C00124 + G00370</t>
  </si>
  <si>
    <t>C00124 * G00370</t>
  </si>
  <si>
    <t>G01275 + C00001</t>
  </si>
  <si>
    <t>G01275 * C00001</t>
  </si>
  <si>
    <t>G10488 + C00001</t>
  </si>
  <si>
    <t>G10488 * C00001</t>
  </si>
  <si>
    <t>G00497 + C00001</t>
  </si>
  <si>
    <t>G00497 * C00001</t>
  </si>
  <si>
    <t>G11121 + C00124</t>
  </si>
  <si>
    <t>G11121 * C00124</t>
  </si>
  <si>
    <t>G00501 + C00001</t>
  </si>
  <si>
    <t>G00501 * C00001</t>
  </si>
  <si>
    <t>C00124 + G01275</t>
  </si>
  <si>
    <t>C00124 * G01275</t>
  </si>
  <si>
    <t>G10529 + C00001</t>
  </si>
  <si>
    <t>G10529 * C00001</t>
  </si>
  <si>
    <t>G00278 + C00001</t>
  </si>
  <si>
    <t>G00278 * C00001</t>
  </si>
  <si>
    <t>G00249 + C00124</t>
  </si>
  <si>
    <t>G00249 * C00124</t>
  </si>
  <si>
    <t>C00111 + C00424</t>
  </si>
  <si>
    <t>C00111 * C00424</t>
  </si>
  <si>
    <t>C00111 + C00266</t>
  </si>
  <si>
    <t>C00111 * C00266</t>
  </si>
  <si>
    <t>C00002 + C00014 + C00288</t>
  </si>
  <si>
    <t>C00002 * C00014 * C00288</t>
  </si>
  <si>
    <t>C00008 + C00169 + C00001</t>
  </si>
  <si>
    <t>C00008 * C00169 * C00001</t>
  </si>
  <si>
    <t>C00002 + C01563</t>
  </si>
  <si>
    <t>C00002 * C01563</t>
  </si>
  <si>
    <t>C00008 + C00169</t>
  </si>
  <si>
    <t>C00008 * C00169</t>
  </si>
  <si>
    <t>C00014 + C00288</t>
  </si>
  <si>
    <t>C00014 * C00288</t>
  </si>
  <si>
    <t>C01563 + C00001</t>
  </si>
  <si>
    <t>C01563 * C00001</t>
  </si>
  <si>
    <t>C00169 + C00077</t>
  </si>
  <si>
    <t>C00169 * C00077</t>
  </si>
  <si>
    <t>C00009 + C00327</t>
  </si>
  <si>
    <t>C00009 * C00327</t>
  </si>
  <si>
    <t>C00062 + C00001</t>
  </si>
  <si>
    <t>C00062 * C00001</t>
  </si>
  <si>
    <t>C00327 + C00014</t>
  </si>
  <si>
    <t>C00327 * C00014</t>
  </si>
  <si>
    <t>C06060 + C00001</t>
  </si>
  <si>
    <t>C06060 * C00001</t>
  </si>
  <si>
    <t>C00241 + C00014</t>
  </si>
  <si>
    <t>C00241 * C00014</t>
  </si>
  <si>
    <t>C11544 + C00001</t>
  </si>
  <si>
    <t>C11544 * C00001</t>
  </si>
  <si>
    <t>C00159 + C00258</t>
  </si>
  <si>
    <t>C00159 * C00258</t>
  </si>
  <si>
    <t>G00309 + C00001</t>
  </si>
  <si>
    <t>G00309 * C00001</t>
  </si>
  <si>
    <t>G00319 + C00159</t>
  </si>
  <si>
    <t>G00319 * C00159</t>
  </si>
  <si>
    <t>G00595 + C00001</t>
  </si>
  <si>
    <t>G00595 * C00001</t>
  </si>
  <si>
    <t>G00971 + C00159</t>
  </si>
  <si>
    <t>G00971 * C00159</t>
  </si>
  <si>
    <t>C00002 + C00185</t>
  </si>
  <si>
    <t>C00002 * C00185</t>
  </si>
  <si>
    <t>C00008 + C04534</t>
  </si>
  <si>
    <t>C00008 * C04534</t>
  </si>
  <si>
    <t>C00002 + G00289</t>
  </si>
  <si>
    <t>C00002 * G00289</t>
  </si>
  <si>
    <t>G11113 + G10518</t>
  </si>
  <si>
    <t>G11113 * G10518</t>
  </si>
  <si>
    <t>C05382 + C00118</t>
  </si>
  <si>
    <t>C05382 * C00118</t>
  </si>
  <si>
    <t>C00117 + C00231</t>
  </si>
  <si>
    <t>C00117 * C00231</t>
  </si>
  <si>
    <t>C00085 + C00118</t>
  </si>
  <si>
    <t>C00085 * C00118</t>
  </si>
  <si>
    <t>C00279 + C00231</t>
  </si>
  <si>
    <t>C00279 * C00231</t>
  </si>
  <si>
    <t>C05345 + C00118</t>
  </si>
  <si>
    <t>C05345 * C00118</t>
  </si>
  <si>
    <t>C12214 + C00117</t>
  </si>
  <si>
    <t>C12214 * C00117</t>
  </si>
  <si>
    <t>C12215 + C05382</t>
  </si>
  <si>
    <t>C12215 * C05382</t>
  </si>
  <si>
    <t>C00231 + C00068</t>
  </si>
  <si>
    <t>C00231 * C00068</t>
  </si>
  <si>
    <t>C13378 + C00118</t>
  </si>
  <si>
    <t>C13378 * C00118</t>
  </si>
  <si>
    <t>C05382 + C00068</t>
  </si>
  <si>
    <t>C05382 * C00068</t>
  </si>
  <si>
    <t>C13378 + C00117</t>
  </si>
  <si>
    <t>C13378 * C00117</t>
  </si>
  <si>
    <t>C11437 + C00011</t>
  </si>
  <si>
    <t>C11437 * C00011</t>
  </si>
  <si>
    <t>C00141 + C00001</t>
  </si>
  <si>
    <t>C00141 * C00001</t>
  </si>
  <si>
    <t>C00671 + C00001</t>
  </si>
  <si>
    <t>C00671 * C00001</t>
  </si>
  <si>
    <t>C00002 + C00135 + C01643</t>
  </si>
  <si>
    <t>C00002 * C00135 * C01643</t>
  </si>
  <si>
    <t>C00020 + C00013 + C02988</t>
  </si>
  <si>
    <t>C00020 * C00013 * C02988</t>
  </si>
  <si>
    <t>C01638 + C00049 + C00002</t>
  </si>
  <si>
    <t>C01638 * C00049 * C00002</t>
  </si>
  <si>
    <t>C02984 + C00013 + C00020</t>
  </si>
  <si>
    <t>C02984 * C00013 * C00020</t>
  </si>
  <si>
    <t>C00718 + C00031</t>
  </si>
  <si>
    <t>C00718 * C00031</t>
  </si>
  <si>
    <t>G10495 + C00031</t>
  </si>
  <si>
    <t>G10495 * C00031</t>
  </si>
  <si>
    <t>C00021 + C04152</t>
  </si>
  <si>
    <t>C00021 * C04152</t>
  </si>
  <si>
    <t>C00002 + C00082 + C00787</t>
  </si>
  <si>
    <t>C00002 * C00082 * C00787</t>
  </si>
  <si>
    <t>C00020 + C00013 + C02839</t>
  </si>
  <si>
    <t>C00020 * C00013 * C02839</t>
  </si>
  <si>
    <t>C00091 + C03972 + C00001</t>
  </si>
  <si>
    <t>C00091 * C03972 * C00001</t>
  </si>
  <si>
    <t>C00010 + C04462</t>
  </si>
  <si>
    <t>C00010 * C04462</t>
  </si>
  <si>
    <t>C03972 + C00024 + C00001</t>
  </si>
  <si>
    <t>C03972 * C00024 * C00001</t>
  </si>
  <si>
    <t>C05529 + C00010</t>
  </si>
  <si>
    <t>C05529 * C00010</t>
  </si>
  <si>
    <t>C00075 + C00103</t>
  </si>
  <si>
    <t>C00075 * C00103</t>
  </si>
  <si>
    <t>C00013 + C00029</t>
  </si>
  <si>
    <t>C00013 * C00029</t>
  </si>
  <si>
    <t>C00093 + C00003</t>
  </si>
  <si>
    <t>C00093 * C00003</t>
  </si>
  <si>
    <t>C00111 + C00004 + C00080</t>
  </si>
  <si>
    <t>C00111 * C00004 * C00080</t>
  </si>
  <si>
    <t>C00093 + C00006</t>
  </si>
  <si>
    <t>C00093 * C00006</t>
  </si>
  <si>
    <t>C00111 + C00005 + C00080</t>
  </si>
  <si>
    <t>C00111 * C00005 * C00080</t>
  </si>
  <si>
    <t>C00002 + C00062 + C01636</t>
  </si>
  <si>
    <t>C00002 * C00062 * C01636</t>
  </si>
  <si>
    <t>C00020 + C00013 + C02163</t>
  </si>
  <si>
    <t>C00020 * C00013 * C02163</t>
  </si>
  <si>
    <t>C00002 + C00025 + C01640</t>
  </si>
  <si>
    <t>C00002 * C00025 * C01640</t>
  </si>
  <si>
    <t>C00020 + C00013 + C06112</t>
  </si>
  <si>
    <t>C00020 * C00013 * C06112</t>
  </si>
  <si>
    <t>C01641 + C00025 + C00002</t>
  </si>
  <si>
    <t>C01641 * C00025 * C00002</t>
  </si>
  <si>
    <t>C02987 + C00013 + C00020</t>
  </si>
  <si>
    <t>C02987 * C00013 * C00020</t>
  </si>
  <si>
    <t>C00380 + C00001</t>
  </si>
  <si>
    <t>C00380 * C00001</t>
  </si>
  <si>
    <t>C00106 + C00014</t>
  </si>
  <si>
    <t>C00106 * C00014</t>
  </si>
  <si>
    <t>C02376 + C00001</t>
  </si>
  <si>
    <t>C02376 * C00001</t>
  </si>
  <si>
    <t>C00178 + C00014</t>
  </si>
  <si>
    <t>C00178 * C00014</t>
  </si>
  <si>
    <t>C00475 + C00001</t>
  </si>
  <si>
    <t>C00475 * C00001</t>
  </si>
  <si>
    <t>C00299 + C00014</t>
  </si>
  <si>
    <t>C00299 * C00014</t>
  </si>
  <si>
    <t>C00881 + C00001</t>
  </si>
  <si>
    <t>C00881 * C00001</t>
  </si>
  <si>
    <t>C00526 + C00014</t>
  </si>
  <si>
    <t>C00526 * C00014</t>
  </si>
  <si>
    <t>C16635 + C00001</t>
  </si>
  <si>
    <t>C16635 * C00001</t>
  </si>
  <si>
    <t>C12739 + C00014</t>
  </si>
  <si>
    <t>C12739 * C00014</t>
  </si>
  <si>
    <t>C01102 + C00001</t>
  </si>
  <si>
    <t>C01102 * C00001</t>
  </si>
  <si>
    <t>C00188 + C00009</t>
  </si>
  <si>
    <t>C00188 * C00009</t>
  </si>
  <si>
    <t>C06055 + C00001</t>
  </si>
  <si>
    <t>C06055 * C00001</t>
  </si>
  <si>
    <t>C06056 + C00009</t>
  </si>
  <si>
    <t>C06056 * C00009</t>
  </si>
  <si>
    <t>C01977 + C16675</t>
  </si>
  <si>
    <t>C01977 * C16675</t>
  </si>
  <si>
    <t>C20446 + C00242</t>
  </si>
  <si>
    <t>C20446 * C00242</t>
  </si>
  <si>
    <t>C00357 + C00001</t>
  </si>
  <si>
    <t>C00357 * C00001</t>
  </si>
  <si>
    <t>C00352 + C00033</t>
  </si>
  <si>
    <t>C00352 * C00033</t>
  </si>
  <si>
    <t>C00069 + C00006</t>
  </si>
  <si>
    <t>C00069 * C00006</t>
  </si>
  <si>
    <t>C00071 + C00005 + C00080</t>
  </si>
  <si>
    <t>C00071 * C00005 * C00080</t>
  </si>
  <si>
    <t>C00026 + C00006</t>
  </si>
  <si>
    <t>C00026 * C00006</t>
  </si>
  <si>
    <t>C00469 + C00006</t>
  </si>
  <si>
    <t>C00469 * C00006</t>
  </si>
  <si>
    <t>C00084 + C00005 + C00080</t>
  </si>
  <si>
    <t>C00084 * C00005 * C00080</t>
  </si>
  <si>
    <t>C00116 + C00006</t>
  </si>
  <si>
    <t>C00116 * C00006</t>
  </si>
  <si>
    <t>C00577 + C00005 + C00080</t>
  </si>
  <si>
    <t>C00577 * C00005 * C00080</t>
  </si>
  <si>
    <t>C06103 + C00006</t>
  </si>
  <si>
    <t>C06103 * C00006</t>
  </si>
  <si>
    <t>C06102 + C00005 + C00080</t>
  </si>
  <si>
    <t>C06102 * C00005 * C00080</t>
  </si>
  <si>
    <t>C00800 + C00006</t>
  </si>
  <si>
    <t>C00800 * C00006</t>
  </si>
  <si>
    <t>C00191 + C00005 + C00080</t>
  </si>
  <si>
    <t>C00191 * C00005 * C00080</t>
  </si>
  <si>
    <t>C00418 + C00006</t>
  </si>
  <si>
    <t>C00418 * C00006</t>
  </si>
  <si>
    <t>C00772 + C00005 + C00080</t>
  </si>
  <si>
    <t>C00772 * C00005 * C00080</t>
  </si>
  <si>
    <t>C00002 + C00033</t>
  </si>
  <si>
    <t>C00002 * C00033</t>
  </si>
  <si>
    <t>C00008 + C00277</t>
  </si>
  <si>
    <t>C00008 * C00277</t>
  </si>
  <si>
    <t>C00002 + C00163</t>
  </si>
  <si>
    <t>C00002 * C00163</t>
  </si>
  <si>
    <t>C00008 + C02876</t>
  </si>
  <si>
    <t>C00008 * C02876</t>
  </si>
  <si>
    <t>C14899 + C00080</t>
  </si>
  <si>
    <t>C14899 * C00080</t>
  </si>
  <si>
    <t>C03291 + C00011</t>
  </si>
  <si>
    <t>C03291 * C00011</t>
  </si>
  <si>
    <t>C01185 + C00013 + C00011</t>
  </si>
  <si>
    <t>C01185 * C00013 * C00011</t>
  </si>
  <si>
    <t>C03722 + C00119</t>
  </si>
  <si>
    <t>C03722 * C00119</t>
  </si>
  <si>
    <t>C00118 + C00009 + C00003</t>
  </si>
  <si>
    <t>C00118 * C00009 * C00003</t>
  </si>
  <si>
    <t>C00236 + C00004 + C00080</t>
  </si>
  <si>
    <t>C00236 * C00004 * C00080</t>
  </si>
  <si>
    <t>C00152 + C00001</t>
  </si>
  <si>
    <t>C00152 * C00001</t>
  </si>
  <si>
    <t>C00049 + C00014</t>
  </si>
  <si>
    <t>C00049 * C00014</t>
  </si>
  <si>
    <t>C00241 + C00001</t>
  </si>
  <si>
    <t>C00241 * C00001</t>
  </si>
  <si>
    <t>C00060 + C00014</t>
  </si>
  <si>
    <t>C00060 * C00014</t>
  </si>
  <si>
    <t>C00041 + C00026</t>
  </si>
  <si>
    <t>C00041 * C00026</t>
  </si>
  <si>
    <t>C00022 + C00025</t>
  </si>
  <si>
    <t>C00022 * C00025</t>
  </si>
  <si>
    <t>C00019 + C20648</t>
  </si>
  <si>
    <t>C00019 * C20648</t>
  </si>
  <si>
    <t>C00021 + C20796</t>
  </si>
  <si>
    <t>C00021 * C20796</t>
  </si>
  <si>
    <t>C00002 + C00378</t>
  </si>
  <si>
    <t>C00002 * C00378</t>
  </si>
  <si>
    <t>C00020 + C00068</t>
  </si>
  <si>
    <t>C00020 * C00068</t>
  </si>
  <si>
    <t>C00047 + C00011</t>
  </si>
  <si>
    <t>C00047 * C00011</t>
  </si>
  <si>
    <t>C02133 + C00001</t>
  </si>
  <si>
    <t>C02133 * C00001</t>
  </si>
  <si>
    <t>C00060 + C00009</t>
  </si>
  <si>
    <t>C00060 * C00009</t>
  </si>
  <si>
    <t>C00277 + C00001</t>
  </si>
  <si>
    <t>C00277 * C00001</t>
  </si>
  <si>
    <t>C00033 + C00009</t>
  </si>
  <si>
    <t>C00033 * C00009</t>
  </si>
  <si>
    <t>C06206 + C00001</t>
  </si>
  <si>
    <t>C06206 * C00001</t>
  </si>
  <si>
    <t>C00180 + C00009</t>
  </si>
  <si>
    <t>C00180 * C00009</t>
  </si>
  <si>
    <t>C00236 + C00001</t>
  </si>
  <si>
    <t>C00236 * C00001</t>
  </si>
  <si>
    <t>C00197 + C00009</t>
  </si>
  <si>
    <t>C00197 * C00009</t>
  </si>
  <si>
    <t>C00002 + C00049 + C00014</t>
  </si>
  <si>
    <t>C00002 * C00049 * C00014</t>
  </si>
  <si>
    <t>C00020 + C00013 + C00152</t>
  </si>
  <si>
    <t>C00020 * C00013 * C00152</t>
  </si>
  <si>
    <t>C00074 + C00043</t>
  </si>
  <si>
    <t>C00074 * C00043</t>
  </si>
  <si>
    <t>C04631 + C00009</t>
  </si>
  <si>
    <t>C04631 * C00009</t>
  </si>
  <si>
    <t>C00002 + C00454</t>
  </si>
  <si>
    <t>C00002 * C00454</t>
  </si>
  <si>
    <t>C00008 + C00201</t>
  </si>
  <si>
    <t>C00008 * C00201</t>
  </si>
  <si>
    <t>C00002 + C00008</t>
  </si>
  <si>
    <t>C00002 * C00008</t>
  </si>
  <si>
    <t>C00008 + C00002</t>
  </si>
  <si>
    <t>C00008 * C00002</t>
  </si>
  <si>
    <t>C11038 + C00002</t>
  </si>
  <si>
    <t>C11038 * C00002</t>
  </si>
  <si>
    <t>C11039 + C00008</t>
  </si>
  <si>
    <t>C11039 * C00008</t>
  </si>
  <si>
    <t>C00002 + C00015</t>
  </si>
  <si>
    <t>C00002 * C00015</t>
  </si>
  <si>
    <t>C00008 + C00075</t>
  </si>
  <si>
    <t>C00008 * C00075</t>
  </si>
  <si>
    <t>C00002 + C00035</t>
  </si>
  <si>
    <t>C00002 * C00035</t>
  </si>
  <si>
    <t>C00008 + C00044</t>
  </si>
  <si>
    <t>C00008 * C00044</t>
  </si>
  <si>
    <t>C00002 + C00112</t>
  </si>
  <si>
    <t>C00002 * C00112</t>
  </si>
  <si>
    <t>C00008 + C00063</t>
  </si>
  <si>
    <t>C00008 * C00063</t>
  </si>
  <si>
    <t>C00002 + C00104</t>
  </si>
  <si>
    <t>C00002 * C00104</t>
  </si>
  <si>
    <t>C00008 + C00081</t>
  </si>
  <si>
    <t>C00008 * C00081</t>
  </si>
  <si>
    <t>C00002 + C00206</t>
  </si>
  <si>
    <t>C00002 * C00206</t>
  </si>
  <si>
    <t>C00008 + C00131</t>
  </si>
  <si>
    <t>C00008 * C00131</t>
  </si>
  <si>
    <t>C00002 + C00361</t>
  </si>
  <si>
    <t>C00002 * C00361</t>
  </si>
  <si>
    <t>C00008 + C00286</t>
  </si>
  <si>
    <t>C00008 * C00286</t>
  </si>
  <si>
    <t>C00002 + C00363</t>
  </si>
  <si>
    <t>C00002 * C00363</t>
  </si>
  <si>
    <t>C00008 + C00459</t>
  </si>
  <si>
    <t>C00008 * C00459</t>
  </si>
  <si>
    <t>C00002 + C00705</t>
  </si>
  <si>
    <t>C00002 * C00705</t>
  </si>
  <si>
    <t>C00008 + C00458</t>
  </si>
  <si>
    <t>C00008 * C00458</t>
  </si>
  <si>
    <t>C00002 + C01346</t>
  </si>
  <si>
    <t>C00002 * C01346</t>
  </si>
  <si>
    <t>C00008 + C00460</t>
  </si>
  <si>
    <t>C00008 * C00460</t>
  </si>
  <si>
    <t>C00002 + C01344</t>
  </si>
  <si>
    <t>C00002 * C01344</t>
  </si>
  <si>
    <t>C00008 + C01345</t>
  </si>
  <si>
    <t>C00008 * C01345</t>
  </si>
  <si>
    <t>C22442 + C00002</t>
  </si>
  <si>
    <t>C22442 * C00002</t>
  </si>
  <si>
    <t>C22443 + C00008</t>
  </si>
  <si>
    <t>C22443 * C00008</t>
  </si>
  <si>
    <t>C00002 + C21748</t>
  </si>
  <si>
    <t>C00002 * C21748</t>
  </si>
  <si>
    <t>C00008 + C21749</t>
  </si>
  <si>
    <t>C00008 * C21749</t>
  </si>
  <si>
    <t>C00002 + C21750</t>
  </si>
  <si>
    <t>C00002 * C21750</t>
  </si>
  <si>
    <t>C00008 + C21751</t>
  </si>
  <si>
    <t>C00008 * C21751</t>
  </si>
  <si>
    <t>C00002 + C00103</t>
  </si>
  <si>
    <t>C00002 * C00103</t>
  </si>
  <si>
    <t>C00013 + C00498</t>
  </si>
  <si>
    <t>C00013 * C00498</t>
  </si>
  <si>
    <t>C00002 + C00079 + C01648</t>
  </si>
  <si>
    <t>C00002 * C00079 * C01648</t>
  </si>
  <si>
    <t>C00020 + C00013 + C03511</t>
  </si>
  <si>
    <t>C00020 * C00013 * C03511</t>
  </si>
  <si>
    <t>C00002 + C00120 + C04735</t>
  </si>
  <si>
    <t>C00002 * C00120 * C04735</t>
  </si>
  <si>
    <t>C00020 + C00013 + C04681</t>
  </si>
  <si>
    <t>C00020 * C00013 * C04681</t>
  </si>
  <si>
    <t>C00002 + C00120</t>
  </si>
  <si>
    <t>C00002 * C00120</t>
  </si>
  <si>
    <t>C00013 + C05921</t>
  </si>
  <si>
    <t>C00013 * C05921</t>
  </si>
  <si>
    <t>C05921 + C06249</t>
  </si>
  <si>
    <t>C05921 * C06249</t>
  </si>
  <si>
    <t>C00020 + C06250</t>
  </si>
  <si>
    <t>C00020 * C06250</t>
  </si>
  <si>
    <t>C00089 + C00009</t>
  </si>
  <si>
    <t>C00089 * C00009</t>
  </si>
  <si>
    <t>C00095 + C00103</t>
  </si>
  <si>
    <t>C00095 * C00103</t>
  </si>
  <si>
    <t>G00370 + C00009</t>
  </si>
  <si>
    <t>G00370 * C00009</t>
  </si>
  <si>
    <t>C00001 + C00689</t>
  </si>
  <si>
    <t>C00001 * C00689</t>
  </si>
  <si>
    <t>C00001 + G09795</t>
  </si>
  <si>
    <t>C00001 * G09795</t>
  </si>
  <si>
    <t>C03485 + C00003</t>
  </si>
  <si>
    <t>C03485 * C00003</t>
  </si>
  <si>
    <t>C00193 + C00004 + C00080</t>
  </si>
  <si>
    <t>C00193 * C00004 * C00080</t>
  </si>
  <si>
    <t>C00556 + C00003</t>
  </si>
  <si>
    <t>C00556 * C00003</t>
  </si>
  <si>
    <t>C00261 + C00004 + C00080</t>
  </si>
  <si>
    <t>C00261 * C00004 * C00080</t>
  </si>
  <si>
    <t>C05853 + C00003</t>
  </si>
  <si>
    <t>C05853 * C00003</t>
  </si>
  <si>
    <t>C00601 + C00004 + C00080</t>
  </si>
  <si>
    <t>C00601 * C00004 * C00080</t>
  </si>
  <si>
    <t>C06044 + C00003</t>
  </si>
  <si>
    <t>C06044 * C00003</t>
  </si>
  <si>
    <t>C03765 + C00004 + C00080</t>
  </si>
  <si>
    <t>C03765 * C00004 * C00080</t>
  </si>
  <si>
    <t>C06757 + C00003</t>
  </si>
  <si>
    <t>C06757 * C00003</t>
  </si>
  <si>
    <t>C06758 + C00004 + C00080</t>
  </si>
  <si>
    <t>C06758 * C00004 * C00080</t>
  </si>
  <si>
    <t>C07216 + C00003</t>
  </si>
  <si>
    <t>C07216 * C00003</t>
  </si>
  <si>
    <t>C07209 + C00004 + C00080</t>
  </si>
  <si>
    <t>C07209 * C00004 * C00080</t>
  </si>
  <si>
    <t>C07213 + C00003</t>
  </si>
  <si>
    <t>C07213 * C00003</t>
  </si>
  <si>
    <t>C07214 + C00004 + C00080</t>
  </si>
  <si>
    <t>C07214 * C00004 * C00080</t>
  </si>
  <si>
    <t>C00002 + C00984</t>
  </si>
  <si>
    <t>C00002 * C00984</t>
  </si>
  <si>
    <t>C00008 + C00446</t>
  </si>
  <si>
    <t>C00008 * C00446</t>
  </si>
  <si>
    <t>C00075 + C00446</t>
  </si>
  <si>
    <t>C00075 * C00446</t>
  </si>
  <si>
    <t>C00013 + C00052</t>
  </si>
  <si>
    <t>C00013 * C00052</t>
  </si>
  <si>
    <t>C00019 + C00821</t>
  </si>
  <si>
    <t>C00019 * C00821</t>
  </si>
  <si>
    <t>C00021 + C03391</t>
  </si>
  <si>
    <t>C00021 * C03391</t>
  </si>
  <si>
    <t>C16155 + C00025</t>
  </si>
  <si>
    <t>C16155 * C00025</t>
  </si>
  <si>
    <t>C16153 + C00026</t>
  </si>
  <si>
    <t>C16153 * C00026</t>
  </si>
  <si>
    <t>C00251 + C00064</t>
  </si>
  <si>
    <t>C00251 * C00064</t>
  </si>
  <si>
    <t>C00108 + C00022 + C00025</t>
  </si>
  <si>
    <t>C00108 * C00022 * C00025</t>
  </si>
  <si>
    <t>C00251 + C00014</t>
  </si>
  <si>
    <t>C00251 * C00014</t>
  </si>
  <si>
    <t>C00108 + C00022 + C00001</t>
  </si>
  <si>
    <t>C00108 * C00022 * C00001</t>
  </si>
  <si>
    <t>C04302 + C00013</t>
  </si>
  <si>
    <t>C04302 * C00013</t>
  </si>
  <si>
    <t>C00108 + C00119</t>
  </si>
  <si>
    <t>C00108 * C00119</t>
  </si>
  <si>
    <t>C03506 + C00011 + C00001</t>
  </si>
  <si>
    <t>C03506 * C00011 * C00001</t>
  </si>
  <si>
    <t>C00065 + C00463</t>
  </si>
  <si>
    <t>C00065 * C00463</t>
  </si>
  <si>
    <t>C00078 + C00001</t>
  </si>
  <si>
    <t>C00078 * C00001</t>
  </si>
  <si>
    <t>C00463 + C00118</t>
  </si>
  <si>
    <t>C00463 * C00118</t>
  </si>
  <si>
    <t>C00065 + C03506</t>
  </si>
  <si>
    <t>C00065 * C03506</t>
  </si>
  <si>
    <t>C00078 + C00118 + C00001</t>
  </si>
  <si>
    <t>C00078 * C00118 * C00001</t>
  </si>
  <si>
    <t>C00024 + C03687</t>
  </si>
  <si>
    <t>C00024 * C03687</t>
  </si>
  <si>
    <t>C00010 + C02297</t>
  </si>
  <si>
    <t>C00010 * C02297</t>
  </si>
  <si>
    <t>C00024 + C00134</t>
  </si>
  <si>
    <t>C00024 * C00134</t>
  </si>
  <si>
    <t>C00010 + C02714</t>
  </si>
  <si>
    <t>C00010 * C02714</t>
  </si>
  <si>
    <t>C00965 + C00001</t>
  </si>
  <si>
    <t>C00965 * C00001</t>
  </si>
  <si>
    <t>C00031 + C00965</t>
  </si>
  <si>
    <t>C00031 * C00965</t>
  </si>
  <si>
    <t>G10477 + C00001</t>
  </si>
  <si>
    <t>G10477 * C00001</t>
  </si>
  <si>
    <t>C00031 + G10477</t>
  </si>
  <si>
    <t>C00031 * G10477</t>
  </si>
  <si>
    <t>C00850 + C00001</t>
  </si>
  <si>
    <t>C00850 * C00001</t>
  </si>
  <si>
    <t>C15584 + C00059</t>
  </si>
  <si>
    <t>C15584 * C00059</t>
  </si>
  <si>
    <t>C02538 + C00001</t>
  </si>
  <si>
    <t>C02538 * C00001</t>
  </si>
  <si>
    <t>C00059 + C00468</t>
  </si>
  <si>
    <t>C00059 * C00468</t>
  </si>
  <si>
    <t>C00002 + C00017</t>
  </si>
  <si>
    <t>C00002 * C00017</t>
  </si>
  <si>
    <t>C00008 + C00562</t>
  </si>
  <si>
    <t>C00008 * C00562</t>
  </si>
  <si>
    <t>C00002 + C01609</t>
  </si>
  <si>
    <t>C00002 * C01609</t>
  </si>
  <si>
    <t>C00008 + C02729</t>
  </si>
  <si>
    <t>C00008 * C02729</t>
  </si>
  <si>
    <t>C00089 + C00001</t>
  </si>
  <si>
    <t>C00089 * C00001</t>
  </si>
  <si>
    <t>C00095 + C00031</t>
  </si>
  <si>
    <t>C00095 * C00031</t>
  </si>
  <si>
    <t>C02336 + C00267</t>
  </si>
  <si>
    <t>C02336 * C00267</t>
  </si>
  <si>
    <t>C05402 + C00095</t>
  </si>
  <si>
    <t>C05402 * C00095</t>
  </si>
  <si>
    <t>C05404 + C00095</t>
  </si>
  <si>
    <t>C05404 * C00095</t>
  </si>
  <si>
    <t>C16688 + C00001</t>
  </si>
  <si>
    <t>C16688 * C00001</t>
  </si>
  <si>
    <t>C00095 + C00092</t>
  </si>
  <si>
    <t>C00095 * C00092</t>
  </si>
  <si>
    <t>G00370 + C00001</t>
  </si>
  <si>
    <t>G00370 * C00001</t>
  </si>
  <si>
    <t>G01275 + C00095</t>
  </si>
  <si>
    <t>G01275 * C00095</t>
  </si>
  <si>
    <t>G00501 + C00095</t>
  </si>
  <si>
    <t>G00501 * C00095</t>
  </si>
  <si>
    <t>G10508 + C00001</t>
  </si>
  <si>
    <t>G10508 * C00001</t>
  </si>
  <si>
    <t>C02336 + C00668</t>
  </si>
  <si>
    <t>C02336 * C00668</t>
  </si>
  <si>
    <t>C16675 + C00006</t>
  </si>
  <si>
    <t>C16675 * C00006</t>
  </si>
  <si>
    <t>C15996 + C00005 + C00080</t>
  </si>
  <si>
    <t>C15996 * C00005 * C00080</t>
  </si>
  <si>
    <t>C00342 + C00006</t>
  </si>
  <si>
    <t>C00342 * C00006</t>
  </si>
  <si>
    <t>C00343 + C00005 + C00080</t>
  </si>
  <si>
    <t>C00343 * C00005 * C00080</t>
  </si>
  <si>
    <t>C00097 + C00051 + C00006</t>
  </si>
  <si>
    <t>C00097 * C00051 * C00006</t>
  </si>
  <si>
    <t>C05526 + C00005</t>
  </si>
  <si>
    <t>C05526 * C00005</t>
  </si>
  <si>
    <t>C01528 + C00006 + C00001</t>
  </si>
  <si>
    <t>C01528 * C00006 * C00001</t>
  </si>
  <si>
    <t>C05684 + C00005 + C00080</t>
  </si>
  <si>
    <t>C05684 * C00005 * C00080</t>
  </si>
  <si>
    <t>C00005 + C00080 + C18902</t>
  </si>
  <si>
    <t>C00005 * C00080 * C18902</t>
  </si>
  <si>
    <t>C00006 + C00001 + C05703</t>
  </si>
  <si>
    <t>C00006 * C00001 * C05703</t>
  </si>
  <si>
    <t>C00029 + C22411</t>
  </si>
  <si>
    <t>C00029 * C22411</t>
  </si>
  <si>
    <t>C00015 + C22412</t>
  </si>
  <si>
    <t>C00015 * C22412</t>
  </si>
  <si>
    <t>C00002 + C01185</t>
  </si>
  <si>
    <t>C00002 * C01185</t>
  </si>
  <si>
    <t>C00013 + C00857</t>
  </si>
  <si>
    <t>C00013 * C00857</t>
  </si>
  <si>
    <t>C00002 + C00455</t>
  </si>
  <si>
    <t>C00002 * C00455</t>
  </si>
  <si>
    <t>C00013 + C00003</t>
  </si>
  <si>
    <t>C00013 * C00003</t>
  </si>
  <si>
    <t>C00019 + C00037</t>
  </si>
  <si>
    <t>C00019 * C00037</t>
  </si>
  <si>
    <t>C00021 + C00213</t>
  </si>
  <si>
    <t>C00021 * C00213</t>
  </si>
  <si>
    <t>C00019 + C00213</t>
  </si>
  <si>
    <t>C00019 * C00213</t>
  </si>
  <si>
    <t>C00021 + C01026</t>
  </si>
  <si>
    <t>C00021 * C01026</t>
  </si>
  <si>
    <t>C00002 + C00144</t>
  </si>
  <si>
    <t>C00002 * C00144</t>
  </si>
  <si>
    <t>C00008 + C00035</t>
  </si>
  <si>
    <t>C00008 * C00035</t>
  </si>
  <si>
    <t>C00002 + C00362</t>
  </si>
  <si>
    <t>C00002 * C00362</t>
  </si>
  <si>
    <t>C00008 + C00361</t>
  </si>
  <si>
    <t>C00008 * C00361</t>
  </si>
  <si>
    <t>C22441 + C00002</t>
  </si>
  <si>
    <t>C22441 * C00002</t>
  </si>
  <si>
    <t>C22442 + C00008</t>
  </si>
  <si>
    <t>C22442 * C00008</t>
  </si>
  <si>
    <t>C02430 + C00234</t>
  </si>
  <si>
    <t>C02430 * C00234</t>
  </si>
  <si>
    <t>C00101 + C03294</t>
  </si>
  <si>
    <t>C00101 * C03294</t>
  </si>
  <si>
    <t>C00562 + C00001</t>
  </si>
  <si>
    <t>C00562 * C00001</t>
  </si>
  <si>
    <t>C00017 + C00009</t>
  </si>
  <si>
    <t>C00017 * C00009</t>
  </si>
  <si>
    <t>C00356 + C00010</t>
  </si>
  <si>
    <t>C00356 * C00010</t>
  </si>
  <si>
    <t>C00024 + C00001 + C00332</t>
  </si>
  <si>
    <t>C00024 * C00001 * C00332</t>
  </si>
  <si>
    <t>C00418 + C00010 + C00003</t>
  </si>
  <si>
    <t>C00418 * C00010 * C00003</t>
  </si>
  <si>
    <t>C00356 + C00004 + C00080</t>
  </si>
  <si>
    <t>C00356 * C00004 * C00080</t>
  </si>
  <si>
    <t>C00002 + C00095</t>
  </si>
  <si>
    <t>C00002 * C00095</t>
  </si>
  <si>
    <t>C00008 + C00085</t>
  </si>
  <si>
    <t>C00008 * C00085</t>
  </si>
  <si>
    <t>C00008 + C05345</t>
  </si>
  <si>
    <t>C00008 * C05345</t>
  </si>
  <si>
    <t>C00002 + C02336</t>
  </si>
  <si>
    <t>C00002 * C02336</t>
  </si>
  <si>
    <t>C01847 + C00003</t>
  </si>
  <si>
    <t>C01847 * C00003</t>
  </si>
  <si>
    <t>C00061 + C00004 + C00080</t>
  </si>
  <si>
    <t>C00061 * C00004 * C00080</t>
  </si>
  <si>
    <t>C01847 + C00006</t>
  </si>
  <si>
    <t>C01847 * C00006</t>
  </si>
  <si>
    <t>C00061 + C00005 + C00080</t>
  </si>
  <si>
    <t>C00061 * C00005 * C00080</t>
  </si>
  <si>
    <t>C00074 + C00279 + C00001</t>
  </si>
  <si>
    <t>C00074 * C00279 * C00001</t>
  </si>
  <si>
    <t>C04691 + C00009</t>
  </si>
  <si>
    <t>C04691 * C00009</t>
  </si>
  <si>
    <t>C00010 + C03688</t>
  </si>
  <si>
    <t>C00010 * C03688</t>
  </si>
  <si>
    <t>C00054 + C00229</t>
  </si>
  <si>
    <t>C00054 * C00229</t>
  </si>
  <si>
    <t>C00916 + C00001</t>
  </si>
  <si>
    <t>C00916 * C00001</t>
  </si>
  <si>
    <t>C03112 + C00033</t>
  </si>
  <si>
    <t>C03112 * C00033</t>
  </si>
  <si>
    <t>C01290 + C00270</t>
  </si>
  <si>
    <t>C01290 * C00270</t>
  </si>
  <si>
    <t>C04370 + C00001</t>
  </si>
  <si>
    <t>C04370 * C00001</t>
  </si>
  <si>
    <t>C02686 + C00270</t>
  </si>
  <si>
    <t>C02686 * C00270</t>
  </si>
  <si>
    <t>C06128 + C00001</t>
  </si>
  <si>
    <t>C06128 * C00001</t>
  </si>
  <si>
    <t>C06135 + C00270</t>
  </si>
  <si>
    <t>C06135 * C00270</t>
  </si>
  <si>
    <t>C04911 + C00270</t>
  </si>
  <si>
    <t>C04911 * C00270</t>
  </si>
  <si>
    <t>C04927 + C00001</t>
  </si>
  <si>
    <t>C04927 * C00001</t>
  </si>
  <si>
    <t>C06140 + C00270</t>
  </si>
  <si>
    <t>C06140 * C00270</t>
  </si>
  <si>
    <t>C06139 + C00001</t>
  </si>
  <si>
    <t>C06139 * C00001</t>
  </si>
  <si>
    <t>C06140 + C00001</t>
  </si>
  <si>
    <t>C06140 * C00001</t>
  </si>
  <si>
    <t>C06141 + C00270</t>
  </si>
  <si>
    <t>C06141 * C00270</t>
  </si>
  <si>
    <t>G00116 + C00270</t>
  </si>
  <si>
    <t>G00116 * C00270</t>
  </si>
  <si>
    <t>G00117 + C00001</t>
  </si>
  <si>
    <t>G00117 * C00001</t>
  </si>
  <si>
    <t>G00116 + C00001</t>
  </si>
  <si>
    <t>G00116 * C00001</t>
  </si>
  <si>
    <t>G00115 + C00270</t>
  </si>
  <si>
    <t>G00115 * C00270</t>
  </si>
  <si>
    <t>G00092 + C00270</t>
  </si>
  <si>
    <t>G00092 * C00270</t>
  </si>
  <si>
    <t>G00108 + C00001</t>
  </si>
  <si>
    <t>G00108 * C00001</t>
  </si>
  <si>
    <t>G00123 + C00270</t>
  </si>
  <si>
    <t>G00123 * C00270</t>
  </si>
  <si>
    <t>G11121 + C00270</t>
  </si>
  <si>
    <t>G11121 * C00270</t>
  </si>
  <si>
    <t>G00317 + C00001</t>
  </si>
  <si>
    <t>G00317 * C00001</t>
  </si>
  <si>
    <t>G00110 + C00270</t>
  </si>
  <si>
    <t>G00110 * C00270</t>
  </si>
  <si>
    <t>G00111 + C00001</t>
  </si>
  <si>
    <t>G00111 * C00001</t>
  </si>
  <si>
    <t>C16538 + C00006</t>
  </si>
  <si>
    <t>C16538 * C00006</t>
  </si>
  <si>
    <t>C06485 + C00005 + C00080</t>
  </si>
  <si>
    <t>C06485 * C00005 * C00080</t>
  </si>
  <si>
    <t>C00645 + C00022</t>
  </si>
  <si>
    <t>C00645 * C00022</t>
  </si>
  <si>
    <t>C00002 + C00133</t>
  </si>
  <si>
    <t>C00002 * C00133</t>
  </si>
  <si>
    <t>C00008 + C00009 + C00993</t>
  </si>
  <si>
    <t>C00008 * C00009 * C00993</t>
  </si>
  <si>
    <t>C00002 + C05892 + C00993</t>
  </si>
  <si>
    <t>C00002 * C05892 * C00993</t>
  </si>
  <si>
    <t>C00008 + C00009 + C04702</t>
  </si>
  <si>
    <t>C00008 * C00009 * C04702</t>
  </si>
  <si>
    <t>C00002 + C04887 + C00993</t>
  </si>
  <si>
    <t>C00002 * C04887 * C00993</t>
  </si>
  <si>
    <t>C00008 + C00009 + C04882</t>
  </si>
  <si>
    <t>C00008 * C00009 * C04882</t>
  </si>
  <si>
    <t>C00002 + C00407 + C01644</t>
  </si>
  <si>
    <t>C00002 * C00407 * C01644</t>
  </si>
  <si>
    <t>C00020 + C00013 + C03127</t>
  </si>
  <si>
    <t>C00020 * C00013 * C03127</t>
  </si>
  <si>
    <t>C00002 + C00044</t>
  </si>
  <si>
    <t>C00002 * C00044</t>
  </si>
  <si>
    <t>C00020 + C04494</t>
  </si>
  <si>
    <t>C00020 * C04494</t>
  </si>
  <si>
    <t>C00002 + C00188 + C01651</t>
  </si>
  <si>
    <t>C00002 * C00188 * C01651</t>
  </si>
  <si>
    <t>C00020 + C00013 + C02992</t>
  </si>
  <si>
    <t>C00020 * C00013 * C02992</t>
  </si>
  <si>
    <t>C00037 + C00001 + C00007</t>
  </si>
  <si>
    <t>C00037 * C00001 * C00007</t>
  </si>
  <si>
    <t>C00048 + C00014 + C00027</t>
  </si>
  <si>
    <t>C00048 * C00014 * C00027</t>
  </si>
  <si>
    <t>C00037 + C00007</t>
  </si>
  <si>
    <t>C00037 * C00007</t>
  </si>
  <si>
    <t>C15809 + C00027</t>
  </si>
  <si>
    <t>C15809 * C00027</t>
  </si>
  <si>
    <t>C15809 + C00001</t>
  </si>
  <si>
    <t>C15809 * C00001</t>
  </si>
  <si>
    <t>C00048 + C00014</t>
  </si>
  <si>
    <t>C00048 * C00014</t>
  </si>
  <si>
    <t>C00133 + C00001 + C00007</t>
  </si>
  <si>
    <t>C00133 * C00001 * C00007</t>
  </si>
  <si>
    <t>C00022 + C00014 + C00027</t>
  </si>
  <si>
    <t>C00022 * C00014 * C00027</t>
  </si>
  <si>
    <t>C00213 + C00001 + C00007</t>
  </si>
  <si>
    <t>C00213 * C00001 * C00007</t>
  </si>
  <si>
    <t>C00048 + C00218 + C00027</t>
  </si>
  <si>
    <t>C00048 * C00218 * C00027</t>
  </si>
  <si>
    <t>C11735 + C00001 + C00007</t>
  </si>
  <si>
    <t>C11735 * C00001 * C00007</t>
  </si>
  <si>
    <t>C00048 + C00797 + C00027</t>
  </si>
  <si>
    <t>C00048 * C00797 * C00027</t>
  </si>
  <si>
    <t>C00002 + C00105</t>
  </si>
  <si>
    <t>C00002 * C00105</t>
  </si>
  <si>
    <t>C00008 + C00015</t>
  </si>
  <si>
    <t>C00008 * C00015</t>
  </si>
  <si>
    <t>C00002 + C00055</t>
  </si>
  <si>
    <t>C00002 * C00055</t>
  </si>
  <si>
    <t>C00008 + C00112</t>
  </si>
  <si>
    <t>C00008 * C00112</t>
  </si>
  <si>
    <t>C00002 + C00239</t>
  </si>
  <si>
    <t>C00002 * C00239</t>
  </si>
  <si>
    <t>C00008 + C00705</t>
  </si>
  <si>
    <t>C00008 * C00705</t>
  </si>
  <si>
    <t>C00002 + C16634</t>
  </si>
  <si>
    <t>C00002 * C16634</t>
  </si>
  <si>
    <t>C00008 + C21748</t>
  </si>
  <si>
    <t>C00008 * C21748</t>
  </si>
  <si>
    <t>C00002 + C04242</t>
  </si>
  <si>
    <t>C00002 * C04242</t>
  </si>
  <si>
    <t>C00008 + C21750</t>
  </si>
  <si>
    <t>C00008 * C21750</t>
  </si>
  <si>
    <t>C00002 + C04556</t>
  </si>
  <si>
    <t>C00002 * C04556</t>
  </si>
  <si>
    <t>C00008 + C04752</t>
  </si>
  <si>
    <t>C00008 * C04752</t>
  </si>
  <si>
    <t>C00002 + C00250</t>
  </si>
  <si>
    <t>C00002 * C00250</t>
  </si>
  <si>
    <t>C00008 + C00018</t>
  </si>
  <si>
    <t>C00008 * C00018</t>
  </si>
  <si>
    <t>C00002 + C00314</t>
  </si>
  <si>
    <t>C00002 * C00314</t>
  </si>
  <si>
    <t>C00008 + C00627</t>
  </si>
  <si>
    <t>C00008 * C00627</t>
  </si>
  <si>
    <t>C00002 + C00534</t>
  </si>
  <si>
    <t>C00002 * C00534</t>
  </si>
  <si>
    <t>C00008 + C00647</t>
  </si>
  <si>
    <t>C00008 * C00647</t>
  </si>
  <si>
    <t>C06506 + C00064 + C00002 + C00001</t>
  </si>
  <si>
    <t>C06506 * C00064 * C00002 * C00001</t>
  </si>
  <si>
    <t>C06507 + C00025 + C00009 + C00008</t>
  </si>
  <si>
    <t>C06507 * C00025 * C00009 * C00008</t>
  </si>
  <si>
    <t>C01319 + C00006 + C00080</t>
  </si>
  <si>
    <t>C01319 * C00006 * C00080</t>
  </si>
  <si>
    <t>C00703 + C00005</t>
  </si>
  <si>
    <t>C00703 * C00005</t>
  </si>
  <si>
    <t>C16832 + C00003</t>
  </si>
  <si>
    <t>C16832 * C00003</t>
  </si>
  <si>
    <t>C16237 + C00004 + C00080</t>
  </si>
  <si>
    <t>C16237 * C00004 * C00080</t>
  </si>
  <si>
    <t>C02972 + C00003</t>
  </si>
  <si>
    <t>C02972 * C00003</t>
  </si>
  <si>
    <t>C02051 + C00004 + C00080</t>
  </si>
  <si>
    <t>C02051 * C00004 * C00080</t>
  </si>
  <si>
    <t>C15973 + C00003</t>
  </si>
  <si>
    <t>C15973 * C00003</t>
  </si>
  <si>
    <t>C15972 + C00004 + C00080</t>
  </si>
  <si>
    <t>C15972 * C00004 * C00080</t>
  </si>
  <si>
    <t>C00579 + C00003</t>
  </si>
  <si>
    <t>C00579 * C00003</t>
  </si>
  <si>
    <t>C00248 + C00004 + C00080</t>
  </si>
  <si>
    <t>C00248 * C00004 * C00080</t>
  </si>
  <si>
    <t>C00020 + C00013</t>
  </si>
  <si>
    <t>C00020 * C00013</t>
  </si>
  <si>
    <t>C00147 + C00119</t>
  </si>
  <si>
    <t>C00147 * C00119</t>
  </si>
  <si>
    <t>C04677 + C00013</t>
  </si>
  <si>
    <t>C04677 * C00013</t>
  </si>
  <si>
    <t>C04051 + C00119</t>
  </si>
  <si>
    <t>C04051 * C00119</t>
  </si>
  <si>
    <t>C00091 + C00263</t>
  </si>
  <si>
    <t>C00091 * C00263</t>
  </si>
  <si>
    <t>C00010 + C01118</t>
  </si>
  <si>
    <t>C00010 * C01118</t>
  </si>
  <si>
    <t>C00101 + C00006</t>
  </si>
  <si>
    <t>C00101 * C00006</t>
  </si>
  <si>
    <t>C00415 + C00005 + C00080</t>
  </si>
  <si>
    <t>C00415 * C00005 * C00080</t>
  </si>
  <si>
    <t>C00101 + C00003</t>
  </si>
  <si>
    <t>C00101 * C00003</t>
  </si>
  <si>
    <t>C00415 + C00004 + C00080</t>
  </si>
  <si>
    <t>C00415 * C00004 * C00080</t>
  </si>
  <si>
    <t>C00504 + C00004 + C00080</t>
  </si>
  <si>
    <t>C00504 * C00004 * C00080</t>
  </si>
  <si>
    <t>C00504 + C00005 + C00080</t>
  </si>
  <si>
    <t>C00504 * C00005 * C00080</t>
  </si>
  <si>
    <t>C00415 + C00003</t>
  </si>
  <si>
    <t>C00415 * C00003</t>
  </si>
  <si>
    <t>C00415 + C00006</t>
  </si>
  <si>
    <t>C00415 * C00006</t>
  </si>
  <si>
    <t>C00272 + C00006</t>
  </si>
  <si>
    <t>C00272 * C00006</t>
  </si>
  <si>
    <t>C02953 + C00005 + C00080</t>
  </si>
  <si>
    <t>C02953 * C00005 * C00080</t>
  </si>
  <si>
    <t>C00138 + C00006 + C00080</t>
  </si>
  <si>
    <t>C00138 * C00006 * C00080</t>
  </si>
  <si>
    <t>C00139 + C00005</t>
  </si>
  <si>
    <t>C00139 * C00005</t>
  </si>
  <si>
    <t>C00662 + C00006 + C00080</t>
  </si>
  <si>
    <t>C00662 * C00006 * C00080</t>
  </si>
  <si>
    <t>C00667 + C00005</t>
  </si>
  <si>
    <t>C00667 * C00005</t>
  </si>
  <si>
    <t>C03972 + C00003 + C00001</t>
  </si>
  <si>
    <t>C03972 * C00003 * C00001</t>
  </si>
  <si>
    <t>C20258 + C00004 + C00080</t>
  </si>
  <si>
    <t>C20258 * C00004 * C00080</t>
  </si>
  <si>
    <t>C03972 + C00006 + C00001</t>
  </si>
  <si>
    <t>C03972 * C00006 * C00001</t>
  </si>
  <si>
    <t>C20258 + C00005 + C00080</t>
  </si>
  <si>
    <t>C20258 * C00005 * C00080</t>
  </si>
  <si>
    <t>C02211 + C00063 + C00002</t>
  </si>
  <si>
    <t>C02211 * C00063 * C00002</t>
  </si>
  <si>
    <t>C19085 + C00013</t>
  </si>
  <si>
    <t>C19085 * C00013</t>
  </si>
  <si>
    <t>C02211 + C00063</t>
  </si>
  <si>
    <t>C02211 * C00063</t>
  </si>
  <si>
    <t>C19078 + C00013</t>
  </si>
  <si>
    <t>C19078 * C00013</t>
  </si>
  <si>
    <t>C19078 + C00063</t>
  </si>
  <si>
    <t>C19078 * C00063</t>
  </si>
  <si>
    <t>C19080 + C00013</t>
  </si>
  <si>
    <t>C19080 * C00013</t>
  </si>
  <si>
    <t>C19080 + C00002</t>
  </si>
  <si>
    <t>C19080 * C00002</t>
  </si>
  <si>
    <t>C03145 + C00001</t>
  </si>
  <si>
    <t>C03145 * C00001</t>
  </si>
  <si>
    <t>C00058 + C00073</t>
  </si>
  <si>
    <t>C00058 * C00073</t>
  </si>
  <si>
    <t>C11439 + C00001</t>
  </si>
  <si>
    <t>C11439 * C00001</t>
  </si>
  <si>
    <t>C11440 + C00058</t>
  </si>
  <si>
    <t>C11440 * C00058</t>
  </si>
  <si>
    <t>C00051 + C00546</t>
  </si>
  <si>
    <t>C00051 * C00546</t>
  </si>
  <si>
    <t>C00002 + C00152 + C01637</t>
  </si>
  <si>
    <t>C00002 * C00152 * C01637</t>
  </si>
  <si>
    <t>C00020 + C00013 + C03402</t>
  </si>
  <si>
    <t>C00020 * C00013 * C03402</t>
  </si>
  <si>
    <t>C00013 + C00001</t>
  </si>
  <si>
    <t>C00013 * C00001</t>
  </si>
  <si>
    <t>C00002 + C00692 + C00680</t>
  </si>
  <si>
    <t>C00002 * C00692 * C00680</t>
  </si>
  <si>
    <t>C00008 + C00009 + C04877</t>
  </si>
  <si>
    <t>C00008 * C00009 * C04877</t>
  </si>
  <si>
    <t>C00002 + C00692 + C00047</t>
  </si>
  <si>
    <t>C00002 * C00692 * C00047</t>
  </si>
  <si>
    <t>C00008 + C00009 + C05892</t>
  </si>
  <si>
    <t>C00008 * C00009 * C05892</t>
  </si>
  <si>
    <t>C01118 + C00097</t>
  </si>
  <si>
    <t>C01118 * C00097</t>
  </si>
  <si>
    <t>C02291 + C00042</t>
  </si>
  <si>
    <t>C02291 * C00042</t>
  </si>
  <si>
    <t>C01118 + C00001</t>
  </si>
  <si>
    <t>C01118 * C00001</t>
  </si>
  <si>
    <t>C00109 + C00042 + C00014</t>
  </si>
  <si>
    <t>C00109 * C00042 * C00014</t>
  </si>
  <si>
    <t>C01118 + C00283</t>
  </si>
  <si>
    <t>C01118 * C00283</t>
  </si>
  <si>
    <t>C00155 + C00042</t>
  </si>
  <si>
    <t>C00155 * C00042</t>
  </si>
  <si>
    <t>C00542 + C00042</t>
  </si>
  <si>
    <t>C00542 * C00042</t>
  </si>
  <si>
    <t>C01077 + C00097</t>
  </si>
  <si>
    <t>C01077 * C00097</t>
  </si>
  <si>
    <t>C02291 + C00033</t>
  </si>
  <si>
    <t>C02291 * C00033</t>
  </si>
  <si>
    <t>C05702 + C05688</t>
  </si>
  <si>
    <t>C05702 * C05688</t>
  </si>
  <si>
    <t>C05699 + C00009</t>
  </si>
  <si>
    <t>C05699 * C00009</t>
  </si>
  <si>
    <t>C01077 + C05688</t>
  </si>
  <si>
    <t>C01077 * C05688</t>
  </si>
  <si>
    <t>C05699 + C00033</t>
  </si>
  <si>
    <t>C05699 * C00033</t>
  </si>
  <si>
    <t>C01118 + C05688</t>
  </si>
  <si>
    <t>C01118 * C05688</t>
  </si>
  <si>
    <t>C05699 + C00042</t>
  </si>
  <si>
    <t>C05699 * C00042</t>
  </si>
  <si>
    <t>C00002 + C01050 + C00041</t>
  </si>
  <si>
    <t>C00002 * C01050 * C00041</t>
  </si>
  <si>
    <t>C00008 + C00009 + C01212</t>
  </si>
  <si>
    <t>C00008 * C00009 * C01212</t>
  </si>
  <si>
    <t>C06473 + C00006</t>
  </si>
  <si>
    <t>C06473 * C00006</t>
  </si>
  <si>
    <t>C02780 + C00005 + C00080</t>
  </si>
  <si>
    <t>C02780 * C00005 * C00080</t>
  </si>
  <si>
    <t>C15673 + C00006</t>
  </si>
  <si>
    <t>C15673 * C00006</t>
  </si>
  <si>
    <t>C00020 + C00013 + C02412</t>
  </si>
  <si>
    <t>C00020 * C00013 * C02412</t>
  </si>
  <si>
    <t>C04203 + C00292 + C00006</t>
  </si>
  <si>
    <t>C04203 * C00292 * C00006</t>
  </si>
  <si>
    <t>C03764 + C00005 + C00080</t>
  </si>
  <si>
    <t>C03764 * C00005 * C00080</t>
  </si>
  <si>
    <t>C04250 + C02743</t>
  </si>
  <si>
    <t>C04250 * C02743</t>
  </si>
  <si>
    <t>C03800 + C11475</t>
  </si>
  <si>
    <t>C03800 * C11475</t>
  </si>
  <si>
    <t>C04258 + C00001</t>
  </si>
  <si>
    <t>C04258 * C00001</t>
  </si>
  <si>
    <t>C00058 + C03617</t>
  </si>
  <si>
    <t>C00058 * C03617</t>
  </si>
  <si>
    <t>C00934 + C00001</t>
  </si>
  <si>
    <t>C00934 * C00001</t>
  </si>
  <si>
    <t>C11477 + C00009</t>
  </si>
  <si>
    <t>C11477 * C00009</t>
  </si>
  <si>
    <t>C00002 + C00655 + C00014</t>
  </si>
  <si>
    <t>C00002 * C00655 * C00014</t>
  </si>
  <si>
    <t>C00020 + C00013 + C00144</t>
  </si>
  <si>
    <t>C00020 * C00013 * C00144</t>
  </si>
  <si>
    <t>C00002 + C00655 + C00064 + C00001</t>
  </si>
  <si>
    <t>C00002 * C00655 * C00064 * C00001</t>
  </si>
  <si>
    <t>C00020 + C00013 + C00144 + C00025</t>
  </si>
  <si>
    <t>C00020 * C00013 * C00144 * C00025</t>
  </si>
  <si>
    <t>C16618 + C00002 + C00064 + C00001</t>
  </si>
  <si>
    <t>C16618 * C00002 * C00064 * C00001</t>
  </si>
  <si>
    <t>C16619 + C00020 + C00013 + C00025</t>
  </si>
  <si>
    <t>C16619 * C00020 * C00013 * C00025</t>
  </si>
  <si>
    <t>C00002 + C00857 + C00014</t>
  </si>
  <si>
    <t>C00002 * C00857 * C00014</t>
  </si>
  <si>
    <t>C00020 + C00013 + C00003</t>
  </si>
  <si>
    <t>C00020 * C00013 * C00003</t>
  </si>
  <si>
    <t>C00352 + C00001</t>
  </si>
  <si>
    <t>C00352 * C00001</t>
  </si>
  <si>
    <t>C00085 + C00014</t>
  </si>
  <si>
    <t>C00085 * C00014</t>
  </si>
  <si>
    <t>C03263 + C00007</t>
  </si>
  <si>
    <t>C03263 * C00007</t>
  </si>
  <si>
    <t>C01079 + C00011 + C00001</t>
  </si>
  <si>
    <t>C01079 * C00011 * C00001</t>
  </si>
  <si>
    <t>C01203 + C00001</t>
  </si>
  <si>
    <t>C01203 * C00001</t>
  </si>
  <si>
    <t>C00229 + C00712</t>
  </si>
  <si>
    <t>C00229 * C00712</t>
  </si>
  <si>
    <t>C05764 + C00001</t>
  </si>
  <si>
    <t>C05764 * C00001</t>
  </si>
  <si>
    <t>C00229 + C00249</t>
  </si>
  <si>
    <t>C00229 * C00249</t>
  </si>
  <si>
    <t>C05223 + C00001</t>
  </si>
  <si>
    <t>C05223 * C00001</t>
  </si>
  <si>
    <t>C00229 + C02679</t>
  </si>
  <si>
    <t>C00229 * C02679</t>
  </si>
  <si>
    <t>C05761 + C00001</t>
  </si>
  <si>
    <t>C05761 * C00001</t>
  </si>
  <si>
    <t>C00229 + C06424</t>
  </si>
  <si>
    <t>C00229 * C06424</t>
  </si>
  <si>
    <t>C16520 + C00001</t>
  </si>
  <si>
    <t>C16520 * C00001</t>
  </si>
  <si>
    <t>C00229 + C08362</t>
  </si>
  <si>
    <t>C00229 * C08362</t>
  </si>
  <si>
    <t>C04088 + C00001</t>
  </si>
  <si>
    <t>C04088 * C00001</t>
  </si>
  <si>
    <t>C00229 + C01530</t>
  </si>
  <si>
    <t>C00229 * C01530</t>
  </si>
  <si>
    <t>C20683 + C00001</t>
  </si>
  <si>
    <t>C20683 * C00001</t>
  </si>
  <si>
    <t>C00229 + C00638</t>
  </si>
  <si>
    <t>C00229 * C00638</t>
  </si>
  <si>
    <t>C15585 + C00001</t>
  </si>
  <si>
    <t>C15585 * C00001</t>
  </si>
  <si>
    <t>C00137 + C00009</t>
  </si>
  <si>
    <t>C00137 * C00009</t>
  </si>
  <si>
    <t>C01177 + C00001</t>
  </si>
  <si>
    <t>C01177 * C00001</t>
  </si>
  <si>
    <t>C03546 + C00001</t>
  </si>
  <si>
    <t>C03546 * C00001</t>
  </si>
  <si>
    <t>C04006 + C00001</t>
  </si>
  <si>
    <t>C04006 * C00001</t>
  </si>
  <si>
    <t>C00810 + C00011</t>
  </si>
  <si>
    <t>C00810 * C00011</t>
  </si>
  <si>
    <t>C01050 + C00006</t>
  </si>
  <si>
    <t>C01050 * C00006</t>
  </si>
  <si>
    <t>C04631 + C00005 + C00080</t>
  </si>
  <si>
    <t>C04631 * C00005 * C00080</t>
  </si>
  <si>
    <t>C01050 + C00003</t>
  </si>
  <si>
    <t>C01050 * C00003</t>
  </si>
  <si>
    <t>C04631 + C00004 + C00080</t>
  </si>
  <si>
    <t>C04631 * C00004 * C00080</t>
  </si>
  <si>
    <t>C00002 + C00041 + C01635</t>
  </si>
  <si>
    <t>C00002 * C00041 * C01635</t>
  </si>
  <si>
    <t>C00020 + C00013 + C00886</t>
  </si>
  <si>
    <t>C00020 * C00013 * C00886</t>
  </si>
  <si>
    <t>C00369 + C00001</t>
  </si>
  <si>
    <t>C00369 * C00001</t>
  </si>
  <si>
    <t>C00721 + C00369</t>
  </si>
  <si>
    <t>C00721 * C00369</t>
  </si>
  <si>
    <t>C00721 + C00208</t>
  </si>
  <si>
    <t>C00721 * C00208</t>
  </si>
  <si>
    <t>G10545 + C00001</t>
  </si>
  <si>
    <t>G10545 * C00001</t>
  </si>
  <si>
    <t>G10545 + G10545</t>
  </si>
  <si>
    <t>G10545 * G10545</t>
  </si>
  <si>
    <t>C01935 + C00001</t>
  </si>
  <si>
    <t>C01935 * C00001</t>
  </si>
  <si>
    <t>C02637 + C00001</t>
  </si>
  <si>
    <t>C02637 * C00001</t>
  </si>
  <si>
    <t>C00493 + C00006</t>
  </si>
  <si>
    <t>C00493 * C00006</t>
  </si>
  <si>
    <t>C02637 + C00005 + C00080</t>
  </si>
  <si>
    <t>C02637 * C00005 * C00080</t>
  </si>
  <si>
    <t>C02637 + C00006</t>
  </si>
  <si>
    <t>C02637 * C00006</t>
  </si>
  <si>
    <t>C22438 + C00005 + C00080</t>
  </si>
  <si>
    <t>C22438 * C00005 * C00080</t>
  </si>
  <si>
    <t>C00944 + C00009</t>
  </si>
  <si>
    <t>C00944 * C00009</t>
  </si>
  <si>
    <t>C00251 + C00009</t>
  </si>
  <si>
    <t>C00251 * C00009</t>
  </si>
  <si>
    <t>C00254 + C00003</t>
  </si>
  <si>
    <t>C00254 * C00003</t>
  </si>
  <si>
    <t>C01179 + C00011 + C00004 + C00080</t>
  </si>
  <si>
    <t>C01179 * C00011 * C00004 * C00080</t>
  </si>
  <si>
    <t>C00826 + C00003</t>
  </si>
  <si>
    <t>C00826 * C00003</t>
  </si>
  <si>
    <t>C00082 + C00011 + C00004 + C00080</t>
  </si>
  <si>
    <t>C00082 * C00011 * C00004 * C00080</t>
  </si>
  <si>
    <t>C00074 + C03175</t>
  </si>
  <si>
    <t>C00074 * C03175</t>
  </si>
  <si>
    <t>C00009 + C01269</t>
  </si>
  <si>
    <t>C00009 * C01269</t>
  </si>
  <si>
    <t>C00002 + C00493</t>
  </si>
  <si>
    <t>C00002 * C00493</t>
  </si>
  <si>
    <t>C00008 + C03175</t>
  </si>
  <si>
    <t>C00008 * C03175</t>
  </si>
  <si>
    <t>C00166 + C00001 + C00011</t>
  </si>
  <si>
    <t>C00166 * C00001 * C00011</t>
  </si>
  <si>
    <t>C00079 + C00001 + C00011</t>
  </si>
  <si>
    <t>C00079 * C00001 * C00011</t>
  </si>
  <si>
    <t>C00043 + C00167</t>
  </si>
  <si>
    <t>C00043 * C00167</t>
  </si>
  <si>
    <t>C00518 + C00015</t>
  </si>
  <si>
    <t>C00518 * C00015</t>
  </si>
  <si>
    <t>G10610 + G10612</t>
  </si>
  <si>
    <t>G10610 * G10612</t>
  </si>
  <si>
    <t>G10505 + G10619</t>
  </si>
  <si>
    <t>G10505 * G10619</t>
  </si>
  <si>
    <t>C00002 + C00263</t>
  </si>
  <si>
    <t>C00002 * C00263</t>
  </si>
  <si>
    <t>C00008 + C01102</t>
  </si>
  <si>
    <t>C00008 * C01102</t>
  </si>
  <si>
    <t>C00021 + C00001</t>
  </si>
  <si>
    <t>C00021 * C00001</t>
  </si>
  <si>
    <t>C03431 + C00014</t>
  </si>
  <si>
    <t>C03431 * C00014</t>
  </si>
  <si>
    <t>C00019 + C00039</t>
  </si>
  <si>
    <t>C00019 * C00039</t>
  </si>
  <si>
    <t>C00021 + C02967</t>
  </si>
  <si>
    <t>C00021 * C02967</t>
  </si>
  <si>
    <t>C00019 + C00856</t>
  </si>
  <si>
    <t>C00019 * C00856</t>
  </si>
  <si>
    <t>C03892 + C00001</t>
  </si>
  <si>
    <t>C03892 * C00001</t>
  </si>
  <si>
    <t>C00344 + C00009</t>
  </si>
  <si>
    <t>C00344 * C00009</t>
  </si>
  <si>
    <t>C00025 + C00006 + C00001</t>
  </si>
  <si>
    <t>C00025 * C00006 * C00001</t>
  </si>
  <si>
    <t>C00026 + C00014 + C00005 + C00080</t>
  </si>
  <si>
    <t>C00026 * C00014 * C00005 * C00080</t>
  </si>
  <si>
    <t>C05167 + C00001 + C00003</t>
  </si>
  <si>
    <t>C05167 * C00001 * C00003</t>
  </si>
  <si>
    <t>C00161 + C00014 + C00004 + C00080</t>
  </si>
  <si>
    <t>C00161 * C00014 * C00004 * C00080</t>
  </si>
  <si>
    <t>C05167 + C00001 + C00006</t>
  </si>
  <si>
    <t>C05167 * C00001 * C00006</t>
  </si>
  <si>
    <t>C00161 + C00014 + C00005 + C00080</t>
  </si>
  <si>
    <t>C00161 * C00014 * C00005 * C00080</t>
  </si>
  <si>
    <t>C00169 + C00049</t>
  </si>
  <si>
    <t>C00169 * C00049</t>
  </si>
  <si>
    <t>C00009 + C00438</t>
  </si>
  <si>
    <t>C00009 * C00438</t>
  </si>
  <si>
    <t>C00002 + C00064 + C00288 + C00001</t>
  </si>
  <si>
    <t>C00002 * C00064 * C00288 * C00001</t>
  </si>
  <si>
    <t>C00008 + C00009 + C00025 + C00169</t>
  </si>
  <si>
    <t>C00008 * C00009 * C00025 * C00169</t>
  </si>
  <si>
    <t>C00002 + C00288</t>
  </si>
  <si>
    <t>C00002 * C00288</t>
  </si>
  <si>
    <t>C00008 + C20969</t>
  </si>
  <si>
    <t>C00008 * C20969</t>
  </si>
  <si>
    <t>C00014 + C20969</t>
  </si>
  <si>
    <t>C00014 * C20969</t>
  </si>
  <si>
    <t>C01563 + C00009</t>
  </si>
  <si>
    <t>C01563 * C00009</t>
  </si>
  <si>
    <t>C00002 + C00288 + C00014</t>
  </si>
  <si>
    <t>C00002 * C00288 * C00014</t>
  </si>
  <si>
    <t>C00008 + C00009 + C00169</t>
  </si>
  <si>
    <t>C00008 * C00009 * C00169</t>
  </si>
  <si>
    <t>C11434 + C00063</t>
  </si>
  <si>
    <t>C11434 * C00063</t>
  </si>
  <si>
    <t>C11435 + C00013</t>
  </si>
  <si>
    <t>C11435 * C00013</t>
  </si>
  <si>
    <t>C00770 + C00003</t>
  </si>
  <si>
    <t>C00770 * C00003</t>
  </si>
  <si>
    <t>C00770 + C00006</t>
  </si>
  <si>
    <t>C00770 * C00006</t>
  </si>
  <si>
    <t>C00063 + C00588</t>
  </si>
  <si>
    <t>C00063 * C00588</t>
  </si>
  <si>
    <t>C00013 + C00307</t>
  </si>
  <si>
    <t>C00013 * C00307</t>
  </si>
  <si>
    <t>C00063 + C06459</t>
  </si>
  <si>
    <t>C00063 * C06459</t>
  </si>
  <si>
    <t>C00013 + C05674</t>
  </si>
  <si>
    <t>C00013 * C05674</t>
  </si>
  <si>
    <t>C00233 + C00011</t>
  </si>
  <si>
    <t>C00233 * C00011</t>
  </si>
  <si>
    <t>C04411 + C00003</t>
  </si>
  <si>
    <t>C04411 * C00003</t>
  </si>
  <si>
    <t>C04236 + C00004 + C00080</t>
  </si>
  <si>
    <t>C04236 * C00004 * C00080</t>
  </si>
  <si>
    <t>C00233 + C00011 + C00004 + C00080</t>
  </si>
  <si>
    <t>C00233 * C00011 * C00004 * C00080</t>
  </si>
  <si>
    <t>C00109 + C00011 + C00004 + C00080</t>
  </si>
  <si>
    <t>C00109 * C00011 * C00004 * C00080</t>
  </si>
  <si>
    <t>C06032 + C00003</t>
  </si>
  <si>
    <t>C06032 * C00003</t>
  </si>
  <si>
    <t>C02504 + C00010</t>
  </si>
  <si>
    <t>C02504 * C00010</t>
  </si>
  <si>
    <t>C00024 + C00141 + C00001</t>
  </si>
  <si>
    <t>C00024 * C00141 * C00001</t>
  </si>
  <si>
    <t>C02631 + C00001</t>
  </si>
  <si>
    <t>C02631 * C00001</t>
  </si>
  <si>
    <t>C00130 + C00014 + C00006</t>
  </si>
  <si>
    <t>C00130 * C00014 * C00006</t>
  </si>
  <si>
    <t>C00144 + C00005 + C00080</t>
  </si>
  <si>
    <t>C00144 * C00005 * C00080</t>
  </si>
  <si>
    <t>C00092 + C00006</t>
  </si>
  <si>
    <t>C00092 * C00006</t>
  </si>
  <si>
    <t>C01236 + C00005 + C00080</t>
  </si>
  <si>
    <t>C01236 * C00005 * C00080</t>
  </si>
  <si>
    <t>C01172 + C00006</t>
  </si>
  <si>
    <t>C01172 * C00006</t>
  </si>
  <si>
    <t>C19967 + C00001</t>
  </si>
  <si>
    <t>C19967 * C00001</t>
  </si>
  <si>
    <t>C00101 + C00058 + C00002</t>
  </si>
  <si>
    <t>C00101 * C00058 * C00002</t>
  </si>
  <si>
    <t>C00008 + C00009 + C00234</t>
  </si>
  <si>
    <t>C00008 * C00009 * C00234</t>
  </si>
  <si>
    <t>C00186 + C00003</t>
  </si>
  <si>
    <t>C00186 * C00003</t>
  </si>
  <si>
    <t>C00022 + C00004 + C00080</t>
  </si>
  <si>
    <t>C00022 * C00004 * C00080</t>
  </si>
  <si>
    <t>C05984 + C00003</t>
  </si>
  <si>
    <t>C05984 * C00003</t>
  </si>
  <si>
    <t>C00109 + C00004 + C00080</t>
  </si>
  <si>
    <t>C00109 * C00004 * C00080</t>
  </si>
  <si>
    <t>C05823 + C00003</t>
  </si>
  <si>
    <t>C05823 * C00003</t>
  </si>
  <si>
    <t>C00957 + C00004 + C00080</t>
  </si>
  <si>
    <t>C00957 * C00004 * C00080</t>
  </si>
  <si>
    <t>C01077 + C00409</t>
  </si>
  <si>
    <t>C01077 * C00409</t>
  </si>
  <si>
    <t>C00073 + C00033</t>
  </si>
  <si>
    <t>C00073 * C00033</t>
  </si>
  <si>
    <t>C01077 + C00283</t>
  </si>
  <si>
    <t>C01077 * C00283</t>
  </si>
  <si>
    <t>C00155 + C00033</t>
  </si>
  <si>
    <t>C00155 * C00033</t>
  </si>
  <si>
    <t>C00073 + C00001</t>
  </si>
  <si>
    <t>C00073 * C00001</t>
  </si>
  <si>
    <t>C00409 + C00014 + C00109</t>
  </si>
  <si>
    <t>C00409 * C00014 * C00109</t>
  </si>
  <si>
    <t>C00409 + C17234</t>
  </si>
  <si>
    <t>C00409 * C17234</t>
  </si>
  <si>
    <t>C05335 + C00001</t>
  </si>
  <si>
    <t>C05335 * C00001</t>
  </si>
  <si>
    <t>C05703 + C00014 + C00109</t>
  </si>
  <si>
    <t>C05703 * C00014 * C00109</t>
  </si>
  <si>
    <t>C00002 + C00475</t>
  </si>
  <si>
    <t>C00002 * C00475</t>
  </si>
  <si>
    <t>C00008 + C00055</t>
  </si>
  <si>
    <t>C00008 * C00055</t>
  </si>
  <si>
    <t>C00002 + C00299</t>
  </si>
  <si>
    <t>C00002 * C00299</t>
  </si>
  <si>
    <t>C00008 + C00105</t>
  </si>
  <si>
    <t>C00008 * C00105</t>
  </si>
  <si>
    <t>C00044 + C00475</t>
  </si>
  <si>
    <t>C00044 * C00475</t>
  </si>
  <si>
    <t>C00035 + C00055</t>
  </si>
  <si>
    <t>C00035 * C00055</t>
  </si>
  <si>
    <t>C00044 + C00299</t>
  </si>
  <si>
    <t>C00044 * C00299</t>
  </si>
  <si>
    <t>C00035 + C00105</t>
  </si>
  <si>
    <t>C00035 * C00105</t>
  </si>
  <si>
    <t>C16633 + C00002</t>
  </si>
  <si>
    <t>C16633 * C00002</t>
  </si>
  <si>
    <t>C16634 + C00008</t>
  </si>
  <si>
    <t>C16634 * C00008</t>
  </si>
  <si>
    <t>C00341 + C00129</t>
  </si>
  <si>
    <t>C00341 * C00129</t>
  </si>
  <si>
    <t>C00013 + C00448</t>
  </si>
  <si>
    <t>C00013 * C00448</t>
  </si>
  <si>
    <t>C15811 + C00097</t>
  </si>
  <si>
    <t>C15811 * C00097</t>
  </si>
  <si>
    <t>C15812 + C00041</t>
  </si>
  <si>
    <t>C15812 * C00041</t>
  </si>
  <si>
    <t>C00097 + C02743</t>
  </si>
  <si>
    <t>C00097 * C02743</t>
  </si>
  <si>
    <t>C00041 + C21440</t>
  </si>
  <si>
    <t>C00041 * C21440</t>
  </si>
  <si>
    <t>C15812 + C02743</t>
  </si>
  <si>
    <t>C15812 * C02743</t>
  </si>
  <si>
    <t>C15811 + C21440</t>
  </si>
  <si>
    <t>C15811 * C21440</t>
  </si>
  <si>
    <t>C00002 + C00003</t>
  </si>
  <si>
    <t>C00002 * C00003</t>
  </si>
  <si>
    <t>C00008 + C00006</t>
  </si>
  <si>
    <t>C00008 * C00006</t>
  </si>
  <si>
    <t>C00024 + C00009</t>
  </si>
  <si>
    <t>C00024 * C00009</t>
  </si>
  <si>
    <t>C00010 + C00227</t>
  </si>
  <si>
    <t>C00010 * C00227</t>
  </si>
  <si>
    <t>C00100 + C00009</t>
  </si>
  <si>
    <t>C00100 * C00009</t>
  </si>
  <si>
    <t>C02876 + C00010</t>
  </si>
  <si>
    <t>C02876 * C00010</t>
  </si>
  <si>
    <t>C00002 + C00061</t>
  </si>
  <si>
    <t>C00002 * C00061</t>
  </si>
  <si>
    <t>C00013 + C00016</t>
  </si>
  <si>
    <t>C00013 * C00016</t>
  </si>
  <si>
    <t>C00003 + C00039 + C02128</t>
  </si>
  <si>
    <t>C00003 * C00039 * C02128</t>
  </si>
  <si>
    <t>C00020 + C00455 + C00039</t>
  </si>
  <si>
    <t>C00020 * C00455 * C00039</t>
  </si>
  <si>
    <t>C00118 + C00006 + C00001</t>
  </si>
  <si>
    <t>C00118 * C00006 * C00001</t>
  </si>
  <si>
    <t>C00197 + C00005 + C00080</t>
  </si>
  <si>
    <t>C00197 * C00005 * C00080</t>
  </si>
  <si>
    <t>C00498 + C00718</t>
  </si>
  <si>
    <t>C00498 * C00718</t>
  </si>
  <si>
    <t>C00008 + C00718</t>
  </si>
  <si>
    <t>C00008 * C00718</t>
  </si>
  <si>
    <t>G10495 + G11109</t>
  </si>
  <si>
    <t>G10495 * G11109</t>
  </si>
  <si>
    <t>G10495 + G11113</t>
  </si>
  <si>
    <t>G10495 * G11113</t>
  </si>
  <si>
    <t>C01005 + C00001</t>
  </si>
  <si>
    <t>C01005 * C00001</t>
  </si>
  <si>
    <t>C00065 + C00009</t>
  </si>
  <si>
    <t>C00065 * C00009</t>
  </si>
  <si>
    <t>C02532 + C00001</t>
  </si>
  <si>
    <t>C02532 * C00001</t>
  </si>
  <si>
    <t>C00740 + C00009</t>
  </si>
  <si>
    <t>C00740 * C00009</t>
  </si>
  <si>
    <t>C00002 + C00258</t>
  </si>
  <si>
    <t>C00002 * C00258</t>
  </si>
  <si>
    <t>C00008 + C00197</t>
  </si>
  <si>
    <t>C00008 * C00197</t>
  </si>
  <si>
    <t>C00074 + C00001</t>
  </si>
  <si>
    <t>C00074 * C00001</t>
  </si>
  <si>
    <t>C04309 + C00001</t>
  </si>
  <si>
    <t>C04309 * C00001</t>
  </si>
  <si>
    <t>C00024 + C15973</t>
  </si>
  <si>
    <t>C00024 * C15973</t>
  </si>
  <si>
    <t>C00010 + C16255</t>
  </si>
  <si>
    <t>C00010 * C16255</t>
  </si>
  <si>
    <t>C00141 + C15972</t>
  </si>
  <si>
    <t>C00141 * C15972</t>
  </si>
  <si>
    <t>C15977 + C00011</t>
  </si>
  <si>
    <t>C15977 * C00011</t>
  </si>
  <si>
    <t>C00233 + C15972</t>
  </si>
  <si>
    <t>C00233 * C15972</t>
  </si>
  <si>
    <t>C15975 + C00011</t>
  </si>
  <si>
    <t>C15975 * C00011</t>
  </si>
  <si>
    <t>C00671 + C15972</t>
  </si>
  <si>
    <t>C00671 * C15972</t>
  </si>
  <si>
    <t>C15979 + C00011</t>
  </si>
  <si>
    <t>C15979 * C00011</t>
  </si>
  <si>
    <t>C00141 + C00068</t>
  </si>
  <si>
    <t>C00141 * C00068</t>
  </si>
  <si>
    <t>C15976 + C00011</t>
  </si>
  <si>
    <t>C15976 * C00011</t>
  </si>
  <si>
    <t>C15976 + C15972</t>
  </si>
  <si>
    <t>C15976 * C15972</t>
  </si>
  <si>
    <t>C15977 + C00068</t>
  </si>
  <si>
    <t>C15977 * C00068</t>
  </si>
  <si>
    <t>C00233 + C00068</t>
  </si>
  <si>
    <t>C00233 * C00068</t>
  </si>
  <si>
    <t>C15974 + C00011</t>
  </si>
  <si>
    <t>C15974 * C00011</t>
  </si>
  <si>
    <t>C15974 + C15972</t>
  </si>
  <si>
    <t>C15974 * C15972</t>
  </si>
  <si>
    <t>C15975 + C00068</t>
  </si>
  <si>
    <t>C15975 * C00068</t>
  </si>
  <si>
    <t>C00671 + C00068</t>
  </si>
  <si>
    <t>C00671 * C00068</t>
  </si>
  <si>
    <t>C15978 + C00011</t>
  </si>
  <si>
    <t>C15978 * C00011</t>
  </si>
  <si>
    <t>C15978 + C15972</t>
  </si>
  <si>
    <t>C15978 * C15972</t>
  </si>
  <si>
    <t>C15979 + C00068</t>
  </si>
  <si>
    <t>C15979 * C00068</t>
  </si>
  <si>
    <t>C00109 + C00068</t>
  </si>
  <si>
    <t>C00109 * C00068</t>
  </si>
  <si>
    <t>C21017 + C00011</t>
  </si>
  <si>
    <t>C21017 * C00011</t>
  </si>
  <si>
    <t>C21017 + C15972</t>
  </si>
  <si>
    <t>C21017 * C15972</t>
  </si>
  <si>
    <t>C21018 + C00068</t>
  </si>
  <si>
    <t>C21018 * C00068</t>
  </si>
  <si>
    <t>C00022 + C15972</t>
  </si>
  <si>
    <t>C00022 * C15972</t>
  </si>
  <si>
    <t>C16255 + C00011</t>
  </si>
  <si>
    <t>C16255 * C00011</t>
  </si>
  <si>
    <t>C05125 + C15972</t>
  </si>
  <si>
    <t>C05125 * C15972</t>
  </si>
  <si>
    <t>C16255 + C00068</t>
  </si>
  <si>
    <t>C16255 * C00068</t>
  </si>
  <si>
    <t>C00337 + C00001</t>
  </si>
  <si>
    <t>C00337 * C00001</t>
  </si>
  <si>
    <t>C19968 + C00013</t>
  </si>
  <si>
    <t>C19968 * C00013</t>
  </si>
  <si>
    <t>C00074 + C00615</t>
  </si>
  <si>
    <t>C00074 * C00615</t>
  </si>
  <si>
    <t>C00022 + C04261</t>
  </si>
  <si>
    <t>C00022 * C04261</t>
  </si>
  <si>
    <t>C04232 + C00343 + C00001</t>
  </si>
  <si>
    <t>C04232 * C00343 * C00001</t>
  </si>
  <si>
    <t>C03723 + C00342</t>
  </si>
  <si>
    <t>C03723 * C00342</t>
  </si>
  <si>
    <t>C00206 + C00343 + C00001</t>
  </si>
  <si>
    <t>C00206 * C00343 * C00001</t>
  </si>
  <si>
    <t>C00342 + C00008</t>
  </si>
  <si>
    <t>C00342 * C00008</t>
  </si>
  <si>
    <t>C01346 + C00343 + C00001</t>
  </si>
  <si>
    <t>C01346 * C00343 * C00001</t>
  </si>
  <si>
    <t>C00342 + C00015</t>
  </si>
  <si>
    <t>C00342 * C00015</t>
  </si>
  <si>
    <t>C00361 + C00343 + C00001</t>
  </si>
  <si>
    <t>C00361 * C00343 * C00001</t>
  </si>
  <si>
    <t>C00035 + C00342</t>
  </si>
  <si>
    <t>C00035 * C00342</t>
  </si>
  <si>
    <t>C00705 + C00343 + C00001</t>
  </si>
  <si>
    <t>C00705 * C00343 * C00001</t>
  </si>
  <si>
    <t>C00342 + C00112</t>
  </si>
  <si>
    <t>C00342 * C00112</t>
  </si>
  <si>
    <t>C04232 + C16664 + C00001</t>
  </si>
  <si>
    <t>C04232 * C16664 * C00001</t>
  </si>
  <si>
    <t>C03723 + C16663</t>
  </si>
  <si>
    <t>C03723 * C16663</t>
  </si>
  <si>
    <t>C04232 + C03170 + C00001</t>
  </si>
  <si>
    <t>C04232 * C03170 * C00001</t>
  </si>
  <si>
    <t>C03723 + C02090</t>
  </si>
  <si>
    <t>C03723 * C02090</t>
  </si>
  <si>
    <t>C21750 + C00343 + C00001</t>
  </si>
  <si>
    <t>C21750 * C00343 * C00001</t>
  </si>
  <si>
    <t>C21748 + C00342</t>
  </si>
  <si>
    <t>C21748 * C00342</t>
  </si>
  <si>
    <t>C00111 + C00118</t>
  </si>
  <si>
    <t>C00111 * C00118</t>
  </si>
  <si>
    <t>C01097 + C00002</t>
  </si>
  <si>
    <t>C01097 * C00002</t>
  </si>
  <si>
    <t>C03785 + C00008</t>
  </si>
  <si>
    <t>C03785 * C00008</t>
  </si>
  <si>
    <t>C00043 + C04006</t>
  </si>
  <si>
    <t>C00043 * C04006</t>
  </si>
  <si>
    <t>C19761 + C00015</t>
  </si>
  <si>
    <t>C19761 * C00015</t>
  </si>
  <si>
    <t>C00009 + C00036</t>
  </si>
  <si>
    <t>C00009 * C00036</t>
  </si>
  <si>
    <t>C00001 + C00074 + C00011</t>
  </si>
  <si>
    <t>C00001 * C00074 * C00011</t>
  </si>
  <si>
    <t>C00143 + C00037 + C00001</t>
  </si>
  <si>
    <t>C00143 * C00037 * C00001</t>
  </si>
  <si>
    <t>C00101 + C00065</t>
  </si>
  <si>
    <t>C00101 * C00065</t>
  </si>
  <si>
    <t>C00065 + C01217</t>
  </si>
  <si>
    <t>C00065 * C01217</t>
  </si>
  <si>
    <t>C04377 + C00037 + C00001</t>
  </si>
  <si>
    <t>C04377 * C00037 * C00001</t>
  </si>
  <si>
    <t>C00002 + C00214</t>
  </si>
  <si>
    <t>C00002 * C00214</t>
  </si>
  <si>
    <t>C00008 + C00364</t>
  </si>
  <si>
    <t>C00008 * C00364</t>
  </si>
  <si>
    <t>C00002 + C00526</t>
  </si>
  <si>
    <t>C00002 * C00526</t>
  </si>
  <si>
    <t>C00008 + C00365</t>
  </si>
  <si>
    <t>C00008 * C00365</t>
  </si>
  <si>
    <t>C11736 + C00002</t>
  </si>
  <si>
    <t>C11736 * C00002</t>
  </si>
  <si>
    <t>C04242 + C00008</t>
  </si>
  <si>
    <t>C04242 * C00008</t>
  </si>
  <si>
    <t>C00441 + C00022</t>
  </si>
  <si>
    <t>C00441 * C00022</t>
  </si>
  <si>
    <t>C20258 + C00001</t>
  </si>
  <si>
    <t>C20258 * C00001</t>
  </si>
  <si>
    <t>C00441 + C00009 + C00006</t>
  </si>
  <si>
    <t>C00441 * C00009 * C00006</t>
  </si>
  <si>
    <t>C03082 + C00005 + C00080</t>
  </si>
  <si>
    <t>C03082 * C00005 * C00080</t>
  </si>
  <si>
    <t>C02315 + C00003</t>
  </si>
  <si>
    <t>C02315 * C00003</t>
  </si>
  <si>
    <t>C02582 + C00004 + C00080</t>
  </si>
  <si>
    <t>C02582 * C00004 * C00080</t>
  </si>
  <si>
    <t>C02315 + C00006</t>
  </si>
  <si>
    <t>C02315 * C00006</t>
  </si>
  <si>
    <t>C02582 + C00005 + C00080</t>
  </si>
  <si>
    <t>C02582 * C00005 * C00080</t>
  </si>
  <si>
    <t>C03120 + C00001</t>
  </si>
  <si>
    <t>C03120 * C00001</t>
  </si>
  <si>
    <t>C00069 + C00093</t>
  </si>
  <si>
    <t>C00069 * C00093</t>
  </si>
  <si>
    <t>C00670 + C00001</t>
  </si>
  <si>
    <t>C00670 * C00001</t>
  </si>
  <si>
    <t>C00114 + C00093</t>
  </si>
  <si>
    <t>C00114 * C00093</t>
  </si>
  <si>
    <t>C01233 + C00001</t>
  </si>
  <si>
    <t>C01233 * C00001</t>
  </si>
  <si>
    <t>C00189 + C00093</t>
  </si>
  <si>
    <t>C00189 * C00093</t>
  </si>
  <si>
    <t>C00170 + C00001</t>
  </si>
  <si>
    <t>C00170 * C00001</t>
  </si>
  <si>
    <t>C00147 + C03089</t>
  </si>
  <si>
    <t>C00147 * C03089</t>
  </si>
  <si>
    <t>C03539 + C00147</t>
  </si>
  <si>
    <t>C03539 * C00147</t>
  </si>
  <si>
    <t>C05198 + C00001</t>
  </si>
  <si>
    <t>C05198 * C00001</t>
  </si>
  <si>
    <t>C22288 + C00147</t>
  </si>
  <si>
    <t>C22288 * C00147</t>
  </si>
  <si>
    <t>C00301 + C00001</t>
  </si>
  <si>
    <t>C00301 * C00001</t>
  </si>
  <si>
    <t>C00020 + C00117</t>
  </si>
  <si>
    <t>C00020 * C00117</t>
  </si>
  <si>
    <t>C00002 + C00882</t>
  </si>
  <si>
    <t>C00002 * C00882</t>
  </si>
  <si>
    <t>C00008 + C00010</t>
  </si>
  <si>
    <t>C00008 * C00010</t>
  </si>
  <si>
    <t>C00002 + C17558</t>
  </si>
  <si>
    <t>C00002 * C17558</t>
  </si>
  <si>
    <t>C00008 + C17556</t>
  </si>
  <si>
    <t>C00008 * C17556</t>
  </si>
  <si>
    <t>C00002 + C00641</t>
  </si>
  <si>
    <t>C00002 * C00641</t>
  </si>
  <si>
    <t>C00008 + C00416</t>
  </si>
  <si>
    <t>C00008 * C00416</t>
  </si>
  <si>
    <t>C00337 + C00003</t>
  </si>
  <si>
    <t>C00337 * C00003</t>
  </si>
  <si>
    <t>C00295 + C00080 + C00004</t>
  </si>
  <si>
    <t>C00295 * C00080 * C00004</t>
  </si>
  <si>
    <t>C00041 + C00003 + C00001</t>
  </si>
  <si>
    <t>C00041 * C00003 * C00001</t>
  </si>
  <si>
    <t>C00022 + C00014 + C00004 + C00080</t>
  </si>
  <si>
    <t>C00022 * C00014 * C00004 * C00080</t>
  </si>
  <si>
    <t>C00037 + C00001 + C00003</t>
  </si>
  <si>
    <t>C00037 * C00001 * C00003</t>
  </si>
  <si>
    <t>C00048 + C00014 + C00004 + C00080</t>
  </si>
  <si>
    <t>C00048 * C00014 * C00004 * C00080</t>
  </si>
  <si>
    <t>C00143 + C01764 + C00004 + C00080</t>
  </si>
  <si>
    <t>C00143 * C01764 * C00004 * C00080</t>
  </si>
  <si>
    <t>C00101 + C03446 + C00003</t>
  </si>
  <si>
    <t>C00101 * C03446 * C00003</t>
  </si>
  <si>
    <t>C00143 + C01764 + C01352</t>
  </si>
  <si>
    <t>C00143 * C01764 * C01352</t>
  </si>
  <si>
    <t>C00101 + C03446 + C00016</t>
  </si>
  <si>
    <t>C00101 * C03446 * C00016</t>
  </si>
  <si>
    <t>C00002 + C00364</t>
  </si>
  <si>
    <t>C00002 * C00364</t>
  </si>
  <si>
    <t>C00008 + C00363</t>
  </si>
  <si>
    <t>C00008 * C00363</t>
  </si>
  <si>
    <t>C00002 + C00365</t>
  </si>
  <si>
    <t>C00002 * C00365</t>
  </si>
  <si>
    <t>C00008 + C01346</t>
  </si>
  <si>
    <t>C00008 * C01346</t>
  </si>
  <si>
    <t>C00148 + C00003</t>
  </si>
  <si>
    <t>C00148 * C00003</t>
  </si>
  <si>
    <t>C03912 + C00004 + C00080</t>
  </si>
  <si>
    <t>C03912 * C00004 * C00080</t>
  </si>
  <si>
    <t>C00148 + C00006</t>
  </si>
  <si>
    <t>C00148 * C00006</t>
  </si>
  <si>
    <t>C03912 + C00005 + C00080</t>
  </si>
  <si>
    <t>C03912 * C00005 * C00080</t>
  </si>
  <si>
    <t>C01157 + C00003</t>
  </si>
  <si>
    <t>C01157 * C00003</t>
  </si>
  <si>
    <t>C04281 + C00004 + C00080</t>
  </si>
  <si>
    <t>C04281 * C00004 * C00080</t>
  </si>
  <si>
    <t>C01157 + C00006</t>
  </si>
  <si>
    <t>C01157 * C00006</t>
  </si>
  <si>
    <t>C04281 + C00005 + C00080</t>
  </si>
  <si>
    <t>C04281 * C00005 * C00080</t>
  </si>
  <si>
    <t>C01165 + C00009 + C00006</t>
  </si>
  <si>
    <t>C01165 * C00009 * C00006</t>
  </si>
  <si>
    <t>C03287 + C00005 + C00080</t>
  </si>
  <si>
    <t>C03287 * C00005 * C00080</t>
  </si>
  <si>
    <t>C00002 + C00025</t>
  </si>
  <si>
    <t>C00002 * C00025</t>
  </si>
  <si>
    <t>C00008 + C03287</t>
  </si>
  <si>
    <t>C00008 * C03287</t>
  </si>
  <si>
    <t>C05226 + C00001</t>
  </si>
  <si>
    <t>C05226 * C00001</t>
  </si>
  <si>
    <t>C00405 + C00014 + C00011</t>
  </si>
  <si>
    <t>C00405 * C00014 * C00011</t>
  </si>
  <si>
    <t>C00179 + C00001</t>
  </si>
  <si>
    <t>C00179 * C00001</t>
  </si>
  <si>
    <t>C00436 + C00014</t>
  </si>
  <si>
    <t>C00436 * C00014</t>
  </si>
  <si>
    <t>C01137 + C00134</t>
  </si>
  <si>
    <t>C01137 * C00134</t>
  </si>
  <si>
    <t>C00170 + C00315</t>
  </si>
  <si>
    <t>C00170 * C00315</t>
  </si>
  <si>
    <t>C01137 + C01672</t>
  </si>
  <si>
    <t>C01137 * C01672</t>
  </si>
  <si>
    <t>C00170 + C16565</t>
  </si>
  <si>
    <t>C00170 * C16565</t>
  </si>
  <si>
    <t>C00179 + C00011</t>
  </si>
  <si>
    <t>C00179 * C00011</t>
  </si>
  <si>
    <t>C00002 + C00022</t>
  </si>
  <si>
    <t>C00002 * C00022</t>
  </si>
  <si>
    <t>C00008 + C00074</t>
  </si>
  <si>
    <t>C00008 * C00074</t>
  </si>
  <si>
    <t>C00044 + C00022</t>
  </si>
  <si>
    <t>C00044 * C00022</t>
  </si>
  <si>
    <t>C00035 + C00074</t>
  </si>
  <si>
    <t>C00035 * C00074</t>
  </si>
  <si>
    <t>C00063 + C00022</t>
  </si>
  <si>
    <t>C00063 * C00022</t>
  </si>
  <si>
    <t>C00112 + C00074</t>
  </si>
  <si>
    <t>C00112 * C00074</t>
  </si>
  <si>
    <t>C00075 + C00022</t>
  </si>
  <si>
    <t>C00075 * C00022</t>
  </si>
  <si>
    <t>C00015 + C00074</t>
  </si>
  <si>
    <t>C00015 * C00074</t>
  </si>
  <si>
    <t>C00081 + C00022</t>
  </si>
  <si>
    <t>C00081 * C00022</t>
  </si>
  <si>
    <t>C00104 + C00074</t>
  </si>
  <si>
    <t>C00104 * C00074</t>
  </si>
  <si>
    <t>C00131 + C00022</t>
  </si>
  <si>
    <t>C00131 * C00022</t>
  </si>
  <si>
    <t>C00206 + C00074</t>
  </si>
  <si>
    <t>C00206 * C00074</t>
  </si>
  <si>
    <t>C00286 + C00022</t>
  </si>
  <si>
    <t>C00286 * C00022</t>
  </si>
  <si>
    <t>C00361 + C00074</t>
  </si>
  <si>
    <t>C00361 * C00074</t>
  </si>
  <si>
    <t>C00201 + C00022</t>
  </si>
  <si>
    <t>C00201 * C00022</t>
  </si>
  <si>
    <t>C00454 + C00074</t>
  </si>
  <si>
    <t>C00454 * C00074</t>
  </si>
  <si>
    <t>C00002 + C05345</t>
  </si>
  <si>
    <t>C00002 * C05345</t>
  </si>
  <si>
    <t>C00008 + C05378</t>
  </si>
  <si>
    <t>C00008 * C05378</t>
  </si>
  <si>
    <t>C00002 + C00085</t>
  </si>
  <si>
    <t>C00002 * C00085</t>
  </si>
  <si>
    <t>C00008 + C00354</t>
  </si>
  <si>
    <t>C00008 * C00354</t>
  </si>
  <si>
    <t>C00063 + C00085</t>
  </si>
  <si>
    <t>C00063 * C00085</t>
  </si>
  <si>
    <t>C00112 + C00354</t>
  </si>
  <si>
    <t>C00112 * C00354</t>
  </si>
  <si>
    <t>C00075 + C00085</t>
  </si>
  <si>
    <t>C00075 * C00085</t>
  </si>
  <si>
    <t>C00015 + C00354</t>
  </si>
  <si>
    <t>C00015 * C00354</t>
  </si>
  <si>
    <t>C00081 + C00085</t>
  </si>
  <si>
    <t>C00081 * C00085</t>
  </si>
  <si>
    <t>C00104 + C00354</t>
  </si>
  <si>
    <t>C00104 * C00354</t>
  </si>
  <si>
    <t>C00002 + C05382</t>
  </si>
  <si>
    <t>C00002 * C05382</t>
  </si>
  <si>
    <t>C00008 + C00447</t>
  </si>
  <si>
    <t>C00008 * C00447</t>
  </si>
  <si>
    <t>C00063 + C01097</t>
  </si>
  <si>
    <t>C00063 * C01097</t>
  </si>
  <si>
    <t>C00112 + C03785</t>
  </si>
  <si>
    <t>C00112 * C03785</t>
  </si>
  <si>
    <t>C00075 + C01097</t>
  </si>
  <si>
    <t>C00075 * C01097</t>
  </si>
  <si>
    <t>C00015 + C03785</t>
  </si>
  <si>
    <t>C00015 * C03785</t>
  </si>
  <si>
    <t>C00081 + C01097</t>
  </si>
  <si>
    <t>C00081 * C01097</t>
  </si>
  <si>
    <t>C00104 + C03785</t>
  </si>
  <si>
    <t>C00104 * C03785</t>
  </si>
  <si>
    <t>C00097 + C02342</t>
  </si>
  <si>
    <t>C00097 * C02342</t>
  </si>
  <si>
    <t>C00065 + C04161</t>
  </si>
  <si>
    <t>C00065 * C04161</t>
  </si>
  <si>
    <t>C15812 + C15813 + C00030</t>
  </si>
  <si>
    <t>C15812 * C15813 * C00030</t>
  </si>
  <si>
    <t>C00020 + C15814 + C15811 + C00028</t>
  </si>
  <si>
    <t>C00020 * C15814 * C15811 * C00028</t>
  </si>
  <si>
    <t>C00002 + C01094</t>
  </si>
  <si>
    <t>C00002 * C01094</t>
  </si>
  <si>
    <t>C00073 + C00343 + C00001</t>
  </si>
  <si>
    <t>C00073 * C00343 * C00001</t>
  </si>
  <si>
    <t>C15998 + C00342</t>
  </si>
  <si>
    <t>C15998 * C00342</t>
  </si>
  <si>
    <t>C02989 + C00342</t>
  </si>
  <si>
    <t>C02989 * C00342</t>
  </si>
  <si>
    <t>C00123 + C00026</t>
  </si>
  <si>
    <t>C00123 * C00026</t>
  </si>
  <si>
    <t>C00233 + C00025</t>
  </si>
  <si>
    <t>C00233 * C00025</t>
  </si>
  <si>
    <t>C00183 + C00026</t>
  </si>
  <si>
    <t>C00183 * C00026</t>
  </si>
  <si>
    <t>C00141 + C00025</t>
  </si>
  <si>
    <t>C00141 * C00025</t>
  </si>
  <si>
    <t>C00407 + C00026</t>
  </si>
  <si>
    <t>C00407 * C00026</t>
  </si>
  <si>
    <t>C00671 + C00025</t>
  </si>
  <si>
    <t>C00671 * C00025</t>
  </si>
  <si>
    <t>C02356 + C00026</t>
  </si>
  <si>
    <t>C02356 * C00026</t>
  </si>
  <si>
    <t>C00109 + C00025</t>
  </si>
  <si>
    <t>C00109 * C00025</t>
  </si>
  <si>
    <t>C00118 + C00084</t>
  </si>
  <si>
    <t>C00118 * C00084</t>
  </si>
  <si>
    <t>C00178 + C00672</t>
  </si>
  <si>
    <t>C00178 * C00672</t>
  </si>
  <si>
    <t>C00299 + C00009</t>
  </si>
  <si>
    <t>C00299 * C00009</t>
  </si>
  <si>
    <t>C00106 + C00620</t>
  </si>
  <si>
    <t>C00106 * C00620</t>
  </si>
  <si>
    <t>C00380 + C00620</t>
  </si>
  <si>
    <t>C00380 * C00620</t>
  </si>
  <si>
    <t>C00106 + C00672</t>
  </si>
  <si>
    <t>C00106 * C00672</t>
  </si>
  <si>
    <t>C03169 + C00009</t>
  </si>
  <si>
    <t>C03169 * C00009</t>
  </si>
  <si>
    <t>C00396 + C00620 + C00080</t>
  </si>
  <si>
    <t>C00396 * C00620 * C00080</t>
  </si>
  <si>
    <t>C00002 + C00864</t>
  </si>
  <si>
    <t>C00002 * C00864</t>
  </si>
  <si>
    <t>C00008 + C03492</t>
  </si>
  <si>
    <t>C00008 * C03492</t>
  </si>
  <si>
    <t>C00002 + C00831</t>
  </si>
  <si>
    <t>C00002 * C00831</t>
  </si>
  <si>
    <t>C00008 + C01134</t>
  </si>
  <si>
    <t>C00008 * C01134</t>
  </si>
  <si>
    <t>C00002 + C04079</t>
  </si>
  <si>
    <t>C00002 * C04079</t>
  </si>
  <si>
    <t>C00008 + C04352</t>
  </si>
  <si>
    <t>C00008 * C04352</t>
  </si>
  <si>
    <t>C00143 + C00006</t>
  </si>
  <si>
    <t>C00143 * C00006</t>
  </si>
  <si>
    <t>C00445 + C00005</t>
  </si>
  <si>
    <t>C00445 * C00005</t>
  </si>
  <si>
    <t>C00988 + C00001</t>
  </si>
  <si>
    <t>C00988 * C00001</t>
  </si>
  <si>
    <t>C00160 + C00009</t>
  </si>
  <si>
    <t>C00160 * C00009</t>
  </si>
  <si>
    <t>C01419 + C00001</t>
  </si>
  <si>
    <t>C01419 * C00001</t>
  </si>
  <si>
    <t>C00097 + C00037</t>
  </si>
  <si>
    <t>C00097 * C00037</t>
  </si>
  <si>
    <t>C05729 + C00001</t>
  </si>
  <si>
    <t>C05729 * C00001</t>
  </si>
  <si>
    <t>C05726 + C00037</t>
  </si>
  <si>
    <t>C05726 * C00037</t>
  </si>
  <si>
    <t>C02020 + C00003</t>
  </si>
  <si>
    <t>C02020 * C00003</t>
  </si>
  <si>
    <t>C00557 + C00004 + C00080</t>
  </si>
  <si>
    <t>C00557 * C00004 * C00080</t>
  </si>
  <si>
    <t>C00414 + C00004 + C00080</t>
  </si>
  <si>
    <t>C00414 * C00004 * C00080</t>
  </si>
  <si>
    <t>C00854 + C00003</t>
  </si>
  <si>
    <t>C00854 * C00003</t>
  </si>
  <si>
    <t>C00002 + C00073 + C01647</t>
  </si>
  <si>
    <t>C00002 * C00073 * C01647</t>
  </si>
  <si>
    <t>C00020 + C00013 + C02430</t>
  </si>
  <si>
    <t>C00020 * C00013 * C02430</t>
  </si>
  <si>
    <t>C00002 + C05335 + C01647</t>
  </si>
  <si>
    <t>C00002 * C05335 * C01647</t>
  </si>
  <si>
    <t>C00020 + C00013 + C05336</t>
  </si>
  <si>
    <t>C00020 * C00013 * C05336</t>
  </si>
  <si>
    <t>C00051 + C00006</t>
  </si>
  <si>
    <t>C00051 * C00006</t>
  </si>
  <si>
    <t>C00127 + C00005 + C00080</t>
  </si>
  <si>
    <t>C00127 * C00005 * C00080</t>
  </si>
  <si>
    <t>C00051 + C00003</t>
  </si>
  <si>
    <t>C00051 * C00003</t>
  </si>
  <si>
    <t>C00127 + C00004 + C00080</t>
  </si>
  <si>
    <t>C00127 * C00004 * C00080</t>
  </si>
  <si>
    <t>C00019 + C01977</t>
  </si>
  <si>
    <t>C00019 * C01977</t>
  </si>
  <si>
    <t>C00021 + C04157</t>
  </si>
  <si>
    <t>C00021 * C04157</t>
  </si>
  <si>
    <t>C00704 + C00080</t>
  </si>
  <si>
    <t>C00704 * C00080</t>
  </si>
  <si>
    <t>C00027 + C00007</t>
  </si>
  <si>
    <t>C00027 * C00007</t>
  </si>
  <si>
    <t>C00337 + C00122</t>
  </si>
  <si>
    <t>C00337 * C00122</t>
  </si>
  <si>
    <t>C00295 + C00042</t>
  </si>
  <si>
    <t>C00295 * C00042</t>
  </si>
  <si>
    <t>C18091 + C00007 + C01847</t>
  </si>
  <si>
    <t>C18091 * C00007 * C01847</t>
  </si>
  <si>
    <t>C00002 + C00001</t>
  </si>
  <si>
    <t>C00002 * C00001</t>
  </si>
  <si>
    <t>C00038 + C00009</t>
  </si>
  <si>
    <t>C00038 * C00009</t>
  </si>
  <si>
    <t>C00002 + C00376 + C01642</t>
  </si>
  <si>
    <t>C00002 * C00376 * C01642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</si>
</sst>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800080"/>
      <name val="Calibri"/>
      <family val="2"/>
    </font>
    <font>
      <u/>
      <sz val="11"/>
      <color rgb="FF0000FF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F2E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wrapText="1" readingOrder="1"/>
    </xf>
    <xf numFmtId="0" fontId="6" fillId="5" borderId="1" xfId="0" applyFont="1" applyFill="1" applyBorder="1" applyAlignment="1">
      <alignment horizontal="left" wrapText="1" readingOrder="1"/>
    </xf>
    <xf numFmtId="0" fontId="0" fillId="10" borderId="1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top" wrapText="1" readingOrder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 readingOrder="1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5" borderId="1" xfId="0" applyFont="1" applyFill="1" applyBorder="1" applyAlignment="1">
      <alignment horizontal="left" wrapText="1" readingOrder="1"/>
    </xf>
    <xf numFmtId="0" fontId="4" fillId="0" borderId="1" xfId="0" applyFont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10" borderId="1" xfId="0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11" fillId="4" borderId="1" xfId="0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justify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40D08"/>
      <color rgb="FFCC4E3F"/>
      <color rgb="FFBF604C"/>
      <color rgb="FF00F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nuccore/NZ_LN831051.1/" TargetMode="External"/><Relationship Id="rId1" Type="http://schemas.openxmlformats.org/officeDocument/2006/relationships/hyperlink" Target="https://www.ncbi.nlm.nih.gov/datasets/genome/GCF_001457635.1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enome.jp/entry/R02508" TargetMode="External"/><Relationship Id="rId170" Type="http://schemas.openxmlformats.org/officeDocument/2006/relationships/hyperlink" Target="https://www.genome.jp/entry/R04536" TargetMode="External"/><Relationship Id="rId987" Type="http://schemas.openxmlformats.org/officeDocument/2006/relationships/hyperlink" Target="https://www.genome.jp/entry/2.7.2.2" TargetMode="External"/><Relationship Id="rId2668" Type="http://schemas.openxmlformats.org/officeDocument/2006/relationships/hyperlink" Target="https://www.genome.jp/entry/R04773" TargetMode="External"/><Relationship Id="rId847" Type="http://schemas.openxmlformats.org/officeDocument/2006/relationships/hyperlink" Target="https://www.genome.jp/entry/2.5.1.47" TargetMode="External"/><Relationship Id="rId1477" Type="http://schemas.openxmlformats.org/officeDocument/2006/relationships/hyperlink" Target="https://www.genome.jp/entry/R01243" TargetMode="External"/><Relationship Id="rId1684" Type="http://schemas.openxmlformats.org/officeDocument/2006/relationships/hyperlink" Target="https://www.genome.jp/entry/1.4.3.19" TargetMode="External"/><Relationship Id="rId1891" Type="http://schemas.openxmlformats.org/officeDocument/2006/relationships/hyperlink" Target="https://www.genome.jp/entry/6.3.5.2" TargetMode="External"/><Relationship Id="rId2528" Type="http://schemas.openxmlformats.org/officeDocument/2006/relationships/hyperlink" Target="https://www.genome.jp/entry/R03236" TargetMode="External"/><Relationship Id="rId707" Type="http://schemas.openxmlformats.org/officeDocument/2006/relationships/hyperlink" Target="https://www.genome.jp/entry/3.2.1.52" TargetMode="External"/><Relationship Id="rId914" Type="http://schemas.openxmlformats.org/officeDocument/2006/relationships/hyperlink" Target="https://www.genome.jp/entry/R03634" TargetMode="External"/><Relationship Id="rId1337" Type="http://schemas.openxmlformats.org/officeDocument/2006/relationships/hyperlink" Target="https://www.genome.jp/entry/R04964" TargetMode="External"/><Relationship Id="rId1544" Type="http://schemas.openxmlformats.org/officeDocument/2006/relationships/hyperlink" Target="https://www.genome.jp/entry/2.7.7.6" TargetMode="External"/><Relationship Id="rId1751" Type="http://schemas.openxmlformats.org/officeDocument/2006/relationships/hyperlink" Target="https://www.genome.jp/entry/1.5.1.3" TargetMode="External"/><Relationship Id="rId43" Type="http://schemas.openxmlformats.org/officeDocument/2006/relationships/hyperlink" Target="https://www.genome.jp/entry/6.3.4.2" TargetMode="External"/><Relationship Id="rId1404" Type="http://schemas.openxmlformats.org/officeDocument/2006/relationships/hyperlink" Target="https://www.genome.jp/entry/5.1.3.2" TargetMode="External"/><Relationship Id="rId1611" Type="http://schemas.openxmlformats.org/officeDocument/2006/relationships/hyperlink" Target="https://www.genome.jp/entry/R04650" TargetMode="External"/><Relationship Id="rId497" Type="http://schemas.openxmlformats.org/officeDocument/2006/relationships/hyperlink" Target="https://www.genome.jp/entry/3.2.1.21" TargetMode="External"/><Relationship Id="rId2178" Type="http://schemas.openxmlformats.org/officeDocument/2006/relationships/hyperlink" Target="https://www.genome.jp/entry/R00948" TargetMode="External"/><Relationship Id="rId2385" Type="http://schemas.openxmlformats.org/officeDocument/2006/relationships/hyperlink" Target="https://www.genome.jp/entry/1.4.1.1" TargetMode="External"/><Relationship Id="rId357" Type="http://schemas.openxmlformats.org/officeDocument/2006/relationships/hyperlink" Target="https://www.genome.jp/entry/6.3.2.17" TargetMode="External"/><Relationship Id="rId1194" Type="http://schemas.openxmlformats.org/officeDocument/2006/relationships/hyperlink" Target="https://www.genome.jp/entry/3.1.3.48" TargetMode="External"/><Relationship Id="rId2038" Type="http://schemas.openxmlformats.org/officeDocument/2006/relationships/hyperlink" Target="https://www.genome.jp/entry/6.3.5.5" TargetMode="External"/><Relationship Id="rId2592" Type="http://schemas.openxmlformats.org/officeDocument/2006/relationships/hyperlink" Target="https://www.genome.jp/entry/2.4.2.1" TargetMode="External"/><Relationship Id="rId217" Type="http://schemas.openxmlformats.org/officeDocument/2006/relationships/hyperlink" Target="https://www.genome.jp/entry/4.2.1.17" TargetMode="External"/><Relationship Id="rId564" Type="http://schemas.openxmlformats.org/officeDocument/2006/relationships/hyperlink" Target="https://www.genome.jp/entry/R00066" TargetMode="External"/><Relationship Id="rId771" Type="http://schemas.openxmlformats.org/officeDocument/2006/relationships/hyperlink" Target="https://www.genome.jp/entry/2.6.1.1" TargetMode="External"/><Relationship Id="rId2245" Type="http://schemas.openxmlformats.org/officeDocument/2006/relationships/hyperlink" Target="https://www.genome.jp/entry/3.2.2.27" TargetMode="External"/><Relationship Id="rId2452" Type="http://schemas.openxmlformats.org/officeDocument/2006/relationships/hyperlink" Target="https://www.genome.jp/entry/R01858" TargetMode="External"/><Relationship Id="rId424" Type="http://schemas.openxmlformats.org/officeDocument/2006/relationships/hyperlink" Target="https://www.genome.jp/entry/2.7.7.7" TargetMode="External"/><Relationship Id="rId631" Type="http://schemas.openxmlformats.org/officeDocument/2006/relationships/hyperlink" Target="https://www.genome.jp/entry/5.1.3.2" TargetMode="External"/><Relationship Id="rId1054" Type="http://schemas.openxmlformats.org/officeDocument/2006/relationships/hyperlink" Target="https://www.genome.jp/entry/R02740" TargetMode="External"/><Relationship Id="rId1261" Type="http://schemas.openxmlformats.org/officeDocument/2006/relationships/hyperlink" Target="https://www.genome.jp/entry/2.7.7.6" TargetMode="External"/><Relationship Id="rId2105" Type="http://schemas.openxmlformats.org/officeDocument/2006/relationships/hyperlink" Target="https://www.genome.jp/entry/R09832" TargetMode="External"/><Relationship Id="rId2312" Type="http://schemas.openxmlformats.org/officeDocument/2006/relationships/hyperlink" Target="https://www.genome.jp/entry/R09099" TargetMode="External"/><Relationship Id="rId1121" Type="http://schemas.openxmlformats.org/officeDocument/2006/relationships/hyperlink" Target="https://www.genome.jp/entry/R00754" TargetMode="External"/><Relationship Id="rId1938" Type="http://schemas.openxmlformats.org/officeDocument/2006/relationships/hyperlink" Target="https://www.genome.jp/entry/4.1.1.5" TargetMode="External"/><Relationship Id="rId281" Type="http://schemas.openxmlformats.org/officeDocument/2006/relationships/hyperlink" Target="https://www.genome.jp/entry/3.5.1.28" TargetMode="External"/><Relationship Id="rId141" Type="http://schemas.openxmlformats.org/officeDocument/2006/relationships/hyperlink" Target="https://www.genome.jp/entry/2.3.1.179" TargetMode="External"/><Relationship Id="rId7" Type="http://schemas.openxmlformats.org/officeDocument/2006/relationships/hyperlink" Target="https://www.genome.jp/entry/6.3.1.2" TargetMode="External"/><Relationship Id="rId958" Type="http://schemas.openxmlformats.org/officeDocument/2006/relationships/hyperlink" Target="https://www.genome.jp/entry/R05234" TargetMode="External"/><Relationship Id="rId1588" Type="http://schemas.openxmlformats.org/officeDocument/2006/relationships/hyperlink" Target="https://www.genome.jp/entry/R03920" TargetMode="External"/><Relationship Id="rId1795" Type="http://schemas.openxmlformats.org/officeDocument/2006/relationships/hyperlink" Target="https://www.genome.jp/entry/R00355" TargetMode="External"/><Relationship Id="rId2639" Type="http://schemas.openxmlformats.org/officeDocument/2006/relationships/hyperlink" Target="https://www.genome.jp/entry/R02749" TargetMode="External"/><Relationship Id="rId87" Type="http://schemas.openxmlformats.org/officeDocument/2006/relationships/hyperlink" Target="https://www.genome.jp/entry/1.1.1.86" TargetMode="External"/><Relationship Id="rId818" Type="http://schemas.openxmlformats.org/officeDocument/2006/relationships/hyperlink" Target="https://www.genome.jp/entry/R08245" TargetMode="External"/><Relationship Id="rId1448" Type="http://schemas.openxmlformats.org/officeDocument/2006/relationships/hyperlink" Target="https://www.genome.jp/entry/R00985" TargetMode="External"/><Relationship Id="rId1655" Type="http://schemas.openxmlformats.org/officeDocument/2006/relationships/hyperlink" Target="https://www.genome.jp/entry/R02770" TargetMode="External"/><Relationship Id="rId1308" Type="http://schemas.openxmlformats.org/officeDocument/2006/relationships/hyperlink" Target="https://www.genome.jp/entry/R12853" TargetMode="External"/><Relationship Id="rId1862" Type="http://schemas.openxmlformats.org/officeDocument/2006/relationships/hyperlink" Target="https://www.genome.jp/entry/1.1.1.274" TargetMode="External"/><Relationship Id="rId1515" Type="http://schemas.openxmlformats.org/officeDocument/2006/relationships/hyperlink" Target="https://www.genome.jp/entry/1.8.1.9" TargetMode="External"/><Relationship Id="rId1722" Type="http://schemas.openxmlformats.org/officeDocument/2006/relationships/hyperlink" Target="https://www.genome.jp/entry/R05225" TargetMode="External"/><Relationship Id="rId14" Type="http://schemas.openxmlformats.org/officeDocument/2006/relationships/hyperlink" Target="https://www.genome.jp/entry/R00022" TargetMode="External"/><Relationship Id="rId2289" Type="http://schemas.openxmlformats.org/officeDocument/2006/relationships/hyperlink" Target="https://www.genome.jp/entry/2.7.1.144" TargetMode="External"/><Relationship Id="rId2496" Type="http://schemas.openxmlformats.org/officeDocument/2006/relationships/hyperlink" Target="https://www.genome.jp/entry/R04779" TargetMode="External"/><Relationship Id="rId468" Type="http://schemas.openxmlformats.org/officeDocument/2006/relationships/hyperlink" Target="https://www.genome.jp/entry/R02558" TargetMode="External"/><Relationship Id="rId675" Type="http://schemas.openxmlformats.org/officeDocument/2006/relationships/hyperlink" Target="https://www.genome.jp/entry/3.2.1.23" TargetMode="External"/><Relationship Id="rId882" Type="http://schemas.openxmlformats.org/officeDocument/2006/relationships/hyperlink" Target="https://www.genome.jp/entry/R12812" TargetMode="External"/><Relationship Id="rId1098" Type="http://schemas.openxmlformats.org/officeDocument/2006/relationships/hyperlink" Target="https://www.genome.jp/entry/R02719" TargetMode="External"/><Relationship Id="rId2149" Type="http://schemas.openxmlformats.org/officeDocument/2006/relationships/hyperlink" Target="https://www.genome.jp/entry/2.8.1.7" TargetMode="External"/><Relationship Id="rId2356" Type="http://schemas.openxmlformats.org/officeDocument/2006/relationships/hyperlink" Target="https://www.genome.jp/entry/R01054" TargetMode="External"/><Relationship Id="rId2563" Type="http://schemas.openxmlformats.org/officeDocument/2006/relationships/hyperlink" Target="https://www.genome.jp/entry/R01878" TargetMode="External"/><Relationship Id="rId328" Type="http://schemas.openxmlformats.org/officeDocument/2006/relationships/hyperlink" Target="https://www.genome.jp/entry/R01064" TargetMode="External"/><Relationship Id="rId535" Type="http://schemas.openxmlformats.org/officeDocument/2006/relationships/hyperlink" Target="https://www.genome.jp/entry/R11319" TargetMode="External"/><Relationship Id="rId742" Type="http://schemas.openxmlformats.org/officeDocument/2006/relationships/hyperlink" Target="https://www.genome.jp/entry/R04209" TargetMode="External"/><Relationship Id="rId1165" Type="http://schemas.openxmlformats.org/officeDocument/2006/relationships/hyperlink" Target="https://www.genome.jp/entry/R05231" TargetMode="External"/><Relationship Id="rId1372" Type="http://schemas.openxmlformats.org/officeDocument/2006/relationships/hyperlink" Target="https://www.genome.jp/entry/R05549" TargetMode="External"/><Relationship Id="rId2009" Type="http://schemas.openxmlformats.org/officeDocument/2006/relationships/hyperlink" Target="https://www.genome.jp/entry/R01878" TargetMode="External"/><Relationship Id="rId2216" Type="http://schemas.openxmlformats.org/officeDocument/2006/relationships/hyperlink" Target="https://www.genome.jp/entry/R01702" TargetMode="External"/><Relationship Id="rId2423" Type="http://schemas.openxmlformats.org/officeDocument/2006/relationships/hyperlink" Target="https://www.genome.jp/entry/5.4.99.23" TargetMode="External"/><Relationship Id="rId2630" Type="http://schemas.openxmlformats.org/officeDocument/2006/relationships/hyperlink" Target="https://www.genome.jp/entry/2.4.2.1" TargetMode="External"/><Relationship Id="rId602" Type="http://schemas.openxmlformats.org/officeDocument/2006/relationships/hyperlink" Target="https://www.genome.jp/entry/R00511" TargetMode="External"/><Relationship Id="rId1025" Type="http://schemas.openxmlformats.org/officeDocument/2006/relationships/hyperlink" Target="https://www.genome.jp/entry/6.1.1.21" TargetMode="External"/><Relationship Id="rId1232" Type="http://schemas.openxmlformats.org/officeDocument/2006/relationships/hyperlink" Target="https://www.genome.jp/entry/R00258" TargetMode="External"/><Relationship Id="rId185" Type="http://schemas.openxmlformats.org/officeDocument/2006/relationships/hyperlink" Target="https://www.genome.jp/entry/2.3.1.39" TargetMode="External"/><Relationship Id="rId1909" Type="http://schemas.openxmlformats.org/officeDocument/2006/relationships/hyperlink" Target="https://www.genome.jp/entry/R00765" TargetMode="External"/><Relationship Id="rId392" Type="http://schemas.openxmlformats.org/officeDocument/2006/relationships/hyperlink" Target="https://www.genome.jp/entry/R06917" TargetMode="External"/><Relationship Id="rId2073" Type="http://schemas.openxmlformats.org/officeDocument/2006/relationships/hyperlink" Target="https://www.genome.jp/entry/1.1.1.85" TargetMode="External"/><Relationship Id="rId2280" Type="http://schemas.openxmlformats.org/officeDocument/2006/relationships/hyperlink" Target="https://www.genome.jp/entry/3.2.1.85" TargetMode="External"/><Relationship Id="rId252" Type="http://schemas.openxmlformats.org/officeDocument/2006/relationships/hyperlink" Target="https://www.genome.jp/entry/4.2.1.17" TargetMode="External"/><Relationship Id="rId2140" Type="http://schemas.openxmlformats.org/officeDocument/2006/relationships/hyperlink" Target="https://www.genome.jp/entry/R08232" TargetMode="External"/><Relationship Id="rId112" Type="http://schemas.openxmlformats.org/officeDocument/2006/relationships/hyperlink" Target="https://www.genome.jp/entry/R08648" TargetMode="External"/><Relationship Id="rId1699" Type="http://schemas.openxmlformats.org/officeDocument/2006/relationships/hyperlink" Target="https://www.genome.jp/entry/R02984" TargetMode="External"/><Relationship Id="rId2000" Type="http://schemas.openxmlformats.org/officeDocument/2006/relationships/hyperlink" Target="https://www.genome.jp/entry/5.1.3.24" TargetMode="External"/><Relationship Id="rId929" Type="http://schemas.openxmlformats.org/officeDocument/2006/relationships/hyperlink" Target="https://www.genome.jp/entry/3.2.1.22" TargetMode="External"/><Relationship Id="rId1559" Type="http://schemas.openxmlformats.org/officeDocument/2006/relationships/hyperlink" Target="https://www.genome.jp/entry/2.3.3.10" TargetMode="External"/><Relationship Id="rId1766" Type="http://schemas.openxmlformats.org/officeDocument/2006/relationships/hyperlink" Target="https://www.genome.jp/entry/R09372" TargetMode="External"/><Relationship Id="rId1973" Type="http://schemas.openxmlformats.org/officeDocument/2006/relationships/hyperlink" Target="https://www.genome.jp/entry/R02412" TargetMode="External"/><Relationship Id="rId58" Type="http://schemas.openxmlformats.org/officeDocument/2006/relationships/hyperlink" Target="https://www.genome.jp/entry/R06110" TargetMode="External"/><Relationship Id="rId1419" Type="http://schemas.openxmlformats.org/officeDocument/2006/relationships/hyperlink" Target="https://www.genome.jp/entry/1.1.1.90" TargetMode="External"/><Relationship Id="rId1626" Type="http://schemas.openxmlformats.org/officeDocument/2006/relationships/hyperlink" Target="https://www.genome.jp/entry/3.2.1.18" TargetMode="External"/><Relationship Id="rId1833" Type="http://schemas.openxmlformats.org/officeDocument/2006/relationships/hyperlink" Target="https://www.genome.jp/entry/R04945" TargetMode="External"/><Relationship Id="rId1900" Type="http://schemas.openxmlformats.org/officeDocument/2006/relationships/hyperlink" Target="https://www.genome.jp/entry/2.1.1.72" TargetMode="External"/><Relationship Id="rId579" Type="http://schemas.openxmlformats.org/officeDocument/2006/relationships/hyperlink" Target="https://www.genome.jp/entry/4.3.1.17" TargetMode="External"/><Relationship Id="rId786" Type="http://schemas.openxmlformats.org/officeDocument/2006/relationships/hyperlink" Target="https://www.genome.jp/entry/R00377" TargetMode="External"/><Relationship Id="rId993" Type="http://schemas.openxmlformats.org/officeDocument/2006/relationships/hyperlink" Target="https://www.genome.jp/entry/3.5.3.6" TargetMode="External"/><Relationship Id="rId2467" Type="http://schemas.openxmlformats.org/officeDocument/2006/relationships/hyperlink" Target="https://www.genome.jp/entry/2.7.1.11" TargetMode="External"/><Relationship Id="rId2674" Type="http://schemas.openxmlformats.org/officeDocument/2006/relationships/hyperlink" Target="https://www.genome.jp/entry/R03662" TargetMode="External"/><Relationship Id="rId439" Type="http://schemas.openxmlformats.org/officeDocument/2006/relationships/hyperlink" Target="https://www.genome.jp/entry/R00378" TargetMode="External"/><Relationship Id="rId646" Type="http://schemas.openxmlformats.org/officeDocument/2006/relationships/hyperlink" Target="https://www.genome.jp/entry/2.4.2.1" TargetMode="External"/><Relationship Id="rId1069" Type="http://schemas.openxmlformats.org/officeDocument/2006/relationships/hyperlink" Target="https://www.genome.jp/entry/3.5.4.1" TargetMode="External"/><Relationship Id="rId1276" Type="http://schemas.openxmlformats.org/officeDocument/2006/relationships/hyperlink" Target="https://www.genome.jp/entry/R00442" TargetMode="External"/><Relationship Id="rId1483" Type="http://schemas.openxmlformats.org/officeDocument/2006/relationships/hyperlink" Target="https://www.genome.jp/entry/R00162" TargetMode="External"/><Relationship Id="rId2327" Type="http://schemas.openxmlformats.org/officeDocument/2006/relationships/hyperlink" Target="https://www.genome.jp/entry/1.8.1.8" TargetMode="External"/><Relationship Id="rId506" Type="http://schemas.openxmlformats.org/officeDocument/2006/relationships/hyperlink" Target="https://www.genome.jp/entry/6.1.1.4" TargetMode="External"/><Relationship Id="rId853" Type="http://schemas.openxmlformats.org/officeDocument/2006/relationships/hyperlink" Target="https://www.genome.jp/entry/3.6.4.12" TargetMode="External"/><Relationship Id="rId1136" Type="http://schemas.openxmlformats.org/officeDocument/2006/relationships/hyperlink" Target="https://www.genome.jp/entry/1.1.1.1" TargetMode="External"/><Relationship Id="rId1690" Type="http://schemas.openxmlformats.org/officeDocument/2006/relationships/hyperlink" Target="https://www.genome.jp/entry/1.4.3.19" TargetMode="External"/><Relationship Id="rId2534" Type="http://schemas.openxmlformats.org/officeDocument/2006/relationships/hyperlink" Target="https://www.genome.jp/entry/2.8.1.7" TargetMode="External"/><Relationship Id="rId713" Type="http://schemas.openxmlformats.org/officeDocument/2006/relationships/hyperlink" Target="https://www.genome.jp/entry/3.2.1.52" TargetMode="External"/><Relationship Id="rId920" Type="http://schemas.openxmlformats.org/officeDocument/2006/relationships/hyperlink" Target="https://www.genome.jp/entry/R05549" TargetMode="External"/><Relationship Id="rId1343" Type="http://schemas.openxmlformats.org/officeDocument/2006/relationships/hyperlink" Target="https://www.genome.jp/entry/R10120" TargetMode="External"/><Relationship Id="rId1550" Type="http://schemas.openxmlformats.org/officeDocument/2006/relationships/hyperlink" Target="https://www.genome.jp/entry/2.1.2.9" TargetMode="External"/><Relationship Id="rId2601" Type="http://schemas.openxmlformats.org/officeDocument/2006/relationships/hyperlink" Target="https://www.genome.jp/entry/R01969" TargetMode="External"/><Relationship Id="rId1203" Type="http://schemas.openxmlformats.org/officeDocument/2006/relationships/hyperlink" Target="https://www.genome.jp/entry/3.2.1.86" TargetMode="External"/><Relationship Id="rId1410" Type="http://schemas.openxmlformats.org/officeDocument/2006/relationships/hyperlink" Target="https://www.genome.jp/entry/R01487" TargetMode="External"/><Relationship Id="rId296" Type="http://schemas.openxmlformats.org/officeDocument/2006/relationships/hyperlink" Target="https://www.genome.jp/entry/4.2.1.46" TargetMode="External"/><Relationship Id="rId2184" Type="http://schemas.openxmlformats.org/officeDocument/2006/relationships/hyperlink" Target="https://www.genome.jp/entry/R06049" TargetMode="External"/><Relationship Id="rId2391" Type="http://schemas.openxmlformats.org/officeDocument/2006/relationships/hyperlink" Target="https://www.genome.jp/entry/R03704" TargetMode="External"/><Relationship Id="rId156" Type="http://schemas.openxmlformats.org/officeDocument/2006/relationships/hyperlink" Target="https://www.genome.jp/entry/R04968" TargetMode="External"/><Relationship Id="rId363" Type="http://schemas.openxmlformats.org/officeDocument/2006/relationships/hyperlink" Target="https://www.genome.jp/entry/6.3.2.17" TargetMode="External"/><Relationship Id="rId570" Type="http://schemas.openxmlformats.org/officeDocument/2006/relationships/hyperlink" Target="https://www.genome.jp/entry/R00286" TargetMode="External"/><Relationship Id="rId2044" Type="http://schemas.openxmlformats.org/officeDocument/2006/relationships/hyperlink" Target="https://www.genome.jp/entry/6.3.5.5" TargetMode="External"/><Relationship Id="rId2251" Type="http://schemas.openxmlformats.org/officeDocument/2006/relationships/hyperlink" Target="https://www.genome.jp/entry/R02017" TargetMode="External"/><Relationship Id="rId223" Type="http://schemas.openxmlformats.org/officeDocument/2006/relationships/hyperlink" Target="https://www.genome.jp/entry/4.2.1.17" TargetMode="External"/><Relationship Id="rId430" Type="http://schemas.openxmlformats.org/officeDocument/2006/relationships/hyperlink" Target="https://www.genome.jp/entry/2.7.7.7" TargetMode="External"/><Relationship Id="rId1060" Type="http://schemas.openxmlformats.org/officeDocument/2006/relationships/hyperlink" Target="https://www.genome.jp/entry/R03321" TargetMode="External"/><Relationship Id="rId2111" Type="http://schemas.openxmlformats.org/officeDocument/2006/relationships/hyperlink" Target="https://www.genome.jp/entry/1.1.1.27" TargetMode="External"/><Relationship Id="rId1877" Type="http://schemas.openxmlformats.org/officeDocument/2006/relationships/hyperlink" Target="https://www.genome.jp/entry/1.8.1.9" TargetMode="External"/><Relationship Id="rId1737" Type="http://schemas.openxmlformats.org/officeDocument/2006/relationships/hyperlink" Target="https://www.genome.jp/entry/2.4.2.7" TargetMode="External"/><Relationship Id="rId1944" Type="http://schemas.openxmlformats.org/officeDocument/2006/relationships/hyperlink" Target="https://www.genome.jp/entry/3.6.3.31" TargetMode="External"/><Relationship Id="rId29" Type="http://schemas.openxmlformats.org/officeDocument/2006/relationships/hyperlink" Target="https://www.genome.jp/entry/3.2.1.52" TargetMode="External"/><Relationship Id="rId1804" Type="http://schemas.openxmlformats.org/officeDocument/2006/relationships/hyperlink" Target="https://www.genome.jp/entry/2.6.1.1" TargetMode="External"/><Relationship Id="rId897" Type="http://schemas.openxmlformats.org/officeDocument/2006/relationships/hyperlink" Target="https://www.genome.jp/entry/2.7.1.5" TargetMode="External"/><Relationship Id="rId2578" Type="http://schemas.openxmlformats.org/officeDocument/2006/relationships/hyperlink" Target="https://www.genome.jp/entry/2.4.2.2" TargetMode="External"/><Relationship Id="rId757" Type="http://schemas.openxmlformats.org/officeDocument/2006/relationships/hyperlink" Target="https://www.genome.jp/entry/2.4.2.14" TargetMode="External"/><Relationship Id="rId964" Type="http://schemas.openxmlformats.org/officeDocument/2006/relationships/hyperlink" Target="https://www.genome.jp/entry/R08281" TargetMode="External"/><Relationship Id="rId1387" Type="http://schemas.openxmlformats.org/officeDocument/2006/relationships/hyperlink" Target="https://www.genome.jp/entry/3.2.1.22" TargetMode="External"/><Relationship Id="rId1594" Type="http://schemas.openxmlformats.org/officeDocument/2006/relationships/hyperlink" Target="https://www.genome.jp/entry/R01826" TargetMode="External"/><Relationship Id="rId2438" Type="http://schemas.openxmlformats.org/officeDocument/2006/relationships/hyperlink" Target="https://www.genome.jp/entry/R00566" TargetMode="External"/><Relationship Id="rId2645" Type="http://schemas.openxmlformats.org/officeDocument/2006/relationships/hyperlink" Target="https://www.genome.jp/entry/R01220" TargetMode="External"/><Relationship Id="rId93" Type="http://schemas.openxmlformats.org/officeDocument/2006/relationships/hyperlink" Target="https://www.genome.jp/entry/1.1.1.86" TargetMode="External"/><Relationship Id="rId617" Type="http://schemas.openxmlformats.org/officeDocument/2006/relationships/hyperlink" Target="https://www.genome.jp/entry/3.1.3.5" TargetMode="External"/><Relationship Id="rId824" Type="http://schemas.openxmlformats.org/officeDocument/2006/relationships/hyperlink" Target="https://www.genome.jp/entry/R00379" TargetMode="External"/><Relationship Id="rId1247" Type="http://schemas.openxmlformats.org/officeDocument/2006/relationships/hyperlink" Target="https://www.genome.jp/entry/3.6.1.7" TargetMode="External"/><Relationship Id="rId1454" Type="http://schemas.openxmlformats.org/officeDocument/2006/relationships/hyperlink" Target="https://www.genome.jp/entry/R03509" TargetMode="External"/><Relationship Id="rId1661" Type="http://schemas.openxmlformats.org/officeDocument/2006/relationships/hyperlink" Target="https://www.genome.jp/entry/R01811" TargetMode="External"/><Relationship Id="rId2505" Type="http://schemas.openxmlformats.org/officeDocument/2006/relationships/hyperlink" Target="https://www.genome.jp/entry/2.7.1.11" TargetMode="External"/><Relationship Id="rId1107" Type="http://schemas.openxmlformats.org/officeDocument/2006/relationships/hyperlink" Target="https://www.genome.jp/entry/3.1.3.5" TargetMode="External"/><Relationship Id="rId1314" Type="http://schemas.openxmlformats.org/officeDocument/2006/relationships/hyperlink" Target="https://www.genome.jp/entry/R04112" TargetMode="External"/><Relationship Id="rId1521" Type="http://schemas.openxmlformats.org/officeDocument/2006/relationships/hyperlink" Target="https://www.genome.jp/entry/R12807" TargetMode="External"/><Relationship Id="rId20" Type="http://schemas.openxmlformats.org/officeDocument/2006/relationships/hyperlink" Target="https://www.genome.jp/entry/R04586" TargetMode="External"/><Relationship Id="rId2088" Type="http://schemas.openxmlformats.org/officeDocument/2006/relationships/hyperlink" Target="https://www.genome.jp/entry/R03968" TargetMode="External"/><Relationship Id="rId2295" Type="http://schemas.openxmlformats.org/officeDocument/2006/relationships/hyperlink" Target="https://www.genome.jp/entry/3.4.11.18" TargetMode="External"/><Relationship Id="rId267" Type="http://schemas.openxmlformats.org/officeDocument/2006/relationships/hyperlink" Target="https://www.genome.jp/entry/R08218" TargetMode="External"/><Relationship Id="rId474" Type="http://schemas.openxmlformats.org/officeDocument/2006/relationships/hyperlink" Target="https://www.genome.jp/entry/R03527" TargetMode="External"/><Relationship Id="rId2155" Type="http://schemas.openxmlformats.org/officeDocument/2006/relationships/hyperlink" Target="https://www.genome.jp/entry/2.7.6.1" TargetMode="External"/><Relationship Id="rId127" Type="http://schemas.openxmlformats.org/officeDocument/2006/relationships/hyperlink" Target="https://www.genome.jp/entry/1.1.1.14" TargetMode="External"/><Relationship Id="rId681" Type="http://schemas.openxmlformats.org/officeDocument/2006/relationships/hyperlink" Target="https://www.genome.jp/entry/3.2.1.23" TargetMode="External"/><Relationship Id="rId2362" Type="http://schemas.openxmlformats.org/officeDocument/2006/relationships/hyperlink" Target="https://www.genome.jp/entry/3.2.2.23" TargetMode="External"/><Relationship Id="rId334" Type="http://schemas.openxmlformats.org/officeDocument/2006/relationships/hyperlink" Target="https://www.genome.jp/entry/R00274" TargetMode="External"/><Relationship Id="rId541" Type="http://schemas.openxmlformats.org/officeDocument/2006/relationships/hyperlink" Target="https://www.genome.jp/entry/R02014" TargetMode="External"/><Relationship Id="rId1171" Type="http://schemas.openxmlformats.org/officeDocument/2006/relationships/hyperlink" Target="https://www.genome.jp/entry/R00315" TargetMode="External"/><Relationship Id="rId2015" Type="http://schemas.openxmlformats.org/officeDocument/2006/relationships/hyperlink" Target="https://www.genome.jp/entry/R12768" TargetMode="External"/><Relationship Id="rId2222" Type="http://schemas.openxmlformats.org/officeDocument/2006/relationships/hyperlink" Target="https://www.genome.jp/entry/R07600" TargetMode="External"/><Relationship Id="rId401" Type="http://schemas.openxmlformats.org/officeDocument/2006/relationships/hyperlink" Target="https://www.genome.jp/entry/1.1.1.1" TargetMode="External"/><Relationship Id="rId1031" Type="http://schemas.openxmlformats.org/officeDocument/2006/relationships/hyperlink" Target="https://www.genome.jp/entry/R05196" TargetMode="External"/><Relationship Id="rId1988" Type="http://schemas.openxmlformats.org/officeDocument/2006/relationships/hyperlink" Target="https://www.genome.jp/entry/3.5.4.28" TargetMode="External"/><Relationship Id="rId1848" Type="http://schemas.openxmlformats.org/officeDocument/2006/relationships/hyperlink" Target="https://www.genome.jp/entry/R03308" TargetMode="External"/><Relationship Id="rId191" Type="http://schemas.openxmlformats.org/officeDocument/2006/relationships/hyperlink" Target="https://www.genome.jp/entry/2.3.1.41" TargetMode="External"/><Relationship Id="rId1708" Type="http://schemas.openxmlformats.org/officeDocument/2006/relationships/hyperlink" Target="https://www.genome.jp/entry/2.7.4.14" TargetMode="External"/><Relationship Id="rId1915" Type="http://schemas.openxmlformats.org/officeDocument/2006/relationships/hyperlink" Target="https://www.genome.jp/entry/3.1.2.14" TargetMode="External"/><Relationship Id="rId2689" Type="http://schemas.openxmlformats.org/officeDocument/2006/relationships/hyperlink" Target="https://www.genome.jp/entry/5.2.1.8" TargetMode="External"/><Relationship Id="rId868" Type="http://schemas.openxmlformats.org/officeDocument/2006/relationships/hyperlink" Target="https://www.genome.jp/entry/R12863" TargetMode="External"/><Relationship Id="rId1498" Type="http://schemas.openxmlformats.org/officeDocument/2006/relationships/hyperlink" Target="https://www.genome.jp/entry/3.2.1.26" TargetMode="External"/><Relationship Id="rId2549" Type="http://schemas.openxmlformats.org/officeDocument/2006/relationships/hyperlink" Target="https://www.genome.jp/entry/R07608" TargetMode="External"/><Relationship Id="rId728" Type="http://schemas.openxmlformats.org/officeDocument/2006/relationships/hyperlink" Target="https://www.genome.jp/entry/R10831" TargetMode="External"/><Relationship Id="rId935" Type="http://schemas.openxmlformats.org/officeDocument/2006/relationships/hyperlink" Target="https://www.genome.jp/entry/3.2.1.22" TargetMode="External"/><Relationship Id="rId1358" Type="http://schemas.openxmlformats.org/officeDocument/2006/relationships/hyperlink" Target="https://www.genome.jp/entry/R01194" TargetMode="External"/><Relationship Id="rId1565" Type="http://schemas.openxmlformats.org/officeDocument/2006/relationships/hyperlink" Target="https://www.genome.jp/entry/3.2.1.26" TargetMode="External"/><Relationship Id="rId1772" Type="http://schemas.openxmlformats.org/officeDocument/2006/relationships/hyperlink" Target="https://www.genome.jp/entry/R08193" TargetMode="External"/><Relationship Id="rId2409" Type="http://schemas.openxmlformats.org/officeDocument/2006/relationships/hyperlink" Target="https://www.genome.jp/entry/1.5.1.2" TargetMode="External"/><Relationship Id="rId2616" Type="http://schemas.openxmlformats.org/officeDocument/2006/relationships/hyperlink" Target="https://www.genome.jp/entry/2.4.2.1" TargetMode="External"/><Relationship Id="rId64" Type="http://schemas.openxmlformats.org/officeDocument/2006/relationships/hyperlink" Target="https://www.genome.jp/entry/R00379" TargetMode="External"/><Relationship Id="rId1218" Type="http://schemas.openxmlformats.org/officeDocument/2006/relationships/hyperlink" Target="https://www.genome.jp/entry/R00694" TargetMode="External"/><Relationship Id="rId1425" Type="http://schemas.openxmlformats.org/officeDocument/2006/relationships/hyperlink" Target="https://www.genome.jp/entry/2.7.7.10" TargetMode="External"/><Relationship Id="rId1632" Type="http://schemas.openxmlformats.org/officeDocument/2006/relationships/hyperlink" Target="https://www.genome.jp/entry/3.2.1.18" TargetMode="External"/><Relationship Id="rId2199" Type="http://schemas.openxmlformats.org/officeDocument/2006/relationships/hyperlink" Target="https://www.genome.jp/entry/R00380" TargetMode="External"/><Relationship Id="rId378" Type="http://schemas.openxmlformats.org/officeDocument/2006/relationships/hyperlink" Target="https://www.genome.jp/entry/R00754" TargetMode="External"/><Relationship Id="rId585" Type="http://schemas.openxmlformats.org/officeDocument/2006/relationships/hyperlink" Target="https://www.genome.jp/entry/4.3.1.17" TargetMode="External"/><Relationship Id="rId792" Type="http://schemas.openxmlformats.org/officeDocument/2006/relationships/hyperlink" Target="https://www.genome.jp/entry/R01083" TargetMode="External"/><Relationship Id="rId2059" Type="http://schemas.openxmlformats.org/officeDocument/2006/relationships/hyperlink" Target="https://www.genome.jp/entry/R05683" TargetMode="External"/><Relationship Id="rId2266" Type="http://schemas.openxmlformats.org/officeDocument/2006/relationships/hyperlink" Target="https://www.genome.jp/entry/1.17.4.1" TargetMode="External"/><Relationship Id="rId2473" Type="http://schemas.openxmlformats.org/officeDocument/2006/relationships/hyperlink" Target="https://www.genome.jp/entry/2.7.1.11" TargetMode="External"/><Relationship Id="rId2680" Type="http://schemas.openxmlformats.org/officeDocument/2006/relationships/hyperlink" Target="https://www.genome.jp/entry/R02014" TargetMode="External"/><Relationship Id="rId238" Type="http://schemas.openxmlformats.org/officeDocument/2006/relationships/hyperlink" Target="https://www.genome.jp/entry/4.2.1.17" TargetMode="External"/><Relationship Id="rId445" Type="http://schemas.openxmlformats.org/officeDocument/2006/relationships/hyperlink" Target="https://www.genome.jp/entry/1.14.13.107" TargetMode="External"/><Relationship Id="rId652" Type="http://schemas.openxmlformats.org/officeDocument/2006/relationships/hyperlink" Target="https://www.genome.jp/entry/2.4.2.1" TargetMode="External"/><Relationship Id="rId1075" Type="http://schemas.openxmlformats.org/officeDocument/2006/relationships/hyperlink" Target="https://www.genome.jp/entry/3.5.4.5" TargetMode="External"/><Relationship Id="rId1282" Type="http://schemas.openxmlformats.org/officeDocument/2006/relationships/hyperlink" Target="https://www.genome.jp/entry/R00331" TargetMode="External"/><Relationship Id="rId2126" Type="http://schemas.openxmlformats.org/officeDocument/2006/relationships/hyperlink" Target="https://www.genome.jp/entry/4.4.1.11" TargetMode="External"/><Relationship Id="rId2333" Type="http://schemas.openxmlformats.org/officeDocument/2006/relationships/hyperlink" Target="https://www.genome.jp/entry/3.1.4.46" TargetMode="External"/><Relationship Id="rId2540" Type="http://schemas.openxmlformats.org/officeDocument/2006/relationships/hyperlink" Target="https://www.genome.jp/entry/2.7.7.7" TargetMode="External"/><Relationship Id="rId305" Type="http://schemas.openxmlformats.org/officeDocument/2006/relationships/hyperlink" Target="https://www.genome.jp/entry/R06513" TargetMode="External"/><Relationship Id="rId512" Type="http://schemas.openxmlformats.org/officeDocument/2006/relationships/hyperlink" Target="https://www.genome.jp/entry/1.1.1.6" TargetMode="External"/><Relationship Id="rId1142" Type="http://schemas.openxmlformats.org/officeDocument/2006/relationships/hyperlink" Target="https://www.genome.jp/entry/1.1.1.1" TargetMode="External"/><Relationship Id="rId2400" Type="http://schemas.openxmlformats.org/officeDocument/2006/relationships/hyperlink" Target="https://www.genome.jp/entry/R00377" TargetMode="External"/><Relationship Id="rId1002" Type="http://schemas.openxmlformats.org/officeDocument/2006/relationships/hyperlink" Target="https://www.genome.jp/entry/R01441" TargetMode="External"/><Relationship Id="rId1959" Type="http://schemas.openxmlformats.org/officeDocument/2006/relationships/hyperlink" Target="https://www.genome.jp/entry/R02413" TargetMode="External"/><Relationship Id="rId1819" Type="http://schemas.openxmlformats.org/officeDocument/2006/relationships/hyperlink" Target="https://www.genome.jp/entry/3.6.3.44" TargetMode="External"/><Relationship Id="rId2190" Type="http://schemas.openxmlformats.org/officeDocument/2006/relationships/hyperlink" Target="https://www.genome.jp/entry/R01514" TargetMode="External"/><Relationship Id="rId162" Type="http://schemas.openxmlformats.org/officeDocument/2006/relationships/hyperlink" Target="https://www.genome.jp/entry/R10119" TargetMode="External"/><Relationship Id="rId2050" Type="http://schemas.openxmlformats.org/officeDocument/2006/relationships/hyperlink" Target="https://www.genome.jp/entry/6.3.5.5" TargetMode="External"/><Relationship Id="rId979" Type="http://schemas.openxmlformats.org/officeDocument/2006/relationships/hyperlink" Target="https://www.genome.jp/entry/1.1.1.1" TargetMode="External"/><Relationship Id="rId839" Type="http://schemas.openxmlformats.org/officeDocument/2006/relationships/hyperlink" Target="https://www.genome.jp/entry/1.1.1.205" TargetMode="External"/><Relationship Id="rId1469" Type="http://schemas.openxmlformats.org/officeDocument/2006/relationships/hyperlink" Target="https://www.genome.jp/entry/2.3.1.57" TargetMode="External"/><Relationship Id="rId1676" Type="http://schemas.openxmlformats.org/officeDocument/2006/relationships/hyperlink" Target="https://www.genome.jp/entry/R00429" TargetMode="External"/><Relationship Id="rId1883" Type="http://schemas.openxmlformats.org/officeDocument/2006/relationships/hyperlink" Target="https://www.genome.jp/entry/1.8.1.9" TargetMode="External"/><Relationship Id="rId906" Type="http://schemas.openxmlformats.org/officeDocument/2006/relationships/hyperlink" Target="https://www.genome.jp/entry/R01194" TargetMode="External"/><Relationship Id="rId1329" Type="http://schemas.openxmlformats.org/officeDocument/2006/relationships/hyperlink" Target="https://www.genome.jp/entry/R04536" TargetMode="External"/><Relationship Id="rId1536" Type="http://schemas.openxmlformats.org/officeDocument/2006/relationships/hyperlink" Target="https://www.genome.jp/entry/2.7.4.8" TargetMode="External"/><Relationship Id="rId1743" Type="http://schemas.openxmlformats.org/officeDocument/2006/relationships/hyperlink" Target="https://www.genome.jp/entry/3.2.1.92" TargetMode="External"/><Relationship Id="rId1950" Type="http://schemas.openxmlformats.org/officeDocument/2006/relationships/hyperlink" Target="https://www.genome.jp/entry/R02112" TargetMode="External"/><Relationship Id="rId35" Type="http://schemas.openxmlformats.org/officeDocument/2006/relationships/hyperlink" Target="https://www.genome.jp/entry/3.2.1.52" TargetMode="External"/><Relationship Id="rId1603" Type="http://schemas.openxmlformats.org/officeDocument/2006/relationships/hyperlink" Target="https://www.genome.jp/entry/R03062" TargetMode="External"/><Relationship Id="rId1810" Type="http://schemas.openxmlformats.org/officeDocument/2006/relationships/hyperlink" Target="https://www.genome.jp/entry/4.4.1.5" TargetMode="External"/><Relationship Id="rId489" Type="http://schemas.openxmlformats.org/officeDocument/2006/relationships/hyperlink" Target="https://www.genome.jp/entry/3.2.1.21" TargetMode="External"/><Relationship Id="rId696" Type="http://schemas.openxmlformats.org/officeDocument/2006/relationships/hyperlink" Target="https://www.genome.jp/entry/R06099" TargetMode="External"/><Relationship Id="rId2377" Type="http://schemas.openxmlformats.org/officeDocument/2006/relationships/hyperlink" Target="https://www.genome.jp/entry/R00146" TargetMode="External"/><Relationship Id="rId2584" Type="http://schemas.openxmlformats.org/officeDocument/2006/relationships/hyperlink" Target="https://www.genome.jp/entry/2.7.1.33" TargetMode="External"/><Relationship Id="rId349" Type="http://schemas.openxmlformats.org/officeDocument/2006/relationships/hyperlink" Target="https://www.genome.jp/entry/3.5.4.16" TargetMode="External"/><Relationship Id="rId556" Type="http://schemas.openxmlformats.org/officeDocument/2006/relationships/hyperlink" Target="https://www.genome.jp/entry/6.3.2.17" TargetMode="External"/><Relationship Id="rId763" Type="http://schemas.openxmlformats.org/officeDocument/2006/relationships/hyperlink" Target="https://www.genome.jp/entry/2.6.1.1" TargetMode="External"/><Relationship Id="rId1186" Type="http://schemas.openxmlformats.org/officeDocument/2006/relationships/hyperlink" Target="https://www.genome.jp/entry/2.2.1.1" TargetMode="External"/><Relationship Id="rId1393" Type="http://schemas.openxmlformats.org/officeDocument/2006/relationships/hyperlink" Target="https://www.genome.jp/entry/3.2.1.93" TargetMode="External"/><Relationship Id="rId2237" Type="http://schemas.openxmlformats.org/officeDocument/2006/relationships/hyperlink" Target="https://www.genome.jp/entry/1.2.4.1" TargetMode="External"/><Relationship Id="rId2444" Type="http://schemas.openxmlformats.org/officeDocument/2006/relationships/hyperlink" Target="https://www.genome.jp/entry/R00572" TargetMode="External"/><Relationship Id="rId209" Type="http://schemas.openxmlformats.org/officeDocument/2006/relationships/hyperlink" Target="https://www.genome.jp/entry/2.3.1.41" TargetMode="External"/><Relationship Id="rId416" Type="http://schemas.openxmlformats.org/officeDocument/2006/relationships/hyperlink" Target="https://www.genome.jp/entry/R01055" TargetMode="External"/><Relationship Id="rId970" Type="http://schemas.openxmlformats.org/officeDocument/2006/relationships/hyperlink" Target="https://www.genome.jp/entry/R08558" TargetMode="External"/><Relationship Id="rId1046" Type="http://schemas.openxmlformats.org/officeDocument/2006/relationships/hyperlink" Target="https://www.genome.jp/entry/R00842" TargetMode="External"/><Relationship Id="rId1253" Type="http://schemas.openxmlformats.org/officeDocument/2006/relationships/hyperlink" Target="https://www.genome.jp/entry/2.1.1.171" TargetMode="External"/><Relationship Id="rId2651" Type="http://schemas.openxmlformats.org/officeDocument/2006/relationships/hyperlink" Target="https://www.genome.jp/entry/3.4.11.2" TargetMode="External"/><Relationship Id="rId623" Type="http://schemas.openxmlformats.org/officeDocument/2006/relationships/hyperlink" Target="https://www.genome.jp/entry/3.1.3.5" TargetMode="External"/><Relationship Id="rId830" Type="http://schemas.openxmlformats.org/officeDocument/2006/relationships/hyperlink" Target="https://www.genome.jp/entry/R00377" TargetMode="External"/><Relationship Id="rId1460" Type="http://schemas.openxmlformats.org/officeDocument/2006/relationships/hyperlink" Target="https://www.genome.jp/entry/R02722" TargetMode="External"/><Relationship Id="rId2304" Type="http://schemas.openxmlformats.org/officeDocument/2006/relationships/hyperlink" Target="https://www.genome.jp/entry/5.1.3.2" TargetMode="External"/><Relationship Id="rId2511" Type="http://schemas.openxmlformats.org/officeDocument/2006/relationships/hyperlink" Target="https://www.genome.jp/entry/2.7.1.11" TargetMode="External"/><Relationship Id="rId1113" Type="http://schemas.openxmlformats.org/officeDocument/2006/relationships/hyperlink" Target="https://www.genome.jp/entry/3.4.19.3" TargetMode="External"/><Relationship Id="rId1320" Type="http://schemas.openxmlformats.org/officeDocument/2006/relationships/hyperlink" Target="https://www.genome.jp/entry/6.1.1.20" TargetMode="External"/><Relationship Id="rId2094" Type="http://schemas.openxmlformats.org/officeDocument/2006/relationships/hyperlink" Target="https://www.genome.jp/entry/R01134" TargetMode="External"/><Relationship Id="rId273" Type="http://schemas.openxmlformats.org/officeDocument/2006/relationships/hyperlink" Target="https://www.genome.jp/entry/3.4.21.19" TargetMode="External"/><Relationship Id="rId480" Type="http://schemas.openxmlformats.org/officeDocument/2006/relationships/hyperlink" Target="https://www.genome.jp/entry/R06077" TargetMode="External"/><Relationship Id="rId2161" Type="http://schemas.openxmlformats.org/officeDocument/2006/relationships/hyperlink" Target="https://www.genome.jp/entry/5.4.99.23" TargetMode="External"/><Relationship Id="rId133" Type="http://schemas.openxmlformats.org/officeDocument/2006/relationships/hyperlink" Target="https://www.genome.jp/entry/6.4.1.2" TargetMode="External"/><Relationship Id="rId340" Type="http://schemas.openxmlformats.org/officeDocument/2006/relationships/hyperlink" Target="https://www.genome.jp/entry/R06112" TargetMode="External"/><Relationship Id="rId2021" Type="http://schemas.openxmlformats.org/officeDocument/2006/relationships/hyperlink" Target="https://www.genome.jp/entry/1.4.1.4" TargetMode="External"/><Relationship Id="rId200" Type="http://schemas.openxmlformats.org/officeDocument/2006/relationships/hyperlink" Target="https://www.genome.jp/entry/R04957" TargetMode="External"/><Relationship Id="rId1787" Type="http://schemas.openxmlformats.org/officeDocument/2006/relationships/hyperlink" Target="https://www.genome.jp/entry/2.7.7.19" TargetMode="External"/><Relationship Id="rId1994" Type="http://schemas.openxmlformats.org/officeDocument/2006/relationships/hyperlink" Target="https://www.genome.jp/entry/R00380" TargetMode="External"/><Relationship Id="rId79" Type="http://schemas.openxmlformats.org/officeDocument/2006/relationships/hyperlink" Target="https://www.genome.jp/entry/4.3.1.19" TargetMode="External"/><Relationship Id="rId1647" Type="http://schemas.openxmlformats.org/officeDocument/2006/relationships/hyperlink" Target="https://www.genome.jp/entry/R06012" TargetMode="External"/><Relationship Id="rId1854" Type="http://schemas.openxmlformats.org/officeDocument/2006/relationships/hyperlink" Target="https://www.genome.jp/entry/R01057" TargetMode="External"/><Relationship Id="rId1507" Type="http://schemas.openxmlformats.org/officeDocument/2006/relationships/hyperlink" Target="https://www.genome.jp/entry/2.1.1.193" TargetMode="External"/><Relationship Id="rId1714" Type="http://schemas.openxmlformats.org/officeDocument/2006/relationships/hyperlink" Target="https://www.genome.jp/entry/2.7.1.35" TargetMode="External"/><Relationship Id="rId1921" Type="http://schemas.openxmlformats.org/officeDocument/2006/relationships/hyperlink" Target="https://www.genome.jp/entry/3.1.2.14" TargetMode="External"/><Relationship Id="rId2488" Type="http://schemas.openxmlformats.org/officeDocument/2006/relationships/hyperlink" Target="https://www.genome.jp/entry/3.1.21.3" TargetMode="External"/><Relationship Id="rId1297" Type="http://schemas.openxmlformats.org/officeDocument/2006/relationships/hyperlink" Target="https://www.genome.jp/entry/2.7.4.6" TargetMode="External"/><Relationship Id="rId2695" Type="http://schemas.openxmlformats.org/officeDocument/2006/relationships/hyperlink" Target="https://www.genome.jp/entry/R01867" TargetMode="External"/><Relationship Id="rId667" Type="http://schemas.openxmlformats.org/officeDocument/2006/relationships/hyperlink" Target="https://www.genome.jp/entry/R05406" TargetMode="External"/><Relationship Id="rId874" Type="http://schemas.openxmlformats.org/officeDocument/2006/relationships/hyperlink" Target="https://www.genome.jp/entry/R12873" TargetMode="External"/><Relationship Id="rId2348" Type="http://schemas.openxmlformats.org/officeDocument/2006/relationships/hyperlink" Target="https://www.genome.jp/entry/R01401" TargetMode="External"/><Relationship Id="rId2555" Type="http://schemas.openxmlformats.org/officeDocument/2006/relationships/hyperlink" Target="https://www.genome.jp/entry/2.6.1.42" TargetMode="External"/><Relationship Id="rId527" Type="http://schemas.openxmlformats.org/officeDocument/2006/relationships/hyperlink" Target="https://www.genome.jp/entry/R00443" TargetMode="External"/><Relationship Id="rId734" Type="http://schemas.openxmlformats.org/officeDocument/2006/relationships/hyperlink" Target="https://www.genome.jp/entry/R12963" TargetMode="External"/><Relationship Id="rId941" Type="http://schemas.openxmlformats.org/officeDocument/2006/relationships/hyperlink" Target="https://www.genome.jp/entry/5.3.1.25" TargetMode="External"/><Relationship Id="rId1157" Type="http://schemas.openxmlformats.org/officeDocument/2006/relationships/hyperlink" Target="https://www.genome.jp/entry/R07328" TargetMode="External"/><Relationship Id="rId1364" Type="http://schemas.openxmlformats.org/officeDocument/2006/relationships/hyperlink" Target="https://www.genome.jp/entry/R03618" TargetMode="External"/><Relationship Id="rId1571" Type="http://schemas.openxmlformats.org/officeDocument/2006/relationships/hyperlink" Target="https://www.genome.jp/entry/3.2.1.26" TargetMode="External"/><Relationship Id="rId2208" Type="http://schemas.openxmlformats.org/officeDocument/2006/relationships/hyperlink" Target="https://www.genome.jp/entry/R07618" TargetMode="External"/><Relationship Id="rId2415" Type="http://schemas.openxmlformats.org/officeDocument/2006/relationships/hyperlink" Target="https://www.genome.jp/entry/1.5.1.2" TargetMode="External"/><Relationship Id="rId2622" Type="http://schemas.openxmlformats.org/officeDocument/2006/relationships/hyperlink" Target="https://www.genome.jp/entry/2.4.2.1" TargetMode="External"/><Relationship Id="rId70" Type="http://schemas.openxmlformats.org/officeDocument/2006/relationships/hyperlink" Target="https://www.genome.jp/entry/R00377" TargetMode="External"/><Relationship Id="rId801" Type="http://schemas.openxmlformats.org/officeDocument/2006/relationships/hyperlink" Target="https://www.genome.jp/entry/3.6.1.23" TargetMode="External"/><Relationship Id="rId1017" Type="http://schemas.openxmlformats.org/officeDocument/2006/relationships/hyperlink" Target="https://www.genome.jp/entry/2.2.1.7" TargetMode="External"/><Relationship Id="rId1224" Type="http://schemas.openxmlformats.org/officeDocument/2006/relationships/hyperlink" Target="https://www.genome.jp/entry/R00896" TargetMode="External"/><Relationship Id="rId1431" Type="http://schemas.openxmlformats.org/officeDocument/2006/relationships/hyperlink" Target="https://www.genome.jp/entry/3.1.21.4" TargetMode="External"/><Relationship Id="rId177" Type="http://schemas.openxmlformats.org/officeDocument/2006/relationships/hyperlink" Target="https://www.genome.jp/entry/1.1.1.100" TargetMode="External"/><Relationship Id="rId384" Type="http://schemas.openxmlformats.org/officeDocument/2006/relationships/hyperlink" Target="https://www.genome.jp/entry/R04805" TargetMode="External"/><Relationship Id="rId591" Type="http://schemas.openxmlformats.org/officeDocument/2006/relationships/hyperlink" Target="https://www.genome.jp/entry/4.3.1.17" TargetMode="External"/><Relationship Id="rId2065" Type="http://schemas.openxmlformats.org/officeDocument/2006/relationships/hyperlink" Target="https://www.genome.jp/entry/R02590" TargetMode="External"/><Relationship Id="rId2272" Type="http://schemas.openxmlformats.org/officeDocument/2006/relationships/hyperlink" Target="https://www.genome.jp/entry/1.17.4.1" TargetMode="External"/><Relationship Id="rId244" Type="http://schemas.openxmlformats.org/officeDocument/2006/relationships/hyperlink" Target="https://www.genome.jp/entry/4.2.1.17" TargetMode="External"/><Relationship Id="rId1081" Type="http://schemas.openxmlformats.org/officeDocument/2006/relationships/hyperlink" Target="https://www.genome.jp/entry/4.2.3.1" TargetMode="External"/><Relationship Id="rId451" Type="http://schemas.openxmlformats.org/officeDocument/2006/relationships/hyperlink" Target="https://www.genome.jp/entry/1.14.13.107" TargetMode="External"/><Relationship Id="rId2132" Type="http://schemas.openxmlformats.org/officeDocument/2006/relationships/hyperlink" Target="https://www.genome.jp/entry/R00513" TargetMode="External"/><Relationship Id="rId104" Type="http://schemas.openxmlformats.org/officeDocument/2006/relationships/hyperlink" Target="https://www.genome.jp/entry/R00014" TargetMode="External"/><Relationship Id="rId311" Type="http://schemas.openxmlformats.org/officeDocument/2006/relationships/hyperlink" Target="https://www.genome.jp/entry/3.2.1.70" TargetMode="External"/><Relationship Id="rId1898" Type="http://schemas.openxmlformats.org/officeDocument/2006/relationships/hyperlink" Target="https://www.genome.jp/entry/R08244" TargetMode="External"/><Relationship Id="rId1758" Type="http://schemas.openxmlformats.org/officeDocument/2006/relationships/hyperlink" Target="https://www.genome.jp/entry/R11765" TargetMode="External"/><Relationship Id="rId1965" Type="http://schemas.openxmlformats.org/officeDocument/2006/relationships/hyperlink" Target="https://www.genome.jp/entry/R01714" TargetMode="External"/><Relationship Id="rId1618" Type="http://schemas.openxmlformats.org/officeDocument/2006/relationships/hyperlink" Target="https://www.genome.jp/entry/3.2.1.18" TargetMode="External"/><Relationship Id="rId1825" Type="http://schemas.openxmlformats.org/officeDocument/2006/relationships/hyperlink" Target="https://www.genome.jp/entry/R01288" TargetMode="External"/><Relationship Id="rId2599" Type="http://schemas.openxmlformats.org/officeDocument/2006/relationships/hyperlink" Target="https://www.genome.jp/entry/R10244" TargetMode="External"/><Relationship Id="rId778" Type="http://schemas.openxmlformats.org/officeDocument/2006/relationships/hyperlink" Target="https://www.genome.jp/entry/R05052" TargetMode="External"/><Relationship Id="rId985" Type="http://schemas.openxmlformats.org/officeDocument/2006/relationships/hyperlink" Target="https://www.genome.jp/entry/2.7.2.2" TargetMode="External"/><Relationship Id="rId2459" Type="http://schemas.openxmlformats.org/officeDocument/2006/relationships/hyperlink" Target="https://www.genome.jp/entry/2.7.1.11" TargetMode="External"/><Relationship Id="rId2666" Type="http://schemas.openxmlformats.org/officeDocument/2006/relationships/hyperlink" Target="https://www.genome.jp/entry/R03659" TargetMode="External"/><Relationship Id="rId638" Type="http://schemas.openxmlformats.org/officeDocument/2006/relationships/hyperlink" Target="https://www.genome.jp/entry/2.4.2.1" TargetMode="External"/><Relationship Id="rId845" Type="http://schemas.openxmlformats.org/officeDocument/2006/relationships/hyperlink" Target="https://www.genome.jp/entry/2.5.1.47" TargetMode="External"/><Relationship Id="rId1268" Type="http://schemas.openxmlformats.org/officeDocument/2006/relationships/hyperlink" Target="https://www.genome.jp/entry/R10813" TargetMode="External"/><Relationship Id="rId1475" Type="http://schemas.openxmlformats.org/officeDocument/2006/relationships/hyperlink" Target="https://www.genome.jp/entry/2.7.1.69" TargetMode="External"/><Relationship Id="rId1682" Type="http://schemas.openxmlformats.org/officeDocument/2006/relationships/hyperlink" Target="https://www.genome.jp/entry/1.4.3.19" TargetMode="External"/><Relationship Id="rId2319" Type="http://schemas.openxmlformats.org/officeDocument/2006/relationships/hyperlink" Target="https://www.genome.jp/entry/4.3.3.7" TargetMode="External"/><Relationship Id="rId2526" Type="http://schemas.openxmlformats.org/officeDocument/2006/relationships/hyperlink" Target="https://www.genome.jp/entry/R02071" TargetMode="External"/><Relationship Id="rId705" Type="http://schemas.openxmlformats.org/officeDocument/2006/relationships/hyperlink" Target="https://www.genome.jp/entry/3.2.1.52" TargetMode="External"/><Relationship Id="rId1128" Type="http://schemas.openxmlformats.org/officeDocument/2006/relationships/hyperlink" Target="https://www.genome.jp/entry/1.1.1.1" TargetMode="External"/><Relationship Id="rId1335" Type="http://schemas.openxmlformats.org/officeDocument/2006/relationships/hyperlink" Target="https://www.genome.jp/entry/R04953" TargetMode="External"/><Relationship Id="rId1542" Type="http://schemas.openxmlformats.org/officeDocument/2006/relationships/hyperlink" Target="https://www.genome.jp/entry/2.7.7.6" TargetMode="External"/><Relationship Id="rId912" Type="http://schemas.openxmlformats.org/officeDocument/2006/relationships/hyperlink" Target="https://www.genome.jp/entry/R03618" TargetMode="External"/><Relationship Id="rId41" Type="http://schemas.openxmlformats.org/officeDocument/2006/relationships/hyperlink" Target="https://www.genome.jp/entry/3.2.1.52" TargetMode="External"/><Relationship Id="rId1402" Type="http://schemas.openxmlformats.org/officeDocument/2006/relationships/hyperlink" Target="https://www.genome.jp/entry/5.1.3.2" TargetMode="External"/><Relationship Id="rId288" Type="http://schemas.openxmlformats.org/officeDocument/2006/relationships/hyperlink" Target="https://www.genome.jp/entry/3.2.1.97" TargetMode="External"/><Relationship Id="rId495" Type="http://schemas.openxmlformats.org/officeDocument/2006/relationships/hyperlink" Target="https://www.genome.jp/entry/3.2.1.21" TargetMode="External"/><Relationship Id="rId2176" Type="http://schemas.openxmlformats.org/officeDocument/2006/relationships/hyperlink" Target="https://www.genome.jp/entry/R06186" TargetMode="External"/><Relationship Id="rId2383" Type="http://schemas.openxmlformats.org/officeDocument/2006/relationships/hyperlink" Target="https://www.genome.jp/entry/1.4.1.1" TargetMode="External"/><Relationship Id="rId2590" Type="http://schemas.openxmlformats.org/officeDocument/2006/relationships/hyperlink" Target="https://www.genome.jp/entry/2.4.2.1" TargetMode="External"/><Relationship Id="rId148" Type="http://schemas.openxmlformats.org/officeDocument/2006/relationships/hyperlink" Target="https://www.genome.jp/entry/R04952" TargetMode="External"/><Relationship Id="rId355" Type="http://schemas.openxmlformats.org/officeDocument/2006/relationships/hyperlink" Target="https://www.genome.jp/entry/3.5.4.16" TargetMode="External"/><Relationship Id="rId562" Type="http://schemas.openxmlformats.org/officeDocument/2006/relationships/hyperlink" Target="https://www.genome.jp/entry/R00066" TargetMode="External"/><Relationship Id="rId1192" Type="http://schemas.openxmlformats.org/officeDocument/2006/relationships/hyperlink" Target="https://www.genome.jp/entry/2.2.1.1" TargetMode="External"/><Relationship Id="rId2036" Type="http://schemas.openxmlformats.org/officeDocument/2006/relationships/hyperlink" Target="https://www.genome.jp/entry/6.3.5.5" TargetMode="External"/><Relationship Id="rId2243" Type="http://schemas.openxmlformats.org/officeDocument/2006/relationships/hyperlink" Target="https://www.genome.jp/entry/3.6.1.55" TargetMode="External"/><Relationship Id="rId2450" Type="http://schemas.openxmlformats.org/officeDocument/2006/relationships/hyperlink" Target="https://www.genome.jp/entry/R01138" TargetMode="External"/><Relationship Id="rId215" Type="http://schemas.openxmlformats.org/officeDocument/2006/relationships/hyperlink" Target="https://www.genome.jp/entry/4.2.1.17" TargetMode="External"/><Relationship Id="rId422" Type="http://schemas.openxmlformats.org/officeDocument/2006/relationships/hyperlink" Target="https://www.genome.jp/entry/2.7.7.7" TargetMode="External"/><Relationship Id="rId1052" Type="http://schemas.openxmlformats.org/officeDocument/2006/relationships/hyperlink" Target="https://www.genome.jp/entry/R03646" TargetMode="External"/><Relationship Id="rId2103" Type="http://schemas.openxmlformats.org/officeDocument/2006/relationships/hyperlink" Target="https://www.genome.jp/entry/R01154" TargetMode="External"/><Relationship Id="rId2310" Type="http://schemas.openxmlformats.org/officeDocument/2006/relationships/hyperlink" Target="https://www.genome.jp/entry/R00945" TargetMode="External"/><Relationship Id="rId1869" Type="http://schemas.openxmlformats.org/officeDocument/2006/relationships/hyperlink" Target="https://www.genome.jp/entry/R03654" TargetMode="External"/><Relationship Id="rId1729" Type="http://schemas.openxmlformats.org/officeDocument/2006/relationships/hyperlink" Target="https://www.genome.jp/entry/1.8.1.4" TargetMode="External"/><Relationship Id="rId1936" Type="http://schemas.openxmlformats.org/officeDocument/2006/relationships/hyperlink" Target="https://www.genome.jp/entry/3.6.3.27" TargetMode="External"/><Relationship Id="rId5" Type="http://schemas.openxmlformats.org/officeDocument/2006/relationships/hyperlink" Target="https://www.genome.jp/entry/2.7.2.3" TargetMode="External"/><Relationship Id="rId889" Type="http://schemas.openxmlformats.org/officeDocument/2006/relationships/hyperlink" Target="https://www.genome.jp/entry/6.1.1.13" TargetMode="External"/><Relationship Id="rId749" Type="http://schemas.openxmlformats.org/officeDocument/2006/relationships/hyperlink" Target="https://www.genome.jp/entry/2.1.2.3" TargetMode="External"/><Relationship Id="rId1379" Type="http://schemas.openxmlformats.org/officeDocument/2006/relationships/hyperlink" Target="https://www.genome.jp/entry/3.2.1.22" TargetMode="External"/><Relationship Id="rId1586" Type="http://schemas.openxmlformats.org/officeDocument/2006/relationships/hyperlink" Target="https://www.genome.jp/entry/R00867" TargetMode="External"/><Relationship Id="rId609" Type="http://schemas.openxmlformats.org/officeDocument/2006/relationships/hyperlink" Target="https://www.genome.jp/entry/3.1.3.5" TargetMode="External"/><Relationship Id="rId956" Type="http://schemas.openxmlformats.org/officeDocument/2006/relationships/hyperlink" Target="https://www.genome.jp/entry/R05233" TargetMode="External"/><Relationship Id="rId1239" Type="http://schemas.openxmlformats.org/officeDocument/2006/relationships/hyperlink" Target="https://www.genome.jp/entry/4.1.1.20" TargetMode="External"/><Relationship Id="rId1793" Type="http://schemas.openxmlformats.org/officeDocument/2006/relationships/hyperlink" Target="https://www.genome.jp/entry/R05635" TargetMode="External"/><Relationship Id="rId2637" Type="http://schemas.openxmlformats.org/officeDocument/2006/relationships/hyperlink" Target="https://www.genome.jp/entry/R01057" TargetMode="External"/><Relationship Id="rId85" Type="http://schemas.openxmlformats.org/officeDocument/2006/relationships/hyperlink" Target="https://www.genome.jp/entry/4.3.1.19" TargetMode="External"/><Relationship Id="rId816" Type="http://schemas.openxmlformats.org/officeDocument/2006/relationships/hyperlink" Target="https://www.genome.jp/entry/R08238" TargetMode="External"/><Relationship Id="rId1446" Type="http://schemas.openxmlformats.org/officeDocument/2006/relationships/hyperlink" Target="https://www.genome.jp/entry/R00986" TargetMode="External"/><Relationship Id="rId1653" Type="http://schemas.openxmlformats.org/officeDocument/2006/relationships/hyperlink" Target="https://www.genome.jp/entry/R08194" TargetMode="External"/><Relationship Id="rId1860" Type="http://schemas.openxmlformats.org/officeDocument/2006/relationships/hyperlink" Target="https://www.genome.jp/entry/R00335" TargetMode="External"/><Relationship Id="rId1306" Type="http://schemas.openxmlformats.org/officeDocument/2006/relationships/hyperlink" Target="https://www.genome.jp/entry/R03530" TargetMode="External"/><Relationship Id="rId1513" Type="http://schemas.openxmlformats.org/officeDocument/2006/relationships/hyperlink" Target="https://www.genome.jp/entry/1.8.1.9" TargetMode="External"/><Relationship Id="rId1720" Type="http://schemas.openxmlformats.org/officeDocument/2006/relationships/hyperlink" Target="https://www.genome.jp/entry/3.4.13.9" TargetMode="External"/><Relationship Id="rId12" Type="http://schemas.openxmlformats.org/officeDocument/2006/relationships/hyperlink" Target="https://www.genome.jp/entry/R01512" TargetMode="External"/><Relationship Id="rId399" Type="http://schemas.openxmlformats.org/officeDocument/2006/relationships/hyperlink" Target="https://www.genome.jp/entry/1.1.1.1" TargetMode="External"/><Relationship Id="rId2287" Type="http://schemas.openxmlformats.org/officeDocument/2006/relationships/hyperlink" Target="https://www.genome.jp/entry/4.1.2.40" TargetMode="External"/><Relationship Id="rId2494" Type="http://schemas.openxmlformats.org/officeDocument/2006/relationships/hyperlink" Target="https://www.genome.jp/entry/R07461" TargetMode="External"/><Relationship Id="rId259" Type="http://schemas.openxmlformats.org/officeDocument/2006/relationships/hyperlink" Target="https://www.genome.jp/entry/R01775" TargetMode="External"/><Relationship Id="rId466" Type="http://schemas.openxmlformats.org/officeDocument/2006/relationships/hyperlink" Target="https://www.genome.jp/entry/R00306" TargetMode="External"/><Relationship Id="rId673" Type="http://schemas.openxmlformats.org/officeDocument/2006/relationships/hyperlink" Target="https://www.genome.jp/entry/R10619" TargetMode="External"/><Relationship Id="rId880" Type="http://schemas.openxmlformats.org/officeDocument/2006/relationships/hyperlink" Target="https://www.genome.jp/entry/R02718" TargetMode="External"/><Relationship Id="rId1096" Type="http://schemas.openxmlformats.org/officeDocument/2006/relationships/hyperlink" Target="https://www.genome.jp/entry/R02323" TargetMode="External"/><Relationship Id="rId2147" Type="http://schemas.openxmlformats.org/officeDocument/2006/relationships/hyperlink" Target="https://www.genome.jp/entry/R00164" TargetMode="External"/><Relationship Id="rId2354" Type="http://schemas.openxmlformats.org/officeDocument/2006/relationships/hyperlink" Target="https://www.genome.jp/entry/R12621" TargetMode="External"/><Relationship Id="rId2561" Type="http://schemas.openxmlformats.org/officeDocument/2006/relationships/hyperlink" Target="https://www.genome.jp/entry/3.6.3.17" TargetMode="External"/><Relationship Id="rId119" Type="http://schemas.openxmlformats.org/officeDocument/2006/relationships/hyperlink" Target="https://www.genome.jp/entry/2.2.1.6" TargetMode="External"/><Relationship Id="rId326" Type="http://schemas.openxmlformats.org/officeDocument/2006/relationships/hyperlink" Target="https://www.genome.jp/entry/R01740" TargetMode="External"/><Relationship Id="rId533" Type="http://schemas.openxmlformats.org/officeDocument/2006/relationships/hyperlink" Target="https://www.genome.jp/entry/R01547" TargetMode="External"/><Relationship Id="rId1163" Type="http://schemas.openxmlformats.org/officeDocument/2006/relationships/hyperlink" Target="https://www.genome.jp/entry/R01041" TargetMode="External"/><Relationship Id="rId1370" Type="http://schemas.openxmlformats.org/officeDocument/2006/relationships/hyperlink" Target="https://www.genome.jp/entry/R04470" TargetMode="External"/><Relationship Id="rId2007" Type="http://schemas.openxmlformats.org/officeDocument/2006/relationships/hyperlink" Target="https://www.genome.jp/entry/R02029" TargetMode="External"/><Relationship Id="rId2214" Type="http://schemas.openxmlformats.org/officeDocument/2006/relationships/hyperlink" Target="https://www.genome.jp/entry/R01701" TargetMode="External"/><Relationship Id="rId740" Type="http://schemas.openxmlformats.org/officeDocument/2006/relationships/hyperlink" Target="https://www.genome.jp/entry/R12851" TargetMode="External"/><Relationship Id="rId1023" Type="http://schemas.openxmlformats.org/officeDocument/2006/relationships/hyperlink" Target="https://www.genome.jp/entry/4.2.1.9" TargetMode="External"/><Relationship Id="rId2421" Type="http://schemas.openxmlformats.org/officeDocument/2006/relationships/hyperlink" Target="https://www.genome.jp/entry/3.5.1.28" TargetMode="External"/><Relationship Id="rId600" Type="http://schemas.openxmlformats.org/officeDocument/2006/relationships/hyperlink" Target="https://www.genome.jp/entry/R00183" TargetMode="External"/><Relationship Id="rId1230" Type="http://schemas.openxmlformats.org/officeDocument/2006/relationships/hyperlink" Target="https://www.genome.jp/entry/R05052" TargetMode="External"/><Relationship Id="rId183" Type="http://schemas.openxmlformats.org/officeDocument/2006/relationships/hyperlink" Target="https://www.genome.jp/entry/1.1.1.100" TargetMode="External"/><Relationship Id="rId390" Type="http://schemas.openxmlformats.org/officeDocument/2006/relationships/hyperlink" Target="https://www.genome.jp/entry/R05234" TargetMode="External"/><Relationship Id="rId1907" Type="http://schemas.openxmlformats.org/officeDocument/2006/relationships/hyperlink" Target="https://www.genome.jp/entry/R10209" TargetMode="External"/><Relationship Id="rId2071" Type="http://schemas.openxmlformats.org/officeDocument/2006/relationships/hyperlink" Target="https://www.genome.jp/entry/1.1.1.85" TargetMode="External"/><Relationship Id="rId250" Type="http://schemas.openxmlformats.org/officeDocument/2006/relationships/hyperlink" Target="https://www.genome.jp/entry/4.2.1.17" TargetMode="External"/><Relationship Id="rId110" Type="http://schemas.openxmlformats.org/officeDocument/2006/relationships/hyperlink" Target="https://www.genome.jp/entry/R04673" TargetMode="External"/><Relationship Id="rId1697" Type="http://schemas.openxmlformats.org/officeDocument/2006/relationships/hyperlink" Target="https://www.genome.jp/entry/R00418" TargetMode="External"/><Relationship Id="rId927" Type="http://schemas.openxmlformats.org/officeDocument/2006/relationships/hyperlink" Target="https://www.genome.jp/entry/3.2.1.22" TargetMode="External"/><Relationship Id="rId1557" Type="http://schemas.openxmlformats.org/officeDocument/2006/relationships/hyperlink" Target="https://www.genome.jp/entry/2.7.11.1" TargetMode="External"/><Relationship Id="rId1764" Type="http://schemas.openxmlformats.org/officeDocument/2006/relationships/hyperlink" Target="https://www.genome.jp/entry/R03596" TargetMode="External"/><Relationship Id="rId1971" Type="http://schemas.openxmlformats.org/officeDocument/2006/relationships/hyperlink" Target="https://www.genome.jp/entry/R03460" TargetMode="External"/><Relationship Id="rId2608" Type="http://schemas.openxmlformats.org/officeDocument/2006/relationships/hyperlink" Target="https://www.genome.jp/entry/2.4.2.1" TargetMode="External"/><Relationship Id="rId56" Type="http://schemas.openxmlformats.org/officeDocument/2006/relationships/hyperlink" Target="https://www.genome.jp/entry/R03256" TargetMode="External"/><Relationship Id="rId1417" Type="http://schemas.openxmlformats.org/officeDocument/2006/relationships/hyperlink" Target="https://www.genome.jp/entry/1.1.1.90" TargetMode="External"/><Relationship Id="rId1624" Type="http://schemas.openxmlformats.org/officeDocument/2006/relationships/hyperlink" Target="https://www.genome.jp/entry/3.2.1.18" TargetMode="External"/><Relationship Id="rId1831" Type="http://schemas.openxmlformats.org/officeDocument/2006/relationships/hyperlink" Target="https://www.genome.jp/entry/R04944" TargetMode="External"/><Relationship Id="rId2398" Type="http://schemas.openxmlformats.org/officeDocument/2006/relationships/hyperlink" Target="https://www.genome.jp/entry/R00376" TargetMode="External"/><Relationship Id="rId577" Type="http://schemas.openxmlformats.org/officeDocument/2006/relationships/hyperlink" Target="https://www.genome.jp/entry/4.3.1.17" TargetMode="External"/><Relationship Id="rId2258" Type="http://schemas.openxmlformats.org/officeDocument/2006/relationships/hyperlink" Target="https://www.genome.jp/entry/1.17.4.1" TargetMode="External"/><Relationship Id="rId784" Type="http://schemas.openxmlformats.org/officeDocument/2006/relationships/hyperlink" Target="https://www.genome.jp/entry/R00376" TargetMode="External"/><Relationship Id="rId991" Type="http://schemas.openxmlformats.org/officeDocument/2006/relationships/hyperlink" Target="https://www.genome.jp/entry/3.5.3.6" TargetMode="External"/><Relationship Id="rId1067" Type="http://schemas.openxmlformats.org/officeDocument/2006/relationships/hyperlink" Target="https://www.genome.jp/entry/6.1.1.17" TargetMode="External"/><Relationship Id="rId2465" Type="http://schemas.openxmlformats.org/officeDocument/2006/relationships/hyperlink" Target="https://www.genome.jp/entry/2.7.1.11" TargetMode="External"/><Relationship Id="rId2672" Type="http://schemas.openxmlformats.org/officeDocument/2006/relationships/hyperlink" Target="https://www.genome.jp/entry/R00094" TargetMode="External"/><Relationship Id="rId437" Type="http://schemas.openxmlformats.org/officeDocument/2006/relationships/hyperlink" Target="https://www.genome.jp/entry/R00377" TargetMode="External"/><Relationship Id="rId644" Type="http://schemas.openxmlformats.org/officeDocument/2006/relationships/hyperlink" Target="https://www.genome.jp/entry/2.4.2.1" TargetMode="External"/><Relationship Id="rId851" Type="http://schemas.openxmlformats.org/officeDocument/2006/relationships/hyperlink" Target="https://www.genome.jp/entry/2.5.1.47" TargetMode="External"/><Relationship Id="rId1274" Type="http://schemas.openxmlformats.org/officeDocument/2006/relationships/hyperlink" Target="https://www.genome.jp/entry/R00441" TargetMode="External"/><Relationship Id="rId1481" Type="http://schemas.openxmlformats.org/officeDocument/2006/relationships/hyperlink" Target="https://www.genome.jp/entry/3.1.6.1" TargetMode="External"/><Relationship Id="rId2118" Type="http://schemas.openxmlformats.org/officeDocument/2006/relationships/hyperlink" Target="https://www.genome.jp/entry/2.5.1.49" TargetMode="External"/><Relationship Id="rId2325" Type="http://schemas.openxmlformats.org/officeDocument/2006/relationships/hyperlink" Target="https://www.genome.jp/entry/1.8.1.8" TargetMode="External"/><Relationship Id="rId2532" Type="http://schemas.openxmlformats.org/officeDocument/2006/relationships/hyperlink" Target="https://www.genome.jp/entry/2.8.1.7" TargetMode="External"/><Relationship Id="rId504" Type="http://schemas.openxmlformats.org/officeDocument/2006/relationships/hyperlink" Target="https://www.genome.jp/entry/R06447" TargetMode="External"/><Relationship Id="rId711" Type="http://schemas.openxmlformats.org/officeDocument/2006/relationships/hyperlink" Target="https://www.genome.jp/entry/3.2.1.52" TargetMode="External"/><Relationship Id="rId1134" Type="http://schemas.openxmlformats.org/officeDocument/2006/relationships/hyperlink" Target="https://www.genome.jp/entry/1.1.1.1" TargetMode="External"/><Relationship Id="rId1341" Type="http://schemas.openxmlformats.org/officeDocument/2006/relationships/hyperlink" Target="https://www.genome.jp/entry/R10116" TargetMode="External"/><Relationship Id="rId1201" Type="http://schemas.openxmlformats.org/officeDocument/2006/relationships/hyperlink" Target="https://www.genome.jp/entry/3.2.1.86" TargetMode="External"/><Relationship Id="rId294" Type="http://schemas.openxmlformats.org/officeDocument/2006/relationships/hyperlink" Target="https://www.genome.jp/entry/1.1.1.133" TargetMode="External"/><Relationship Id="rId2182" Type="http://schemas.openxmlformats.org/officeDocument/2006/relationships/hyperlink" Target="https://www.genome.jp/entry/R02421" TargetMode="External"/><Relationship Id="rId154" Type="http://schemas.openxmlformats.org/officeDocument/2006/relationships/hyperlink" Target="https://www.genome.jp/entry/R04963" TargetMode="External"/><Relationship Id="rId361" Type="http://schemas.openxmlformats.org/officeDocument/2006/relationships/hyperlink" Target="https://www.genome.jp/entry/6.3.2.17" TargetMode="External"/><Relationship Id="rId2042" Type="http://schemas.openxmlformats.org/officeDocument/2006/relationships/hyperlink" Target="https://www.genome.jp/entry/6.3.5.5" TargetMode="External"/><Relationship Id="rId459" Type="http://schemas.openxmlformats.org/officeDocument/2006/relationships/hyperlink" Target="https://www.genome.jp/entry/3.2.1.86" TargetMode="External"/><Relationship Id="rId666" Type="http://schemas.openxmlformats.org/officeDocument/2006/relationships/hyperlink" Target="https://www.genome.jp/entry/1.13.11.2" TargetMode="External"/><Relationship Id="rId873" Type="http://schemas.openxmlformats.org/officeDocument/2006/relationships/hyperlink" Target="https://www.genome.jp/entry/6.1.1.13" TargetMode="External"/><Relationship Id="rId1089" Type="http://schemas.openxmlformats.org/officeDocument/2006/relationships/hyperlink" Target="https://www.genome.jp/entry/3.1.3.5" TargetMode="External"/><Relationship Id="rId1296" Type="http://schemas.openxmlformats.org/officeDocument/2006/relationships/hyperlink" Target="https://www.genome.jp/entry/R01137" TargetMode="External"/><Relationship Id="rId2347" Type="http://schemas.openxmlformats.org/officeDocument/2006/relationships/hyperlink" Target="https://www.genome.jp/entry/3.2.2.16" TargetMode="External"/><Relationship Id="rId2554" Type="http://schemas.openxmlformats.org/officeDocument/2006/relationships/hyperlink" Target="https://www.genome.jp/entry/R01090" TargetMode="External"/><Relationship Id="rId221" Type="http://schemas.openxmlformats.org/officeDocument/2006/relationships/hyperlink" Target="https://www.genome.jp/entry/4.2.1.17" TargetMode="External"/><Relationship Id="rId319" Type="http://schemas.openxmlformats.org/officeDocument/2006/relationships/hyperlink" Target="https://www.genome.jp/entry/2.7.1.69" TargetMode="External"/><Relationship Id="rId526" Type="http://schemas.openxmlformats.org/officeDocument/2006/relationships/hyperlink" Target="https://www.genome.jp/entry/2.7.7.6" TargetMode="External"/><Relationship Id="rId1156" Type="http://schemas.openxmlformats.org/officeDocument/2006/relationships/hyperlink" Target="https://www.genome.jp/entry/1.1.1.2" TargetMode="External"/><Relationship Id="rId1363" Type="http://schemas.openxmlformats.org/officeDocument/2006/relationships/hyperlink" Target="https://www.genome.jp/entry/3.2.1.22" TargetMode="External"/><Relationship Id="rId2207" Type="http://schemas.openxmlformats.org/officeDocument/2006/relationships/hyperlink" Target="https://www.genome.jp/entry/1.8.1.4" TargetMode="External"/><Relationship Id="rId733" Type="http://schemas.openxmlformats.org/officeDocument/2006/relationships/hyperlink" Target="https://www.genome.jp/entry/3.2.1.52" TargetMode="External"/><Relationship Id="rId940" Type="http://schemas.openxmlformats.org/officeDocument/2006/relationships/hyperlink" Target="https://www.genome.jp/entry/R12696" TargetMode="External"/><Relationship Id="rId1016" Type="http://schemas.openxmlformats.org/officeDocument/2006/relationships/hyperlink" Target="https://www.genome.jp/entry/R06863" TargetMode="External"/><Relationship Id="rId1570" Type="http://schemas.openxmlformats.org/officeDocument/2006/relationships/hyperlink" Target="https://www.genome.jp/entry/R03635" TargetMode="External"/><Relationship Id="rId1668" Type="http://schemas.openxmlformats.org/officeDocument/2006/relationships/hyperlink" Target="https://www.genome.jp/entry/R01150" TargetMode="External"/><Relationship Id="rId1875" Type="http://schemas.openxmlformats.org/officeDocument/2006/relationships/hyperlink" Target="https://www.genome.jp/entry/2.1.1.63" TargetMode="External"/><Relationship Id="rId2414" Type="http://schemas.openxmlformats.org/officeDocument/2006/relationships/hyperlink" Target="https://www.genome.jp/entry/R03291" TargetMode="External"/><Relationship Id="rId2621" Type="http://schemas.openxmlformats.org/officeDocument/2006/relationships/hyperlink" Target="https://www.genome.jp/entry/R10244" TargetMode="External"/><Relationship Id="rId800" Type="http://schemas.openxmlformats.org/officeDocument/2006/relationships/hyperlink" Target="https://www.genome.jp/entry/R02100" TargetMode="External"/><Relationship Id="rId1223" Type="http://schemas.openxmlformats.org/officeDocument/2006/relationships/hyperlink" Target="https://www.genome.jp/entry/2.6.1.1" TargetMode="External"/><Relationship Id="rId1430" Type="http://schemas.openxmlformats.org/officeDocument/2006/relationships/hyperlink" Target="https://www.genome.jp/entry/R02961" TargetMode="External"/><Relationship Id="rId1528" Type="http://schemas.openxmlformats.org/officeDocument/2006/relationships/hyperlink" Target="https://www.genome.jp/entry/2.1.1.156" TargetMode="External"/><Relationship Id="rId1735" Type="http://schemas.openxmlformats.org/officeDocument/2006/relationships/hyperlink" Target="https://www.genome.jp/entry/2.4.2.7" TargetMode="External"/><Relationship Id="rId1942" Type="http://schemas.openxmlformats.org/officeDocument/2006/relationships/hyperlink" Target="https://www.genome.jp/entry/1.3.1.98" TargetMode="External"/><Relationship Id="rId27" Type="http://schemas.openxmlformats.org/officeDocument/2006/relationships/hyperlink" Target="https://www.genome.jp/entry/3.2.1.52" TargetMode="External"/><Relationship Id="rId1802" Type="http://schemas.openxmlformats.org/officeDocument/2006/relationships/hyperlink" Target="https://www.genome.jp/entry/2.6.1.1" TargetMode="External"/><Relationship Id="rId176" Type="http://schemas.openxmlformats.org/officeDocument/2006/relationships/hyperlink" Target="https://www.genome.jp/entry/R04953" TargetMode="External"/><Relationship Id="rId383" Type="http://schemas.openxmlformats.org/officeDocument/2006/relationships/hyperlink" Target="https://www.genome.jp/entry/1.1.1.1" TargetMode="External"/><Relationship Id="rId590" Type="http://schemas.openxmlformats.org/officeDocument/2006/relationships/hyperlink" Target="https://www.genome.jp/entry/R00590" TargetMode="External"/><Relationship Id="rId2064" Type="http://schemas.openxmlformats.org/officeDocument/2006/relationships/hyperlink" Target="https://www.genome.jp/entry/2.7.7.15" TargetMode="External"/><Relationship Id="rId2271" Type="http://schemas.openxmlformats.org/officeDocument/2006/relationships/hyperlink" Target="https://www.genome.jp/entry/R02019" TargetMode="External"/><Relationship Id="rId243" Type="http://schemas.openxmlformats.org/officeDocument/2006/relationships/hyperlink" Target="https://www.genome.jp/entry/R03224" TargetMode="External"/><Relationship Id="rId450" Type="http://schemas.openxmlformats.org/officeDocument/2006/relationships/hyperlink" Target="https://www.genome.jp/entry/R09389" TargetMode="External"/><Relationship Id="rId688" Type="http://schemas.openxmlformats.org/officeDocument/2006/relationships/hyperlink" Target="https://www.genome.jp/entry/R05112" TargetMode="External"/><Relationship Id="rId895" Type="http://schemas.openxmlformats.org/officeDocument/2006/relationships/hyperlink" Target="https://www.genome.jp/entry/2.7.1.5" TargetMode="External"/><Relationship Id="rId1080" Type="http://schemas.openxmlformats.org/officeDocument/2006/relationships/hyperlink" Target="https://www.genome.jp/entry/R01466" TargetMode="External"/><Relationship Id="rId2131" Type="http://schemas.openxmlformats.org/officeDocument/2006/relationships/hyperlink" Target="https://www.genome.jp/entry/2.7.1.48" TargetMode="External"/><Relationship Id="rId2369" Type="http://schemas.openxmlformats.org/officeDocument/2006/relationships/hyperlink" Target="https://www.genome.jp/entry/R01869" TargetMode="External"/><Relationship Id="rId2576" Type="http://schemas.openxmlformats.org/officeDocument/2006/relationships/hyperlink" Target="https://www.genome.jp/entry/2.4.2.2" TargetMode="External"/><Relationship Id="rId103" Type="http://schemas.openxmlformats.org/officeDocument/2006/relationships/hyperlink" Target="https://www.genome.jp/entry/2.2.1.6" TargetMode="External"/><Relationship Id="rId310" Type="http://schemas.openxmlformats.org/officeDocument/2006/relationships/hyperlink" Target="https://www.genome.jp/entry/R02585" TargetMode="External"/><Relationship Id="rId548" Type="http://schemas.openxmlformats.org/officeDocument/2006/relationships/hyperlink" Target="https://www.genome.jp/entry/6.3.2.17" TargetMode="External"/><Relationship Id="rId755" Type="http://schemas.openxmlformats.org/officeDocument/2006/relationships/hyperlink" Target="https://www.genome.jp/entry/6.3.3.1" TargetMode="External"/><Relationship Id="rId962" Type="http://schemas.openxmlformats.org/officeDocument/2006/relationships/hyperlink" Target="https://www.genome.jp/entry/R06927" TargetMode="External"/><Relationship Id="rId1178" Type="http://schemas.openxmlformats.org/officeDocument/2006/relationships/hyperlink" Target="https://www.genome.jp/entry/5.1.3.22" TargetMode="External"/><Relationship Id="rId1385" Type="http://schemas.openxmlformats.org/officeDocument/2006/relationships/hyperlink" Target="https://www.genome.jp/entry/3.2.1.22" TargetMode="External"/><Relationship Id="rId1592" Type="http://schemas.openxmlformats.org/officeDocument/2006/relationships/hyperlink" Target="https://www.genome.jp/entry/R05706" TargetMode="External"/><Relationship Id="rId2229" Type="http://schemas.openxmlformats.org/officeDocument/2006/relationships/hyperlink" Target="https://www.genome.jp/entry/1.2.4.4" TargetMode="External"/><Relationship Id="rId2436" Type="http://schemas.openxmlformats.org/officeDocument/2006/relationships/hyperlink" Target="https://www.genome.jp/entry/R08359" TargetMode="External"/><Relationship Id="rId2643" Type="http://schemas.openxmlformats.org/officeDocument/2006/relationships/hyperlink" Target="https://www.genome.jp/entry/R09030" TargetMode="External"/><Relationship Id="rId91" Type="http://schemas.openxmlformats.org/officeDocument/2006/relationships/hyperlink" Target="https://www.genome.jp/entry/1.1.1.86" TargetMode="External"/><Relationship Id="rId408" Type="http://schemas.openxmlformats.org/officeDocument/2006/relationships/hyperlink" Target="https://www.genome.jp/entry/R08310" TargetMode="External"/><Relationship Id="rId615" Type="http://schemas.openxmlformats.org/officeDocument/2006/relationships/hyperlink" Target="https://www.genome.jp/entry/3.1.3.5" TargetMode="External"/><Relationship Id="rId822" Type="http://schemas.openxmlformats.org/officeDocument/2006/relationships/hyperlink" Target="https://www.genome.jp/entry/R04238" TargetMode="External"/><Relationship Id="rId1038" Type="http://schemas.openxmlformats.org/officeDocument/2006/relationships/hyperlink" Target="https://www.genome.jp/entry/2.3.1.117" TargetMode="External"/><Relationship Id="rId1245" Type="http://schemas.openxmlformats.org/officeDocument/2006/relationships/hyperlink" Target="https://www.genome.jp/entry/3.6.1.7" TargetMode="External"/><Relationship Id="rId1452" Type="http://schemas.openxmlformats.org/officeDocument/2006/relationships/hyperlink" Target="https://www.genome.jp/entry/R03508" TargetMode="External"/><Relationship Id="rId1897" Type="http://schemas.openxmlformats.org/officeDocument/2006/relationships/hyperlink" Target="https://www.genome.jp/entry/6.3.5.2" TargetMode="External"/><Relationship Id="rId2503" Type="http://schemas.openxmlformats.org/officeDocument/2006/relationships/hyperlink" Target="https://www.genome.jp/entry/2.7.1.11" TargetMode="External"/><Relationship Id="rId1105" Type="http://schemas.openxmlformats.org/officeDocument/2006/relationships/hyperlink" Target="https://www.genome.jp/entry/3.1.3.5" TargetMode="External"/><Relationship Id="rId1312" Type="http://schemas.openxmlformats.org/officeDocument/2006/relationships/hyperlink" Target="https://www.genome.jp/entry/R11895" TargetMode="External"/><Relationship Id="rId1757" Type="http://schemas.openxmlformats.org/officeDocument/2006/relationships/hyperlink" Target="https://www.genome.jp/entry/1.5.1.3" TargetMode="External"/><Relationship Id="rId1964" Type="http://schemas.openxmlformats.org/officeDocument/2006/relationships/hyperlink" Target="https://www.genome.jp/entry/4.2.3.5" TargetMode="External"/><Relationship Id="rId49" Type="http://schemas.openxmlformats.org/officeDocument/2006/relationships/hyperlink" Target="https://www.genome.jp/entry/3.6.1.27" TargetMode="External"/><Relationship Id="rId1617" Type="http://schemas.openxmlformats.org/officeDocument/2006/relationships/hyperlink" Target="https://www.genome.jp/entry/R05996" TargetMode="External"/><Relationship Id="rId1824" Type="http://schemas.openxmlformats.org/officeDocument/2006/relationships/hyperlink" Target="https://www.genome.jp/entry/2.5.1.48" TargetMode="External"/><Relationship Id="rId198" Type="http://schemas.openxmlformats.org/officeDocument/2006/relationships/hyperlink" Target="https://www.genome.jp/entry/R04952" TargetMode="External"/><Relationship Id="rId2086" Type="http://schemas.openxmlformats.org/officeDocument/2006/relationships/hyperlink" Target="https://www.genome.jp/entry/R00994" TargetMode="External"/><Relationship Id="rId2293" Type="http://schemas.openxmlformats.org/officeDocument/2006/relationships/hyperlink" Target="https://www.genome.jp/entry/5.3.1.26" TargetMode="External"/><Relationship Id="rId2598" Type="http://schemas.openxmlformats.org/officeDocument/2006/relationships/hyperlink" Target="https://www.genome.jp/entry/2.4.2.1" TargetMode="External"/><Relationship Id="rId265" Type="http://schemas.openxmlformats.org/officeDocument/2006/relationships/hyperlink" Target="https://www.genome.jp/entry/R03662" TargetMode="External"/><Relationship Id="rId472" Type="http://schemas.openxmlformats.org/officeDocument/2006/relationships/hyperlink" Target="https://www.genome.jp/entry/R02985" TargetMode="External"/><Relationship Id="rId2153" Type="http://schemas.openxmlformats.org/officeDocument/2006/relationships/hyperlink" Target="https://www.genome.jp/entry/2.8.1.7" TargetMode="External"/><Relationship Id="rId2360" Type="http://schemas.openxmlformats.org/officeDocument/2006/relationships/hyperlink" Target="https://www.genome.jp/entry/2.7.1.24" TargetMode="External"/><Relationship Id="rId125" Type="http://schemas.openxmlformats.org/officeDocument/2006/relationships/hyperlink" Target="https://www.genome.jp/entry/2.2.1.6" TargetMode="External"/><Relationship Id="rId332" Type="http://schemas.openxmlformats.org/officeDocument/2006/relationships/hyperlink" Target="https://www.genome.jp/entry/R06242" TargetMode="External"/><Relationship Id="rId777" Type="http://schemas.openxmlformats.org/officeDocument/2006/relationships/hyperlink" Target="https://www.genome.jp/entry/2.6.1.1" TargetMode="External"/><Relationship Id="rId984" Type="http://schemas.openxmlformats.org/officeDocument/2006/relationships/hyperlink" Target="https://www.genome.jp/entry/R00150" TargetMode="External"/><Relationship Id="rId2013" Type="http://schemas.openxmlformats.org/officeDocument/2006/relationships/hyperlink" Target="https://www.genome.jp/entry/R08221" TargetMode="External"/><Relationship Id="rId2220" Type="http://schemas.openxmlformats.org/officeDocument/2006/relationships/hyperlink" Target="https://www.genome.jp/entry/R07599" TargetMode="External"/><Relationship Id="rId2458" Type="http://schemas.openxmlformats.org/officeDocument/2006/relationships/hyperlink" Target="https://www.genome.jp/entry/R00756" TargetMode="External"/><Relationship Id="rId2665" Type="http://schemas.openxmlformats.org/officeDocument/2006/relationships/hyperlink" Target="https://www.genome.jp/entry/6.1.1.10" TargetMode="External"/><Relationship Id="rId637" Type="http://schemas.openxmlformats.org/officeDocument/2006/relationships/hyperlink" Target="https://www.genome.jp/entry/R01561" TargetMode="External"/><Relationship Id="rId844" Type="http://schemas.openxmlformats.org/officeDocument/2006/relationships/hyperlink" Target="https://www.genome.jp/entry/R01801" TargetMode="External"/><Relationship Id="rId1267" Type="http://schemas.openxmlformats.org/officeDocument/2006/relationships/hyperlink" Target="https://www.genome.jp/entry/2.7.7.6" TargetMode="External"/><Relationship Id="rId1474" Type="http://schemas.openxmlformats.org/officeDocument/2006/relationships/hyperlink" Target="https://www.genome.jp/entry/R06204" TargetMode="External"/><Relationship Id="rId1681" Type="http://schemas.openxmlformats.org/officeDocument/2006/relationships/hyperlink" Target="https://www.genome.jp/entry/2.1.1.217" TargetMode="External"/><Relationship Id="rId2318" Type="http://schemas.openxmlformats.org/officeDocument/2006/relationships/hyperlink" Target="https://www.genome.jp/entry/R08233" TargetMode="External"/><Relationship Id="rId2525" Type="http://schemas.openxmlformats.org/officeDocument/2006/relationships/hyperlink" Target="https://www.genome.jp/entry/2.7.1.56" TargetMode="External"/><Relationship Id="rId704" Type="http://schemas.openxmlformats.org/officeDocument/2006/relationships/hyperlink" Target="https://www.genome.jp/entry/R07807" TargetMode="External"/><Relationship Id="rId911" Type="http://schemas.openxmlformats.org/officeDocument/2006/relationships/hyperlink" Target="https://www.genome.jp/entry/3.2.1.22" TargetMode="External"/><Relationship Id="rId1127" Type="http://schemas.openxmlformats.org/officeDocument/2006/relationships/hyperlink" Target="https://www.genome.jp/entry/R04805" TargetMode="External"/><Relationship Id="rId1334" Type="http://schemas.openxmlformats.org/officeDocument/2006/relationships/hyperlink" Target="https://www.genome.jp/entry/1.1.1.100" TargetMode="External"/><Relationship Id="rId1541" Type="http://schemas.openxmlformats.org/officeDocument/2006/relationships/hyperlink" Target="https://www.genome.jp/entry/R00435" TargetMode="External"/><Relationship Id="rId1779" Type="http://schemas.openxmlformats.org/officeDocument/2006/relationships/hyperlink" Target="https://www.genome.jp/entry/2.7.7.72" TargetMode="External"/><Relationship Id="rId1986" Type="http://schemas.openxmlformats.org/officeDocument/2006/relationships/hyperlink" Target="https://www.genome.jp/entry/2.7.1.39" TargetMode="External"/><Relationship Id="rId40" Type="http://schemas.openxmlformats.org/officeDocument/2006/relationships/hyperlink" Target="https://www.genome.jp/entry/R11317" TargetMode="External"/><Relationship Id="rId1401" Type="http://schemas.openxmlformats.org/officeDocument/2006/relationships/hyperlink" Target="https://www.genome.jp/entry/3.6.3.34" TargetMode="External"/><Relationship Id="rId1639" Type="http://schemas.openxmlformats.org/officeDocument/2006/relationships/hyperlink" Target="https://www.genome.jp/entry/R05117" TargetMode="External"/><Relationship Id="rId1846" Type="http://schemas.openxmlformats.org/officeDocument/2006/relationships/hyperlink" Target="https://www.genome.jp/entry/3.6.3.14" TargetMode="External"/><Relationship Id="rId1706" Type="http://schemas.openxmlformats.org/officeDocument/2006/relationships/hyperlink" Target="https://www.genome.jp/entry/2.7.4.14" TargetMode="External"/><Relationship Id="rId1913" Type="http://schemas.openxmlformats.org/officeDocument/2006/relationships/hyperlink" Target="https://www.genome.jp/entry/3.1.2.14" TargetMode="External"/><Relationship Id="rId287" Type="http://schemas.openxmlformats.org/officeDocument/2006/relationships/hyperlink" Target="https://www.genome.jp/entry/R07234" TargetMode="External"/><Relationship Id="rId494" Type="http://schemas.openxmlformats.org/officeDocument/2006/relationships/hyperlink" Target="https://www.genome.jp/entry/R13052" TargetMode="External"/><Relationship Id="rId2175" Type="http://schemas.openxmlformats.org/officeDocument/2006/relationships/hyperlink" Target="https://www.genome.jp/entry/2.4.1.18" TargetMode="External"/><Relationship Id="rId2382" Type="http://schemas.openxmlformats.org/officeDocument/2006/relationships/hyperlink" Target="https://www.genome.jp/entry/R00145" TargetMode="External"/><Relationship Id="rId147" Type="http://schemas.openxmlformats.org/officeDocument/2006/relationships/hyperlink" Target="https://www.genome.jp/entry/2.3.1.179" TargetMode="External"/><Relationship Id="rId354" Type="http://schemas.openxmlformats.org/officeDocument/2006/relationships/hyperlink" Target="https://www.genome.jp/entry/R05046" TargetMode="External"/><Relationship Id="rId799" Type="http://schemas.openxmlformats.org/officeDocument/2006/relationships/hyperlink" Target="https://www.genome.jp/entry/3.6.1.23" TargetMode="External"/><Relationship Id="rId1191" Type="http://schemas.openxmlformats.org/officeDocument/2006/relationships/hyperlink" Target="https://www.genome.jp/entry/R06861" TargetMode="External"/><Relationship Id="rId2035" Type="http://schemas.openxmlformats.org/officeDocument/2006/relationships/hyperlink" Target="https://www.genome.jp/entry/R00575" TargetMode="External"/><Relationship Id="rId2687" Type="http://schemas.openxmlformats.org/officeDocument/2006/relationships/hyperlink" Target="https://www.genome.jp/entry/2.1.1.228" TargetMode="External"/><Relationship Id="rId561" Type="http://schemas.openxmlformats.org/officeDocument/2006/relationships/hyperlink" Target="https://www.genome.jp/entry/2.5.1.9" TargetMode="External"/><Relationship Id="rId659" Type="http://schemas.openxmlformats.org/officeDocument/2006/relationships/hyperlink" Target="https://www.genome.jp/entry/R00816" TargetMode="External"/><Relationship Id="rId866" Type="http://schemas.openxmlformats.org/officeDocument/2006/relationships/hyperlink" Target="https://www.genome.jp/entry/R12812" TargetMode="External"/><Relationship Id="rId1289" Type="http://schemas.openxmlformats.org/officeDocument/2006/relationships/hyperlink" Target="https://www.genome.jp/entry/2.7.4.6" TargetMode="External"/><Relationship Id="rId1496" Type="http://schemas.openxmlformats.org/officeDocument/2006/relationships/hyperlink" Target="https://www.genome.jp/entry/3.2.1.26" TargetMode="External"/><Relationship Id="rId2242" Type="http://schemas.openxmlformats.org/officeDocument/2006/relationships/hyperlink" Target="https://www.genome.jp/entry/R01993" TargetMode="External"/><Relationship Id="rId2547" Type="http://schemas.openxmlformats.org/officeDocument/2006/relationships/hyperlink" Target="https://www.genome.jp/entry/R11029" TargetMode="External"/><Relationship Id="rId214" Type="http://schemas.openxmlformats.org/officeDocument/2006/relationships/hyperlink" Target="https://www.genome.jp/entry/R02685" TargetMode="External"/><Relationship Id="rId421" Type="http://schemas.openxmlformats.org/officeDocument/2006/relationships/hyperlink" Target="https://www.genome.jp/entry/R00375" TargetMode="External"/><Relationship Id="rId519" Type="http://schemas.openxmlformats.org/officeDocument/2006/relationships/hyperlink" Target="https://www.genome.jp/entry/R00444" TargetMode="External"/><Relationship Id="rId1051" Type="http://schemas.openxmlformats.org/officeDocument/2006/relationships/hyperlink" Target="https://www.genome.jp/entry/6.1.1.19" TargetMode="External"/><Relationship Id="rId1149" Type="http://schemas.openxmlformats.org/officeDocument/2006/relationships/hyperlink" Target="https://www.genome.jp/entry/R00624" TargetMode="External"/><Relationship Id="rId1356" Type="http://schemas.openxmlformats.org/officeDocument/2006/relationships/hyperlink" Target="https://www.genome.jp/entry/R01104" TargetMode="External"/><Relationship Id="rId2102" Type="http://schemas.openxmlformats.org/officeDocument/2006/relationships/hyperlink" Target="https://www.genome.jp/entry/2.3.1.57" TargetMode="External"/><Relationship Id="rId726" Type="http://schemas.openxmlformats.org/officeDocument/2006/relationships/hyperlink" Target="https://www.genome.jp/entry/R09323" TargetMode="External"/><Relationship Id="rId933" Type="http://schemas.openxmlformats.org/officeDocument/2006/relationships/hyperlink" Target="https://www.genome.jp/entry/3.2.1.22" TargetMode="External"/><Relationship Id="rId1009" Type="http://schemas.openxmlformats.org/officeDocument/2006/relationships/hyperlink" Target="https://www.genome.jp/entry/2.2.1.1" TargetMode="External"/><Relationship Id="rId1563" Type="http://schemas.openxmlformats.org/officeDocument/2006/relationships/hyperlink" Target="https://www.genome.jp/entry/3.2.1.26" TargetMode="External"/><Relationship Id="rId1770" Type="http://schemas.openxmlformats.org/officeDocument/2006/relationships/hyperlink" Target="https://www.genome.jp/entry/R10159" TargetMode="External"/><Relationship Id="rId1868" Type="http://schemas.openxmlformats.org/officeDocument/2006/relationships/hyperlink" Target="https://www.genome.jp/entry/6.1.1.14" TargetMode="External"/><Relationship Id="rId2407" Type="http://schemas.openxmlformats.org/officeDocument/2006/relationships/hyperlink" Target="https://www.genome.jp/entry/2.7.4.9" TargetMode="External"/><Relationship Id="rId2614" Type="http://schemas.openxmlformats.org/officeDocument/2006/relationships/hyperlink" Target="https://www.genome.jp/entry/2.4.2.1" TargetMode="External"/><Relationship Id="rId62" Type="http://schemas.openxmlformats.org/officeDocument/2006/relationships/hyperlink" Target="https://www.genome.jp/entry/R06987" TargetMode="External"/><Relationship Id="rId1216" Type="http://schemas.openxmlformats.org/officeDocument/2006/relationships/hyperlink" Target="https://www.genome.jp/entry/R00355" TargetMode="External"/><Relationship Id="rId1423" Type="http://schemas.openxmlformats.org/officeDocument/2006/relationships/hyperlink" Target="https://www.genome.jp/entry/2.7.1.6" TargetMode="External"/><Relationship Id="rId1630" Type="http://schemas.openxmlformats.org/officeDocument/2006/relationships/hyperlink" Target="https://www.genome.jp/entry/3.2.1.18" TargetMode="External"/><Relationship Id="rId1728" Type="http://schemas.openxmlformats.org/officeDocument/2006/relationships/hyperlink" Target="https://www.genome.jp/entry/R03815" TargetMode="External"/><Relationship Id="rId1935" Type="http://schemas.openxmlformats.org/officeDocument/2006/relationships/hyperlink" Target="https://www.genome.jp/entry/2.1.1.178" TargetMode="External"/><Relationship Id="rId2197" Type="http://schemas.openxmlformats.org/officeDocument/2006/relationships/hyperlink" Target="https://www.genome.jp/entry/3.1.26.4" TargetMode="External"/><Relationship Id="rId169" Type="http://schemas.openxmlformats.org/officeDocument/2006/relationships/hyperlink" Target="https://www.genome.jp/entry/1.1.1.100" TargetMode="External"/><Relationship Id="rId376" Type="http://schemas.openxmlformats.org/officeDocument/2006/relationships/hyperlink" Target="https://www.genome.jp/entry/R00623" TargetMode="External"/><Relationship Id="rId583" Type="http://schemas.openxmlformats.org/officeDocument/2006/relationships/hyperlink" Target="https://www.genome.jp/entry/4.3.1.17" TargetMode="External"/><Relationship Id="rId790" Type="http://schemas.openxmlformats.org/officeDocument/2006/relationships/hyperlink" Target="https://www.genome.jp/entry/R11029" TargetMode="External"/><Relationship Id="rId2057" Type="http://schemas.openxmlformats.org/officeDocument/2006/relationships/hyperlink" Target="https://www.genome.jp/entry/R05633" TargetMode="External"/><Relationship Id="rId2264" Type="http://schemas.openxmlformats.org/officeDocument/2006/relationships/hyperlink" Target="https://www.genome.jp/entry/1.17.4.1" TargetMode="External"/><Relationship Id="rId2471" Type="http://schemas.openxmlformats.org/officeDocument/2006/relationships/hyperlink" Target="https://www.genome.jp/entry/2.7.1.11" TargetMode="External"/><Relationship Id="rId4" Type="http://schemas.openxmlformats.org/officeDocument/2006/relationships/hyperlink" Target="https://www.genome.jp/entry/R01512" TargetMode="External"/><Relationship Id="rId236" Type="http://schemas.openxmlformats.org/officeDocument/2006/relationships/hyperlink" Target="https://www.genome.jp/entry/4.2.1.17" TargetMode="External"/><Relationship Id="rId443" Type="http://schemas.openxmlformats.org/officeDocument/2006/relationships/hyperlink" Target="https://www.genome.jp/entry/R00335" TargetMode="External"/><Relationship Id="rId650" Type="http://schemas.openxmlformats.org/officeDocument/2006/relationships/hyperlink" Target="https://www.genome.jp/entry/2.4.2.1" TargetMode="External"/><Relationship Id="rId888" Type="http://schemas.openxmlformats.org/officeDocument/2006/relationships/hyperlink" Target="https://www.genome.jp/entry/R12871" TargetMode="External"/><Relationship Id="rId1073" Type="http://schemas.openxmlformats.org/officeDocument/2006/relationships/hyperlink" Target="https://www.genome.jp/entry/3.5.4.5" TargetMode="External"/><Relationship Id="rId1280" Type="http://schemas.openxmlformats.org/officeDocument/2006/relationships/hyperlink" Target="https://www.genome.jp/entry/R10813" TargetMode="External"/><Relationship Id="rId2124" Type="http://schemas.openxmlformats.org/officeDocument/2006/relationships/hyperlink" Target="https://www.genome.jp/entry/4.4.1.11" TargetMode="External"/><Relationship Id="rId2331" Type="http://schemas.openxmlformats.org/officeDocument/2006/relationships/hyperlink" Target="https://www.genome.jp/entry/3.1.4.46" TargetMode="External"/><Relationship Id="rId2569" Type="http://schemas.openxmlformats.org/officeDocument/2006/relationships/hyperlink" Target="https://www.genome.jp/entry/R01066" TargetMode="External"/><Relationship Id="rId303" Type="http://schemas.openxmlformats.org/officeDocument/2006/relationships/hyperlink" Target="https://www.genome.jp/entry/R00286" TargetMode="External"/><Relationship Id="rId748" Type="http://schemas.openxmlformats.org/officeDocument/2006/relationships/hyperlink" Target="https://www.genome.jp/entry/R04144" TargetMode="External"/><Relationship Id="rId955" Type="http://schemas.openxmlformats.org/officeDocument/2006/relationships/hyperlink" Target="https://www.genome.jp/entry/1.1.1.1" TargetMode="External"/><Relationship Id="rId1140" Type="http://schemas.openxmlformats.org/officeDocument/2006/relationships/hyperlink" Target="https://www.genome.jp/entry/1.1.1.1" TargetMode="External"/><Relationship Id="rId1378" Type="http://schemas.openxmlformats.org/officeDocument/2006/relationships/hyperlink" Target="https://www.genome.jp/entry/R06091" TargetMode="External"/><Relationship Id="rId1585" Type="http://schemas.openxmlformats.org/officeDocument/2006/relationships/hyperlink" Target="https://www.genome.jp/entry/2.7.1.4" TargetMode="External"/><Relationship Id="rId1792" Type="http://schemas.openxmlformats.org/officeDocument/2006/relationships/hyperlink" Target="https://www.genome.jp/entry/3.5.1.88" TargetMode="External"/><Relationship Id="rId2429" Type="http://schemas.openxmlformats.org/officeDocument/2006/relationships/hyperlink" Target="https://www.genome.jp/entry/3.5.3.12" TargetMode="External"/><Relationship Id="rId2636" Type="http://schemas.openxmlformats.org/officeDocument/2006/relationships/hyperlink" Target="https://www.genome.jp/entry/5.4.2.7" TargetMode="External"/><Relationship Id="rId84" Type="http://schemas.openxmlformats.org/officeDocument/2006/relationships/hyperlink" Target="https://www.genome.jp/entry/R00220" TargetMode="External"/><Relationship Id="rId510" Type="http://schemas.openxmlformats.org/officeDocument/2006/relationships/hyperlink" Target="https://www.genome.jp/entry/1.1.1.6" TargetMode="External"/><Relationship Id="rId608" Type="http://schemas.openxmlformats.org/officeDocument/2006/relationships/hyperlink" Target="https://www.genome.jp/entry/R01227" TargetMode="External"/><Relationship Id="rId815" Type="http://schemas.openxmlformats.org/officeDocument/2006/relationships/hyperlink" Target="https://www.genome.jp/entry/2.4.2.8" TargetMode="External"/><Relationship Id="rId1238" Type="http://schemas.openxmlformats.org/officeDocument/2006/relationships/hyperlink" Target="https://www.genome.jp/entry/R00619" TargetMode="External"/><Relationship Id="rId1445" Type="http://schemas.openxmlformats.org/officeDocument/2006/relationships/hyperlink" Target="https://www.genome.jp/entry/4.1.3.27" TargetMode="External"/><Relationship Id="rId1652" Type="http://schemas.openxmlformats.org/officeDocument/2006/relationships/hyperlink" Target="https://www.genome.jp/entry/1.1.1.292" TargetMode="External"/><Relationship Id="rId1000" Type="http://schemas.openxmlformats.org/officeDocument/2006/relationships/hyperlink" Target="https://www.genome.jp/entry/R08718" TargetMode="External"/><Relationship Id="rId1305" Type="http://schemas.openxmlformats.org/officeDocument/2006/relationships/hyperlink" Target="https://www.genome.jp/entry/2.7.4.6" TargetMode="External"/><Relationship Id="rId1957" Type="http://schemas.openxmlformats.org/officeDocument/2006/relationships/hyperlink" Target="https://www.genome.jp/entry/R03084" TargetMode="External"/><Relationship Id="rId1512" Type="http://schemas.openxmlformats.org/officeDocument/2006/relationships/hyperlink" Target="https://www.genome.jp/entry/R02016" TargetMode="External"/><Relationship Id="rId1817" Type="http://schemas.openxmlformats.org/officeDocument/2006/relationships/hyperlink" Target="https://www.genome.jp/entry/6.3.2.7" TargetMode="External"/><Relationship Id="rId11" Type="http://schemas.openxmlformats.org/officeDocument/2006/relationships/hyperlink" Target="https://www.genome.jp/entry/2.7.2.3" TargetMode="External"/><Relationship Id="rId398" Type="http://schemas.openxmlformats.org/officeDocument/2006/relationships/hyperlink" Target="https://www.genome.jp/entry/R08306" TargetMode="External"/><Relationship Id="rId2079" Type="http://schemas.openxmlformats.org/officeDocument/2006/relationships/hyperlink" Target="https://www.genome.jp/entry/1.1.1.85" TargetMode="External"/><Relationship Id="rId160" Type="http://schemas.openxmlformats.org/officeDocument/2006/relationships/hyperlink" Target="https://www.genome.jp/entry/R10115" TargetMode="External"/><Relationship Id="rId2286" Type="http://schemas.openxmlformats.org/officeDocument/2006/relationships/hyperlink" Target="https://www.genome.jp/entry/2.7.1.69" TargetMode="External"/><Relationship Id="rId2493" Type="http://schemas.openxmlformats.org/officeDocument/2006/relationships/hyperlink" Target="https://www.genome.jp/entry/2.8.1.4" TargetMode="External"/><Relationship Id="rId258" Type="http://schemas.openxmlformats.org/officeDocument/2006/relationships/hyperlink" Target="https://www.genome.jp/entry/1.1.1.3" TargetMode="External"/><Relationship Id="rId465" Type="http://schemas.openxmlformats.org/officeDocument/2006/relationships/hyperlink" Target="https://www.genome.jp/entry/3.2.1.21" TargetMode="External"/><Relationship Id="rId672" Type="http://schemas.openxmlformats.org/officeDocument/2006/relationships/hyperlink" Target="https://www.genome.jp/entry/5.1.3.3" TargetMode="External"/><Relationship Id="rId1095" Type="http://schemas.openxmlformats.org/officeDocument/2006/relationships/hyperlink" Target="https://www.genome.jp/entry/3.1.3.5" TargetMode="External"/><Relationship Id="rId2146" Type="http://schemas.openxmlformats.org/officeDocument/2006/relationships/hyperlink" Target="https://www.genome.jp/entry/3.1.3.16" TargetMode="External"/><Relationship Id="rId2353" Type="http://schemas.openxmlformats.org/officeDocument/2006/relationships/hyperlink" Target="https://www.genome.jp/entry/3.2.2.9" TargetMode="External"/><Relationship Id="rId2560" Type="http://schemas.openxmlformats.org/officeDocument/2006/relationships/hyperlink" Target="https://www.genome.jp/entry/R10991" TargetMode="External"/><Relationship Id="rId118" Type="http://schemas.openxmlformats.org/officeDocument/2006/relationships/hyperlink" Target="https://www.genome.jp/entry/R00014" TargetMode="External"/><Relationship Id="rId325" Type="http://schemas.openxmlformats.org/officeDocument/2006/relationships/hyperlink" Target="https://www.genome.jp/entry/1.1.1.69" TargetMode="External"/><Relationship Id="rId532" Type="http://schemas.openxmlformats.org/officeDocument/2006/relationships/hyperlink" Target="https://www.genome.jp/entry/2.7.4.3" TargetMode="External"/><Relationship Id="rId977" Type="http://schemas.openxmlformats.org/officeDocument/2006/relationships/hyperlink" Target="https://www.genome.jp/entry/1.1.1.1" TargetMode="External"/><Relationship Id="rId1162" Type="http://schemas.openxmlformats.org/officeDocument/2006/relationships/hyperlink" Target="https://www.genome.jp/entry/1.1.1.2" TargetMode="External"/><Relationship Id="rId2006" Type="http://schemas.openxmlformats.org/officeDocument/2006/relationships/hyperlink" Target="https://www.genome.jp/entry/3.1.3.27" TargetMode="External"/><Relationship Id="rId2213" Type="http://schemas.openxmlformats.org/officeDocument/2006/relationships/hyperlink" Target="https://www.genome.jp/entry/1.2.4.4" TargetMode="External"/><Relationship Id="rId2420" Type="http://schemas.openxmlformats.org/officeDocument/2006/relationships/hyperlink" Target="https://www.genome.jp/entry/R00239" TargetMode="External"/><Relationship Id="rId2658" Type="http://schemas.openxmlformats.org/officeDocument/2006/relationships/hyperlink" Target="https://www.genome.jp/entry/R02553" TargetMode="External"/><Relationship Id="rId837" Type="http://schemas.openxmlformats.org/officeDocument/2006/relationships/hyperlink" Target="https://www.genome.jp/entry/6.1.1.2" TargetMode="External"/><Relationship Id="rId1022" Type="http://schemas.openxmlformats.org/officeDocument/2006/relationships/hyperlink" Target="https://www.genome.jp/entry/R04441" TargetMode="External"/><Relationship Id="rId1467" Type="http://schemas.openxmlformats.org/officeDocument/2006/relationships/hyperlink" Target="https://www.genome.jp/entry/2.3.1.57" TargetMode="External"/><Relationship Id="rId1674" Type="http://schemas.openxmlformats.org/officeDocument/2006/relationships/hyperlink" Target="https://www.genome.jp/entry/R03656" TargetMode="External"/><Relationship Id="rId1881" Type="http://schemas.openxmlformats.org/officeDocument/2006/relationships/hyperlink" Target="https://www.genome.jp/entry/1.8.1.9" TargetMode="External"/><Relationship Id="rId2518" Type="http://schemas.openxmlformats.org/officeDocument/2006/relationships/hyperlink" Target="https://www.genome.jp/entry/R02071" TargetMode="External"/><Relationship Id="rId904" Type="http://schemas.openxmlformats.org/officeDocument/2006/relationships/hyperlink" Target="https://www.genome.jp/entry/R01104" TargetMode="External"/><Relationship Id="rId1327" Type="http://schemas.openxmlformats.org/officeDocument/2006/relationships/hyperlink" Target="https://www.genome.jp/entry/R04534" TargetMode="External"/><Relationship Id="rId1534" Type="http://schemas.openxmlformats.org/officeDocument/2006/relationships/hyperlink" Target="https://www.genome.jp/entry/2.7.4.8" TargetMode="External"/><Relationship Id="rId1741" Type="http://schemas.openxmlformats.org/officeDocument/2006/relationships/hyperlink" Target="https://www.genome.jp/entry/5.3.1.1" TargetMode="External"/><Relationship Id="rId1979" Type="http://schemas.openxmlformats.org/officeDocument/2006/relationships/hyperlink" Target="https://www.genome.jp/entry/R05327" TargetMode="External"/><Relationship Id="rId33" Type="http://schemas.openxmlformats.org/officeDocument/2006/relationships/hyperlink" Target="https://www.genome.jp/entry/3.2.1.52" TargetMode="External"/><Relationship Id="rId1601" Type="http://schemas.openxmlformats.org/officeDocument/2006/relationships/hyperlink" Target="https://www.genome.jp/entry/3.6.4.12" TargetMode="External"/><Relationship Id="rId1839" Type="http://schemas.openxmlformats.org/officeDocument/2006/relationships/hyperlink" Target="https://www.genome.jp/entry/3.6.3.14" TargetMode="External"/><Relationship Id="rId182" Type="http://schemas.openxmlformats.org/officeDocument/2006/relationships/hyperlink" Target="https://www.genome.jp/entry/R10116" TargetMode="External"/><Relationship Id="rId1906" Type="http://schemas.openxmlformats.org/officeDocument/2006/relationships/hyperlink" Target="https://www.genome.jp/entry/2.4.2.29" TargetMode="External"/><Relationship Id="rId487" Type="http://schemas.openxmlformats.org/officeDocument/2006/relationships/hyperlink" Target="https://www.genome.jp/entry/3.2.1.21" TargetMode="External"/><Relationship Id="rId694" Type="http://schemas.openxmlformats.org/officeDocument/2006/relationships/hyperlink" Target="https://www.genome.jp/entry/R06098" TargetMode="External"/><Relationship Id="rId2070" Type="http://schemas.openxmlformats.org/officeDocument/2006/relationships/hyperlink" Target="https://www.genome.jp/entry/R04426" TargetMode="External"/><Relationship Id="rId2168" Type="http://schemas.openxmlformats.org/officeDocument/2006/relationships/hyperlink" Target="https://www.genome.jp/entry/6.5.1.2" TargetMode="External"/><Relationship Id="rId2375" Type="http://schemas.openxmlformats.org/officeDocument/2006/relationships/hyperlink" Target="https://www.genome.jp/entry/R00145" TargetMode="External"/><Relationship Id="rId347" Type="http://schemas.openxmlformats.org/officeDocument/2006/relationships/hyperlink" Target="https://www.genome.jp/entry/3.5.4.16" TargetMode="External"/><Relationship Id="rId999" Type="http://schemas.openxmlformats.org/officeDocument/2006/relationships/hyperlink" Target="https://www.genome.jp/entry/3.2.1.24" TargetMode="External"/><Relationship Id="rId1184" Type="http://schemas.openxmlformats.org/officeDocument/2006/relationships/hyperlink" Target="https://www.genome.jp/entry/2.2.1.1" TargetMode="External"/><Relationship Id="rId2028" Type="http://schemas.openxmlformats.org/officeDocument/2006/relationships/hyperlink" Target="https://www.genome.jp/entry/R00691" TargetMode="External"/><Relationship Id="rId2582" Type="http://schemas.openxmlformats.org/officeDocument/2006/relationships/hyperlink" Target="https://www.genome.jp/entry/2.7.1.33" TargetMode="External"/><Relationship Id="rId554" Type="http://schemas.openxmlformats.org/officeDocument/2006/relationships/hyperlink" Target="https://www.genome.jp/entry/6.3.2.17" TargetMode="External"/><Relationship Id="rId761" Type="http://schemas.openxmlformats.org/officeDocument/2006/relationships/hyperlink" Target="https://www.genome.jp/entry/6.3.2.6" TargetMode="External"/><Relationship Id="rId859" Type="http://schemas.openxmlformats.org/officeDocument/2006/relationships/hyperlink" Target="https://www.genome.jp/entry/2.7.1.30" TargetMode="External"/><Relationship Id="rId1391" Type="http://schemas.openxmlformats.org/officeDocument/2006/relationships/hyperlink" Target="https://www.genome.jp/entry/2.4.1.7" TargetMode="External"/><Relationship Id="rId1489" Type="http://schemas.openxmlformats.org/officeDocument/2006/relationships/hyperlink" Target="https://www.genome.jp/entry/R00802" TargetMode="External"/><Relationship Id="rId1696" Type="http://schemas.openxmlformats.org/officeDocument/2006/relationships/hyperlink" Target="https://www.genome.jp/entry/5.1.3.2" TargetMode="External"/><Relationship Id="rId2235" Type="http://schemas.openxmlformats.org/officeDocument/2006/relationships/hyperlink" Target="https://www.genome.jp/entry/1.2.4.1" TargetMode="External"/><Relationship Id="rId2442" Type="http://schemas.openxmlformats.org/officeDocument/2006/relationships/hyperlink" Target="https://www.genome.jp/entry/R00430" TargetMode="External"/><Relationship Id="rId207" Type="http://schemas.openxmlformats.org/officeDocument/2006/relationships/hyperlink" Target="https://www.genome.jp/entry/2.3.1.41" TargetMode="External"/><Relationship Id="rId414" Type="http://schemas.openxmlformats.org/officeDocument/2006/relationships/hyperlink" Target="https://www.genome.jp/entry/3.4.22.40" TargetMode="External"/><Relationship Id="rId621" Type="http://schemas.openxmlformats.org/officeDocument/2006/relationships/hyperlink" Target="https://www.genome.jp/entry/3.1.3.5" TargetMode="External"/><Relationship Id="rId1044" Type="http://schemas.openxmlformats.org/officeDocument/2006/relationships/hyperlink" Target="https://www.genome.jp/entry/R00289" TargetMode="External"/><Relationship Id="rId1251" Type="http://schemas.openxmlformats.org/officeDocument/2006/relationships/hyperlink" Target="https://www.genome.jp/entry/6.3.1.1" TargetMode="External"/><Relationship Id="rId1349" Type="http://schemas.openxmlformats.org/officeDocument/2006/relationships/hyperlink" Target="https://www.genome.jp/entry/6.3.4.15" TargetMode="External"/><Relationship Id="rId2302" Type="http://schemas.openxmlformats.org/officeDocument/2006/relationships/hyperlink" Target="https://www.genome.jp/entry/5.1.3.2" TargetMode="External"/><Relationship Id="rId719" Type="http://schemas.openxmlformats.org/officeDocument/2006/relationships/hyperlink" Target="https://www.genome.jp/entry/3.2.1.52" TargetMode="External"/><Relationship Id="rId926" Type="http://schemas.openxmlformats.org/officeDocument/2006/relationships/hyperlink" Target="https://www.genome.jp/entry/R06091" TargetMode="External"/><Relationship Id="rId1111" Type="http://schemas.openxmlformats.org/officeDocument/2006/relationships/hyperlink" Target="https://www.genome.jp/entry/3.1.3.5" TargetMode="External"/><Relationship Id="rId1556" Type="http://schemas.openxmlformats.org/officeDocument/2006/relationships/hyperlink" Target="https://www.genome.jp/entry/R00162" TargetMode="External"/><Relationship Id="rId1763" Type="http://schemas.openxmlformats.org/officeDocument/2006/relationships/hyperlink" Target="https://www.genome.jp/entry/1.8.1.9" TargetMode="External"/><Relationship Id="rId1970" Type="http://schemas.openxmlformats.org/officeDocument/2006/relationships/hyperlink" Target="https://www.genome.jp/entry/2.5.1.19" TargetMode="External"/><Relationship Id="rId2607" Type="http://schemas.openxmlformats.org/officeDocument/2006/relationships/hyperlink" Target="https://www.genome.jp/entry/R02294" TargetMode="External"/><Relationship Id="rId55" Type="http://schemas.openxmlformats.org/officeDocument/2006/relationships/hyperlink" Target="https://www.genome.jp/entry/3.2.1.85" TargetMode="External"/><Relationship Id="rId1209" Type="http://schemas.openxmlformats.org/officeDocument/2006/relationships/hyperlink" Target="https://www.genome.jp/entry/5.4.99.26" TargetMode="External"/><Relationship Id="rId1416" Type="http://schemas.openxmlformats.org/officeDocument/2006/relationships/hyperlink" Target="https://www.genome.jp/entry/R04304" TargetMode="External"/><Relationship Id="rId1623" Type="http://schemas.openxmlformats.org/officeDocument/2006/relationships/hyperlink" Target="https://www.genome.jp/entry/R06012" TargetMode="External"/><Relationship Id="rId1830" Type="http://schemas.openxmlformats.org/officeDocument/2006/relationships/hyperlink" Target="https://www.genome.jp/entry/2.5.1.48" TargetMode="External"/><Relationship Id="rId1928" Type="http://schemas.openxmlformats.org/officeDocument/2006/relationships/hyperlink" Target="https://www.genome.jp/entry/R07343" TargetMode="External"/><Relationship Id="rId2092" Type="http://schemas.openxmlformats.org/officeDocument/2006/relationships/hyperlink" Target="https://www.genome.jp/entry/R10170" TargetMode="External"/><Relationship Id="rId271" Type="http://schemas.openxmlformats.org/officeDocument/2006/relationships/hyperlink" Target="https://www.genome.jp/entry/5.2.1.8" TargetMode="External"/><Relationship Id="rId2397" Type="http://schemas.openxmlformats.org/officeDocument/2006/relationships/hyperlink" Target="https://www.genome.jp/entry/2.7.7.7" TargetMode="External"/><Relationship Id="rId131" Type="http://schemas.openxmlformats.org/officeDocument/2006/relationships/hyperlink" Target="https://www.genome.jp/entry/1.1.1.14" TargetMode="External"/><Relationship Id="rId369" Type="http://schemas.openxmlformats.org/officeDocument/2006/relationships/hyperlink" Target="https://www.genome.jp/entry/6.3.2.12" TargetMode="External"/><Relationship Id="rId576" Type="http://schemas.openxmlformats.org/officeDocument/2006/relationships/hyperlink" Target="https://www.genome.jp/entry/R04112" TargetMode="External"/><Relationship Id="rId783" Type="http://schemas.openxmlformats.org/officeDocument/2006/relationships/hyperlink" Target="https://www.genome.jp/entry/2.7.7.7" TargetMode="External"/><Relationship Id="rId990" Type="http://schemas.openxmlformats.org/officeDocument/2006/relationships/hyperlink" Target="https://www.genome.jp/entry/R01398" TargetMode="External"/><Relationship Id="rId2257" Type="http://schemas.openxmlformats.org/officeDocument/2006/relationships/hyperlink" Target="https://www.genome.jp/entry/R02024" TargetMode="External"/><Relationship Id="rId2464" Type="http://schemas.openxmlformats.org/officeDocument/2006/relationships/hyperlink" Target="https://www.genome.jp/entry/R00770" TargetMode="External"/><Relationship Id="rId2671" Type="http://schemas.openxmlformats.org/officeDocument/2006/relationships/hyperlink" Target="https://www.genome.jp/entry/1.8.1.7" TargetMode="External"/><Relationship Id="rId229" Type="http://schemas.openxmlformats.org/officeDocument/2006/relationships/hyperlink" Target="https://www.genome.jp/entry/R04744" TargetMode="External"/><Relationship Id="rId436" Type="http://schemas.openxmlformats.org/officeDocument/2006/relationships/hyperlink" Target="https://www.genome.jp/entry/2.7.7.7" TargetMode="External"/><Relationship Id="rId643" Type="http://schemas.openxmlformats.org/officeDocument/2006/relationships/hyperlink" Target="https://www.genome.jp/entry/R02297" TargetMode="External"/><Relationship Id="rId1066" Type="http://schemas.openxmlformats.org/officeDocument/2006/relationships/hyperlink" Target="https://www.genome.jp/entry/R05578" TargetMode="External"/><Relationship Id="rId1273" Type="http://schemas.openxmlformats.org/officeDocument/2006/relationships/hyperlink" Target="https://www.genome.jp/entry/2.7.7.6" TargetMode="External"/><Relationship Id="rId1480" Type="http://schemas.openxmlformats.org/officeDocument/2006/relationships/hyperlink" Target="https://www.genome.jp/entry/3.1.6.1" TargetMode="External"/><Relationship Id="rId2117" Type="http://schemas.openxmlformats.org/officeDocument/2006/relationships/hyperlink" Target="https://www.genome.jp/entry/R00651" TargetMode="External"/><Relationship Id="rId2324" Type="http://schemas.openxmlformats.org/officeDocument/2006/relationships/hyperlink" Target="https://www.genome.jp/entry/3.4.11.4" TargetMode="External"/><Relationship Id="rId850" Type="http://schemas.openxmlformats.org/officeDocument/2006/relationships/hyperlink" Target="https://www.genome.jp/entry/R04859" TargetMode="External"/><Relationship Id="rId948" Type="http://schemas.openxmlformats.org/officeDocument/2006/relationships/hyperlink" Target="https://www.genome.jp/entry/R02124" TargetMode="External"/><Relationship Id="rId1133" Type="http://schemas.openxmlformats.org/officeDocument/2006/relationships/hyperlink" Target="https://www.genome.jp/entry/R05234" TargetMode="External"/><Relationship Id="rId1578" Type="http://schemas.openxmlformats.org/officeDocument/2006/relationships/hyperlink" Target="https://www.genome.jp/entry/R06100" TargetMode="External"/><Relationship Id="rId1785" Type="http://schemas.openxmlformats.org/officeDocument/2006/relationships/hyperlink" Target="https://www.genome.jp/entry/2.7.7.72" TargetMode="External"/><Relationship Id="rId1992" Type="http://schemas.openxmlformats.org/officeDocument/2006/relationships/hyperlink" Target="https://www.genome.jp/entry/2.1.1.37" TargetMode="External"/><Relationship Id="rId2531" Type="http://schemas.openxmlformats.org/officeDocument/2006/relationships/hyperlink" Target="https://www.genome.jp/entry/R07460" TargetMode="External"/><Relationship Id="rId2629" Type="http://schemas.openxmlformats.org/officeDocument/2006/relationships/hyperlink" Target="https://www.genome.jp/entry/R02294" TargetMode="External"/><Relationship Id="rId77" Type="http://schemas.openxmlformats.org/officeDocument/2006/relationships/hyperlink" Target="https://www.genome.jp/entry/4.3.1.19" TargetMode="External"/><Relationship Id="rId503" Type="http://schemas.openxmlformats.org/officeDocument/2006/relationships/hyperlink" Target="https://www.genome.jp/entry/2.5.1.31" TargetMode="External"/><Relationship Id="rId710" Type="http://schemas.openxmlformats.org/officeDocument/2006/relationships/hyperlink" Target="https://www.genome.jp/entry/R04184" TargetMode="External"/><Relationship Id="rId808" Type="http://schemas.openxmlformats.org/officeDocument/2006/relationships/hyperlink" Target="https://www.genome.jp/entry/R01132" TargetMode="External"/><Relationship Id="rId1340" Type="http://schemas.openxmlformats.org/officeDocument/2006/relationships/hyperlink" Target="https://www.genome.jp/entry/1.1.1.100" TargetMode="External"/><Relationship Id="rId1438" Type="http://schemas.openxmlformats.org/officeDocument/2006/relationships/hyperlink" Target="https://www.genome.jp/entry/R07659" TargetMode="External"/><Relationship Id="rId1645" Type="http://schemas.openxmlformats.org/officeDocument/2006/relationships/hyperlink" Target="https://www.genome.jp/entry/R05999" TargetMode="External"/><Relationship Id="rId1200" Type="http://schemas.openxmlformats.org/officeDocument/2006/relationships/hyperlink" Target="https://www.genome.jp/entry/R06112" TargetMode="External"/><Relationship Id="rId1852" Type="http://schemas.openxmlformats.org/officeDocument/2006/relationships/hyperlink" Target="https://www.genome.jp/entry/R00959" TargetMode="External"/><Relationship Id="rId1505" Type="http://schemas.openxmlformats.org/officeDocument/2006/relationships/hyperlink" Target="https://www.genome.jp/entry/R06102" TargetMode="External"/><Relationship Id="rId1712" Type="http://schemas.openxmlformats.org/officeDocument/2006/relationships/hyperlink" Target="https://www.genome.jp/entry/2.7.4.7" TargetMode="External"/><Relationship Id="rId293" Type="http://schemas.openxmlformats.org/officeDocument/2006/relationships/hyperlink" Target="https://www.genome.jp/entry/R02777" TargetMode="External"/><Relationship Id="rId2181" Type="http://schemas.openxmlformats.org/officeDocument/2006/relationships/hyperlink" Target="https://www.genome.jp/entry/2.4.1.21" TargetMode="External"/><Relationship Id="rId153" Type="http://schemas.openxmlformats.org/officeDocument/2006/relationships/hyperlink" Target="https://www.genome.jp/entry/2.3.1.179" TargetMode="External"/><Relationship Id="rId360" Type="http://schemas.openxmlformats.org/officeDocument/2006/relationships/hyperlink" Target="https://www.genome.jp/entry/R00942" TargetMode="External"/><Relationship Id="rId598" Type="http://schemas.openxmlformats.org/officeDocument/2006/relationships/hyperlink" Target="https://www.genome.jp/entry/R07297" TargetMode="External"/><Relationship Id="rId2041" Type="http://schemas.openxmlformats.org/officeDocument/2006/relationships/hyperlink" Target="https://www.genome.jp/entry/R10949" TargetMode="External"/><Relationship Id="rId2279" Type="http://schemas.openxmlformats.org/officeDocument/2006/relationships/hyperlink" Target="https://www.genome.jp/entry/R11893" TargetMode="External"/><Relationship Id="rId2486" Type="http://schemas.openxmlformats.org/officeDocument/2006/relationships/hyperlink" Target="https://www.genome.jp/entry/R11029" TargetMode="External"/><Relationship Id="rId2693" Type="http://schemas.openxmlformats.org/officeDocument/2006/relationships/hyperlink" Target="https://www.genome.jp/entry/R00275" TargetMode="External"/><Relationship Id="rId220" Type="http://schemas.openxmlformats.org/officeDocument/2006/relationships/hyperlink" Target="https://www.genome.jp/entry/R04170" TargetMode="External"/><Relationship Id="rId458" Type="http://schemas.openxmlformats.org/officeDocument/2006/relationships/hyperlink" Target="https://www.genome.jp/entry/R06112" TargetMode="External"/><Relationship Id="rId665" Type="http://schemas.openxmlformats.org/officeDocument/2006/relationships/hyperlink" Target="https://www.genome.jp/entry/R05404" TargetMode="External"/><Relationship Id="rId872" Type="http://schemas.openxmlformats.org/officeDocument/2006/relationships/hyperlink" Target="https://www.genome.jp/entry/R12871" TargetMode="External"/><Relationship Id="rId1088" Type="http://schemas.openxmlformats.org/officeDocument/2006/relationships/hyperlink" Target="https://www.genome.jp/entry/R00511" TargetMode="External"/><Relationship Id="rId1295" Type="http://schemas.openxmlformats.org/officeDocument/2006/relationships/hyperlink" Target="https://www.genome.jp/entry/2.7.4.6" TargetMode="External"/><Relationship Id="rId2139" Type="http://schemas.openxmlformats.org/officeDocument/2006/relationships/hyperlink" Target="https://www.genome.jp/entry/2.7.1.48" TargetMode="External"/><Relationship Id="rId2346" Type="http://schemas.openxmlformats.org/officeDocument/2006/relationships/hyperlink" Target="https://www.genome.jp/entry/R11029" TargetMode="External"/><Relationship Id="rId2553" Type="http://schemas.openxmlformats.org/officeDocument/2006/relationships/hyperlink" Target="https://www.genome.jp/entry/2.6.1.42" TargetMode="External"/><Relationship Id="rId318" Type="http://schemas.openxmlformats.org/officeDocument/2006/relationships/hyperlink" Target="https://www.genome.jp/entry/2.1.1.199" TargetMode="External"/><Relationship Id="rId525" Type="http://schemas.openxmlformats.org/officeDocument/2006/relationships/hyperlink" Target="https://www.genome.jp/entry/R00442" TargetMode="External"/><Relationship Id="rId732" Type="http://schemas.openxmlformats.org/officeDocument/2006/relationships/hyperlink" Target="https://www.genome.jp/entry/R11317" TargetMode="External"/><Relationship Id="rId1155" Type="http://schemas.openxmlformats.org/officeDocument/2006/relationships/hyperlink" Target="https://www.genome.jp/entry/R07105" TargetMode="External"/><Relationship Id="rId1362" Type="http://schemas.openxmlformats.org/officeDocument/2006/relationships/hyperlink" Target="https://www.genome.jp/entry/R02926" TargetMode="External"/><Relationship Id="rId2206" Type="http://schemas.openxmlformats.org/officeDocument/2006/relationships/hyperlink" Target="https://www.genome.jp/entry/R03815" TargetMode="External"/><Relationship Id="rId2413" Type="http://schemas.openxmlformats.org/officeDocument/2006/relationships/hyperlink" Target="https://www.genome.jp/entry/1.5.1.2" TargetMode="External"/><Relationship Id="rId2620" Type="http://schemas.openxmlformats.org/officeDocument/2006/relationships/hyperlink" Target="https://www.genome.jp/entry/2.4.2.1" TargetMode="External"/><Relationship Id="rId99" Type="http://schemas.openxmlformats.org/officeDocument/2006/relationships/hyperlink" Target="https://www.genome.jp/entry/2.2.1.6" TargetMode="External"/><Relationship Id="rId1015" Type="http://schemas.openxmlformats.org/officeDocument/2006/relationships/hyperlink" Target="https://www.genome.jp/entry/2.2.1.1" TargetMode="External"/><Relationship Id="rId1222" Type="http://schemas.openxmlformats.org/officeDocument/2006/relationships/hyperlink" Target="https://www.genome.jp/entry/R00895" TargetMode="External"/><Relationship Id="rId1667" Type="http://schemas.openxmlformats.org/officeDocument/2006/relationships/hyperlink" Target="https://www.genome.jp/entry/6.3.2.4" TargetMode="External"/><Relationship Id="rId1874" Type="http://schemas.openxmlformats.org/officeDocument/2006/relationships/hyperlink" Target="https://www.genome.jp/entry/1.6.99.3" TargetMode="External"/><Relationship Id="rId1527" Type="http://schemas.openxmlformats.org/officeDocument/2006/relationships/hyperlink" Target="https://www.genome.jp/entry/R00367" TargetMode="External"/><Relationship Id="rId1734" Type="http://schemas.openxmlformats.org/officeDocument/2006/relationships/hyperlink" Target="https://www.genome.jp/entry/3.6.3.20" TargetMode="External"/><Relationship Id="rId1941" Type="http://schemas.openxmlformats.org/officeDocument/2006/relationships/hyperlink" Target="https://www.genome.jp/entry/R03192" TargetMode="External"/><Relationship Id="rId26" Type="http://schemas.openxmlformats.org/officeDocument/2006/relationships/hyperlink" Target="https://www.genome.jp/entry/R06004" TargetMode="External"/><Relationship Id="rId175" Type="http://schemas.openxmlformats.org/officeDocument/2006/relationships/hyperlink" Target="https://www.genome.jp/entry/1.1.1.100" TargetMode="External"/><Relationship Id="rId1801" Type="http://schemas.openxmlformats.org/officeDocument/2006/relationships/hyperlink" Target="https://www.genome.jp/entry/R00895" TargetMode="External"/><Relationship Id="rId382" Type="http://schemas.openxmlformats.org/officeDocument/2006/relationships/hyperlink" Target="https://www.genome.jp/entry/R02878" TargetMode="External"/><Relationship Id="rId687" Type="http://schemas.openxmlformats.org/officeDocument/2006/relationships/hyperlink" Target="https://www.genome.jp/entry/3.2.1.23" TargetMode="External"/><Relationship Id="rId2063" Type="http://schemas.openxmlformats.org/officeDocument/2006/relationships/hyperlink" Target="https://www.genome.jp/entry/R01890" TargetMode="External"/><Relationship Id="rId2270" Type="http://schemas.openxmlformats.org/officeDocument/2006/relationships/hyperlink" Target="https://www.genome.jp/entry/1.17.4.1" TargetMode="External"/><Relationship Id="rId2368" Type="http://schemas.openxmlformats.org/officeDocument/2006/relationships/hyperlink" Target="https://www.genome.jp/entry/1.3.1.14" TargetMode="External"/><Relationship Id="rId242" Type="http://schemas.openxmlformats.org/officeDocument/2006/relationships/hyperlink" Target="https://www.genome.jp/entry/4.2.1.17" TargetMode="External"/><Relationship Id="rId894" Type="http://schemas.openxmlformats.org/officeDocument/2006/relationships/hyperlink" Target="https://www.genome.jp/entry/R12904" TargetMode="External"/><Relationship Id="rId1177" Type="http://schemas.openxmlformats.org/officeDocument/2006/relationships/hyperlink" Target="https://www.genome.jp/entry/R07125" TargetMode="External"/><Relationship Id="rId2130" Type="http://schemas.openxmlformats.org/officeDocument/2006/relationships/hyperlink" Target="https://www.genome.jp/entry/5.4.99.25" TargetMode="External"/><Relationship Id="rId2575" Type="http://schemas.openxmlformats.org/officeDocument/2006/relationships/hyperlink" Target="https://www.genome.jp/entry/R02296" TargetMode="External"/><Relationship Id="rId102" Type="http://schemas.openxmlformats.org/officeDocument/2006/relationships/hyperlink" Target="https://www.genome.jp/entry/R00226" TargetMode="External"/><Relationship Id="rId547" Type="http://schemas.openxmlformats.org/officeDocument/2006/relationships/hyperlink" Target="https://www.genome.jp/entry/R02023" TargetMode="External"/><Relationship Id="rId754" Type="http://schemas.openxmlformats.org/officeDocument/2006/relationships/hyperlink" Target="https://www.genome.jp/entry/R04326" TargetMode="External"/><Relationship Id="rId961" Type="http://schemas.openxmlformats.org/officeDocument/2006/relationships/hyperlink" Target="https://www.genome.jp/entry/1.1.1.1" TargetMode="External"/><Relationship Id="rId1384" Type="http://schemas.openxmlformats.org/officeDocument/2006/relationships/hyperlink" Target="https://www.genome.jp/entry/R06096" TargetMode="External"/><Relationship Id="rId1591" Type="http://schemas.openxmlformats.org/officeDocument/2006/relationships/hyperlink" Target="https://www.genome.jp/entry/1.5.1.39" TargetMode="External"/><Relationship Id="rId1689" Type="http://schemas.openxmlformats.org/officeDocument/2006/relationships/hyperlink" Target="https://www.genome.jp/entry/R05861" TargetMode="External"/><Relationship Id="rId2228" Type="http://schemas.openxmlformats.org/officeDocument/2006/relationships/hyperlink" Target="https://www.genome.jp/entry/R07603" TargetMode="External"/><Relationship Id="rId2435" Type="http://schemas.openxmlformats.org/officeDocument/2006/relationships/hyperlink" Target="https://www.genome.jp/entry/2.5.1.16" TargetMode="External"/><Relationship Id="rId2642" Type="http://schemas.openxmlformats.org/officeDocument/2006/relationships/hyperlink" Target="https://www.genome.jp/entry/5.3.1.6" TargetMode="External"/><Relationship Id="rId90" Type="http://schemas.openxmlformats.org/officeDocument/2006/relationships/hyperlink" Target="https://www.genome.jp/entry/R03051" TargetMode="External"/><Relationship Id="rId407" Type="http://schemas.openxmlformats.org/officeDocument/2006/relationships/hyperlink" Target="https://www.genome.jp/entry/1.1.1.1" TargetMode="External"/><Relationship Id="rId614" Type="http://schemas.openxmlformats.org/officeDocument/2006/relationships/hyperlink" Target="https://www.genome.jp/entry/R03346" TargetMode="External"/><Relationship Id="rId821" Type="http://schemas.openxmlformats.org/officeDocument/2006/relationships/hyperlink" Target="https://www.genome.jp/entry/3.1.1.29" TargetMode="External"/><Relationship Id="rId1037" Type="http://schemas.openxmlformats.org/officeDocument/2006/relationships/hyperlink" Target="https://www.genome.jp/entry/R02918" TargetMode="External"/><Relationship Id="rId1244" Type="http://schemas.openxmlformats.org/officeDocument/2006/relationships/hyperlink" Target="https://www.genome.jp/entry/R00539" TargetMode="External"/><Relationship Id="rId1451" Type="http://schemas.openxmlformats.org/officeDocument/2006/relationships/hyperlink" Target="https://www.genome.jp/entry/4.1.1.48" TargetMode="External"/><Relationship Id="rId1896" Type="http://schemas.openxmlformats.org/officeDocument/2006/relationships/hyperlink" Target="https://www.genome.jp/entry/R01231" TargetMode="External"/><Relationship Id="rId2502" Type="http://schemas.openxmlformats.org/officeDocument/2006/relationships/hyperlink" Target="https://www.genome.jp/entry/R00769" TargetMode="External"/><Relationship Id="rId919" Type="http://schemas.openxmlformats.org/officeDocument/2006/relationships/hyperlink" Target="https://www.genome.jp/entry/3.2.1.22" TargetMode="External"/><Relationship Id="rId1104" Type="http://schemas.openxmlformats.org/officeDocument/2006/relationships/hyperlink" Target="https://www.genome.jp/entry/R01664" TargetMode="External"/><Relationship Id="rId1311" Type="http://schemas.openxmlformats.org/officeDocument/2006/relationships/hyperlink" Target="https://www.genome.jp/entry/2.7.4.6" TargetMode="External"/><Relationship Id="rId1549" Type="http://schemas.openxmlformats.org/officeDocument/2006/relationships/hyperlink" Target="https://www.genome.jp/entry/R10813" TargetMode="External"/><Relationship Id="rId1756" Type="http://schemas.openxmlformats.org/officeDocument/2006/relationships/hyperlink" Target="https://www.genome.jp/entry/R02236" TargetMode="External"/><Relationship Id="rId1963" Type="http://schemas.openxmlformats.org/officeDocument/2006/relationships/hyperlink" Target="https://www.genome.jp/entry/R03083" TargetMode="External"/><Relationship Id="rId48" Type="http://schemas.openxmlformats.org/officeDocument/2006/relationships/hyperlink" Target="https://www.genome.jp/entry/R00573" TargetMode="External"/><Relationship Id="rId1409" Type="http://schemas.openxmlformats.org/officeDocument/2006/relationships/hyperlink" Target="https://www.genome.jp/entry/1.1.1.90" TargetMode="External"/><Relationship Id="rId1616" Type="http://schemas.openxmlformats.org/officeDocument/2006/relationships/hyperlink" Target="https://www.genome.jp/entry/3.2.1.18" TargetMode="External"/><Relationship Id="rId1823" Type="http://schemas.openxmlformats.org/officeDocument/2006/relationships/hyperlink" Target="https://www.genome.jp/entry/R00999" TargetMode="External"/><Relationship Id="rId197" Type="http://schemas.openxmlformats.org/officeDocument/2006/relationships/hyperlink" Target="https://www.genome.jp/entry/2.3.1.41" TargetMode="External"/><Relationship Id="rId2085" Type="http://schemas.openxmlformats.org/officeDocument/2006/relationships/hyperlink" Target="https://www.genome.jp/entry/1.1.1.85" TargetMode="External"/><Relationship Id="rId2292" Type="http://schemas.openxmlformats.org/officeDocument/2006/relationships/hyperlink" Target="https://www.genome.jp/entry/R03240" TargetMode="External"/><Relationship Id="rId264" Type="http://schemas.openxmlformats.org/officeDocument/2006/relationships/hyperlink" Target="https://www.genome.jp/entry/6.1.1.11" TargetMode="External"/><Relationship Id="rId471" Type="http://schemas.openxmlformats.org/officeDocument/2006/relationships/hyperlink" Target="https://www.genome.jp/entry/3.2.1.21" TargetMode="External"/><Relationship Id="rId2152" Type="http://schemas.openxmlformats.org/officeDocument/2006/relationships/hyperlink" Target="https://www.genome.jp/entry/R11528" TargetMode="External"/><Relationship Id="rId2597" Type="http://schemas.openxmlformats.org/officeDocument/2006/relationships/hyperlink" Target="https://www.genome.jp/entry/R02297" TargetMode="External"/><Relationship Id="rId124" Type="http://schemas.openxmlformats.org/officeDocument/2006/relationships/hyperlink" Target="https://www.genome.jp/entry/R04673" TargetMode="External"/><Relationship Id="rId569" Type="http://schemas.openxmlformats.org/officeDocument/2006/relationships/hyperlink" Target="https://www.genome.jp/entry/1.1.1.22" TargetMode="External"/><Relationship Id="rId776" Type="http://schemas.openxmlformats.org/officeDocument/2006/relationships/hyperlink" Target="https://www.genome.jp/entry/R02619" TargetMode="External"/><Relationship Id="rId983" Type="http://schemas.openxmlformats.org/officeDocument/2006/relationships/hyperlink" Target="https://www.genome.jp/entry/2.7.2.2" TargetMode="External"/><Relationship Id="rId1199" Type="http://schemas.openxmlformats.org/officeDocument/2006/relationships/hyperlink" Target="https://www.genome.jp/entry/3.2.1.86" TargetMode="External"/><Relationship Id="rId2457" Type="http://schemas.openxmlformats.org/officeDocument/2006/relationships/hyperlink" Target="https://www.genome.jp/entry/2.7.1.11" TargetMode="External"/><Relationship Id="rId2664" Type="http://schemas.openxmlformats.org/officeDocument/2006/relationships/hyperlink" Target="https://www.genome.jp/entry/R04773" TargetMode="External"/><Relationship Id="rId331" Type="http://schemas.openxmlformats.org/officeDocument/2006/relationships/hyperlink" Target="https://www.genome.jp/entry/4.2.2.1" TargetMode="External"/><Relationship Id="rId429" Type="http://schemas.openxmlformats.org/officeDocument/2006/relationships/hyperlink" Target="https://www.genome.jp/entry/R11029" TargetMode="External"/><Relationship Id="rId636" Type="http://schemas.openxmlformats.org/officeDocument/2006/relationships/hyperlink" Target="https://www.genome.jp/entry/2.4.2.1" TargetMode="External"/><Relationship Id="rId1059" Type="http://schemas.openxmlformats.org/officeDocument/2006/relationships/hyperlink" Target="https://www.genome.jp/entry/5.3.1.9" TargetMode="External"/><Relationship Id="rId1266" Type="http://schemas.openxmlformats.org/officeDocument/2006/relationships/hyperlink" Target="https://www.genome.jp/entry/R00443" TargetMode="External"/><Relationship Id="rId1473" Type="http://schemas.openxmlformats.org/officeDocument/2006/relationships/hyperlink" Target="https://www.genome.jp/entry/3.2.1.39" TargetMode="External"/><Relationship Id="rId2012" Type="http://schemas.openxmlformats.org/officeDocument/2006/relationships/hyperlink" Target="https://www.genome.jp/entry/3.5.4.5" TargetMode="External"/><Relationship Id="rId2317" Type="http://schemas.openxmlformats.org/officeDocument/2006/relationships/hyperlink" Target="https://www.genome.jp/entry/2.7.1.21" TargetMode="External"/><Relationship Id="rId843" Type="http://schemas.openxmlformats.org/officeDocument/2006/relationships/hyperlink" Target="https://www.genome.jp/entry/2.7.8.5" TargetMode="External"/><Relationship Id="rId1126" Type="http://schemas.openxmlformats.org/officeDocument/2006/relationships/hyperlink" Target="https://www.genome.jp/entry/1.1.1.1" TargetMode="External"/><Relationship Id="rId1680" Type="http://schemas.openxmlformats.org/officeDocument/2006/relationships/hyperlink" Target="https://www.genome.jp/entry/3.6.3.8" TargetMode="External"/><Relationship Id="rId1778" Type="http://schemas.openxmlformats.org/officeDocument/2006/relationships/hyperlink" Target="https://www.genome.jp/entry/R04199" TargetMode="External"/><Relationship Id="rId1985" Type="http://schemas.openxmlformats.org/officeDocument/2006/relationships/hyperlink" Target="https://www.genome.jp/entry/R01775" TargetMode="External"/><Relationship Id="rId2524" Type="http://schemas.openxmlformats.org/officeDocument/2006/relationships/hyperlink" Target="https://www.genome.jp/entry/R13203" TargetMode="External"/><Relationship Id="rId703" Type="http://schemas.openxmlformats.org/officeDocument/2006/relationships/hyperlink" Target="https://www.genome.jp/entry/3.2.1.23" TargetMode="External"/><Relationship Id="rId910" Type="http://schemas.openxmlformats.org/officeDocument/2006/relationships/hyperlink" Target="https://www.genome.jp/entry/R02926" TargetMode="External"/><Relationship Id="rId1333" Type="http://schemas.openxmlformats.org/officeDocument/2006/relationships/hyperlink" Target="https://www.genome.jp/entry/R04566" TargetMode="External"/><Relationship Id="rId1540" Type="http://schemas.openxmlformats.org/officeDocument/2006/relationships/hyperlink" Target="https://www.genome.jp/entry/2.7.7.6" TargetMode="External"/><Relationship Id="rId1638" Type="http://schemas.openxmlformats.org/officeDocument/2006/relationships/hyperlink" Target="https://www.genome.jp/entry/3.2.1.18" TargetMode="External"/><Relationship Id="rId1400" Type="http://schemas.openxmlformats.org/officeDocument/2006/relationships/hyperlink" Target="https://www.genome.jp/entry/5.4.99.22" TargetMode="External"/><Relationship Id="rId1845" Type="http://schemas.openxmlformats.org/officeDocument/2006/relationships/hyperlink" Target="https://www.genome.jp/entry/3.6.3.14" TargetMode="External"/><Relationship Id="rId1705" Type="http://schemas.openxmlformats.org/officeDocument/2006/relationships/hyperlink" Target="https://www.genome.jp/entry/R01665" TargetMode="External"/><Relationship Id="rId1912" Type="http://schemas.openxmlformats.org/officeDocument/2006/relationships/hyperlink" Target="https://www.genome.jp/entry/R03220" TargetMode="External"/><Relationship Id="rId286" Type="http://schemas.openxmlformats.org/officeDocument/2006/relationships/hyperlink" Target="https://www.genome.jp/entry/2.1.1.173" TargetMode="External"/><Relationship Id="rId493" Type="http://schemas.openxmlformats.org/officeDocument/2006/relationships/hyperlink" Target="https://www.genome.jp/entry/3.2.1.21" TargetMode="External"/><Relationship Id="rId2174" Type="http://schemas.openxmlformats.org/officeDocument/2006/relationships/hyperlink" Target="https://www.genome.jp/entry/R02110" TargetMode="External"/><Relationship Id="rId2381" Type="http://schemas.openxmlformats.org/officeDocument/2006/relationships/hyperlink" Target="https://www.genome.jp/entry/1.4.1.1" TargetMode="External"/><Relationship Id="rId146" Type="http://schemas.openxmlformats.org/officeDocument/2006/relationships/hyperlink" Target="https://www.genome.jp/entry/R04726" TargetMode="External"/><Relationship Id="rId353" Type="http://schemas.openxmlformats.org/officeDocument/2006/relationships/hyperlink" Target="https://www.genome.jp/entry/3.5.4.16" TargetMode="External"/><Relationship Id="rId560" Type="http://schemas.openxmlformats.org/officeDocument/2006/relationships/hyperlink" Target="https://www.genome.jp/entry/3.6.4.12" TargetMode="External"/><Relationship Id="rId798" Type="http://schemas.openxmlformats.org/officeDocument/2006/relationships/hyperlink" Target="https://www.genome.jp/entry/R01049" TargetMode="External"/><Relationship Id="rId1190" Type="http://schemas.openxmlformats.org/officeDocument/2006/relationships/hyperlink" Target="https://www.genome.jp/entry/2.2.1.1" TargetMode="External"/><Relationship Id="rId2034" Type="http://schemas.openxmlformats.org/officeDocument/2006/relationships/hyperlink" Target="https://www.genome.jp/entry/6.3.5.5" TargetMode="External"/><Relationship Id="rId2241" Type="http://schemas.openxmlformats.org/officeDocument/2006/relationships/hyperlink" Target="https://www.genome.jp/entry/3.5.2.3" TargetMode="External"/><Relationship Id="rId2479" Type="http://schemas.openxmlformats.org/officeDocument/2006/relationships/hyperlink" Target="https://www.genome.jp/entry/2.7.7.7" TargetMode="External"/><Relationship Id="rId2686" Type="http://schemas.openxmlformats.org/officeDocument/2006/relationships/hyperlink" Target="https://www.genome.jp/entry/R02023" TargetMode="External"/><Relationship Id="rId213" Type="http://schemas.openxmlformats.org/officeDocument/2006/relationships/hyperlink" Target="https://www.genome.jp/entry/4.2.1.17" TargetMode="External"/><Relationship Id="rId420" Type="http://schemas.openxmlformats.org/officeDocument/2006/relationships/hyperlink" Target="https://www.genome.jp/entry/2.7.7.7" TargetMode="External"/><Relationship Id="rId658" Type="http://schemas.openxmlformats.org/officeDocument/2006/relationships/hyperlink" Target="https://www.genome.jp/entry/1.13.11.2" TargetMode="External"/><Relationship Id="rId865" Type="http://schemas.openxmlformats.org/officeDocument/2006/relationships/hyperlink" Target="https://www.genome.jp/entry/6.1.1.13" TargetMode="External"/><Relationship Id="rId1050" Type="http://schemas.openxmlformats.org/officeDocument/2006/relationships/hyperlink" Target="https://www.genome.jp/entry/2.7.13.3" TargetMode="External"/><Relationship Id="rId1288" Type="http://schemas.openxmlformats.org/officeDocument/2006/relationships/hyperlink" Target="https://www.genome.jp/entry/R00156" TargetMode="External"/><Relationship Id="rId1495" Type="http://schemas.openxmlformats.org/officeDocument/2006/relationships/hyperlink" Target="https://www.genome.jp/entry/R03921" TargetMode="External"/><Relationship Id="rId2101" Type="http://schemas.openxmlformats.org/officeDocument/2006/relationships/hyperlink" Target="https://www.genome.jp/entry/R03910" TargetMode="External"/><Relationship Id="rId2339" Type="http://schemas.openxmlformats.org/officeDocument/2006/relationships/hyperlink" Target="https://www.genome.jp/entry/2.7.7.7" TargetMode="External"/><Relationship Id="rId2546" Type="http://schemas.openxmlformats.org/officeDocument/2006/relationships/hyperlink" Target="https://www.genome.jp/entry/2.7.7.7" TargetMode="External"/><Relationship Id="rId518" Type="http://schemas.openxmlformats.org/officeDocument/2006/relationships/hyperlink" Target="https://www.genome.jp/entry/2.7.7.6" TargetMode="External"/><Relationship Id="rId725" Type="http://schemas.openxmlformats.org/officeDocument/2006/relationships/hyperlink" Target="https://www.genome.jp/entry/3.2.1.52" TargetMode="External"/><Relationship Id="rId932" Type="http://schemas.openxmlformats.org/officeDocument/2006/relationships/hyperlink" Target="https://www.genome.jp/entry/R06096" TargetMode="External"/><Relationship Id="rId1148" Type="http://schemas.openxmlformats.org/officeDocument/2006/relationships/hyperlink" Target="https://www.genome.jp/entry/1.1.1.1" TargetMode="External"/><Relationship Id="rId1355" Type="http://schemas.openxmlformats.org/officeDocument/2006/relationships/hyperlink" Target="https://www.genome.jp/entry/3.2.1.22" TargetMode="External"/><Relationship Id="rId1562" Type="http://schemas.openxmlformats.org/officeDocument/2006/relationships/hyperlink" Target="https://www.genome.jp/entry/R02081" TargetMode="External"/><Relationship Id="rId2406" Type="http://schemas.openxmlformats.org/officeDocument/2006/relationships/hyperlink" Target="https://www.genome.jp/entry/R02094" TargetMode="External"/><Relationship Id="rId2613" Type="http://schemas.openxmlformats.org/officeDocument/2006/relationships/hyperlink" Target="https://www.genome.jp/entry/R01561" TargetMode="External"/><Relationship Id="rId1008" Type="http://schemas.openxmlformats.org/officeDocument/2006/relationships/hyperlink" Target="https://www.genome.jp/entry/R01067" TargetMode="External"/><Relationship Id="rId1215" Type="http://schemas.openxmlformats.org/officeDocument/2006/relationships/hyperlink" Target="https://www.genome.jp/entry/2.6.1.1" TargetMode="External"/><Relationship Id="rId1422" Type="http://schemas.openxmlformats.org/officeDocument/2006/relationships/hyperlink" Target="https://www.genome.jp/entry/R05348" TargetMode="External"/><Relationship Id="rId1867" Type="http://schemas.openxmlformats.org/officeDocument/2006/relationships/hyperlink" Target="https://www.genome.jp/entry/R03654" TargetMode="External"/><Relationship Id="rId61" Type="http://schemas.openxmlformats.org/officeDocument/2006/relationships/hyperlink" Target="https://www.genome.jp/entry/2.3.1.54" TargetMode="External"/><Relationship Id="rId1727" Type="http://schemas.openxmlformats.org/officeDocument/2006/relationships/hyperlink" Target="https://www.genome.jp/entry/1.8.1.4" TargetMode="External"/><Relationship Id="rId1934" Type="http://schemas.openxmlformats.org/officeDocument/2006/relationships/hyperlink" Target="https://www.genome.jp/entry/R01187" TargetMode="External"/><Relationship Id="rId19" Type="http://schemas.openxmlformats.org/officeDocument/2006/relationships/hyperlink" Target="https://www.genome.jp/entry/3.2.1.52" TargetMode="External"/><Relationship Id="rId2196" Type="http://schemas.openxmlformats.org/officeDocument/2006/relationships/hyperlink" Target="https://www.genome.jp/entry/3.4.24.13" TargetMode="External"/><Relationship Id="rId168" Type="http://schemas.openxmlformats.org/officeDocument/2006/relationships/hyperlink" Target="https://www.genome.jp/entry/R04534" TargetMode="External"/><Relationship Id="rId375" Type="http://schemas.openxmlformats.org/officeDocument/2006/relationships/hyperlink" Target="https://www.genome.jp/entry/1.1.1.1" TargetMode="External"/><Relationship Id="rId582" Type="http://schemas.openxmlformats.org/officeDocument/2006/relationships/hyperlink" Target="https://www.genome.jp/entry/R11099" TargetMode="External"/><Relationship Id="rId2056" Type="http://schemas.openxmlformats.org/officeDocument/2006/relationships/hyperlink" Target="https://www.genome.jp/entry/2.7.7.60" TargetMode="External"/><Relationship Id="rId2263" Type="http://schemas.openxmlformats.org/officeDocument/2006/relationships/hyperlink" Target="https://www.genome.jp/entry/R11893" TargetMode="External"/><Relationship Id="rId2470" Type="http://schemas.openxmlformats.org/officeDocument/2006/relationships/hyperlink" Target="https://www.genome.jp/entry/R03237" TargetMode="External"/><Relationship Id="rId3" Type="http://schemas.openxmlformats.org/officeDocument/2006/relationships/hyperlink" Target="https://www.genome.jp/entry/2.7.2.3" TargetMode="External"/><Relationship Id="rId235" Type="http://schemas.openxmlformats.org/officeDocument/2006/relationships/hyperlink" Target="https://www.genome.jp/entry/R07889" TargetMode="External"/><Relationship Id="rId442" Type="http://schemas.openxmlformats.org/officeDocument/2006/relationships/hyperlink" Target="https://www.genome.jp/entry/3.6.5.3" TargetMode="External"/><Relationship Id="rId887" Type="http://schemas.openxmlformats.org/officeDocument/2006/relationships/hyperlink" Target="https://www.genome.jp/entry/6.1.1.13" TargetMode="External"/><Relationship Id="rId1072" Type="http://schemas.openxmlformats.org/officeDocument/2006/relationships/hyperlink" Target="https://www.genome.jp/entry/R01411" TargetMode="External"/><Relationship Id="rId2123" Type="http://schemas.openxmlformats.org/officeDocument/2006/relationships/hyperlink" Target="https://www.genome.jp/entry/R00654" TargetMode="External"/><Relationship Id="rId2330" Type="http://schemas.openxmlformats.org/officeDocument/2006/relationships/hyperlink" Target="https://www.genome.jp/entry/R00857" TargetMode="External"/><Relationship Id="rId2568" Type="http://schemas.openxmlformats.org/officeDocument/2006/relationships/hyperlink" Target="https://www.genome.jp/entry/4.1.2.4" TargetMode="External"/><Relationship Id="rId302" Type="http://schemas.openxmlformats.org/officeDocument/2006/relationships/hyperlink" Target="https://www.genome.jp/entry/1.1.1.22" TargetMode="External"/><Relationship Id="rId747" Type="http://schemas.openxmlformats.org/officeDocument/2006/relationships/hyperlink" Target="https://www.genome.jp/entry/6.3.4.13" TargetMode="External"/><Relationship Id="rId954" Type="http://schemas.openxmlformats.org/officeDocument/2006/relationships/hyperlink" Target="https://www.genome.jp/entry/R04880" TargetMode="External"/><Relationship Id="rId1377" Type="http://schemas.openxmlformats.org/officeDocument/2006/relationships/hyperlink" Target="https://www.genome.jp/entry/3.2.1.22" TargetMode="External"/><Relationship Id="rId1584" Type="http://schemas.openxmlformats.org/officeDocument/2006/relationships/hyperlink" Target="https://www.genome.jp/entry/R00760" TargetMode="External"/><Relationship Id="rId1791" Type="http://schemas.openxmlformats.org/officeDocument/2006/relationships/hyperlink" Target="https://www.genome.jp/entry/R00653" TargetMode="External"/><Relationship Id="rId2428" Type="http://schemas.openxmlformats.org/officeDocument/2006/relationships/hyperlink" Target="https://www.genome.jp/entry/R01416" TargetMode="External"/><Relationship Id="rId2635" Type="http://schemas.openxmlformats.org/officeDocument/2006/relationships/hyperlink" Target="https://www.genome.jp/entry/R02749" TargetMode="External"/><Relationship Id="rId83" Type="http://schemas.openxmlformats.org/officeDocument/2006/relationships/hyperlink" Target="https://www.genome.jp/entry/4.3.1.19" TargetMode="External"/><Relationship Id="rId607" Type="http://schemas.openxmlformats.org/officeDocument/2006/relationships/hyperlink" Target="https://www.genome.jp/entry/3.1.3.5" TargetMode="External"/><Relationship Id="rId814" Type="http://schemas.openxmlformats.org/officeDocument/2006/relationships/hyperlink" Target="https://www.genome.jp/entry/R08237" TargetMode="External"/><Relationship Id="rId1237" Type="http://schemas.openxmlformats.org/officeDocument/2006/relationships/hyperlink" Target="https://www.genome.jp/entry/2.7.6.2" TargetMode="External"/><Relationship Id="rId1444" Type="http://schemas.openxmlformats.org/officeDocument/2006/relationships/hyperlink" Target="https://www.genome.jp/entry/R00985" TargetMode="External"/><Relationship Id="rId1651" Type="http://schemas.openxmlformats.org/officeDocument/2006/relationships/hyperlink" Target="https://www.genome.jp/entry/R06253" TargetMode="External"/><Relationship Id="rId1889" Type="http://schemas.openxmlformats.org/officeDocument/2006/relationships/hyperlink" Target="https://www.genome.jp/entry/3.1.3.23" TargetMode="External"/><Relationship Id="rId1304" Type="http://schemas.openxmlformats.org/officeDocument/2006/relationships/hyperlink" Target="https://www.genome.jp/entry/R02331" TargetMode="External"/><Relationship Id="rId1511" Type="http://schemas.openxmlformats.org/officeDocument/2006/relationships/hyperlink" Target="https://www.genome.jp/entry/1.8.1.9" TargetMode="External"/><Relationship Id="rId1749" Type="http://schemas.openxmlformats.org/officeDocument/2006/relationships/hyperlink" Target="https://www.genome.jp/entry/1.5.1.3" TargetMode="External"/><Relationship Id="rId1956" Type="http://schemas.openxmlformats.org/officeDocument/2006/relationships/hyperlink" Target="https://www.genome.jp/entry/4.2.1.10" TargetMode="External"/><Relationship Id="rId1609" Type="http://schemas.openxmlformats.org/officeDocument/2006/relationships/hyperlink" Target="https://www.genome.jp/entry/R04634" TargetMode="External"/><Relationship Id="rId1816" Type="http://schemas.openxmlformats.org/officeDocument/2006/relationships/hyperlink" Target="https://www.genome.jp/entry/R02788" TargetMode="External"/><Relationship Id="rId10" Type="http://schemas.openxmlformats.org/officeDocument/2006/relationships/hyperlink" Target="https://www.genome.jp/entry/R00253" TargetMode="External"/><Relationship Id="rId397" Type="http://schemas.openxmlformats.org/officeDocument/2006/relationships/hyperlink" Target="https://www.genome.jp/entry/1.1.1.1" TargetMode="External"/><Relationship Id="rId2078" Type="http://schemas.openxmlformats.org/officeDocument/2006/relationships/hyperlink" Target="https://www.genome.jp/entry/R01213" TargetMode="External"/><Relationship Id="rId2285" Type="http://schemas.openxmlformats.org/officeDocument/2006/relationships/hyperlink" Target="https://www.genome.jp/entry/R06110" TargetMode="External"/><Relationship Id="rId2492" Type="http://schemas.openxmlformats.org/officeDocument/2006/relationships/hyperlink" Target="https://www.genome.jp/entry/R03923" TargetMode="External"/><Relationship Id="rId257" Type="http://schemas.openxmlformats.org/officeDocument/2006/relationships/hyperlink" Target="https://www.genome.jp/entry/R01773" TargetMode="External"/><Relationship Id="rId464" Type="http://schemas.openxmlformats.org/officeDocument/2006/relationships/hyperlink" Target="https://www.genome.jp/entry/R00026" TargetMode="External"/><Relationship Id="rId1094" Type="http://schemas.openxmlformats.org/officeDocument/2006/relationships/hyperlink" Target="https://www.genome.jp/entry/R01227" TargetMode="External"/><Relationship Id="rId2145" Type="http://schemas.openxmlformats.org/officeDocument/2006/relationships/hyperlink" Target="https://www.genome.jp/entry/2.1.1.226" TargetMode="External"/><Relationship Id="rId117" Type="http://schemas.openxmlformats.org/officeDocument/2006/relationships/hyperlink" Target="https://www.genome.jp/entry/2.2.1.6" TargetMode="External"/><Relationship Id="rId671" Type="http://schemas.openxmlformats.org/officeDocument/2006/relationships/hyperlink" Target="https://www.genome.jp/entry/R01602" TargetMode="External"/><Relationship Id="rId769" Type="http://schemas.openxmlformats.org/officeDocument/2006/relationships/hyperlink" Target="https://www.genome.jp/entry/2.6.1.1" TargetMode="External"/><Relationship Id="rId976" Type="http://schemas.openxmlformats.org/officeDocument/2006/relationships/hyperlink" Target="https://www.genome.jp/entry/R08310" TargetMode="External"/><Relationship Id="rId1399" Type="http://schemas.openxmlformats.org/officeDocument/2006/relationships/hyperlink" Target="https://www.genome.jp/entry/3.6.1.19" TargetMode="External"/><Relationship Id="rId2352" Type="http://schemas.openxmlformats.org/officeDocument/2006/relationships/hyperlink" Target="https://www.genome.jp/entry/R01401" TargetMode="External"/><Relationship Id="rId2657" Type="http://schemas.openxmlformats.org/officeDocument/2006/relationships/hyperlink" Target="https://www.genome.jp/entry/1.1.1.163" TargetMode="External"/><Relationship Id="rId324" Type="http://schemas.openxmlformats.org/officeDocument/2006/relationships/hyperlink" Target="https://www.genome.jp/entry/R01738" TargetMode="External"/><Relationship Id="rId531" Type="http://schemas.openxmlformats.org/officeDocument/2006/relationships/hyperlink" Target="https://www.genome.jp/entry/R00127" TargetMode="External"/><Relationship Id="rId629" Type="http://schemas.openxmlformats.org/officeDocument/2006/relationships/hyperlink" Target="https://www.genome.jp/entry/5.1.3.2" TargetMode="External"/><Relationship Id="rId1161" Type="http://schemas.openxmlformats.org/officeDocument/2006/relationships/hyperlink" Target="https://www.genome.jp/entry/R00746" TargetMode="External"/><Relationship Id="rId1259" Type="http://schemas.openxmlformats.org/officeDocument/2006/relationships/hyperlink" Target="https://www.genome.jp/entry/2.7.7.6" TargetMode="External"/><Relationship Id="rId1466" Type="http://schemas.openxmlformats.org/officeDocument/2006/relationships/hyperlink" Target="https://www.genome.jp/entry/R02722" TargetMode="External"/><Relationship Id="rId2005" Type="http://schemas.openxmlformats.org/officeDocument/2006/relationships/hyperlink" Target="https://www.genome.jp/entry/R12770" TargetMode="External"/><Relationship Id="rId2212" Type="http://schemas.openxmlformats.org/officeDocument/2006/relationships/hyperlink" Target="https://www.genome.jp/entry/R02569" TargetMode="External"/><Relationship Id="rId836" Type="http://schemas.openxmlformats.org/officeDocument/2006/relationships/hyperlink" Target="https://www.genome.jp/entry/2.1.1.177" TargetMode="External"/><Relationship Id="rId1021" Type="http://schemas.openxmlformats.org/officeDocument/2006/relationships/hyperlink" Target="https://www.genome.jp/entry/4.2.1.9" TargetMode="External"/><Relationship Id="rId1119" Type="http://schemas.openxmlformats.org/officeDocument/2006/relationships/hyperlink" Target="https://www.genome.jp/entry/R00623" TargetMode="External"/><Relationship Id="rId1673" Type="http://schemas.openxmlformats.org/officeDocument/2006/relationships/hyperlink" Target="https://www.genome.jp/entry/6.1.1.5" TargetMode="External"/><Relationship Id="rId1880" Type="http://schemas.openxmlformats.org/officeDocument/2006/relationships/hyperlink" Target="https://www.genome.jp/entry/R00900" TargetMode="External"/><Relationship Id="rId1978" Type="http://schemas.openxmlformats.org/officeDocument/2006/relationships/hyperlink" Target="https://www.genome.jp/entry/2.4.1.212" TargetMode="External"/><Relationship Id="rId2517" Type="http://schemas.openxmlformats.org/officeDocument/2006/relationships/hyperlink" Target="https://www.genome.jp/entry/2.7.1.56" TargetMode="External"/><Relationship Id="rId903" Type="http://schemas.openxmlformats.org/officeDocument/2006/relationships/hyperlink" Target="https://www.genome.jp/entry/3.2.1.22" TargetMode="External"/><Relationship Id="rId1326" Type="http://schemas.openxmlformats.org/officeDocument/2006/relationships/hyperlink" Target="https://www.genome.jp/entry/1.1.1.100" TargetMode="External"/><Relationship Id="rId1533" Type="http://schemas.openxmlformats.org/officeDocument/2006/relationships/hyperlink" Target="https://www.genome.jp/entry/R00332" TargetMode="External"/><Relationship Id="rId1740" Type="http://schemas.openxmlformats.org/officeDocument/2006/relationships/hyperlink" Target="https://www.genome.jp/entry/R01777" TargetMode="External"/><Relationship Id="rId32" Type="http://schemas.openxmlformats.org/officeDocument/2006/relationships/hyperlink" Target="https://www.genome.jp/entry/R07810" TargetMode="External"/><Relationship Id="rId1600" Type="http://schemas.openxmlformats.org/officeDocument/2006/relationships/hyperlink" Target="https://www.genome.jp/entry/R00401" TargetMode="External"/><Relationship Id="rId1838" Type="http://schemas.openxmlformats.org/officeDocument/2006/relationships/hyperlink" Target="https://www.genome.jp/entry/R03193" TargetMode="External"/><Relationship Id="rId181" Type="http://schemas.openxmlformats.org/officeDocument/2006/relationships/hyperlink" Target="https://www.genome.jp/entry/1.1.1.100" TargetMode="External"/><Relationship Id="rId1905" Type="http://schemas.openxmlformats.org/officeDocument/2006/relationships/hyperlink" Target="https://www.genome.jp/entry/R04112" TargetMode="External"/><Relationship Id="rId279" Type="http://schemas.openxmlformats.org/officeDocument/2006/relationships/hyperlink" Target="https://www.genome.jp/entry/4.1.1.33" TargetMode="External"/><Relationship Id="rId486" Type="http://schemas.openxmlformats.org/officeDocument/2006/relationships/hyperlink" Target="https://www.genome.jp/entry/R10035" TargetMode="External"/><Relationship Id="rId693" Type="http://schemas.openxmlformats.org/officeDocument/2006/relationships/hyperlink" Target="https://www.genome.jp/entry/3.2.1.23" TargetMode="External"/><Relationship Id="rId2167" Type="http://schemas.openxmlformats.org/officeDocument/2006/relationships/hyperlink" Target="https://www.genome.jp/entry/R00161" TargetMode="External"/><Relationship Id="rId2374" Type="http://schemas.openxmlformats.org/officeDocument/2006/relationships/hyperlink" Target="https://www.genome.jp/entry/1.4.1.1" TargetMode="External"/><Relationship Id="rId2581" Type="http://schemas.openxmlformats.org/officeDocument/2006/relationships/hyperlink" Target="https://www.genome.jp/entry/R07234" TargetMode="External"/><Relationship Id="rId139" Type="http://schemas.openxmlformats.org/officeDocument/2006/relationships/hyperlink" Target="https://www.genome.jp/entry/6.4.1.2" TargetMode="External"/><Relationship Id="rId346" Type="http://schemas.openxmlformats.org/officeDocument/2006/relationships/hyperlink" Target="https://www.genome.jp/entry/R03503" TargetMode="External"/><Relationship Id="rId553" Type="http://schemas.openxmlformats.org/officeDocument/2006/relationships/hyperlink" Target="https://www.genome.jp/entry/R01654" TargetMode="External"/><Relationship Id="rId760" Type="http://schemas.openxmlformats.org/officeDocument/2006/relationships/hyperlink" Target="https://www.genome.jp/entry/R04463" TargetMode="External"/><Relationship Id="rId998" Type="http://schemas.openxmlformats.org/officeDocument/2006/relationships/hyperlink" Target="https://www.genome.jp/entry/R08717" TargetMode="External"/><Relationship Id="rId1183" Type="http://schemas.openxmlformats.org/officeDocument/2006/relationships/hyperlink" Target="https://www.genome.jp/entry/R01641" TargetMode="External"/><Relationship Id="rId1390" Type="http://schemas.openxmlformats.org/officeDocument/2006/relationships/hyperlink" Target="https://www.genome.jp/entry/R00803" TargetMode="External"/><Relationship Id="rId2027" Type="http://schemas.openxmlformats.org/officeDocument/2006/relationships/hyperlink" Target="https://www.genome.jp/entry/4.2.1.51" TargetMode="External"/><Relationship Id="rId2234" Type="http://schemas.openxmlformats.org/officeDocument/2006/relationships/hyperlink" Target="https://www.genome.jp/entry/R10997" TargetMode="External"/><Relationship Id="rId2441" Type="http://schemas.openxmlformats.org/officeDocument/2006/relationships/hyperlink" Target="https://www.genome.jp/entry/2.7.1.40" TargetMode="External"/><Relationship Id="rId2679" Type="http://schemas.openxmlformats.org/officeDocument/2006/relationships/hyperlink" Target="https://www.genome.jp/entry/1.17.4.2" TargetMode="External"/><Relationship Id="rId206" Type="http://schemas.openxmlformats.org/officeDocument/2006/relationships/hyperlink" Target="https://www.genome.jp/entry/R04968" TargetMode="External"/><Relationship Id="rId413" Type="http://schemas.openxmlformats.org/officeDocument/2006/relationships/hyperlink" Target="https://www.genome.jp/entry/2.7.1.69" TargetMode="External"/><Relationship Id="rId858" Type="http://schemas.openxmlformats.org/officeDocument/2006/relationships/hyperlink" Target="https://www.genome.jp/entry/3.2.1.96" TargetMode="External"/><Relationship Id="rId1043" Type="http://schemas.openxmlformats.org/officeDocument/2006/relationships/hyperlink" Target="https://www.genome.jp/entry/2.7.7.9" TargetMode="External"/><Relationship Id="rId1488" Type="http://schemas.openxmlformats.org/officeDocument/2006/relationships/hyperlink" Target="https://www.genome.jp/entry/3.2.1.26" TargetMode="External"/><Relationship Id="rId1695" Type="http://schemas.openxmlformats.org/officeDocument/2006/relationships/hyperlink" Target="https://www.genome.jp/entry/R00291" TargetMode="External"/><Relationship Id="rId2539" Type="http://schemas.openxmlformats.org/officeDocument/2006/relationships/hyperlink" Target="https://www.genome.jp/entry/R00375" TargetMode="External"/><Relationship Id="rId620" Type="http://schemas.openxmlformats.org/officeDocument/2006/relationships/hyperlink" Target="https://www.genome.jp/entry/R01968" TargetMode="External"/><Relationship Id="rId718" Type="http://schemas.openxmlformats.org/officeDocument/2006/relationships/hyperlink" Target="https://www.genome.jp/entry/R06004" TargetMode="External"/><Relationship Id="rId925" Type="http://schemas.openxmlformats.org/officeDocument/2006/relationships/hyperlink" Target="https://www.genome.jp/entry/3.2.1.22" TargetMode="External"/><Relationship Id="rId1250" Type="http://schemas.openxmlformats.org/officeDocument/2006/relationships/hyperlink" Target="https://www.genome.jp/entry/R01515" TargetMode="External"/><Relationship Id="rId1348" Type="http://schemas.openxmlformats.org/officeDocument/2006/relationships/hyperlink" Target="https://www.genome.jp/entry/R01074" TargetMode="External"/><Relationship Id="rId1555" Type="http://schemas.openxmlformats.org/officeDocument/2006/relationships/hyperlink" Target="https://www.genome.jp/entry/2.7.11.1" TargetMode="External"/><Relationship Id="rId1762" Type="http://schemas.openxmlformats.org/officeDocument/2006/relationships/hyperlink" Target="https://www.genome.jp/entry/R00900" TargetMode="External"/><Relationship Id="rId2301" Type="http://schemas.openxmlformats.org/officeDocument/2006/relationships/hyperlink" Target="https://www.genome.jp/entry/R00345" TargetMode="External"/><Relationship Id="rId2606" Type="http://schemas.openxmlformats.org/officeDocument/2006/relationships/hyperlink" Target="https://www.genome.jp/entry/2.4.2.1" TargetMode="External"/><Relationship Id="rId1110" Type="http://schemas.openxmlformats.org/officeDocument/2006/relationships/hyperlink" Target="https://www.genome.jp/entry/R02102" TargetMode="External"/><Relationship Id="rId1208" Type="http://schemas.openxmlformats.org/officeDocument/2006/relationships/hyperlink" Target="https://www.genome.jp/entry/R01061" TargetMode="External"/><Relationship Id="rId1415" Type="http://schemas.openxmlformats.org/officeDocument/2006/relationships/hyperlink" Target="https://www.genome.jp/entry/1.1.1.90" TargetMode="External"/><Relationship Id="rId54" Type="http://schemas.openxmlformats.org/officeDocument/2006/relationships/hyperlink" Target="https://www.genome.jp/entry/R03255" TargetMode="External"/><Relationship Id="rId1622" Type="http://schemas.openxmlformats.org/officeDocument/2006/relationships/hyperlink" Target="https://www.genome.jp/entry/3.2.1.18" TargetMode="External"/><Relationship Id="rId1927" Type="http://schemas.openxmlformats.org/officeDocument/2006/relationships/hyperlink" Target="https://www.genome.jp/entry/3.1.3.25" TargetMode="External"/><Relationship Id="rId2091" Type="http://schemas.openxmlformats.org/officeDocument/2006/relationships/hyperlink" Target="https://www.genome.jp/entry/4.2.1.33" TargetMode="External"/><Relationship Id="rId2189" Type="http://schemas.openxmlformats.org/officeDocument/2006/relationships/hyperlink" Target="https://www.genome.jp/entry/2.7.1.31" TargetMode="External"/><Relationship Id="rId270" Type="http://schemas.openxmlformats.org/officeDocument/2006/relationships/hyperlink" Target="https://www.genome.jp/entry/3.1.11.5" TargetMode="External"/><Relationship Id="rId2396" Type="http://schemas.openxmlformats.org/officeDocument/2006/relationships/hyperlink" Target="https://www.genome.jp/entry/R00375" TargetMode="External"/><Relationship Id="rId130" Type="http://schemas.openxmlformats.org/officeDocument/2006/relationships/hyperlink" Target="https://www.genome.jp/entry/R00875" TargetMode="External"/><Relationship Id="rId368" Type="http://schemas.openxmlformats.org/officeDocument/2006/relationships/hyperlink" Target="https://www.genome.jp/entry/R02237" TargetMode="External"/><Relationship Id="rId575" Type="http://schemas.openxmlformats.org/officeDocument/2006/relationships/hyperlink" Target="https://www.genome.jp/entry/3.5.1.28" TargetMode="External"/><Relationship Id="rId782" Type="http://schemas.openxmlformats.org/officeDocument/2006/relationships/hyperlink" Target="https://www.genome.jp/entry/R00375" TargetMode="External"/><Relationship Id="rId2049" Type="http://schemas.openxmlformats.org/officeDocument/2006/relationships/hyperlink" Target="https://www.genome.jp/entry/R01395" TargetMode="External"/><Relationship Id="rId2256" Type="http://schemas.openxmlformats.org/officeDocument/2006/relationships/hyperlink" Target="https://www.genome.jp/entry/1.17.4.1" TargetMode="External"/><Relationship Id="rId2463" Type="http://schemas.openxmlformats.org/officeDocument/2006/relationships/hyperlink" Target="https://www.genome.jp/entry/2.7.1.11" TargetMode="External"/><Relationship Id="rId2670" Type="http://schemas.openxmlformats.org/officeDocument/2006/relationships/hyperlink" Target="https://www.genome.jp/entry/R00115" TargetMode="External"/><Relationship Id="rId228" Type="http://schemas.openxmlformats.org/officeDocument/2006/relationships/hyperlink" Target="https://www.genome.jp/entry/4.2.1.17" TargetMode="External"/><Relationship Id="rId435" Type="http://schemas.openxmlformats.org/officeDocument/2006/relationships/hyperlink" Target="https://www.genome.jp/entry/R00376" TargetMode="External"/><Relationship Id="rId642" Type="http://schemas.openxmlformats.org/officeDocument/2006/relationships/hyperlink" Target="https://www.genome.jp/entry/2.4.2.1" TargetMode="External"/><Relationship Id="rId1065" Type="http://schemas.openxmlformats.org/officeDocument/2006/relationships/hyperlink" Target="https://www.genome.jp/entry/6.1.1.24" TargetMode="External"/><Relationship Id="rId1272" Type="http://schemas.openxmlformats.org/officeDocument/2006/relationships/hyperlink" Target="https://www.genome.jp/entry/R00435" TargetMode="External"/><Relationship Id="rId2116" Type="http://schemas.openxmlformats.org/officeDocument/2006/relationships/hyperlink" Target="https://www.genome.jp/entry/2.5.1.49" TargetMode="External"/><Relationship Id="rId2323" Type="http://schemas.openxmlformats.org/officeDocument/2006/relationships/hyperlink" Target="https://www.genome.jp/entry/4.99.1.1" TargetMode="External"/><Relationship Id="rId2530" Type="http://schemas.openxmlformats.org/officeDocument/2006/relationships/hyperlink" Target="https://www.genome.jp/entry/2.8.1.7" TargetMode="External"/><Relationship Id="rId502" Type="http://schemas.openxmlformats.org/officeDocument/2006/relationships/hyperlink" Target="https://www.genome.jp/entry/R01799" TargetMode="External"/><Relationship Id="rId947" Type="http://schemas.openxmlformats.org/officeDocument/2006/relationships/hyperlink" Target="https://www.genome.jp/entry/1.1.1.1" TargetMode="External"/><Relationship Id="rId1132" Type="http://schemas.openxmlformats.org/officeDocument/2006/relationships/hyperlink" Target="https://www.genome.jp/entry/1.1.1.1" TargetMode="External"/><Relationship Id="rId1577" Type="http://schemas.openxmlformats.org/officeDocument/2006/relationships/hyperlink" Target="https://www.genome.jp/entry/3.2.1.26" TargetMode="External"/><Relationship Id="rId1784" Type="http://schemas.openxmlformats.org/officeDocument/2006/relationships/hyperlink" Target="https://www.genome.jp/entry/R09384" TargetMode="External"/><Relationship Id="rId1991" Type="http://schemas.openxmlformats.org/officeDocument/2006/relationships/hyperlink" Target="https://www.genome.jp/entry/R00380" TargetMode="External"/><Relationship Id="rId2628" Type="http://schemas.openxmlformats.org/officeDocument/2006/relationships/hyperlink" Target="https://www.genome.jp/entry/2.4.2.1" TargetMode="External"/><Relationship Id="rId76" Type="http://schemas.openxmlformats.org/officeDocument/2006/relationships/hyperlink" Target="https://www.genome.jp/entry/R05627" TargetMode="External"/><Relationship Id="rId807" Type="http://schemas.openxmlformats.org/officeDocument/2006/relationships/hyperlink" Target="https://www.genome.jp/entry/2.4.2.8" TargetMode="External"/><Relationship Id="rId1437" Type="http://schemas.openxmlformats.org/officeDocument/2006/relationships/hyperlink" Target="https://www.genome.jp/entry/2.6.1.87" TargetMode="External"/><Relationship Id="rId1644" Type="http://schemas.openxmlformats.org/officeDocument/2006/relationships/hyperlink" Target="https://www.genome.jp/entry/3.2.1.18" TargetMode="External"/><Relationship Id="rId1851" Type="http://schemas.openxmlformats.org/officeDocument/2006/relationships/hyperlink" Target="https://www.genome.jp/entry/5.4.2.2" TargetMode="External"/><Relationship Id="rId1504" Type="http://schemas.openxmlformats.org/officeDocument/2006/relationships/hyperlink" Target="https://www.genome.jp/entry/3.2.1.26" TargetMode="External"/><Relationship Id="rId1711" Type="http://schemas.openxmlformats.org/officeDocument/2006/relationships/hyperlink" Target="https://www.genome.jp/entry/R03020" TargetMode="External"/><Relationship Id="rId1949" Type="http://schemas.openxmlformats.org/officeDocument/2006/relationships/hyperlink" Target="https://www.genome.jp/entry/3.2.1.1" TargetMode="External"/><Relationship Id="rId292" Type="http://schemas.openxmlformats.org/officeDocument/2006/relationships/hyperlink" Target="https://www.genome.jp/entry/1.1.1.133" TargetMode="External"/><Relationship Id="rId1809" Type="http://schemas.openxmlformats.org/officeDocument/2006/relationships/hyperlink" Target="https://www.genome.jp/entry/R05052" TargetMode="External"/><Relationship Id="rId597" Type="http://schemas.openxmlformats.org/officeDocument/2006/relationships/hyperlink" Target="https://www.genome.jp/entry/3.1.3.5" TargetMode="External"/><Relationship Id="rId2180" Type="http://schemas.openxmlformats.org/officeDocument/2006/relationships/hyperlink" Target="https://www.genome.jp/entry/R00948" TargetMode="External"/><Relationship Id="rId2278" Type="http://schemas.openxmlformats.org/officeDocument/2006/relationships/hyperlink" Target="https://www.genome.jp/entry/1.17.4.1" TargetMode="External"/><Relationship Id="rId2485" Type="http://schemas.openxmlformats.org/officeDocument/2006/relationships/hyperlink" Target="https://www.genome.jp/entry/2.7.7.7" TargetMode="External"/><Relationship Id="rId152" Type="http://schemas.openxmlformats.org/officeDocument/2006/relationships/hyperlink" Target="https://www.genome.jp/entry/R04960" TargetMode="External"/><Relationship Id="rId457" Type="http://schemas.openxmlformats.org/officeDocument/2006/relationships/hyperlink" Target="https://www.genome.jp/entry/3.2.1.86" TargetMode="External"/><Relationship Id="rId1087" Type="http://schemas.openxmlformats.org/officeDocument/2006/relationships/hyperlink" Target="https://www.genome.jp/entry/3.1.3.5" TargetMode="External"/><Relationship Id="rId1294" Type="http://schemas.openxmlformats.org/officeDocument/2006/relationships/hyperlink" Target="https://www.genome.jp/entry/R00722" TargetMode="External"/><Relationship Id="rId2040" Type="http://schemas.openxmlformats.org/officeDocument/2006/relationships/hyperlink" Target="https://www.genome.jp/entry/6.3.5.5" TargetMode="External"/><Relationship Id="rId2138" Type="http://schemas.openxmlformats.org/officeDocument/2006/relationships/hyperlink" Target="https://www.genome.jp/entry/R00968" TargetMode="External"/><Relationship Id="rId2692" Type="http://schemas.openxmlformats.org/officeDocument/2006/relationships/hyperlink" Target="https://www.genome.jp/entry/1.15.1.1" TargetMode="External"/><Relationship Id="rId664" Type="http://schemas.openxmlformats.org/officeDocument/2006/relationships/hyperlink" Target="https://www.genome.jp/entry/1.13.11.2" TargetMode="External"/><Relationship Id="rId871" Type="http://schemas.openxmlformats.org/officeDocument/2006/relationships/hyperlink" Target="https://www.genome.jp/entry/6.1.1.13" TargetMode="External"/><Relationship Id="rId969" Type="http://schemas.openxmlformats.org/officeDocument/2006/relationships/hyperlink" Target="https://www.genome.jp/entry/1.1.1.1" TargetMode="External"/><Relationship Id="rId1599" Type="http://schemas.openxmlformats.org/officeDocument/2006/relationships/hyperlink" Target="https://www.genome.jp/entry/5.1.1.1" TargetMode="External"/><Relationship Id="rId2345" Type="http://schemas.openxmlformats.org/officeDocument/2006/relationships/hyperlink" Target="https://www.genome.jp/entry/2.7.7.7" TargetMode="External"/><Relationship Id="rId2552" Type="http://schemas.openxmlformats.org/officeDocument/2006/relationships/hyperlink" Target="https://www.genome.jp/entry/3.4.19.3" TargetMode="External"/><Relationship Id="rId317" Type="http://schemas.openxmlformats.org/officeDocument/2006/relationships/hyperlink" Target="https://www.genome.jp/entry/R05630" TargetMode="External"/><Relationship Id="rId524" Type="http://schemas.openxmlformats.org/officeDocument/2006/relationships/hyperlink" Target="https://www.genome.jp/entry/2.7.7.6" TargetMode="External"/><Relationship Id="rId731" Type="http://schemas.openxmlformats.org/officeDocument/2006/relationships/hyperlink" Target="https://www.genome.jp/entry/3.2.1.52" TargetMode="External"/><Relationship Id="rId1154" Type="http://schemas.openxmlformats.org/officeDocument/2006/relationships/hyperlink" Target="https://www.genome.jp/entry/1.1.1.1" TargetMode="External"/><Relationship Id="rId1361" Type="http://schemas.openxmlformats.org/officeDocument/2006/relationships/hyperlink" Target="https://www.genome.jp/entry/3.2.1.22" TargetMode="External"/><Relationship Id="rId1459" Type="http://schemas.openxmlformats.org/officeDocument/2006/relationships/hyperlink" Target="https://www.genome.jp/entry/4.2.1.20" TargetMode="External"/><Relationship Id="rId2205" Type="http://schemas.openxmlformats.org/officeDocument/2006/relationships/hyperlink" Target="https://www.genome.jp/entry/1.8.1.4" TargetMode="External"/><Relationship Id="rId2412" Type="http://schemas.openxmlformats.org/officeDocument/2006/relationships/hyperlink" Target="https://www.genome.jp/entry/R01251" TargetMode="External"/><Relationship Id="rId98" Type="http://schemas.openxmlformats.org/officeDocument/2006/relationships/hyperlink" Target="https://www.genome.jp/entry/R05071" TargetMode="External"/><Relationship Id="rId829" Type="http://schemas.openxmlformats.org/officeDocument/2006/relationships/hyperlink" Target="https://www.genome.jp/entry/2.7.7.7" TargetMode="External"/><Relationship Id="rId1014" Type="http://schemas.openxmlformats.org/officeDocument/2006/relationships/hyperlink" Target="https://www.genome.jp/entry/R06861" TargetMode="External"/><Relationship Id="rId1221" Type="http://schemas.openxmlformats.org/officeDocument/2006/relationships/hyperlink" Target="https://www.genome.jp/entry/2.6.1.1" TargetMode="External"/><Relationship Id="rId1666" Type="http://schemas.openxmlformats.org/officeDocument/2006/relationships/hyperlink" Target="https://www.genome.jp/entry/2.4.1.129" TargetMode="External"/><Relationship Id="rId1873" Type="http://schemas.openxmlformats.org/officeDocument/2006/relationships/hyperlink" Target="https://www.genome.jp/entry/R05711" TargetMode="External"/><Relationship Id="rId1319" Type="http://schemas.openxmlformats.org/officeDocument/2006/relationships/hyperlink" Target="https://www.genome.jp/entry/R05627" TargetMode="External"/><Relationship Id="rId1526" Type="http://schemas.openxmlformats.org/officeDocument/2006/relationships/hyperlink" Target="https://www.genome.jp/entry/2.1.1.156" TargetMode="External"/><Relationship Id="rId1733" Type="http://schemas.openxmlformats.org/officeDocument/2006/relationships/hyperlink" Target="https://www.genome.jp/entry/3.6.4.13" TargetMode="External"/><Relationship Id="rId1940" Type="http://schemas.openxmlformats.org/officeDocument/2006/relationships/hyperlink" Target="https://www.genome.jp/entry/1.3.1.98" TargetMode="External"/><Relationship Id="rId25" Type="http://schemas.openxmlformats.org/officeDocument/2006/relationships/hyperlink" Target="https://www.genome.jp/entry/3.2.1.52" TargetMode="External"/><Relationship Id="rId1800" Type="http://schemas.openxmlformats.org/officeDocument/2006/relationships/hyperlink" Target="https://www.genome.jp/entry/2.6.1.1" TargetMode="External"/><Relationship Id="rId174" Type="http://schemas.openxmlformats.org/officeDocument/2006/relationships/hyperlink" Target="https://www.genome.jp/entry/R04566" TargetMode="External"/><Relationship Id="rId381" Type="http://schemas.openxmlformats.org/officeDocument/2006/relationships/hyperlink" Target="https://www.genome.jp/entry/1.1.1.1" TargetMode="External"/><Relationship Id="rId2062" Type="http://schemas.openxmlformats.org/officeDocument/2006/relationships/hyperlink" Target="https://www.genome.jp/entry/2.7.7.15" TargetMode="External"/><Relationship Id="rId241" Type="http://schemas.openxmlformats.org/officeDocument/2006/relationships/hyperlink" Target="https://www.genome.jp/entry/R07314" TargetMode="External"/><Relationship Id="rId479" Type="http://schemas.openxmlformats.org/officeDocument/2006/relationships/hyperlink" Target="https://www.genome.jp/entry/3.2.1.21" TargetMode="External"/><Relationship Id="rId686" Type="http://schemas.openxmlformats.org/officeDocument/2006/relationships/hyperlink" Target="https://www.genome.jp/entry/R04783" TargetMode="External"/><Relationship Id="rId893" Type="http://schemas.openxmlformats.org/officeDocument/2006/relationships/hyperlink" Target="https://www.genome.jp/entry/6.1.1.13" TargetMode="External"/><Relationship Id="rId2367" Type="http://schemas.openxmlformats.org/officeDocument/2006/relationships/hyperlink" Target="https://www.genome.jp/entry/3.2.1.96" TargetMode="External"/><Relationship Id="rId2574" Type="http://schemas.openxmlformats.org/officeDocument/2006/relationships/hyperlink" Target="https://www.genome.jp/entry/2.4.2.2" TargetMode="External"/><Relationship Id="rId339" Type="http://schemas.openxmlformats.org/officeDocument/2006/relationships/hyperlink" Target="https://www.genome.jp/entry/3.2.1.86" TargetMode="External"/><Relationship Id="rId546" Type="http://schemas.openxmlformats.org/officeDocument/2006/relationships/hyperlink" Target="https://www.genome.jp/entry/1.17.4.2" TargetMode="External"/><Relationship Id="rId753" Type="http://schemas.openxmlformats.org/officeDocument/2006/relationships/hyperlink" Target="https://www.genome.jp/entry/2.1.2.2" TargetMode="External"/><Relationship Id="rId1176" Type="http://schemas.openxmlformats.org/officeDocument/2006/relationships/hyperlink" Target="https://www.genome.jp/entry/4.1.1.85" TargetMode="External"/><Relationship Id="rId1383" Type="http://schemas.openxmlformats.org/officeDocument/2006/relationships/hyperlink" Target="https://www.genome.jp/entry/3.2.1.22" TargetMode="External"/><Relationship Id="rId2227" Type="http://schemas.openxmlformats.org/officeDocument/2006/relationships/hyperlink" Target="https://www.genome.jp/entry/1.2.4.4" TargetMode="External"/><Relationship Id="rId2434" Type="http://schemas.openxmlformats.org/officeDocument/2006/relationships/hyperlink" Target="https://www.genome.jp/entry/R01920" TargetMode="External"/><Relationship Id="rId101" Type="http://schemas.openxmlformats.org/officeDocument/2006/relationships/hyperlink" Target="https://www.genome.jp/entry/2.2.1.6" TargetMode="External"/><Relationship Id="rId406" Type="http://schemas.openxmlformats.org/officeDocument/2006/relationships/hyperlink" Target="https://www.genome.jp/entry/R00624" TargetMode="External"/><Relationship Id="rId960" Type="http://schemas.openxmlformats.org/officeDocument/2006/relationships/hyperlink" Target="https://www.genome.jp/entry/R06917" TargetMode="External"/><Relationship Id="rId1036" Type="http://schemas.openxmlformats.org/officeDocument/2006/relationships/hyperlink" Target="https://www.genome.jp/entry/6.1.1.1" TargetMode="External"/><Relationship Id="rId1243" Type="http://schemas.openxmlformats.org/officeDocument/2006/relationships/hyperlink" Target="https://www.genome.jp/entry/3.6.1.7" TargetMode="External"/><Relationship Id="rId1590" Type="http://schemas.openxmlformats.org/officeDocument/2006/relationships/hyperlink" Target="https://www.genome.jp/entry/R05705" TargetMode="External"/><Relationship Id="rId1688" Type="http://schemas.openxmlformats.org/officeDocument/2006/relationships/hyperlink" Target="https://www.genome.jp/entry/1.4.3.19" TargetMode="External"/><Relationship Id="rId1895" Type="http://schemas.openxmlformats.org/officeDocument/2006/relationships/hyperlink" Target="https://www.genome.jp/entry/6.3.5.2" TargetMode="External"/><Relationship Id="rId2641" Type="http://schemas.openxmlformats.org/officeDocument/2006/relationships/hyperlink" Target="https://www.genome.jp/entry/R01056" TargetMode="External"/><Relationship Id="rId613" Type="http://schemas.openxmlformats.org/officeDocument/2006/relationships/hyperlink" Target="https://www.genome.jp/entry/3.1.3.5" TargetMode="External"/><Relationship Id="rId820" Type="http://schemas.openxmlformats.org/officeDocument/2006/relationships/hyperlink" Target="https://www.genome.jp/entry/R09597" TargetMode="External"/><Relationship Id="rId918" Type="http://schemas.openxmlformats.org/officeDocument/2006/relationships/hyperlink" Target="https://www.genome.jp/entry/R04470" TargetMode="External"/><Relationship Id="rId1450" Type="http://schemas.openxmlformats.org/officeDocument/2006/relationships/hyperlink" Target="https://www.genome.jp/entry/R01073" TargetMode="External"/><Relationship Id="rId1548" Type="http://schemas.openxmlformats.org/officeDocument/2006/relationships/hyperlink" Target="https://www.genome.jp/entry/2.7.7.6" TargetMode="External"/><Relationship Id="rId1755" Type="http://schemas.openxmlformats.org/officeDocument/2006/relationships/hyperlink" Target="https://www.genome.jp/entry/1.5.1.3" TargetMode="External"/><Relationship Id="rId2501" Type="http://schemas.openxmlformats.org/officeDocument/2006/relationships/hyperlink" Target="https://www.genome.jp/entry/2.7.1.11" TargetMode="External"/><Relationship Id="rId1103" Type="http://schemas.openxmlformats.org/officeDocument/2006/relationships/hyperlink" Target="https://www.genome.jp/entry/3.1.3.5" TargetMode="External"/><Relationship Id="rId1310" Type="http://schemas.openxmlformats.org/officeDocument/2006/relationships/hyperlink" Target="https://www.genome.jp/entry/R11894" TargetMode="External"/><Relationship Id="rId1408" Type="http://schemas.openxmlformats.org/officeDocument/2006/relationships/hyperlink" Target="https://www.genome.jp/entry/3.4.11.7" TargetMode="External"/><Relationship Id="rId1962" Type="http://schemas.openxmlformats.org/officeDocument/2006/relationships/hyperlink" Target="https://www.genome.jp/entry/4.2.3.4" TargetMode="External"/><Relationship Id="rId47" Type="http://schemas.openxmlformats.org/officeDocument/2006/relationships/hyperlink" Target="https://www.genome.jp/entry/6.3.4.2" TargetMode="External"/><Relationship Id="rId1615" Type="http://schemas.openxmlformats.org/officeDocument/2006/relationships/hyperlink" Target="https://www.genome.jp/entry/R05117" TargetMode="External"/><Relationship Id="rId1822" Type="http://schemas.openxmlformats.org/officeDocument/2006/relationships/hyperlink" Target="https://www.genome.jp/entry/2.5.1.48" TargetMode="External"/><Relationship Id="rId196" Type="http://schemas.openxmlformats.org/officeDocument/2006/relationships/hyperlink" Target="https://www.genome.jp/entry/R04726" TargetMode="External"/><Relationship Id="rId2084" Type="http://schemas.openxmlformats.org/officeDocument/2006/relationships/hyperlink" Target="https://www.genome.jp/entry/R10052" TargetMode="External"/><Relationship Id="rId2291" Type="http://schemas.openxmlformats.org/officeDocument/2006/relationships/hyperlink" Target="https://www.genome.jp/entry/5.3.1.26" TargetMode="External"/><Relationship Id="rId263" Type="http://schemas.openxmlformats.org/officeDocument/2006/relationships/hyperlink" Target="https://www.genome.jp/entry/R08218" TargetMode="External"/><Relationship Id="rId470" Type="http://schemas.openxmlformats.org/officeDocument/2006/relationships/hyperlink" Target="https://www.genome.jp/entry/R02887" TargetMode="External"/><Relationship Id="rId2151" Type="http://schemas.openxmlformats.org/officeDocument/2006/relationships/hyperlink" Target="https://www.genome.jp/entry/2.8.1.7" TargetMode="External"/><Relationship Id="rId2389" Type="http://schemas.openxmlformats.org/officeDocument/2006/relationships/hyperlink" Target="https://www.genome.jp/entry/R12548" TargetMode="External"/><Relationship Id="rId2596" Type="http://schemas.openxmlformats.org/officeDocument/2006/relationships/hyperlink" Target="https://www.genome.jp/entry/2.4.2.1" TargetMode="External"/><Relationship Id="rId123" Type="http://schemas.openxmlformats.org/officeDocument/2006/relationships/hyperlink" Target="https://www.genome.jp/entry/2.2.1.6" TargetMode="External"/><Relationship Id="rId330" Type="http://schemas.openxmlformats.org/officeDocument/2006/relationships/hyperlink" Target="https://www.genome.jp/entry/R02465" TargetMode="External"/><Relationship Id="rId568" Type="http://schemas.openxmlformats.org/officeDocument/2006/relationships/hyperlink" Target="https://www.genome.jp/entry/R09107" TargetMode="External"/><Relationship Id="rId775" Type="http://schemas.openxmlformats.org/officeDocument/2006/relationships/hyperlink" Target="https://www.genome.jp/entry/2.6.1.1" TargetMode="External"/><Relationship Id="rId982" Type="http://schemas.openxmlformats.org/officeDocument/2006/relationships/hyperlink" Target="https://www.genome.jp/entry/R03163" TargetMode="External"/><Relationship Id="rId1198" Type="http://schemas.openxmlformats.org/officeDocument/2006/relationships/hyperlink" Target="https://www.genome.jp/entry/R00839" TargetMode="External"/><Relationship Id="rId2011" Type="http://schemas.openxmlformats.org/officeDocument/2006/relationships/hyperlink" Target="https://www.genome.jp/entry/R02485" TargetMode="External"/><Relationship Id="rId2249" Type="http://schemas.openxmlformats.org/officeDocument/2006/relationships/hyperlink" Target="https://www.genome.jp/entry/R04294" TargetMode="External"/><Relationship Id="rId2456" Type="http://schemas.openxmlformats.org/officeDocument/2006/relationships/hyperlink" Target="https://www.genome.jp/entry/R04779" TargetMode="External"/><Relationship Id="rId2663" Type="http://schemas.openxmlformats.org/officeDocument/2006/relationships/hyperlink" Target="https://www.genome.jp/entry/6.1.1.10" TargetMode="External"/><Relationship Id="rId428" Type="http://schemas.openxmlformats.org/officeDocument/2006/relationships/hyperlink" Target="https://www.genome.jp/entry/2.7.7.7" TargetMode="External"/><Relationship Id="rId635" Type="http://schemas.openxmlformats.org/officeDocument/2006/relationships/hyperlink" Target="https://www.genome.jp/entry/R08368" TargetMode="External"/><Relationship Id="rId842" Type="http://schemas.openxmlformats.org/officeDocument/2006/relationships/hyperlink" Target="https://www.genome.jp/entry/R08240" TargetMode="External"/><Relationship Id="rId1058" Type="http://schemas.openxmlformats.org/officeDocument/2006/relationships/hyperlink" Target="https://www.genome.jp/entry/R02739" TargetMode="External"/><Relationship Id="rId1265" Type="http://schemas.openxmlformats.org/officeDocument/2006/relationships/hyperlink" Target="https://www.genome.jp/entry/2.7.7.6" TargetMode="External"/><Relationship Id="rId1472" Type="http://schemas.openxmlformats.org/officeDocument/2006/relationships/hyperlink" Target="https://www.genome.jp/entry/R00308" TargetMode="External"/><Relationship Id="rId2109" Type="http://schemas.openxmlformats.org/officeDocument/2006/relationships/hyperlink" Target="https://www.genome.jp/entry/1.1.1.27" TargetMode="External"/><Relationship Id="rId2316" Type="http://schemas.openxmlformats.org/officeDocument/2006/relationships/hyperlink" Target="https://www.genome.jp/entry/R02099" TargetMode="External"/><Relationship Id="rId2523" Type="http://schemas.openxmlformats.org/officeDocument/2006/relationships/hyperlink" Target="https://www.genome.jp/entry/2.7.1.56" TargetMode="External"/><Relationship Id="rId702" Type="http://schemas.openxmlformats.org/officeDocument/2006/relationships/hyperlink" Target="https://www.genome.jp/entry/R06202" TargetMode="External"/><Relationship Id="rId1125" Type="http://schemas.openxmlformats.org/officeDocument/2006/relationships/hyperlink" Target="https://www.genome.jp/entry/R02878" TargetMode="External"/><Relationship Id="rId1332" Type="http://schemas.openxmlformats.org/officeDocument/2006/relationships/hyperlink" Target="https://www.genome.jp/entry/1.1.1.100" TargetMode="External"/><Relationship Id="rId1777" Type="http://schemas.openxmlformats.org/officeDocument/2006/relationships/hyperlink" Target="https://www.genome.jp/entry/1.17.1.8" TargetMode="External"/><Relationship Id="rId1984" Type="http://schemas.openxmlformats.org/officeDocument/2006/relationships/hyperlink" Target="https://www.genome.jp/entry/1.1.1.3" TargetMode="External"/><Relationship Id="rId69" Type="http://schemas.openxmlformats.org/officeDocument/2006/relationships/hyperlink" Target="https://www.genome.jp/entry/2.7.7.7" TargetMode="External"/><Relationship Id="rId1637" Type="http://schemas.openxmlformats.org/officeDocument/2006/relationships/hyperlink" Target="https://www.genome.jp/entry/R05115" TargetMode="External"/><Relationship Id="rId1844" Type="http://schemas.openxmlformats.org/officeDocument/2006/relationships/hyperlink" Target="https://www.genome.jp/entry/3.6.3.14" TargetMode="External"/><Relationship Id="rId1704" Type="http://schemas.openxmlformats.org/officeDocument/2006/relationships/hyperlink" Target="https://www.genome.jp/entry/2.7.4.14" TargetMode="External"/><Relationship Id="rId285" Type="http://schemas.openxmlformats.org/officeDocument/2006/relationships/hyperlink" Target="https://www.genome.jp/entry/3.1.22.4" TargetMode="External"/><Relationship Id="rId1911" Type="http://schemas.openxmlformats.org/officeDocument/2006/relationships/hyperlink" Target="https://www.genome.jp/entry/1.3.3.3" TargetMode="External"/><Relationship Id="rId492" Type="http://schemas.openxmlformats.org/officeDocument/2006/relationships/hyperlink" Target="https://www.genome.jp/entry/R13051" TargetMode="External"/><Relationship Id="rId797" Type="http://schemas.openxmlformats.org/officeDocument/2006/relationships/hyperlink" Target="https://www.genome.jp/entry/2.7.6.1" TargetMode="External"/><Relationship Id="rId2173" Type="http://schemas.openxmlformats.org/officeDocument/2006/relationships/hyperlink" Target="https://www.genome.jp/entry/2.4.1.18" TargetMode="External"/><Relationship Id="rId2380" Type="http://schemas.openxmlformats.org/officeDocument/2006/relationships/hyperlink" Target="https://www.genome.jp/entry/R00396" TargetMode="External"/><Relationship Id="rId2478" Type="http://schemas.openxmlformats.org/officeDocument/2006/relationships/hyperlink" Target="https://www.genome.jp/entry/R00375" TargetMode="External"/><Relationship Id="rId145" Type="http://schemas.openxmlformats.org/officeDocument/2006/relationships/hyperlink" Target="https://www.genome.jp/entry/2.3.1.179" TargetMode="External"/><Relationship Id="rId352" Type="http://schemas.openxmlformats.org/officeDocument/2006/relationships/hyperlink" Target="https://www.genome.jp/entry/R04639" TargetMode="External"/><Relationship Id="rId1287" Type="http://schemas.openxmlformats.org/officeDocument/2006/relationships/hyperlink" Target="https://www.genome.jp/entry/2.7.4.6" TargetMode="External"/><Relationship Id="rId2033" Type="http://schemas.openxmlformats.org/officeDocument/2006/relationships/hyperlink" Target="https://www.genome.jp/entry/R00256" TargetMode="External"/><Relationship Id="rId2240" Type="http://schemas.openxmlformats.org/officeDocument/2006/relationships/hyperlink" Target="https://www.genome.jp/entry/R03270" TargetMode="External"/><Relationship Id="rId2685" Type="http://schemas.openxmlformats.org/officeDocument/2006/relationships/hyperlink" Target="https://www.genome.jp/entry/1.17.4.2" TargetMode="External"/><Relationship Id="rId212" Type="http://schemas.openxmlformats.org/officeDocument/2006/relationships/hyperlink" Target="https://www.genome.jp/entry/R10119" TargetMode="External"/><Relationship Id="rId657" Type="http://schemas.openxmlformats.org/officeDocument/2006/relationships/hyperlink" Target="https://www.genome.jp/entry/R01931" TargetMode="External"/><Relationship Id="rId864" Type="http://schemas.openxmlformats.org/officeDocument/2006/relationships/hyperlink" Target="https://www.genome.jp/entry/R02718" TargetMode="External"/><Relationship Id="rId1494" Type="http://schemas.openxmlformats.org/officeDocument/2006/relationships/hyperlink" Target="https://www.genome.jp/entry/3.2.1.26" TargetMode="External"/><Relationship Id="rId1799" Type="http://schemas.openxmlformats.org/officeDocument/2006/relationships/hyperlink" Target="https://www.genome.jp/entry/R00734" TargetMode="External"/><Relationship Id="rId2100" Type="http://schemas.openxmlformats.org/officeDocument/2006/relationships/hyperlink" Target="https://www.genome.jp/entry/2.3.1.57" TargetMode="External"/><Relationship Id="rId2338" Type="http://schemas.openxmlformats.org/officeDocument/2006/relationships/hyperlink" Target="https://www.genome.jp/entry/R00375" TargetMode="External"/><Relationship Id="rId2545" Type="http://schemas.openxmlformats.org/officeDocument/2006/relationships/hyperlink" Target="https://www.genome.jp/entry/R00378" TargetMode="External"/><Relationship Id="rId517" Type="http://schemas.openxmlformats.org/officeDocument/2006/relationships/hyperlink" Target="https://www.genome.jp/entry/3.6.3.31" TargetMode="External"/><Relationship Id="rId724" Type="http://schemas.openxmlformats.org/officeDocument/2006/relationships/hyperlink" Target="https://www.genome.jp/entry/R07810" TargetMode="External"/><Relationship Id="rId931" Type="http://schemas.openxmlformats.org/officeDocument/2006/relationships/hyperlink" Target="https://www.genome.jp/entry/3.2.1.22" TargetMode="External"/><Relationship Id="rId1147" Type="http://schemas.openxmlformats.org/officeDocument/2006/relationships/hyperlink" Target="https://www.genome.jp/entry/R10783" TargetMode="External"/><Relationship Id="rId1354" Type="http://schemas.openxmlformats.org/officeDocument/2006/relationships/hyperlink" Target="https://www.genome.jp/entry/R01103" TargetMode="External"/><Relationship Id="rId1561" Type="http://schemas.openxmlformats.org/officeDocument/2006/relationships/hyperlink" Target="https://www.genome.jp/entry/1.1.1.88" TargetMode="External"/><Relationship Id="rId2405" Type="http://schemas.openxmlformats.org/officeDocument/2006/relationships/hyperlink" Target="https://www.genome.jp/entry/2.7.4.9" TargetMode="External"/><Relationship Id="rId2612" Type="http://schemas.openxmlformats.org/officeDocument/2006/relationships/hyperlink" Target="https://www.genome.jp/entry/2.4.2.1" TargetMode="External"/><Relationship Id="rId60" Type="http://schemas.openxmlformats.org/officeDocument/2006/relationships/hyperlink" Target="https://www.genome.jp/entry/R00212" TargetMode="External"/><Relationship Id="rId1007" Type="http://schemas.openxmlformats.org/officeDocument/2006/relationships/hyperlink" Target="https://www.genome.jp/entry/2.2.1.1" TargetMode="External"/><Relationship Id="rId1214" Type="http://schemas.openxmlformats.org/officeDocument/2006/relationships/hyperlink" Target="https://www.genome.jp/entry/R06134" TargetMode="External"/><Relationship Id="rId1421" Type="http://schemas.openxmlformats.org/officeDocument/2006/relationships/hyperlink" Target="https://www.genome.jp/entry/1.1.1.90" TargetMode="External"/><Relationship Id="rId1659" Type="http://schemas.openxmlformats.org/officeDocument/2006/relationships/hyperlink" Target="https://www.genome.jp/entry/R12768" TargetMode="External"/><Relationship Id="rId1866" Type="http://schemas.openxmlformats.org/officeDocument/2006/relationships/hyperlink" Target="https://www.genome.jp/entry/6.1.1.14" TargetMode="External"/><Relationship Id="rId1519" Type="http://schemas.openxmlformats.org/officeDocument/2006/relationships/hyperlink" Target="https://www.genome.jp/entry/2.4.1.212" TargetMode="External"/><Relationship Id="rId1726" Type="http://schemas.openxmlformats.org/officeDocument/2006/relationships/hyperlink" Target="https://www.genome.jp/entry/R08550" TargetMode="External"/><Relationship Id="rId1933" Type="http://schemas.openxmlformats.org/officeDocument/2006/relationships/hyperlink" Target="https://www.genome.jp/entry/3.1.3.25" TargetMode="External"/><Relationship Id="rId18" Type="http://schemas.openxmlformats.org/officeDocument/2006/relationships/hyperlink" Target="https://www.genome.jp/entry/R04184" TargetMode="External"/><Relationship Id="rId2195" Type="http://schemas.openxmlformats.org/officeDocument/2006/relationships/hyperlink" Target="https://www.genome.jp/entry/3.4.24.13" TargetMode="External"/><Relationship Id="rId167" Type="http://schemas.openxmlformats.org/officeDocument/2006/relationships/hyperlink" Target="https://www.genome.jp/entry/1.1.1.100" TargetMode="External"/><Relationship Id="rId374" Type="http://schemas.openxmlformats.org/officeDocument/2006/relationships/hyperlink" Target="https://www.genome.jp/entry/R03066" TargetMode="External"/><Relationship Id="rId581" Type="http://schemas.openxmlformats.org/officeDocument/2006/relationships/hyperlink" Target="https://www.genome.jp/entry/4.3.1.17" TargetMode="External"/><Relationship Id="rId2055" Type="http://schemas.openxmlformats.org/officeDocument/2006/relationships/hyperlink" Target="https://www.genome.jp/entry/R07641" TargetMode="External"/><Relationship Id="rId2262" Type="http://schemas.openxmlformats.org/officeDocument/2006/relationships/hyperlink" Target="https://www.genome.jp/entry/1.17.4.1" TargetMode="External"/><Relationship Id="rId234" Type="http://schemas.openxmlformats.org/officeDocument/2006/relationships/hyperlink" Target="https://www.genome.jp/entry/4.2.1.17" TargetMode="External"/><Relationship Id="rId679" Type="http://schemas.openxmlformats.org/officeDocument/2006/relationships/hyperlink" Target="https://www.genome.jp/entry/3.2.1.23" TargetMode="External"/><Relationship Id="rId886" Type="http://schemas.openxmlformats.org/officeDocument/2006/relationships/hyperlink" Target="https://www.genome.jp/entry/R12867" TargetMode="External"/><Relationship Id="rId2567" Type="http://schemas.openxmlformats.org/officeDocument/2006/relationships/hyperlink" Target="https://www.genome.jp/entry/R08221" TargetMode="External"/><Relationship Id="rId2" Type="http://schemas.openxmlformats.org/officeDocument/2006/relationships/hyperlink" Target="https://www.genome.jp/entry/R01512" TargetMode="External"/><Relationship Id="rId441" Type="http://schemas.openxmlformats.org/officeDocument/2006/relationships/hyperlink" Target="https://www.genome.jp/entry/R11029" TargetMode="External"/><Relationship Id="rId539" Type="http://schemas.openxmlformats.org/officeDocument/2006/relationships/hyperlink" Target="https://www.genome.jp/entry/R04315" TargetMode="External"/><Relationship Id="rId746" Type="http://schemas.openxmlformats.org/officeDocument/2006/relationships/hyperlink" Target="https://www.genome.jp/entry/R07405" TargetMode="External"/><Relationship Id="rId1071" Type="http://schemas.openxmlformats.org/officeDocument/2006/relationships/hyperlink" Target="https://www.genome.jp/entry/3.5.4.1" TargetMode="External"/><Relationship Id="rId1169" Type="http://schemas.openxmlformats.org/officeDocument/2006/relationships/hyperlink" Target="https://www.genome.jp/entry/R02247" TargetMode="External"/><Relationship Id="rId1376" Type="http://schemas.openxmlformats.org/officeDocument/2006/relationships/hyperlink" Target="https://www.genome.jp/entry/R06070" TargetMode="External"/><Relationship Id="rId1583" Type="http://schemas.openxmlformats.org/officeDocument/2006/relationships/hyperlink" Target="https://www.genome.jp/entry/2.7.1.4" TargetMode="External"/><Relationship Id="rId2122" Type="http://schemas.openxmlformats.org/officeDocument/2006/relationships/hyperlink" Target="https://www.genome.jp/entry/4.4.1.11" TargetMode="External"/><Relationship Id="rId2427" Type="http://schemas.openxmlformats.org/officeDocument/2006/relationships/hyperlink" Target="https://www.genome.jp/entry/3.5.3.12" TargetMode="External"/><Relationship Id="rId301" Type="http://schemas.openxmlformats.org/officeDocument/2006/relationships/hyperlink" Target="https://www.genome.jp/entry/R02328" TargetMode="External"/><Relationship Id="rId953" Type="http://schemas.openxmlformats.org/officeDocument/2006/relationships/hyperlink" Target="https://www.genome.jp/entry/1.1.1.1" TargetMode="External"/><Relationship Id="rId1029" Type="http://schemas.openxmlformats.org/officeDocument/2006/relationships/hyperlink" Target="https://www.genome.jp/entry/R05577" TargetMode="External"/><Relationship Id="rId1236" Type="http://schemas.openxmlformats.org/officeDocument/2006/relationships/hyperlink" Target="https://www.genome.jp/entry/R01529" TargetMode="External"/><Relationship Id="rId1790" Type="http://schemas.openxmlformats.org/officeDocument/2006/relationships/hyperlink" Target="https://www.genome.jp/entry/3.5.1.31" TargetMode="External"/><Relationship Id="rId1888" Type="http://schemas.openxmlformats.org/officeDocument/2006/relationships/hyperlink" Target="https://www.genome.jp/entry/R04268" TargetMode="External"/><Relationship Id="rId2634" Type="http://schemas.openxmlformats.org/officeDocument/2006/relationships/hyperlink" Target="https://www.genome.jp/entry/5.4.2.7" TargetMode="External"/><Relationship Id="rId82" Type="http://schemas.openxmlformats.org/officeDocument/2006/relationships/hyperlink" Target="https://www.genome.jp/entry/R11101" TargetMode="External"/><Relationship Id="rId606" Type="http://schemas.openxmlformats.org/officeDocument/2006/relationships/hyperlink" Target="https://www.genome.jp/entry/R01126" TargetMode="External"/><Relationship Id="rId813" Type="http://schemas.openxmlformats.org/officeDocument/2006/relationships/hyperlink" Target="https://www.genome.jp/entry/2.4.2.8" TargetMode="External"/><Relationship Id="rId1443" Type="http://schemas.openxmlformats.org/officeDocument/2006/relationships/hyperlink" Target="https://www.genome.jp/entry/4.1.3.27" TargetMode="External"/><Relationship Id="rId1650" Type="http://schemas.openxmlformats.org/officeDocument/2006/relationships/hyperlink" Target="https://www.genome.jp/entry/3.2.1.18" TargetMode="External"/><Relationship Id="rId1748" Type="http://schemas.openxmlformats.org/officeDocument/2006/relationships/hyperlink" Target="https://www.genome.jp/entry/R00936" TargetMode="External"/><Relationship Id="rId1303" Type="http://schemas.openxmlformats.org/officeDocument/2006/relationships/hyperlink" Target="https://www.genome.jp/entry/2.7.4.6" TargetMode="External"/><Relationship Id="rId1510" Type="http://schemas.openxmlformats.org/officeDocument/2006/relationships/hyperlink" Target="https://www.genome.jp/entry/R07605" TargetMode="External"/><Relationship Id="rId1955" Type="http://schemas.openxmlformats.org/officeDocument/2006/relationships/hyperlink" Target="https://www.genome.jp/entry/2.1.1.191" TargetMode="External"/><Relationship Id="rId1608" Type="http://schemas.openxmlformats.org/officeDocument/2006/relationships/hyperlink" Target="https://www.genome.jp/entry/3.2.1.18" TargetMode="External"/><Relationship Id="rId1815" Type="http://schemas.openxmlformats.org/officeDocument/2006/relationships/hyperlink" Target="https://www.genome.jp/entry/6.3.2.13" TargetMode="External"/><Relationship Id="rId189" Type="http://schemas.openxmlformats.org/officeDocument/2006/relationships/hyperlink" Target="https://www.genome.jp/entry/2.3.1.180" TargetMode="External"/><Relationship Id="rId396" Type="http://schemas.openxmlformats.org/officeDocument/2006/relationships/hyperlink" Target="https://www.genome.jp/entry/R08281" TargetMode="External"/><Relationship Id="rId2077" Type="http://schemas.openxmlformats.org/officeDocument/2006/relationships/hyperlink" Target="https://www.genome.jp/entry/2.3.3.13" TargetMode="External"/><Relationship Id="rId2284" Type="http://schemas.openxmlformats.org/officeDocument/2006/relationships/hyperlink" Target="https://www.genome.jp/entry/3.2.1.85" TargetMode="External"/><Relationship Id="rId2491" Type="http://schemas.openxmlformats.org/officeDocument/2006/relationships/hyperlink" Target="https://www.genome.jp/entry/2.8.1.4" TargetMode="External"/><Relationship Id="rId256" Type="http://schemas.openxmlformats.org/officeDocument/2006/relationships/hyperlink" Target="https://www.genome.jp/entry/1.1.1.3" TargetMode="External"/><Relationship Id="rId463" Type="http://schemas.openxmlformats.org/officeDocument/2006/relationships/hyperlink" Target="https://www.genome.jp/entry/3.2.1.21" TargetMode="External"/><Relationship Id="rId670" Type="http://schemas.openxmlformats.org/officeDocument/2006/relationships/hyperlink" Target="https://www.genome.jp/entry/5.1.3.3" TargetMode="External"/><Relationship Id="rId1093" Type="http://schemas.openxmlformats.org/officeDocument/2006/relationships/hyperlink" Target="https://www.genome.jp/entry/3.1.3.5" TargetMode="External"/><Relationship Id="rId2144" Type="http://schemas.openxmlformats.org/officeDocument/2006/relationships/hyperlink" Target="https://www.genome.jp/entry/R02003" TargetMode="External"/><Relationship Id="rId2351" Type="http://schemas.openxmlformats.org/officeDocument/2006/relationships/hyperlink" Target="https://www.genome.jp/entry/3.2.2.9" TargetMode="External"/><Relationship Id="rId2589" Type="http://schemas.openxmlformats.org/officeDocument/2006/relationships/hyperlink" Target="https://www.genome.jp/entry/R08368" TargetMode="External"/><Relationship Id="rId116" Type="http://schemas.openxmlformats.org/officeDocument/2006/relationships/hyperlink" Target="https://www.genome.jp/entry/R00226" TargetMode="External"/><Relationship Id="rId323" Type="http://schemas.openxmlformats.org/officeDocument/2006/relationships/hyperlink" Target="https://www.genome.jp/entry/1.1.1.69" TargetMode="External"/><Relationship Id="rId530" Type="http://schemas.openxmlformats.org/officeDocument/2006/relationships/hyperlink" Target="https://www.genome.jp/entry/2.7.4.3" TargetMode="External"/><Relationship Id="rId768" Type="http://schemas.openxmlformats.org/officeDocument/2006/relationships/hyperlink" Target="https://www.genome.jp/entry/R00734" TargetMode="External"/><Relationship Id="rId975" Type="http://schemas.openxmlformats.org/officeDocument/2006/relationships/hyperlink" Target="https://www.genome.jp/entry/1.1.1.1" TargetMode="External"/><Relationship Id="rId1160" Type="http://schemas.openxmlformats.org/officeDocument/2006/relationships/hyperlink" Target="https://www.genome.jp/entry/1.1.1.2" TargetMode="External"/><Relationship Id="rId1398" Type="http://schemas.openxmlformats.org/officeDocument/2006/relationships/hyperlink" Target="https://www.genome.jp/entry/R00260" TargetMode="External"/><Relationship Id="rId2004" Type="http://schemas.openxmlformats.org/officeDocument/2006/relationships/hyperlink" Target="https://www.genome.jp/entry/5.1.3.24" TargetMode="External"/><Relationship Id="rId2211" Type="http://schemas.openxmlformats.org/officeDocument/2006/relationships/hyperlink" Target="https://www.genome.jp/entry/2.3.1.12" TargetMode="External"/><Relationship Id="rId2449" Type="http://schemas.openxmlformats.org/officeDocument/2006/relationships/hyperlink" Target="https://www.genome.jp/entry/2.7.1.40" TargetMode="External"/><Relationship Id="rId2656" Type="http://schemas.openxmlformats.org/officeDocument/2006/relationships/hyperlink" Target="https://www.genome.jp/entry/R02628" TargetMode="External"/><Relationship Id="rId628" Type="http://schemas.openxmlformats.org/officeDocument/2006/relationships/hyperlink" Target="https://www.genome.jp/entry/R00291" TargetMode="External"/><Relationship Id="rId835" Type="http://schemas.openxmlformats.org/officeDocument/2006/relationships/hyperlink" Target="https://www.genome.jp/entry/3.4.21.107" TargetMode="External"/><Relationship Id="rId1258" Type="http://schemas.openxmlformats.org/officeDocument/2006/relationships/hyperlink" Target="https://www.genome.jp/entry/R00444" TargetMode="External"/><Relationship Id="rId1465" Type="http://schemas.openxmlformats.org/officeDocument/2006/relationships/hyperlink" Target="https://www.genome.jp/entry/4.2.1.20" TargetMode="External"/><Relationship Id="rId1672" Type="http://schemas.openxmlformats.org/officeDocument/2006/relationships/hyperlink" Target="https://www.genome.jp/entry/R04617" TargetMode="External"/><Relationship Id="rId2309" Type="http://schemas.openxmlformats.org/officeDocument/2006/relationships/hyperlink" Target="https://www.genome.jp/entry/2.1.2.1" TargetMode="External"/><Relationship Id="rId2516" Type="http://schemas.openxmlformats.org/officeDocument/2006/relationships/hyperlink" Target="https://www.genome.jp/entry/R13203" TargetMode="External"/><Relationship Id="rId1020" Type="http://schemas.openxmlformats.org/officeDocument/2006/relationships/hyperlink" Target="https://www.genome.jp/entry/R01209" TargetMode="External"/><Relationship Id="rId1118" Type="http://schemas.openxmlformats.org/officeDocument/2006/relationships/hyperlink" Target="https://www.genome.jp/entry/1.1.1.1" TargetMode="External"/><Relationship Id="rId1325" Type="http://schemas.openxmlformats.org/officeDocument/2006/relationships/hyperlink" Target="https://www.genome.jp/entry/R04533" TargetMode="External"/><Relationship Id="rId1532" Type="http://schemas.openxmlformats.org/officeDocument/2006/relationships/hyperlink" Target="https://www.genome.jp/entry/2.7.4.8" TargetMode="External"/><Relationship Id="rId1977" Type="http://schemas.openxmlformats.org/officeDocument/2006/relationships/hyperlink" Target="https://www.genome.jp/entry/R00691" TargetMode="External"/><Relationship Id="rId902" Type="http://schemas.openxmlformats.org/officeDocument/2006/relationships/hyperlink" Target="https://www.genome.jp/entry/R01103" TargetMode="External"/><Relationship Id="rId1837" Type="http://schemas.openxmlformats.org/officeDocument/2006/relationships/hyperlink" Target="https://www.genome.jp/entry/6.3.2.8" TargetMode="External"/><Relationship Id="rId31" Type="http://schemas.openxmlformats.org/officeDocument/2006/relationships/hyperlink" Target="https://www.genome.jp/entry/3.2.1.52" TargetMode="External"/><Relationship Id="rId2099" Type="http://schemas.openxmlformats.org/officeDocument/2006/relationships/hyperlink" Target="https://www.genome.jp/entry/R02736" TargetMode="External"/><Relationship Id="rId180" Type="http://schemas.openxmlformats.org/officeDocument/2006/relationships/hyperlink" Target="https://www.genome.jp/entry/R07763" TargetMode="External"/><Relationship Id="rId278" Type="http://schemas.openxmlformats.org/officeDocument/2006/relationships/hyperlink" Target="https://www.genome.jp/entry/R03245" TargetMode="External"/><Relationship Id="rId1904" Type="http://schemas.openxmlformats.org/officeDocument/2006/relationships/hyperlink" Target="https://www.genome.jp/entry/3.5.1.28" TargetMode="External"/><Relationship Id="rId485" Type="http://schemas.openxmlformats.org/officeDocument/2006/relationships/hyperlink" Target="https://www.genome.jp/entry/3.2.1.21" TargetMode="External"/><Relationship Id="rId692" Type="http://schemas.openxmlformats.org/officeDocument/2006/relationships/hyperlink" Target="https://www.genome.jp/entry/R06010" TargetMode="External"/><Relationship Id="rId2166" Type="http://schemas.openxmlformats.org/officeDocument/2006/relationships/hyperlink" Target="https://www.genome.jp/entry/2.7.7.2" TargetMode="External"/><Relationship Id="rId2373" Type="http://schemas.openxmlformats.org/officeDocument/2006/relationships/hyperlink" Target="https://www.genome.jp/entry/R00396" TargetMode="External"/><Relationship Id="rId2580" Type="http://schemas.openxmlformats.org/officeDocument/2006/relationships/hyperlink" Target="https://www.genome.jp/entry/2.1.1.172" TargetMode="External"/><Relationship Id="rId138" Type="http://schemas.openxmlformats.org/officeDocument/2006/relationships/hyperlink" Target="https://www.genome.jp/entry/R04385" TargetMode="External"/><Relationship Id="rId345" Type="http://schemas.openxmlformats.org/officeDocument/2006/relationships/hyperlink" Target="https://www.genome.jp/entry/2.7.6.3" TargetMode="External"/><Relationship Id="rId552" Type="http://schemas.openxmlformats.org/officeDocument/2006/relationships/hyperlink" Target="https://www.genome.jp/entry/6.3.2.17" TargetMode="External"/><Relationship Id="rId997" Type="http://schemas.openxmlformats.org/officeDocument/2006/relationships/hyperlink" Target="https://www.genome.jp/entry/3.2.1.24" TargetMode="External"/><Relationship Id="rId1182" Type="http://schemas.openxmlformats.org/officeDocument/2006/relationships/hyperlink" Target="https://www.genome.jp/entry/2.2.1.1" TargetMode="External"/><Relationship Id="rId2026" Type="http://schemas.openxmlformats.org/officeDocument/2006/relationships/hyperlink" Target="https://www.genome.jp/entry/R01373" TargetMode="External"/><Relationship Id="rId2233" Type="http://schemas.openxmlformats.org/officeDocument/2006/relationships/hyperlink" Target="https://www.genome.jp/entry/1.2.4.4" TargetMode="External"/><Relationship Id="rId2440" Type="http://schemas.openxmlformats.org/officeDocument/2006/relationships/hyperlink" Target="https://www.genome.jp/entry/R00200" TargetMode="External"/><Relationship Id="rId2678" Type="http://schemas.openxmlformats.org/officeDocument/2006/relationships/hyperlink" Target="https://www.genome.jp/entry/R04315" TargetMode="External"/><Relationship Id="rId205" Type="http://schemas.openxmlformats.org/officeDocument/2006/relationships/hyperlink" Target="https://www.genome.jp/entry/2.3.1.41" TargetMode="External"/><Relationship Id="rId412" Type="http://schemas.openxmlformats.org/officeDocument/2006/relationships/hyperlink" Target="https://www.genome.jp/entry/R07105" TargetMode="External"/><Relationship Id="rId857" Type="http://schemas.openxmlformats.org/officeDocument/2006/relationships/hyperlink" Target="https://www.genome.jp/entry/2.7.13.3" TargetMode="External"/><Relationship Id="rId1042" Type="http://schemas.openxmlformats.org/officeDocument/2006/relationships/hyperlink" Target="https://www.genome.jp/entry/3.4.21.105" TargetMode="External"/><Relationship Id="rId1487" Type="http://schemas.openxmlformats.org/officeDocument/2006/relationships/hyperlink" Target="https://www.genome.jp/entry/R00801" TargetMode="External"/><Relationship Id="rId1694" Type="http://schemas.openxmlformats.org/officeDocument/2006/relationships/hyperlink" Target="https://www.genome.jp/entry/5.1.3.2" TargetMode="External"/><Relationship Id="rId2300" Type="http://schemas.openxmlformats.org/officeDocument/2006/relationships/hyperlink" Target="https://www.genome.jp/entry/4.1.1.31" TargetMode="External"/><Relationship Id="rId2538" Type="http://schemas.openxmlformats.org/officeDocument/2006/relationships/hyperlink" Target="https://www.genome.jp/entry/2.7.7.7" TargetMode="External"/><Relationship Id="rId717" Type="http://schemas.openxmlformats.org/officeDocument/2006/relationships/hyperlink" Target="https://www.genome.jp/entry/3.2.1.52" TargetMode="External"/><Relationship Id="rId924" Type="http://schemas.openxmlformats.org/officeDocument/2006/relationships/hyperlink" Target="https://www.genome.jp/entry/R06070" TargetMode="External"/><Relationship Id="rId1347" Type="http://schemas.openxmlformats.org/officeDocument/2006/relationships/hyperlink" Target="https://www.genome.jp/entry/6.3.4.15" TargetMode="External"/><Relationship Id="rId1554" Type="http://schemas.openxmlformats.org/officeDocument/2006/relationships/hyperlink" Target="https://www.genome.jp/entry/R00164" TargetMode="External"/><Relationship Id="rId1761" Type="http://schemas.openxmlformats.org/officeDocument/2006/relationships/hyperlink" Target="https://www.genome.jp/entry/1.8.1.9" TargetMode="External"/><Relationship Id="rId1999" Type="http://schemas.openxmlformats.org/officeDocument/2006/relationships/hyperlink" Target="https://www.genome.jp/entry/R02087" TargetMode="External"/><Relationship Id="rId2605" Type="http://schemas.openxmlformats.org/officeDocument/2006/relationships/hyperlink" Target="https://www.genome.jp/entry/R02748" TargetMode="External"/><Relationship Id="rId53" Type="http://schemas.openxmlformats.org/officeDocument/2006/relationships/hyperlink" Target="https://www.genome.jp/entry/3.2.1.85" TargetMode="External"/><Relationship Id="rId1207" Type="http://schemas.openxmlformats.org/officeDocument/2006/relationships/hyperlink" Target="https://www.genome.jp/entry/1.2.1.12" TargetMode="External"/><Relationship Id="rId1414" Type="http://schemas.openxmlformats.org/officeDocument/2006/relationships/hyperlink" Target="https://www.genome.jp/entry/R02611" TargetMode="External"/><Relationship Id="rId1621" Type="http://schemas.openxmlformats.org/officeDocument/2006/relationships/hyperlink" Target="https://www.genome.jp/entry/R05999" TargetMode="External"/><Relationship Id="rId1859" Type="http://schemas.openxmlformats.org/officeDocument/2006/relationships/hyperlink" Target="https://www.genome.jp/entry/3.6.5.3" TargetMode="External"/><Relationship Id="rId1719" Type="http://schemas.openxmlformats.org/officeDocument/2006/relationships/hyperlink" Target="https://www.genome.jp/entry/R02493" TargetMode="External"/><Relationship Id="rId1926" Type="http://schemas.openxmlformats.org/officeDocument/2006/relationships/hyperlink" Target="https://www.genome.jp/entry/R12329" TargetMode="External"/><Relationship Id="rId2090" Type="http://schemas.openxmlformats.org/officeDocument/2006/relationships/hyperlink" Target="https://www.genome.jp/entry/R04001" TargetMode="External"/><Relationship Id="rId2188" Type="http://schemas.openxmlformats.org/officeDocument/2006/relationships/hyperlink" Target="https://www.genome.jp/entry/R02853" TargetMode="External"/><Relationship Id="rId2395" Type="http://schemas.openxmlformats.org/officeDocument/2006/relationships/hyperlink" Target="https://www.genome.jp/entry/2.7.7.7" TargetMode="External"/><Relationship Id="rId367" Type="http://schemas.openxmlformats.org/officeDocument/2006/relationships/hyperlink" Target="https://www.genome.jp/entry/6.3.2.12" TargetMode="External"/><Relationship Id="rId574" Type="http://schemas.openxmlformats.org/officeDocument/2006/relationships/hyperlink" Target="https://www.genome.jp/entry/R01954" TargetMode="External"/><Relationship Id="rId2048" Type="http://schemas.openxmlformats.org/officeDocument/2006/relationships/hyperlink" Target="https://www.genome.jp/entry/6.3.5.5" TargetMode="External"/><Relationship Id="rId2255" Type="http://schemas.openxmlformats.org/officeDocument/2006/relationships/hyperlink" Target="https://www.genome.jp/entry/R02019" TargetMode="External"/><Relationship Id="rId227" Type="http://schemas.openxmlformats.org/officeDocument/2006/relationships/hyperlink" Target="https://www.genome.jp/entry/R04740" TargetMode="External"/><Relationship Id="rId781" Type="http://schemas.openxmlformats.org/officeDocument/2006/relationships/hyperlink" Target="https://www.genome.jp/entry/2.7.7.7" TargetMode="External"/><Relationship Id="rId879" Type="http://schemas.openxmlformats.org/officeDocument/2006/relationships/hyperlink" Target="https://www.genome.jp/entry/6.1.1.13" TargetMode="External"/><Relationship Id="rId2462" Type="http://schemas.openxmlformats.org/officeDocument/2006/relationships/hyperlink" Target="https://www.genome.jp/entry/R00769" TargetMode="External"/><Relationship Id="rId434" Type="http://schemas.openxmlformats.org/officeDocument/2006/relationships/hyperlink" Target="https://www.genome.jp/entry/2.7.7.7" TargetMode="External"/><Relationship Id="rId641" Type="http://schemas.openxmlformats.org/officeDocument/2006/relationships/hyperlink" Target="https://www.genome.jp/entry/R02147" TargetMode="External"/><Relationship Id="rId739" Type="http://schemas.openxmlformats.org/officeDocument/2006/relationships/hyperlink" Target="https://www.genome.jp/entry/4.3.2.2" TargetMode="External"/><Relationship Id="rId1064" Type="http://schemas.openxmlformats.org/officeDocument/2006/relationships/hyperlink" Target="https://www.genome.jp/entry/R03651" TargetMode="External"/><Relationship Id="rId1271" Type="http://schemas.openxmlformats.org/officeDocument/2006/relationships/hyperlink" Target="https://www.genome.jp/entry/2.7.7.6" TargetMode="External"/><Relationship Id="rId1369" Type="http://schemas.openxmlformats.org/officeDocument/2006/relationships/hyperlink" Target="https://www.genome.jp/entry/3.2.1.22" TargetMode="External"/><Relationship Id="rId1576" Type="http://schemas.openxmlformats.org/officeDocument/2006/relationships/hyperlink" Target="https://www.genome.jp/entry/R06088" TargetMode="External"/><Relationship Id="rId2115" Type="http://schemas.openxmlformats.org/officeDocument/2006/relationships/hyperlink" Target="https://www.genome.jp/entry/5.99.1.3" TargetMode="External"/><Relationship Id="rId2322" Type="http://schemas.openxmlformats.org/officeDocument/2006/relationships/hyperlink" Target="https://www.genome.jp/entry/R02291" TargetMode="External"/><Relationship Id="rId501" Type="http://schemas.openxmlformats.org/officeDocument/2006/relationships/hyperlink" Target="https://www.genome.jp/entry/2.7.7.41" TargetMode="External"/><Relationship Id="rId946" Type="http://schemas.openxmlformats.org/officeDocument/2006/relationships/hyperlink" Target="https://www.genome.jp/entry/R00754" TargetMode="External"/><Relationship Id="rId1131" Type="http://schemas.openxmlformats.org/officeDocument/2006/relationships/hyperlink" Target="https://www.genome.jp/entry/R05233" TargetMode="External"/><Relationship Id="rId1229" Type="http://schemas.openxmlformats.org/officeDocument/2006/relationships/hyperlink" Target="https://www.genome.jp/entry/2.6.1.1" TargetMode="External"/><Relationship Id="rId1783" Type="http://schemas.openxmlformats.org/officeDocument/2006/relationships/hyperlink" Target="https://www.genome.jp/entry/2.7.7.72" TargetMode="External"/><Relationship Id="rId1990" Type="http://schemas.openxmlformats.org/officeDocument/2006/relationships/hyperlink" Target="https://www.genome.jp/entry/2.1.1.37" TargetMode="External"/><Relationship Id="rId2627" Type="http://schemas.openxmlformats.org/officeDocument/2006/relationships/hyperlink" Target="https://www.genome.jp/entry/R02748" TargetMode="External"/><Relationship Id="rId75" Type="http://schemas.openxmlformats.org/officeDocument/2006/relationships/hyperlink" Target="https://www.genome.jp/entry/3.6.1.27" TargetMode="External"/><Relationship Id="rId806" Type="http://schemas.openxmlformats.org/officeDocument/2006/relationships/hyperlink" Target="https://www.genome.jp/entry/R01135" TargetMode="External"/><Relationship Id="rId1436" Type="http://schemas.openxmlformats.org/officeDocument/2006/relationships/hyperlink" Target="https://www.genome.jp/entry/3.1.11.2" TargetMode="External"/><Relationship Id="rId1643" Type="http://schemas.openxmlformats.org/officeDocument/2006/relationships/hyperlink" Target="https://www.genome.jp/entry/R05998" TargetMode="External"/><Relationship Id="rId1850" Type="http://schemas.openxmlformats.org/officeDocument/2006/relationships/hyperlink" Target="https://www.genome.jp/entry/R08639" TargetMode="External"/><Relationship Id="rId1503" Type="http://schemas.openxmlformats.org/officeDocument/2006/relationships/hyperlink" Target="https://www.genome.jp/entry/R06101" TargetMode="External"/><Relationship Id="rId1710" Type="http://schemas.openxmlformats.org/officeDocument/2006/relationships/hyperlink" Target="https://www.genome.jp/entry/5.4.99.12" TargetMode="External"/><Relationship Id="rId1948" Type="http://schemas.openxmlformats.org/officeDocument/2006/relationships/hyperlink" Target="https://www.genome.jp/entry/R02108" TargetMode="External"/><Relationship Id="rId291" Type="http://schemas.openxmlformats.org/officeDocument/2006/relationships/hyperlink" Target="https://www.genome.jp/entry/R06140" TargetMode="External"/><Relationship Id="rId1808" Type="http://schemas.openxmlformats.org/officeDocument/2006/relationships/hyperlink" Target="https://www.genome.jp/entry/2.6.1.1" TargetMode="External"/><Relationship Id="rId151" Type="http://schemas.openxmlformats.org/officeDocument/2006/relationships/hyperlink" Target="https://www.genome.jp/entry/2.3.1.179" TargetMode="External"/><Relationship Id="rId389" Type="http://schemas.openxmlformats.org/officeDocument/2006/relationships/hyperlink" Target="https://www.genome.jp/entry/1.1.1.1" TargetMode="External"/><Relationship Id="rId596" Type="http://schemas.openxmlformats.org/officeDocument/2006/relationships/hyperlink" Target="https://www.genome.jp/entry/R06131" TargetMode="External"/><Relationship Id="rId2277" Type="http://schemas.openxmlformats.org/officeDocument/2006/relationships/hyperlink" Target="https://www.genome.jp/entry/R08364" TargetMode="External"/><Relationship Id="rId2484" Type="http://schemas.openxmlformats.org/officeDocument/2006/relationships/hyperlink" Target="https://www.genome.jp/entry/R00378" TargetMode="External"/><Relationship Id="rId2691" Type="http://schemas.openxmlformats.org/officeDocument/2006/relationships/hyperlink" Target="https://www.genome.jp/entry/2.1.1.192" TargetMode="External"/><Relationship Id="rId249" Type="http://schemas.openxmlformats.org/officeDocument/2006/relationships/hyperlink" Target="https://www.genome.jp/entry/R06411" TargetMode="External"/><Relationship Id="rId456" Type="http://schemas.openxmlformats.org/officeDocument/2006/relationships/hyperlink" Target="https://www.genome.jp/entry/R00839" TargetMode="External"/><Relationship Id="rId663" Type="http://schemas.openxmlformats.org/officeDocument/2006/relationships/hyperlink" Target="https://www.genome.jp/entry/R05295" TargetMode="External"/><Relationship Id="rId870" Type="http://schemas.openxmlformats.org/officeDocument/2006/relationships/hyperlink" Target="https://www.genome.jp/entry/R12867" TargetMode="External"/><Relationship Id="rId1086" Type="http://schemas.openxmlformats.org/officeDocument/2006/relationships/hyperlink" Target="https://www.genome.jp/entry/R00183" TargetMode="External"/><Relationship Id="rId1293" Type="http://schemas.openxmlformats.org/officeDocument/2006/relationships/hyperlink" Target="https://www.genome.jp/entry/2.7.4.6" TargetMode="External"/><Relationship Id="rId2137" Type="http://schemas.openxmlformats.org/officeDocument/2006/relationships/hyperlink" Target="https://www.genome.jp/entry/2.7.1.48" TargetMode="External"/><Relationship Id="rId2344" Type="http://schemas.openxmlformats.org/officeDocument/2006/relationships/hyperlink" Target="https://www.genome.jp/entry/R00378" TargetMode="External"/><Relationship Id="rId2551" Type="http://schemas.openxmlformats.org/officeDocument/2006/relationships/hyperlink" Target="https://www.genome.jp/entry/R02025" TargetMode="External"/><Relationship Id="rId109" Type="http://schemas.openxmlformats.org/officeDocument/2006/relationships/hyperlink" Target="https://www.genome.jp/entry/2.2.1.6" TargetMode="External"/><Relationship Id="rId316" Type="http://schemas.openxmlformats.org/officeDocument/2006/relationships/hyperlink" Target="https://www.genome.jp/entry/2.7.8.13" TargetMode="External"/><Relationship Id="rId523" Type="http://schemas.openxmlformats.org/officeDocument/2006/relationships/hyperlink" Target="https://www.genome.jp/entry/R00441" TargetMode="External"/><Relationship Id="rId968" Type="http://schemas.openxmlformats.org/officeDocument/2006/relationships/hyperlink" Target="https://www.genome.jp/entry/R08557" TargetMode="External"/><Relationship Id="rId1153" Type="http://schemas.openxmlformats.org/officeDocument/2006/relationships/hyperlink" Target="https://www.genome.jp/entry/R02246" TargetMode="External"/><Relationship Id="rId1598" Type="http://schemas.openxmlformats.org/officeDocument/2006/relationships/hyperlink" Target="https://www.genome.jp/entry/R01625" TargetMode="External"/><Relationship Id="rId2204" Type="http://schemas.openxmlformats.org/officeDocument/2006/relationships/hyperlink" Target="https://www.genome.jp/entry/R08550" TargetMode="External"/><Relationship Id="rId2649" Type="http://schemas.openxmlformats.org/officeDocument/2006/relationships/hyperlink" Target="https://www.genome.jp/entry/3.6.4.12" TargetMode="External"/><Relationship Id="rId97" Type="http://schemas.openxmlformats.org/officeDocument/2006/relationships/hyperlink" Target="https://www.genome.jp/entry/1.1.1.86" TargetMode="External"/><Relationship Id="rId730" Type="http://schemas.openxmlformats.org/officeDocument/2006/relationships/hyperlink" Target="https://www.genome.jp/entry/R11316" TargetMode="External"/><Relationship Id="rId828" Type="http://schemas.openxmlformats.org/officeDocument/2006/relationships/hyperlink" Target="https://www.genome.jp/entry/R00376" TargetMode="External"/><Relationship Id="rId1013" Type="http://schemas.openxmlformats.org/officeDocument/2006/relationships/hyperlink" Target="https://www.genome.jp/entry/2.2.1.1" TargetMode="External"/><Relationship Id="rId1360" Type="http://schemas.openxmlformats.org/officeDocument/2006/relationships/hyperlink" Target="https://www.genome.jp/entry/R01329" TargetMode="External"/><Relationship Id="rId1458" Type="http://schemas.openxmlformats.org/officeDocument/2006/relationships/hyperlink" Target="https://www.genome.jp/entry/R02340" TargetMode="External"/><Relationship Id="rId1665" Type="http://schemas.openxmlformats.org/officeDocument/2006/relationships/hyperlink" Target="https://www.genome.jp/entry/R06176" TargetMode="External"/><Relationship Id="rId1872" Type="http://schemas.openxmlformats.org/officeDocument/2006/relationships/hyperlink" Target="https://www.genome.jp/entry/1.7.1.6" TargetMode="External"/><Relationship Id="rId2411" Type="http://schemas.openxmlformats.org/officeDocument/2006/relationships/hyperlink" Target="https://www.genome.jp/entry/1.5.1.2" TargetMode="External"/><Relationship Id="rId2509" Type="http://schemas.openxmlformats.org/officeDocument/2006/relationships/hyperlink" Target="https://www.genome.jp/entry/2.7.1.11" TargetMode="External"/><Relationship Id="rId1220" Type="http://schemas.openxmlformats.org/officeDocument/2006/relationships/hyperlink" Target="https://www.genome.jp/entry/R00734" TargetMode="External"/><Relationship Id="rId1318" Type="http://schemas.openxmlformats.org/officeDocument/2006/relationships/hyperlink" Target="https://www.genome.jp/entry/3.6.1.27" TargetMode="External"/><Relationship Id="rId1525" Type="http://schemas.openxmlformats.org/officeDocument/2006/relationships/hyperlink" Target="https://www.genome.jp/entry/R00137" TargetMode="External"/><Relationship Id="rId1732" Type="http://schemas.openxmlformats.org/officeDocument/2006/relationships/hyperlink" Target="https://www.genome.jp/entry/R01698" TargetMode="External"/><Relationship Id="rId24" Type="http://schemas.openxmlformats.org/officeDocument/2006/relationships/hyperlink" Target="https://www.genome.jp/entry/R06001" TargetMode="External"/><Relationship Id="rId2299" Type="http://schemas.openxmlformats.org/officeDocument/2006/relationships/hyperlink" Target="https://www.genome.jp/entry/R09634" TargetMode="External"/><Relationship Id="rId173" Type="http://schemas.openxmlformats.org/officeDocument/2006/relationships/hyperlink" Target="https://www.genome.jp/entry/1.1.1.100" TargetMode="External"/><Relationship Id="rId380" Type="http://schemas.openxmlformats.org/officeDocument/2006/relationships/hyperlink" Target="https://www.genome.jp/entry/R02124" TargetMode="External"/><Relationship Id="rId2061" Type="http://schemas.openxmlformats.org/officeDocument/2006/relationships/hyperlink" Target="https://www.genome.jp/entry/R05684" TargetMode="External"/><Relationship Id="rId240" Type="http://schemas.openxmlformats.org/officeDocument/2006/relationships/hyperlink" Target="https://www.genome.jp/entry/4.2.1.17" TargetMode="External"/><Relationship Id="rId478" Type="http://schemas.openxmlformats.org/officeDocument/2006/relationships/hyperlink" Target="https://www.genome.jp/entry/R04998" TargetMode="External"/><Relationship Id="rId685" Type="http://schemas.openxmlformats.org/officeDocument/2006/relationships/hyperlink" Target="https://www.genome.jp/entry/3.2.1.23" TargetMode="External"/><Relationship Id="rId892" Type="http://schemas.openxmlformats.org/officeDocument/2006/relationships/hyperlink" Target="https://www.genome.jp/entry/R12875" TargetMode="External"/><Relationship Id="rId2159" Type="http://schemas.openxmlformats.org/officeDocument/2006/relationships/hyperlink" Target="https://www.genome.jp/entry/2.7.1.23" TargetMode="External"/><Relationship Id="rId2366" Type="http://schemas.openxmlformats.org/officeDocument/2006/relationships/hyperlink" Target="https://www.genome.jp/entry/R02240" TargetMode="External"/><Relationship Id="rId2573" Type="http://schemas.openxmlformats.org/officeDocument/2006/relationships/hyperlink" Target="https://www.genome.jp/entry/R01876" TargetMode="External"/><Relationship Id="rId100" Type="http://schemas.openxmlformats.org/officeDocument/2006/relationships/hyperlink" Target="https://www.genome.jp/entry/R00006" TargetMode="External"/><Relationship Id="rId338" Type="http://schemas.openxmlformats.org/officeDocument/2006/relationships/hyperlink" Target="https://www.genome.jp/entry/R00839" TargetMode="External"/><Relationship Id="rId545" Type="http://schemas.openxmlformats.org/officeDocument/2006/relationships/hyperlink" Target="https://www.genome.jp/entry/R02022" TargetMode="External"/><Relationship Id="rId752" Type="http://schemas.openxmlformats.org/officeDocument/2006/relationships/hyperlink" Target="https://www.genome.jp/entry/R04325" TargetMode="External"/><Relationship Id="rId1175" Type="http://schemas.openxmlformats.org/officeDocument/2006/relationships/hyperlink" Target="https://www.genome.jp/entry/2.7.1.69" TargetMode="External"/><Relationship Id="rId1382" Type="http://schemas.openxmlformats.org/officeDocument/2006/relationships/hyperlink" Target="https://www.genome.jp/entry/R06094" TargetMode="External"/><Relationship Id="rId2019" Type="http://schemas.openxmlformats.org/officeDocument/2006/relationships/hyperlink" Target="https://www.genome.jp/entry/1.4.1.4" TargetMode="External"/><Relationship Id="rId2226" Type="http://schemas.openxmlformats.org/officeDocument/2006/relationships/hyperlink" Target="https://www.genome.jp/entry/R07602" TargetMode="External"/><Relationship Id="rId2433" Type="http://schemas.openxmlformats.org/officeDocument/2006/relationships/hyperlink" Target="https://www.genome.jp/entry/2.5.1.16" TargetMode="External"/><Relationship Id="rId2640" Type="http://schemas.openxmlformats.org/officeDocument/2006/relationships/hyperlink" Target="https://www.genome.jp/entry/5.3.1.6" TargetMode="External"/><Relationship Id="rId405" Type="http://schemas.openxmlformats.org/officeDocument/2006/relationships/hyperlink" Target="https://www.genome.jp/entry/1.1.1.1" TargetMode="External"/><Relationship Id="rId612" Type="http://schemas.openxmlformats.org/officeDocument/2006/relationships/hyperlink" Target="https://www.genome.jp/entry/R02719" TargetMode="External"/><Relationship Id="rId1035" Type="http://schemas.openxmlformats.org/officeDocument/2006/relationships/hyperlink" Target="https://www.genome.jp/entry/R07233" TargetMode="External"/><Relationship Id="rId1242" Type="http://schemas.openxmlformats.org/officeDocument/2006/relationships/hyperlink" Target="https://www.genome.jp/entry/R04710" TargetMode="External"/><Relationship Id="rId1687" Type="http://schemas.openxmlformats.org/officeDocument/2006/relationships/hyperlink" Target="https://www.genome.jp/entry/R10245" TargetMode="External"/><Relationship Id="rId1894" Type="http://schemas.openxmlformats.org/officeDocument/2006/relationships/hyperlink" Target="https://www.genome.jp/entry/R01230" TargetMode="External"/><Relationship Id="rId2500" Type="http://schemas.openxmlformats.org/officeDocument/2006/relationships/hyperlink" Target="https://www.genome.jp/entry/R00767" TargetMode="External"/><Relationship Id="rId917" Type="http://schemas.openxmlformats.org/officeDocument/2006/relationships/hyperlink" Target="https://www.genome.jp/entry/3.2.1.22" TargetMode="External"/><Relationship Id="rId1102" Type="http://schemas.openxmlformats.org/officeDocument/2006/relationships/hyperlink" Target="https://www.genome.jp/entry/R01569" TargetMode="External"/><Relationship Id="rId1547" Type="http://schemas.openxmlformats.org/officeDocument/2006/relationships/hyperlink" Target="https://www.genome.jp/entry/R00443" TargetMode="External"/><Relationship Id="rId1754" Type="http://schemas.openxmlformats.org/officeDocument/2006/relationships/hyperlink" Target="https://www.genome.jp/entry/R02235" TargetMode="External"/><Relationship Id="rId1961" Type="http://schemas.openxmlformats.org/officeDocument/2006/relationships/hyperlink" Target="https://www.genome.jp/entry/R12885" TargetMode="External"/><Relationship Id="rId46" Type="http://schemas.openxmlformats.org/officeDocument/2006/relationships/hyperlink" Target="https://www.genome.jp/entry/R00571" TargetMode="External"/><Relationship Id="rId1407" Type="http://schemas.openxmlformats.org/officeDocument/2006/relationships/hyperlink" Target="https://www.genome.jp/entry/R02984" TargetMode="External"/><Relationship Id="rId1614" Type="http://schemas.openxmlformats.org/officeDocument/2006/relationships/hyperlink" Target="https://www.genome.jp/entry/3.2.1.18" TargetMode="External"/><Relationship Id="rId1821" Type="http://schemas.openxmlformats.org/officeDocument/2006/relationships/hyperlink" Target="https://www.genome.jp/entry/R03260" TargetMode="External"/><Relationship Id="rId195" Type="http://schemas.openxmlformats.org/officeDocument/2006/relationships/hyperlink" Target="https://www.genome.jp/entry/2.3.1.41" TargetMode="External"/><Relationship Id="rId1919" Type="http://schemas.openxmlformats.org/officeDocument/2006/relationships/hyperlink" Target="https://www.genome.jp/entry/3.1.2.14" TargetMode="External"/><Relationship Id="rId2083" Type="http://schemas.openxmlformats.org/officeDocument/2006/relationships/hyperlink" Target="https://www.genome.jp/entry/1.1.1.85" TargetMode="External"/><Relationship Id="rId2290" Type="http://schemas.openxmlformats.org/officeDocument/2006/relationships/hyperlink" Target="https://www.genome.jp/entry/R03236" TargetMode="External"/><Relationship Id="rId2388" Type="http://schemas.openxmlformats.org/officeDocument/2006/relationships/hyperlink" Target="https://www.genome.jp/entry/2.1.1.74" TargetMode="External"/><Relationship Id="rId2595" Type="http://schemas.openxmlformats.org/officeDocument/2006/relationships/hyperlink" Target="https://www.genome.jp/entry/R02147" TargetMode="External"/><Relationship Id="rId262" Type="http://schemas.openxmlformats.org/officeDocument/2006/relationships/hyperlink" Target="https://www.genome.jp/entry/6.1.1.11" TargetMode="External"/><Relationship Id="rId567" Type="http://schemas.openxmlformats.org/officeDocument/2006/relationships/hyperlink" Target="https://www.genome.jp/entry/3.5.1.16" TargetMode="External"/><Relationship Id="rId1197" Type="http://schemas.openxmlformats.org/officeDocument/2006/relationships/hyperlink" Target="https://www.genome.jp/entry/3.2.1.86" TargetMode="External"/><Relationship Id="rId2150" Type="http://schemas.openxmlformats.org/officeDocument/2006/relationships/hyperlink" Target="https://www.genome.jp/entry/R07460" TargetMode="External"/><Relationship Id="rId2248" Type="http://schemas.openxmlformats.org/officeDocument/2006/relationships/hyperlink" Target="https://www.genome.jp/entry/1.17.4.1" TargetMode="External"/><Relationship Id="rId122" Type="http://schemas.openxmlformats.org/officeDocument/2006/relationships/hyperlink" Target="https://www.genome.jp/entry/R04672" TargetMode="External"/><Relationship Id="rId774" Type="http://schemas.openxmlformats.org/officeDocument/2006/relationships/hyperlink" Target="https://www.genome.jp/entry/R02433" TargetMode="External"/><Relationship Id="rId981" Type="http://schemas.openxmlformats.org/officeDocument/2006/relationships/hyperlink" Target="https://www.genome.jp/entry/5.3.1.25" TargetMode="External"/><Relationship Id="rId1057" Type="http://schemas.openxmlformats.org/officeDocument/2006/relationships/hyperlink" Target="https://www.genome.jp/entry/5.3.1.9" TargetMode="External"/><Relationship Id="rId2010" Type="http://schemas.openxmlformats.org/officeDocument/2006/relationships/hyperlink" Target="https://www.genome.jp/entry/3.5.4.5" TargetMode="External"/><Relationship Id="rId2455" Type="http://schemas.openxmlformats.org/officeDocument/2006/relationships/hyperlink" Target="https://www.genome.jp/entry/2.7.1.11" TargetMode="External"/><Relationship Id="rId2662" Type="http://schemas.openxmlformats.org/officeDocument/2006/relationships/hyperlink" Target="https://www.genome.jp/entry/R03659" TargetMode="External"/><Relationship Id="rId427" Type="http://schemas.openxmlformats.org/officeDocument/2006/relationships/hyperlink" Target="https://www.genome.jp/entry/R00378" TargetMode="External"/><Relationship Id="rId634" Type="http://schemas.openxmlformats.org/officeDocument/2006/relationships/hyperlink" Target="https://www.genome.jp/entry/2.4.2.1" TargetMode="External"/><Relationship Id="rId841" Type="http://schemas.openxmlformats.org/officeDocument/2006/relationships/hyperlink" Target="https://www.genome.jp/entry/1.1.1.205" TargetMode="External"/><Relationship Id="rId1264" Type="http://schemas.openxmlformats.org/officeDocument/2006/relationships/hyperlink" Target="https://www.genome.jp/entry/R00442" TargetMode="External"/><Relationship Id="rId1471" Type="http://schemas.openxmlformats.org/officeDocument/2006/relationships/hyperlink" Target="https://www.genome.jp/entry/3.2.1.39" TargetMode="External"/><Relationship Id="rId1569" Type="http://schemas.openxmlformats.org/officeDocument/2006/relationships/hyperlink" Target="https://www.genome.jp/entry/3.2.1.26" TargetMode="External"/><Relationship Id="rId2108" Type="http://schemas.openxmlformats.org/officeDocument/2006/relationships/hyperlink" Target="https://www.genome.jp/entry/2.7.13.3" TargetMode="External"/><Relationship Id="rId2315" Type="http://schemas.openxmlformats.org/officeDocument/2006/relationships/hyperlink" Target="https://www.genome.jp/entry/2.7.1.21" TargetMode="External"/><Relationship Id="rId2522" Type="http://schemas.openxmlformats.org/officeDocument/2006/relationships/hyperlink" Target="https://www.genome.jp/entry/R03236" TargetMode="External"/><Relationship Id="rId701" Type="http://schemas.openxmlformats.org/officeDocument/2006/relationships/hyperlink" Target="https://www.genome.jp/entry/3.2.1.23" TargetMode="External"/><Relationship Id="rId939" Type="http://schemas.openxmlformats.org/officeDocument/2006/relationships/hyperlink" Target="https://www.genome.jp/entry/4.1.2.17" TargetMode="External"/><Relationship Id="rId1124" Type="http://schemas.openxmlformats.org/officeDocument/2006/relationships/hyperlink" Target="https://www.genome.jp/entry/1.1.1.1" TargetMode="External"/><Relationship Id="rId1331" Type="http://schemas.openxmlformats.org/officeDocument/2006/relationships/hyperlink" Target="https://www.genome.jp/entry/R04543" TargetMode="External"/><Relationship Id="rId1776" Type="http://schemas.openxmlformats.org/officeDocument/2006/relationships/hyperlink" Target="https://www.genome.jp/entry/R04198" TargetMode="External"/><Relationship Id="rId1983" Type="http://schemas.openxmlformats.org/officeDocument/2006/relationships/hyperlink" Target="https://www.genome.jp/entry/R01773" TargetMode="External"/><Relationship Id="rId68" Type="http://schemas.openxmlformats.org/officeDocument/2006/relationships/hyperlink" Target="https://www.genome.jp/entry/R00376" TargetMode="External"/><Relationship Id="rId1429" Type="http://schemas.openxmlformats.org/officeDocument/2006/relationships/hyperlink" Target="https://www.genome.jp/entry/2.1.1.72" TargetMode="External"/><Relationship Id="rId1636" Type="http://schemas.openxmlformats.org/officeDocument/2006/relationships/hyperlink" Target="https://www.genome.jp/entry/3.2.1.18" TargetMode="External"/><Relationship Id="rId1843" Type="http://schemas.openxmlformats.org/officeDocument/2006/relationships/hyperlink" Target="https://www.genome.jp/entry/3.6.3.14" TargetMode="External"/><Relationship Id="rId1703" Type="http://schemas.openxmlformats.org/officeDocument/2006/relationships/hyperlink" Target="https://www.genome.jp/entry/R00512" TargetMode="External"/><Relationship Id="rId1910" Type="http://schemas.openxmlformats.org/officeDocument/2006/relationships/hyperlink" Target="https://www.genome.jp/entry/1.3.99.22" TargetMode="External"/><Relationship Id="rId284" Type="http://schemas.openxmlformats.org/officeDocument/2006/relationships/hyperlink" Target="https://www.genome.jp/entry/R01528" TargetMode="External"/><Relationship Id="rId491" Type="http://schemas.openxmlformats.org/officeDocument/2006/relationships/hyperlink" Target="https://www.genome.jp/entry/3.2.1.21" TargetMode="External"/><Relationship Id="rId2172" Type="http://schemas.openxmlformats.org/officeDocument/2006/relationships/hyperlink" Target="https://www.genome.jp/entry/R01058" TargetMode="External"/><Relationship Id="rId144" Type="http://schemas.openxmlformats.org/officeDocument/2006/relationships/hyperlink" Target="https://www.genome.jp/entry/R04355" TargetMode="External"/><Relationship Id="rId589" Type="http://schemas.openxmlformats.org/officeDocument/2006/relationships/hyperlink" Target="https://www.genome.jp/entry/4.3.1.17" TargetMode="External"/><Relationship Id="rId796" Type="http://schemas.openxmlformats.org/officeDocument/2006/relationships/hyperlink" Target="https://www.genome.jp/entry/R12851" TargetMode="External"/><Relationship Id="rId2477" Type="http://schemas.openxmlformats.org/officeDocument/2006/relationships/hyperlink" Target="https://www.genome.jp/entry/2.7.7.7" TargetMode="External"/><Relationship Id="rId2684" Type="http://schemas.openxmlformats.org/officeDocument/2006/relationships/hyperlink" Target="https://www.genome.jp/entry/R02022" TargetMode="External"/><Relationship Id="rId351" Type="http://schemas.openxmlformats.org/officeDocument/2006/relationships/hyperlink" Target="https://www.genome.jp/entry/3.5.4.16" TargetMode="External"/><Relationship Id="rId449" Type="http://schemas.openxmlformats.org/officeDocument/2006/relationships/hyperlink" Target="https://www.genome.jp/entry/1.14.13.107" TargetMode="External"/><Relationship Id="rId656" Type="http://schemas.openxmlformats.org/officeDocument/2006/relationships/hyperlink" Target="https://www.genome.jp/entry/2.8.1.1" TargetMode="External"/><Relationship Id="rId863" Type="http://schemas.openxmlformats.org/officeDocument/2006/relationships/hyperlink" Target="https://www.genome.jp/entry/6.1.1.13" TargetMode="External"/><Relationship Id="rId1079" Type="http://schemas.openxmlformats.org/officeDocument/2006/relationships/hyperlink" Target="https://www.genome.jp/entry/4.2.3.1" TargetMode="External"/><Relationship Id="rId1286" Type="http://schemas.openxmlformats.org/officeDocument/2006/relationships/hyperlink" Target="https://www.genome.jp/entry/R00139" TargetMode="External"/><Relationship Id="rId1493" Type="http://schemas.openxmlformats.org/officeDocument/2006/relationships/hyperlink" Target="https://www.genome.jp/entry/R03635" TargetMode="External"/><Relationship Id="rId2032" Type="http://schemas.openxmlformats.org/officeDocument/2006/relationships/hyperlink" Target="https://www.genome.jp/entry/6.3.5.5" TargetMode="External"/><Relationship Id="rId2337" Type="http://schemas.openxmlformats.org/officeDocument/2006/relationships/hyperlink" Target="https://www.genome.jp/entry/2.7.7.7" TargetMode="External"/><Relationship Id="rId2544" Type="http://schemas.openxmlformats.org/officeDocument/2006/relationships/hyperlink" Target="https://www.genome.jp/entry/2.7.7.7" TargetMode="External"/><Relationship Id="rId211" Type="http://schemas.openxmlformats.org/officeDocument/2006/relationships/hyperlink" Target="https://www.genome.jp/entry/2.3.1.41" TargetMode="External"/><Relationship Id="rId309" Type="http://schemas.openxmlformats.org/officeDocument/2006/relationships/hyperlink" Target="https://www.genome.jp/entry/3.1.3.48" TargetMode="External"/><Relationship Id="rId516" Type="http://schemas.openxmlformats.org/officeDocument/2006/relationships/hyperlink" Target="https://www.genome.jp/entry/2.7.1.69" TargetMode="External"/><Relationship Id="rId1146" Type="http://schemas.openxmlformats.org/officeDocument/2006/relationships/hyperlink" Target="https://www.genome.jp/entry/1.1.1.1" TargetMode="External"/><Relationship Id="rId1798" Type="http://schemas.openxmlformats.org/officeDocument/2006/relationships/hyperlink" Target="https://www.genome.jp/entry/2.6.1.1" TargetMode="External"/><Relationship Id="rId723" Type="http://schemas.openxmlformats.org/officeDocument/2006/relationships/hyperlink" Target="https://www.genome.jp/entry/3.2.1.52" TargetMode="External"/><Relationship Id="rId930" Type="http://schemas.openxmlformats.org/officeDocument/2006/relationships/hyperlink" Target="https://www.genome.jp/entry/R06094" TargetMode="External"/><Relationship Id="rId1006" Type="http://schemas.openxmlformats.org/officeDocument/2006/relationships/hyperlink" Target="https://www.genome.jp/entry/R01641" TargetMode="External"/><Relationship Id="rId1353" Type="http://schemas.openxmlformats.org/officeDocument/2006/relationships/hyperlink" Target="https://www.genome.jp/entry/3.2.1.22" TargetMode="External"/><Relationship Id="rId1560" Type="http://schemas.openxmlformats.org/officeDocument/2006/relationships/hyperlink" Target="https://www.genome.jp/entry/R01978" TargetMode="External"/><Relationship Id="rId1658" Type="http://schemas.openxmlformats.org/officeDocument/2006/relationships/hyperlink" Target="https://www.genome.jp/entry/4.1.3.3" TargetMode="External"/><Relationship Id="rId1865" Type="http://schemas.openxmlformats.org/officeDocument/2006/relationships/hyperlink" Target="https://www.genome.jp/entry/R08878" TargetMode="External"/><Relationship Id="rId2404" Type="http://schemas.openxmlformats.org/officeDocument/2006/relationships/hyperlink" Target="https://www.genome.jp/entry/R11029" TargetMode="External"/><Relationship Id="rId2611" Type="http://schemas.openxmlformats.org/officeDocument/2006/relationships/hyperlink" Target="https://www.genome.jp/entry/R08368" TargetMode="External"/><Relationship Id="rId1213" Type="http://schemas.openxmlformats.org/officeDocument/2006/relationships/hyperlink" Target="https://www.genome.jp/entry/3.5.1.1" TargetMode="External"/><Relationship Id="rId1420" Type="http://schemas.openxmlformats.org/officeDocument/2006/relationships/hyperlink" Target="https://www.genome.jp/entry/R05347" TargetMode="External"/><Relationship Id="rId1518" Type="http://schemas.openxmlformats.org/officeDocument/2006/relationships/hyperlink" Target="https://www.genome.jp/entry/R09372" TargetMode="External"/><Relationship Id="rId1725" Type="http://schemas.openxmlformats.org/officeDocument/2006/relationships/hyperlink" Target="https://www.genome.jp/entry/1.8.1.4" TargetMode="External"/><Relationship Id="rId1932" Type="http://schemas.openxmlformats.org/officeDocument/2006/relationships/hyperlink" Target="https://www.genome.jp/entry/R01186" TargetMode="External"/><Relationship Id="rId17" Type="http://schemas.openxmlformats.org/officeDocument/2006/relationships/hyperlink" Target="https://www.genome.jp/entry/3.2.1.52" TargetMode="External"/><Relationship Id="rId2194" Type="http://schemas.openxmlformats.org/officeDocument/2006/relationships/hyperlink" Target="https://www.genome.jp/entry/R04206" TargetMode="External"/><Relationship Id="rId166" Type="http://schemas.openxmlformats.org/officeDocument/2006/relationships/hyperlink" Target="https://www.genome.jp/entry/R04533" TargetMode="External"/><Relationship Id="rId373" Type="http://schemas.openxmlformats.org/officeDocument/2006/relationships/hyperlink" Target="https://www.genome.jp/entry/2.5.1.15" TargetMode="External"/><Relationship Id="rId580" Type="http://schemas.openxmlformats.org/officeDocument/2006/relationships/hyperlink" Target="https://www.genome.jp/entry/R00590" TargetMode="External"/><Relationship Id="rId2054" Type="http://schemas.openxmlformats.org/officeDocument/2006/relationships/hyperlink" Target="https://www.genome.jp/entry/6.3.5.5" TargetMode="External"/><Relationship Id="rId2261" Type="http://schemas.openxmlformats.org/officeDocument/2006/relationships/hyperlink" Target="https://www.genome.jp/entry/R08364" TargetMode="External"/><Relationship Id="rId2499" Type="http://schemas.openxmlformats.org/officeDocument/2006/relationships/hyperlink" Target="https://www.genome.jp/entry/2.7.1.11" TargetMode="External"/><Relationship Id="rId1" Type="http://schemas.openxmlformats.org/officeDocument/2006/relationships/hyperlink" Target="https://www.genome.jp/entry/2.7.2.3" TargetMode="External"/><Relationship Id="rId233" Type="http://schemas.openxmlformats.org/officeDocument/2006/relationships/hyperlink" Target="https://www.genome.jp/entry/R04749" TargetMode="External"/><Relationship Id="rId440" Type="http://schemas.openxmlformats.org/officeDocument/2006/relationships/hyperlink" Target="https://www.genome.jp/entry/2.7.7.7" TargetMode="External"/><Relationship Id="rId678" Type="http://schemas.openxmlformats.org/officeDocument/2006/relationships/hyperlink" Target="https://www.genome.jp/entry/R01105" TargetMode="External"/><Relationship Id="rId885" Type="http://schemas.openxmlformats.org/officeDocument/2006/relationships/hyperlink" Target="https://www.genome.jp/entry/6.1.1.13" TargetMode="External"/><Relationship Id="rId1070" Type="http://schemas.openxmlformats.org/officeDocument/2006/relationships/hyperlink" Target="https://www.genome.jp/entry/R00974" TargetMode="External"/><Relationship Id="rId2121" Type="http://schemas.openxmlformats.org/officeDocument/2006/relationships/hyperlink" Target="https://www.genome.jp/entry/R04859" TargetMode="External"/><Relationship Id="rId2359" Type="http://schemas.openxmlformats.org/officeDocument/2006/relationships/hyperlink" Target="https://www.genome.jp/entry/3.1.13.1" TargetMode="External"/><Relationship Id="rId2566" Type="http://schemas.openxmlformats.org/officeDocument/2006/relationships/hyperlink" Target="https://www.genome.jp/entry/3.5.4.5" TargetMode="External"/><Relationship Id="rId300" Type="http://schemas.openxmlformats.org/officeDocument/2006/relationships/hyperlink" Target="https://www.genome.jp/entry/2.7.7.24" TargetMode="External"/><Relationship Id="rId538" Type="http://schemas.openxmlformats.org/officeDocument/2006/relationships/hyperlink" Target="https://www.genome.jp/entry/1.17.4.2" TargetMode="External"/><Relationship Id="rId745" Type="http://schemas.openxmlformats.org/officeDocument/2006/relationships/hyperlink" Target="https://www.genome.jp/entry/5.4.99.18" TargetMode="External"/><Relationship Id="rId952" Type="http://schemas.openxmlformats.org/officeDocument/2006/relationships/hyperlink" Target="https://www.genome.jp/entry/R04805" TargetMode="External"/><Relationship Id="rId1168" Type="http://schemas.openxmlformats.org/officeDocument/2006/relationships/hyperlink" Target="https://www.genome.jp/entry/1.1.1.2" TargetMode="External"/><Relationship Id="rId1375" Type="http://schemas.openxmlformats.org/officeDocument/2006/relationships/hyperlink" Target="https://www.genome.jp/entry/3.2.1.22" TargetMode="External"/><Relationship Id="rId1582" Type="http://schemas.openxmlformats.org/officeDocument/2006/relationships/hyperlink" Target="https://www.genome.jp/entry/R06102" TargetMode="External"/><Relationship Id="rId2219" Type="http://schemas.openxmlformats.org/officeDocument/2006/relationships/hyperlink" Target="https://www.genome.jp/entry/1.2.4.4" TargetMode="External"/><Relationship Id="rId2426" Type="http://schemas.openxmlformats.org/officeDocument/2006/relationships/hyperlink" Target="https://www.genome.jp/entry/R02190" TargetMode="External"/><Relationship Id="rId2633" Type="http://schemas.openxmlformats.org/officeDocument/2006/relationships/hyperlink" Target="https://www.genome.jp/entry/R01057" TargetMode="External"/><Relationship Id="rId81" Type="http://schemas.openxmlformats.org/officeDocument/2006/relationships/hyperlink" Target="https://www.genome.jp/entry/4.3.1.19" TargetMode="External"/><Relationship Id="rId605" Type="http://schemas.openxmlformats.org/officeDocument/2006/relationships/hyperlink" Target="https://www.genome.jp/entry/3.1.3.5" TargetMode="External"/><Relationship Id="rId812" Type="http://schemas.openxmlformats.org/officeDocument/2006/relationships/hyperlink" Target="https://www.genome.jp/entry/R02142" TargetMode="External"/><Relationship Id="rId1028" Type="http://schemas.openxmlformats.org/officeDocument/2006/relationships/hyperlink" Target="https://www.genome.jp/entry/6.1.1.12" TargetMode="External"/><Relationship Id="rId1235" Type="http://schemas.openxmlformats.org/officeDocument/2006/relationships/hyperlink" Target="https://www.genome.jp/entry/5.1.3.1" TargetMode="External"/><Relationship Id="rId1442" Type="http://schemas.openxmlformats.org/officeDocument/2006/relationships/hyperlink" Target="https://www.genome.jp/entry/R00986" TargetMode="External"/><Relationship Id="rId1887" Type="http://schemas.openxmlformats.org/officeDocument/2006/relationships/hyperlink" Target="https://www.genome.jp/entry/3.5.1.88" TargetMode="External"/><Relationship Id="rId1302" Type="http://schemas.openxmlformats.org/officeDocument/2006/relationships/hyperlink" Target="https://www.genome.jp/entry/R02326" TargetMode="External"/><Relationship Id="rId1747" Type="http://schemas.openxmlformats.org/officeDocument/2006/relationships/hyperlink" Target="https://www.genome.jp/entry/1.5.1.3" TargetMode="External"/><Relationship Id="rId1954" Type="http://schemas.openxmlformats.org/officeDocument/2006/relationships/hyperlink" Target="https://www.genome.jp/entry/R11262" TargetMode="External"/><Relationship Id="rId39" Type="http://schemas.openxmlformats.org/officeDocument/2006/relationships/hyperlink" Target="https://www.genome.jp/entry/3.2.1.52" TargetMode="External"/><Relationship Id="rId1607" Type="http://schemas.openxmlformats.org/officeDocument/2006/relationships/hyperlink" Target="https://www.genome.jp/entry/R04018" TargetMode="External"/><Relationship Id="rId1814" Type="http://schemas.openxmlformats.org/officeDocument/2006/relationships/hyperlink" Target="https://www.genome.jp/entry/3.6.1.1" TargetMode="External"/><Relationship Id="rId188" Type="http://schemas.openxmlformats.org/officeDocument/2006/relationships/hyperlink" Target="https://www.genome.jp/entry/R00025" TargetMode="External"/><Relationship Id="rId395" Type="http://schemas.openxmlformats.org/officeDocument/2006/relationships/hyperlink" Target="https://www.genome.jp/entry/1.1.1.1" TargetMode="External"/><Relationship Id="rId2076" Type="http://schemas.openxmlformats.org/officeDocument/2006/relationships/hyperlink" Target="https://www.genome.jp/entry/R01213" TargetMode="External"/><Relationship Id="rId2283" Type="http://schemas.openxmlformats.org/officeDocument/2006/relationships/hyperlink" Target="https://www.genome.jp/entry/R03256" TargetMode="External"/><Relationship Id="rId2490" Type="http://schemas.openxmlformats.org/officeDocument/2006/relationships/hyperlink" Target="https://www.genome.jp/entry/R02961" TargetMode="External"/><Relationship Id="rId2588" Type="http://schemas.openxmlformats.org/officeDocument/2006/relationships/hyperlink" Target="https://www.genome.jp/entry/2.4.2.1" TargetMode="External"/><Relationship Id="rId255" Type="http://schemas.openxmlformats.org/officeDocument/2006/relationships/hyperlink" Target="https://www.genome.jp/entry/R08093" TargetMode="External"/><Relationship Id="rId462" Type="http://schemas.openxmlformats.org/officeDocument/2006/relationships/hyperlink" Target="https://www.genome.jp/entry/R05134" TargetMode="External"/><Relationship Id="rId1092" Type="http://schemas.openxmlformats.org/officeDocument/2006/relationships/hyperlink" Target="https://www.genome.jp/entry/R01126" TargetMode="External"/><Relationship Id="rId1397" Type="http://schemas.openxmlformats.org/officeDocument/2006/relationships/hyperlink" Target="https://www.genome.jp/entry/5.1.1.3" TargetMode="External"/><Relationship Id="rId2143" Type="http://schemas.openxmlformats.org/officeDocument/2006/relationships/hyperlink" Target="https://www.genome.jp/entry/2.5.1.10" TargetMode="External"/><Relationship Id="rId2350" Type="http://schemas.openxmlformats.org/officeDocument/2006/relationships/hyperlink" Target="https://www.genome.jp/entry/R00194" TargetMode="External"/><Relationship Id="rId115" Type="http://schemas.openxmlformats.org/officeDocument/2006/relationships/hyperlink" Target="https://www.genome.jp/entry/2.2.1.6" TargetMode="External"/><Relationship Id="rId322" Type="http://schemas.openxmlformats.org/officeDocument/2006/relationships/hyperlink" Target="https://www.genome.jp/entry/R09831" TargetMode="External"/><Relationship Id="rId767" Type="http://schemas.openxmlformats.org/officeDocument/2006/relationships/hyperlink" Target="https://www.genome.jp/entry/2.6.1.1" TargetMode="External"/><Relationship Id="rId974" Type="http://schemas.openxmlformats.org/officeDocument/2006/relationships/hyperlink" Target="https://www.genome.jp/entry/R00624" TargetMode="External"/><Relationship Id="rId2003" Type="http://schemas.openxmlformats.org/officeDocument/2006/relationships/hyperlink" Target="https://www.genome.jp/entry/R12769" TargetMode="External"/><Relationship Id="rId2210" Type="http://schemas.openxmlformats.org/officeDocument/2006/relationships/hyperlink" Target="https://www.genome.jp/entry/R01698" TargetMode="External"/><Relationship Id="rId2448" Type="http://schemas.openxmlformats.org/officeDocument/2006/relationships/hyperlink" Target="https://www.genome.jp/entry/R00724" TargetMode="External"/><Relationship Id="rId2655" Type="http://schemas.openxmlformats.org/officeDocument/2006/relationships/hyperlink" Target="https://www.genome.jp/entry/2.7.3.9" TargetMode="External"/><Relationship Id="rId627" Type="http://schemas.openxmlformats.org/officeDocument/2006/relationships/hyperlink" Target="https://www.genome.jp/entry/5.1.3.2" TargetMode="External"/><Relationship Id="rId834" Type="http://schemas.openxmlformats.org/officeDocument/2006/relationships/hyperlink" Target="https://www.genome.jp/entry/R11029" TargetMode="External"/><Relationship Id="rId1257" Type="http://schemas.openxmlformats.org/officeDocument/2006/relationships/hyperlink" Target="https://www.genome.jp/entry/2.7.7.6" TargetMode="External"/><Relationship Id="rId1464" Type="http://schemas.openxmlformats.org/officeDocument/2006/relationships/hyperlink" Target="https://www.genome.jp/entry/R02340" TargetMode="External"/><Relationship Id="rId1671" Type="http://schemas.openxmlformats.org/officeDocument/2006/relationships/hyperlink" Target="https://www.genome.jp/entry/6.3.2.10" TargetMode="External"/><Relationship Id="rId2308" Type="http://schemas.openxmlformats.org/officeDocument/2006/relationships/hyperlink" Target="https://www.genome.jp/entry/2.1.1.189" TargetMode="External"/><Relationship Id="rId2515" Type="http://schemas.openxmlformats.org/officeDocument/2006/relationships/hyperlink" Target="https://www.genome.jp/entry/2.7.1.56" TargetMode="External"/><Relationship Id="rId901" Type="http://schemas.openxmlformats.org/officeDocument/2006/relationships/hyperlink" Target="https://www.genome.jp/entry/3.2.1.22" TargetMode="External"/><Relationship Id="rId1117" Type="http://schemas.openxmlformats.org/officeDocument/2006/relationships/hyperlink" Target="https://www.genome.jp/entry/R02059" TargetMode="External"/><Relationship Id="rId1324" Type="http://schemas.openxmlformats.org/officeDocument/2006/relationships/hyperlink" Target="https://www.genome.jp/entry/1.1.1.100" TargetMode="External"/><Relationship Id="rId1531" Type="http://schemas.openxmlformats.org/officeDocument/2006/relationships/hyperlink" Target="https://www.genome.jp/entry/R10060" TargetMode="External"/><Relationship Id="rId1769" Type="http://schemas.openxmlformats.org/officeDocument/2006/relationships/hyperlink" Target="https://www.genome.jp/entry/1.18.1.2" TargetMode="External"/><Relationship Id="rId1976" Type="http://schemas.openxmlformats.org/officeDocument/2006/relationships/hyperlink" Target="https://www.genome.jp/entry/4.2.1.51" TargetMode="External"/><Relationship Id="rId30" Type="http://schemas.openxmlformats.org/officeDocument/2006/relationships/hyperlink" Target="https://www.genome.jp/entry/R07809" TargetMode="External"/><Relationship Id="rId1629" Type="http://schemas.openxmlformats.org/officeDocument/2006/relationships/hyperlink" Target="https://www.genome.jp/entry/R03491" TargetMode="External"/><Relationship Id="rId1836" Type="http://schemas.openxmlformats.org/officeDocument/2006/relationships/hyperlink" Target="https://www.genome.jp/entry/4.4.1.8" TargetMode="External"/><Relationship Id="rId1903" Type="http://schemas.openxmlformats.org/officeDocument/2006/relationships/hyperlink" Target="https://www.genome.jp/entry/R00189" TargetMode="External"/><Relationship Id="rId2098" Type="http://schemas.openxmlformats.org/officeDocument/2006/relationships/hyperlink" Target="https://www.genome.jp/entry/1.1.1.49" TargetMode="External"/><Relationship Id="rId277" Type="http://schemas.openxmlformats.org/officeDocument/2006/relationships/hyperlink" Target="https://www.genome.jp/entry/2.7.4.2" TargetMode="External"/><Relationship Id="rId484" Type="http://schemas.openxmlformats.org/officeDocument/2006/relationships/hyperlink" Target="https://www.genome.jp/entry/R06104" TargetMode="External"/><Relationship Id="rId2165" Type="http://schemas.openxmlformats.org/officeDocument/2006/relationships/hyperlink" Target="https://www.genome.jp/entry/R00921" TargetMode="External"/><Relationship Id="rId137" Type="http://schemas.openxmlformats.org/officeDocument/2006/relationships/hyperlink" Target="https://www.genome.jp/entry/6.3.4.14" TargetMode="External"/><Relationship Id="rId344" Type="http://schemas.openxmlformats.org/officeDocument/2006/relationships/hyperlink" Target="https://www.genome.jp/entry/R05134" TargetMode="External"/><Relationship Id="rId691" Type="http://schemas.openxmlformats.org/officeDocument/2006/relationships/hyperlink" Target="https://www.genome.jp/entry/3.2.1.23" TargetMode="External"/><Relationship Id="rId789" Type="http://schemas.openxmlformats.org/officeDocument/2006/relationships/hyperlink" Target="https://www.genome.jp/entry/2.7.7.7" TargetMode="External"/><Relationship Id="rId996" Type="http://schemas.openxmlformats.org/officeDocument/2006/relationships/hyperlink" Target="https://www.genome.jp/entry/R12095" TargetMode="External"/><Relationship Id="rId2025" Type="http://schemas.openxmlformats.org/officeDocument/2006/relationships/hyperlink" Target="https://www.genome.jp/entry/4.2.1.51" TargetMode="External"/><Relationship Id="rId2372" Type="http://schemas.openxmlformats.org/officeDocument/2006/relationships/hyperlink" Target="https://www.genome.jp/entry/1.4.1.1" TargetMode="External"/><Relationship Id="rId2677" Type="http://schemas.openxmlformats.org/officeDocument/2006/relationships/hyperlink" Target="https://www.genome.jp/entry/1.17.4.2" TargetMode="External"/><Relationship Id="rId551" Type="http://schemas.openxmlformats.org/officeDocument/2006/relationships/hyperlink" Target="https://www.genome.jp/entry/R00942" TargetMode="External"/><Relationship Id="rId649" Type="http://schemas.openxmlformats.org/officeDocument/2006/relationships/hyperlink" Target="https://www.genome.jp/entry/R02557" TargetMode="External"/><Relationship Id="rId856" Type="http://schemas.openxmlformats.org/officeDocument/2006/relationships/hyperlink" Target="https://www.genome.jp/entry/3.6.3.25" TargetMode="External"/><Relationship Id="rId1181" Type="http://schemas.openxmlformats.org/officeDocument/2006/relationships/hyperlink" Target="https://www.genome.jp/entry/R05850" TargetMode="External"/><Relationship Id="rId1279" Type="http://schemas.openxmlformats.org/officeDocument/2006/relationships/hyperlink" Target="https://www.genome.jp/entry/2.7.7.6" TargetMode="External"/><Relationship Id="rId1486" Type="http://schemas.openxmlformats.org/officeDocument/2006/relationships/hyperlink" Target="https://www.genome.jp/entry/3.2.1.26" TargetMode="External"/><Relationship Id="rId2232" Type="http://schemas.openxmlformats.org/officeDocument/2006/relationships/hyperlink" Target="https://www.genome.jp/entry/R10996" TargetMode="External"/><Relationship Id="rId2537" Type="http://schemas.openxmlformats.org/officeDocument/2006/relationships/hyperlink" Target="https://www.genome.jp/entry/R00379" TargetMode="External"/><Relationship Id="rId204" Type="http://schemas.openxmlformats.org/officeDocument/2006/relationships/hyperlink" Target="https://www.genome.jp/entry/R04963" TargetMode="External"/><Relationship Id="rId411" Type="http://schemas.openxmlformats.org/officeDocument/2006/relationships/hyperlink" Target="https://www.genome.jp/entry/1.1.1.1" TargetMode="External"/><Relationship Id="rId509" Type="http://schemas.openxmlformats.org/officeDocument/2006/relationships/hyperlink" Target="https://www.genome.jp/entry/R01034" TargetMode="External"/><Relationship Id="rId1041" Type="http://schemas.openxmlformats.org/officeDocument/2006/relationships/hyperlink" Target="https://www.genome.jp/entry/R04364" TargetMode="External"/><Relationship Id="rId1139" Type="http://schemas.openxmlformats.org/officeDocument/2006/relationships/hyperlink" Target="https://www.genome.jp/entry/R08281" TargetMode="External"/><Relationship Id="rId1346" Type="http://schemas.openxmlformats.org/officeDocument/2006/relationships/hyperlink" Target="https://www.genome.jp/entry/R04562" TargetMode="External"/><Relationship Id="rId1693" Type="http://schemas.openxmlformats.org/officeDocument/2006/relationships/hyperlink" Target="https://www.genome.jp/entry/R05863" TargetMode="External"/><Relationship Id="rId1998" Type="http://schemas.openxmlformats.org/officeDocument/2006/relationships/hyperlink" Target="https://www.genome.jp/entry/5.1.3.9" TargetMode="External"/><Relationship Id="rId716" Type="http://schemas.openxmlformats.org/officeDocument/2006/relationships/hyperlink" Target="https://www.genome.jp/entry/R06001" TargetMode="External"/><Relationship Id="rId923" Type="http://schemas.openxmlformats.org/officeDocument/2006/relationships/hyperlink" Target="https://www.genome.jp/entry/3.2.1.22" TargetMode="External"/><Relationship Id="rId1553" Type="http://schemas.openxmlformats.org/officeDocument/2006/relationships/hyperlink" Target="https://www.genome.jp/entry/3.1.3.16" TargetMode="External"/><Relationship Id="rId1760" Type="http://schemas.openxmlformats.org/officeDocument/2006/relationships/hyperlink" Target="https://www.genome.jp/entry/R02016" TargetMode="External"/><Relationship Id="rId1858" Type="http://schemas.openxmlformats.org/officeDocument/2006/relationships/hyperlink" Target="https://www.genome.jp/entry/R01818" TargetMode="External"/><Relationship Id="rId2604" Type="http://schemas.openxmlformats.org/officeDocument/2006/relationships/hyperlink" Target="https://www.genome.jp/entry/2.4.2.1" TargetMode="External"/><Relationship Id="rId52" Type="http://schemas.openxmlformats.org/officeDocument/2006/relationships/hyperlink" Target="https://www.genome.jp/entry/2.7.1.69" TargetMode="External"/><Relationship Id="rId1206" Type="http://schemas.openxmlformats.org/officeDocument/2006/relationships/hyperlink" Target="https://www.genome.jp/entry/R03348" TargetMode="External"/><Relationship Id="rId1413" Type="http://schemas.openxmlformats.org/officeDocument/2006/relationships/hyperlink" Target="https://www.genome.jp/entry/1.1.1.90" TargetMode="External"/><Relationship Id="rId1620" Type="http://schemas.openxmlformats.org/officeDocument/2006/relationships/hyperlink" Target="https://www.genome.jp/entry/3.2.1.18" TargetMode="External"/><Relationship Id="rId1718" Type="http://schemas.openxmlformats.org/officeDocument/2006/relationships/hyperlink" Target="https://www.genome.jp/entry/2.7.1.35" TargetMode="External"/><Relationship Id="rId1925" Type="http://schemas.openxmlformats.org/officeDocument/2006/relationships/hyperlink" Target="https://www.genome.jp/entry/3.1.2.14" TargetMode="External"/><Relationship Id="rId299" Type="http://schemas.openxmlformats.org/officeDocument/2006/relationships/hyperlink" Target="https://www.genome.jp/entry/R06514" TargetMode="External"/><Relationship Id="rId2187" Type="http://schemas.openxmlformats.org/officeDocument/2006/relationships/hyperlink" Target="https://www.genome.jp/entry/3.1.3.3" TargetMode="External"/><Relationship Id="rId2394" Type="http://schemas.openxmlformats.org/officeDocument/2006/relationships/hyperlink" Target="https://www.genome.jp/entry/R00379" TargetMode="External"/><Relationship Id="rId159" Type="http://schemas.openxmlformats.org/officeDocument/2006/relationships/hyperlink" Target="https://www.genome.jp/entry/2.3.1.179" TargetMode="External"/><Relationship Id="rId366" Type="http://schemas.openxmlformats.org/officeDocument/2006/relationships/hyperlink" Target="https://www.genome.jp/entry/R05197" TargetMode="External"/><Relationship Id="rId573" Type="http://schemas.openxmlformats.org/officeDocument/2006/relationships/hyperlink" Target="https://www.genome.jp/entry/6.3.4.5" TargetMode="External"/><Relationship Id="rId780" Type="http://schemas.openxmlformats.org/officeDocument/2006/relationships/hyperlink" Target="https://www.genome.jp/entry/R00379" TargetMode="External"/><Relationship Id="rId2047" Type="http://schemas.openxmlformats.org/officeDocument/2006/relationships/hyperlink" Target="https://www.genome.jp/entry/R00575" TargetMode="External"/><Relationship Id="rId2254" Type="http://schemas.openxmlformats.org/officeDocument/2006/relationships/hyperlink" Target="https://www.genome.jp/entry/1.17.4.1" TargetMode="External"/><Relationship Id="rId2461" Type="http://schemas.openxmlformats.org/officeDocument/2006/relationships/hyperlink" Target="https://www.genome.jp/entry/2.7.1.11" TargetMode="External"/><Relationship Id="rId226" Type="http://schemas.openxmlformats.org/officeDocument/2006/relationships/hyperlink" Target="https://www.genome.jp/entry/4.2.1.17" TargetMode="External"/><Relationship Id="rId433" Type="http://schemas.openxmlformats.org/officeDocument/2006/relationships/hyperlink" Target="https://www.genome.jp/entry/R00375" TargetMode="External"/><Relationship Id="rId878" Type="http://schemas.openxmlformats.org/officeDocument/2006/relationships/hyperlink" Target="https://www.genome.jp/entry/R12904" TargetMode="External"/><Relationship Id="rId1063" Type="http://schemas.openxmlformats.org/officeDocument/2006/relationships/hyperlink" Target="https://www.genome.jp/entry/6.1.1.24" TargetMode="External"/><Relationship Id="rId1270" Type="http://schemas.openxmlformats.org/officeDocument/2006/relationships/hyperlink" Target="https://www.genome.jp/entry/R00444" TargetMode="External"/><Relationship Id="rId2114" Type="http://schemas.openxmlformats.org/officeDocument/2006/relationships/hyperlink" Target="https://www.genome.jp/entry/R03104" TargetMode="External"/><Relationship Id="rId2559" Type="http://schemas.openxmlformats.org/officeDocument/2006/relationships/hyperlink" Target="https://www.genome.jp/entry/2.6.1.42" TargetMode="External"/><Relationship Id="rId640" Type="http://schemas.openxmlformats.org/officeDocument/2006/relationships/hyperlink" Target="https://www.genome.jp/entry/2.4.2.1" TargetMode="External"/><Relationship Id="rId738" Type="http://schemas.openxmlformats.org/officeDocument/2006/relationships/hyperlink" Target="https://www.genome.jp/entry/R04559" TargetMode="External"/><Relationship Id="rId945" Type="http://schemas.openxmlformats.org/officeDocument/2006/relationships/hyperlink" Target="https://www.genome.jp/entry/1.1.1.1" TargetMode="External"/><Relationship Id="rId1368" Type="http://schemas.openxmlformats.org/officeDocument/2006/relationships/hyperlink" Target="https://www.genome.jp/entry/R04019" TargetMode="External"/><Relationship Id="rId1575" Type="http://schemas.openxmlformats.org/officeDocument/2006/relationships/hyperlink" Target="https://www.genome.jp/entry/3.2.1.26" TargetMode="External"/><Relationship Id="rId1782" Type="http://schemas.openxmlformats.org/officeDocument/2006/relationships/hyperlink" Target="https://www.genome.jp/entry/R09383" TargetMode="External"/><Relationship Id="rId2321" Type="http://schemas.openxmlformats.org/officeDocument/2006/relationships/hyperlink" Target="https://www.genome.jp/entry/1.2.1.11" TargetMode="External"/><Relationship Id="rId2419" Type="http://schemas.openxmlformats.org/officeDocument/2006/relationships/hyperlink" Target="https://www.genome.jp/entry/2.7.2.11" TargetMode="External"/><Relationship Id="rId2626" Type="http://schemas.openxmlformats.org/officeDocument/2006/relationships/hyperlink" Target="https://www.genome.jp/entry/2.4.2.1" TargetMode="External"/><Relationship Id="rId74" Type="http://schemas.openxmlformats.org/officeDocument/2006/relationships/hyperlink" Target="https://www.genome.jp/entry/R11029" TargetMode="External"/><Relationship Id="rId500" Type="http://schemas.openxmlformats.org/officeDocument/2006/relationships/hyperlink" Target="https://www.genome.jp/entry/R03661" TargetMode="External"/><Relationship Id="rId805" Type="http://schemas.openxmlformats.org/officeDocument/2006/relationships/hyperlink" Target="https://www.genome.jp/entry/6.3.4.4" TargetMode="External"/><Relationship Id="rId1130" Type="http://schemas.openxmlformats.org/officeDocument/2006/relationships/hyperlink" Target="https://www.genome.jp/entry/1.1.1.1" TargetMode="External"/><Relationship Id="rId1228" Type="http://schemas.openxmlformats.org/officeDocument/2006/relationships/hyperlink" Target="https://www.genome.jp/entry/R02619" TargetMode="External"/><Relationship Id="rId1435" Type="http://schemas.openxmlformats.org/officeDocument/2006/relationships/hyperlink" Target="https://www.genome.jp/entry/R01229" TargetMode="External"/><Relationship Id="rId1642" Type="http://schemas.openxmlformats.org/officeDocument/2006/relationships/hyperlink" Target="https://www.genome.jp/entry/3.2.1.18" TargetMode="External"/><Relationship Id="rId1947" Type="http://schemas.openxmlformats.org/officeDocument/2006/relationships/hyperlink" Target="https://www.genome.jp/entry/3.2.1.1" TargetMode="External"/><Relationship Id="rId1502" Type="http://schemas.openxmlformats.org/officeDocument/2006/relationships/hyperlink" Target="https://www.genome.jp/entry/3.2.1.26" TargetMode="External"/><Relationship Id="rId1807" Type="http://schemas.openxmlformats.org/officeDocument/2006/relationships/hyperlink" Target="https://www.genome.jp/entry/R02619" TargetMode="External"/><Relationship Id="rId290" Type="http://schemas.openxmlformats.org/officeDocument/2006/relationships/hyperlink" Target="https://www.genome.jp/entry/3.2.1.97" TargetMode="External"/><Relationship Id="rId388" Type="http://schemas.openxmlformats.org/officeDocument/2006/relationships/hyperlink" Target="https://www.genome.jp/entry/R05233" TargetMode="External"/><Relationship Id="rId2069" Type="http://schemas.openxmlformats.org/officeDocument/2006/relationships/hyperlink" Target="https://www.genome.jp/entry/1.1.1.85" TargetMode="External"/><Relationship Id="rId150" Type="http://schemas.openxmlformats.org/officeDocument/2006/relationships/hyperlink" Target="https://www.genome.jp/entry/R04957" TargetMode="External"/><Relationship Id="rId595" Type="http://schemas.openxmlformats.org/officeDocument/2006/relationships/hyperlink" Target="https://www.genome.jp/entry/4.3.1.17" TargetMode="External"/><Relationship Id="rId2276" Type="http://schemas.openxmlformats.org/officeDocument/2006/relationships/hyperlink" Target="https://www.genome.jp/entry/1.17.4.1" TargetMode="External"/><Relationship Id="rId2483" Type="http://schemas.openxmlformats.org/officeDocument/2006/relationships/hyperlink" Target="https://www.genome.jp/entry/2.7.7.7" TargetMode="External"/><Relationship Id="rId2690" Type="http://schemas.openxmlformats.org/officeDocument/2006/relationships/hyperlink" Target="https://www.genome.jp/entry/R04273" TargetMode="External"/><Relationship Id="rId248" Type="http://schemas.openxmlformats.org/officeDocument/2006/relationships/hyperlink" Target="https://www.genome.jp/entry/4.2.1.17" TargetMode="External"/><Relationship Id="rId455" Type="http://schemas.openxmlformats.org/officeDocument/2006/relationships/hyperlink" Target="https://www.genome.jp/entry/3.2.1.86" TargetMode="External"/><Relationship Id="rId662" Type="http://schemas.openxmlformats.org/officeDocument/2006/relationships/hyperlink" Target="https://www.genome.jp/entry/1.13.11.2" TargetMode="External"/><Relationship Id="rId1085" Type="http://schemas.openxmlformats.org/officeDocument/2006/relationships/hyperlink" Target="https://www.genome.jp/entry/3.1.3.5" TargetMode="External"/><Relationship Id="rId1292" Type="http://schemas.openxmlformats.org/officeDocument/2006/relationships/hyperlink" Target="https://www.genome.jp/entry/R00570" TargetMode="External"/><Relationship Id="rId2136" Type="http://schemas.openxmlformats.org/officeDocument/2006/relationships/hyperlink" Target="https://www.genome.jp/entry/R00517" TargetMode="External"/><Relationship Id="rId2343" Type="http://schemas.openxmlformats.org/officeDocument/2006/relationships/hyperlink" Target="https://www.genome.jp/entry/2.7.7.7" TargetMode="External"/><Relationship Id="rId2550" Type="http://schemas.openxmlformats.org/officeDocument/2006/relationships/hyperlink" Target="https://www.genome.jp/entry/1.8.4.14" TargetMode="External"/><Relationship Id="rId108" Type="http://schemas.openxmlformats.org/officeDocument/2006/relationships/hyperlink" Target="https://www.genome.jp/entry/R04672" TargetMode="External"/><Relationship Id="rId315" Type="http://schemas.openxmlformats.org/officeDocument/2006/relationships/hyperlink" Target="https://www.genome.jp/entry/R05629" TargetMode="External"/><Relationship Id="rId522" Type="http://schemas.openxmlformats.org/officeDocument/2006/relationships/hyperlink" Target="https://www.genome.jp/entry/2.7.7.6" TargetMode="External"/><Relationship Id="rId967" Type="http://schemas.openxmlformats.org/officeDocument/2006/relationships/hyperlink" Target="https://www.genome.jp/entry/1.1.1.1" TargetMode="External"/><Relationship Id="rId1152" Type="http://schemas.openxmlformats.org/officeDocument/2006/relationships/hyperlink" Target="https://www.genome.jp/entry/1.1.1.1" TargetMode="External"/><Relationship Id="rId1597" Type="http://schemas.openxmlformats.org/officeDocument/2006/relationships/hyperlink" Target="https://www.genome.jp/entry/2.7.8.7" TargetMode="External"/><Relationship Id="rId2203" Type="http://schemas.openxmlformats.org/officeDocument/2006/relationships/hyperlink" Target="https://www.genome.jp/entry/1.8.1.4" TargetMode="External"/><Relationship Id="rId2410" Type="http://schemas.openxmlformats.org/officeDocument/2006/relationships/hyperlink" Target="https://www.genome.jp/entry/R01248" TargetMode="External"/><Relationship Id="rId2648" Type="http://schemas.openxmlformats.org/officeDocument/2006/relationships/hyperlink" Target="https://www.genome.jp/entry/R01334" TargetMode="External"/><Relationship Id="rId96" Type="http://schemas.openxmlformats.org/officeDocument/2006/relationships/hyperlink" Target="https://www.genome.jp/entry/R05069" TargetMode="External"/><Relationship Id="rId827" Type="http://schemas.openxmlformats.org/officeDocument/2006/relationships/hyperlink" Target="https://www.genome.jp/entry/2.7.7.7" TargetMode="External"/><Relationship Id="rId1012" Type="http://schemas.openxmlformats.org/officeDocument/2006/relationships/hyperlink" Target="https://www.genome.jp/entry/R06590" TargetMode="External"/><Relationship Id="rId1457" Type="http://schemas.openxmlformats.org/officeDocument/2006/relationships/hyperlink" Target="https://www.genome.jp/entry/4.2.1.20" TargetMode="External"/><Relationship Id="rId1664" Type="http://schemas.openxmlformats.org/officeDocument/2006/relationships/hyperlink" Target="https://www.genome.jp/entry/2.7.1.85" TargetMode="External"/><Relationship Id="rId1871" Type="http://schemas.openxmlformats.org/officeDocument/2006/relationships/hyperlink" Target="https://www.genome.jp/entry/R05711" TargetMode="External"/><Relationship Id="rId2508" Type="http://schemas.openxmlformats.org/officeDocument/2006/relationships/hyperlink" Target="https://www.genome.jp/entry/R03236" TargetMode="External"/><Relationship Id="rId1317" Type="http://schemas.openxmlformats.org/officeDocument/2006/relationships/hyperlink" Target="https://www.genome.jp/entry/3.6.3.44" TargetMode="External"/><Relationship Id="rId1524" Type="http://schemas.openxmlformats.org/officeDocument/2006/relationships/hyperlink" Target="https://www.genome.jp/entry/2.7.7.18" TargetMode="External"/><Relationship Id="rId1731" Type="http://schemas.openxmlformats.org/officeDocument/2006/relationships/hyperlink" Target="https://www.genome.jp/entry/1.8.1.4" TargetMode="External"/><Relationship Id="rId1969" Type="http://schemas.openxmlformats.org/officeDocument/2006/relationships/hyperlink" Target="https://www.genome.jp/entry/R00732" TargetMode="External"/><Relationship Id="rId23" Type="http://schemas.openxmlformats.org/officeDocument/2006/relationships/hyperlink" Target="https://www.genome.jp/entry/3.2.1.52" TargetMode="External"/><Relationship Id="rId1829" Type="http://schemas.openxmlformats.org/officeDocument/2006/relationships/hyperlink" Target="https://www.genome.jp/entry/R03217" TargetMode="External"/><Relationship Id="rId2298" Type="http://schemas.openxmlformats.org/officeDocument/2006/relationships/hyperlink" Target="https://www.genome.jp/entry/2.4.1.250" TargetMode="External"/><Relationship Id="rId172" Type="http://schemas.openxmlformats.org/officeDocument/2006/relationships/hyperlink" Target="https://www.genome.jp/entry/R04543" TargetMode="External"/><Relationship Id="rId477" Type="http://schemas.openxmlformats.org/officeDocument/2006/relationships/hyperlink" Target="https://www.genome.jp/entry/3.2.1.21" TargetMode="External"/><Relationship Id="rId684" Type="http://schemas.openxmlformats.org/officeDocument/2006/relationships/hyperlink" Target="https://www.genome.jp/entry/R04633" TargetMode="External"/><Relationship Id="rId2060" Type="http://schemas.openxmlformats.org/officeDocument/2006/relationships/hyperlink" Target="https://www.genome.jp/entry/1.1.1.264" TargetMode="External"/><Relationship Id="rId2158" Type="http://schemas.openxmlformats.org/officeDocument/2006/relationships/hyperlink" Target="https://www.genome.jp/entry/R00429" TargetMode="External"/><Relationship Id="rId2365" Type="http://schemas.openxmlformats.org/officeDocument/2006/relationships/hyperlink" Target="https://www.genome.jp/entry/2.7.1.107" TargetMode="External"/><Relationship Id="rId337" Type="http://schemas.openxmlformats.org/officeDocument/2006/relationships/hyperlink" Target="https://www.genome.jp/entry/3.2.1.86" TargetMode="External"/><Relationship Id="rId891" Type="http://schemas.openxmlformats.org/officeDocument/2006/relationships/hyperlink" Target="https://www.genome.jp/entry/6.1.1.13" TargetMode="External"/><Relationship Id="rId989" Type="http://schemas.openxmlformats.org/officeDocument/2006/relationships/hyperlink" Target="https://www.genome.jp/entry/2.1.3.3" TargetMode="External"/><Relationship Id="rId2018" Type="http://schemas.openxmlformats.org/officeDocument/2006/relationships/hyperlink" Target="https://www.genome.jp/entry/3.6.3.44" TargetMode="External"/><Relationship Id="rId2572" Type="http://schemas.openxmlformats.org/officeDocument/2006/relationships/hyperlink" Target="https://www.genome.jp/entry/2.4.2.2" TargetMode="External"/><Relationship Id="rId544" Type="http://schemas.openxmlformats.org/officeDocument/2006/relationships/hyperlink" Target="https://www.genome.jp/entry/1.17.4.2" TargetMode="External"/><Relationship Id="rId751" Type="http://schemas.openxmlformats.org/officeDocument/2006/relationships/hyperlink" Target="https://www.genome.jp/entry/2.1.2.2" TargetMode="External"/><Relationship Id="rId849" Type="http://schemas.openxmlformats.org/officeDocument/2006/relationships/hyperlink" Target="https://www.genome.jp/entry/2.5.1.47" TargetMode="External"/><Relationship Id="rId1174" Type="http://schemas.openxmlformats.org/officeDocument/2006/relationships/hyperlink" Target="https://www.genome.jp/entry/3.1.26.5" TargetMode="External"/><Relationship Id="rId1381" Type="http://schemas.openxmlformats.org/officeDocument/2006/relationships/hyperlink" Target="https://www.genome.jp/entry/3.2.1.22" TargetMode="External"/><Relationship Id="rId1479" Type="http://schemas.openxmlformats.org/officeDocument/2006/relationships/hyperlink" Target="https://www.genome.jp/entry/R03980" TargetMode="External"/><Relationship Id="rId1686" Type="http://schemas.openxmlformats.org/officeDocument/2006/relationships/hyperlink" Target="https://www.genome.jp/entry/1.4.3.19" TargetMode="External"/><Relationship Id="rId2225" Type="http://schemas.openxmlformats.org/officeDocument/2006/relationships/hyperlink" Target="https://www.genome.jp/entry/1.2.4.4" TargetMode="External"/><Relationship Id="rId2432" Type="http://schemas.openxmlformats.org/officeDocument/2006/relationships/hyperlink" Target="https://www.genome.jp/entry/R00451" TargetMode="External"/><Relationship Id="rId404" Type="http://schemas.openxmlformats.org/officeDocument/2006/relationships/hyperlink" Target="https://www.genome.jp/entry/R10783" TargetMode="External"/><Relationship Id="rId611" Type="http://schemas.openxmlformats.org/officeDocument/2006/relationships/hyperlink" Target="https://www.genome.jp/entry/3.1.3.5" TargetMode="External"/><Relationship Id="rId1034" Type="http://schemas.openxmlformats.org/officeDocument/2006/relationships/hyperlink" Target="https://www.genome.jp/entry/2.1.1.187" TargetMode="External"/><Relationship Id="rId1241" Type="http://schemas.openxmlformats.org/officeDocument/2006/relationships/hyperlink" Target="https://www.genome.jp/entry/1.97.1.4" TargetMode="External"/><Relationship Id="rId1339" Type="http://schemas.openxmlformats.org/officeDocument/2006/relationships/hyperlink" Target="https://www.genome.jp/entry/R07763" TargetMode="External"/><Relationship Id="rId1893" Type="http://schemas.openxmlformats.org/officeDocument/2006/relationships/hyperlink" Target="https://www.genome.jp/entry/6.3.5.2" TargetMode="External"/><Relationship Id="rId709" Type="http://schemas.openxmlformats.org/officeDocument/2006/relationships/hyperlink" Target="https://www.genome.jp/entry/3.2.1.52" TargetMode="External"/><Relationship Id="rId916" Type="http://schemas.openxmlformats.org/officeDocument/2006/relationships/hyperlink" Target="https://www.genome.jp/entry/R04019" TargetMode="External"/><Relationship Id="rId1101" Type="http://schemas.openxmlformats.org/officeDocument/2006/relationships/hyperlink" Target="https://www.genome.jp/entry/3.1.3.5" TargetMode="External"/><Relationship Id="rId1546" Type="http://schemas.openxmlformats.org/officeDocument/2006/relationships/hyperlink" Target="https://www.genome.jp/entry/2.7.7.6" TargetMode="External"/><Relationship Id="rId1753" Type="http://schemas.openxmlformats.org/officeDocument/2006/relationships/hyperlink" Target="https://www.genome.jp/entry/1.5.1.3" TargetMode="External"/><Relationship Id="rId1960" Type="http://schemas.openxmlformats.org/officeDocument/2006/relationships/hyperlink" Target="https://www.genome.jp/entry/1.1.1.25" TargetMode="External"/><Relationship Id="rId45" Type="http://schemas.openxmlformats.org/officeDocument/2006/relationships/hyperlink" Target="https://www.genome.jp/entry/6.3.4.2" TargetMode="External"/><Relationship Id="rId1406" Type="http://schemas.openxmlformats.org/officeDocument/2006/relationships/hyperlink" Target="https://www.genome.jp/entry/5.1.3.2" TargetMode="External"/><Relationship Id="rId1613" Type="http://schemas.openxmlformats.org/officeDocument/2006/relationships/hyperlink" Target="https://www.genome.jp/entry/R05115" TargetMode="External"/><Relationship Id="rId1820" Type="http://schemas.openxmlformats.org/officeDocument/2006/relationships/hyperlink" Target="https://www.genome.jp/entry/2.5.1.48" TargetMode="External"/><Relationship Id="rId194" Type="http://schemas.openxmlformats.org/officeDocument/2006/relationships/hyperlink" Target="https://www.genome.jp/entry/R04355" TargetMode="External"/><Relationship Id="rId1918" Type="http://schemas.openxmlformats.org/officeDocument/2006/relationships/hyperlink" Target="https://www.genome.jp/entry/R04014" TargetMode="External"/><Relationship Id="rId2082" Type="http://schemas.openxmlformats.org/officeDocument/2006/relationships/hyperlink" Target="https://www.genome.jp/entry/R04426" TargetMode="External"/><Relationship Id="rId261" Type="http://schemas.openxmlformats.org/officeDocument/2006/relationships/hyperlink" Target="https://www.genome.jp/entry/R03662" TargetMode="External"/><Relationship Id="rId499" Type="http://schemas.openxmlformats.org/officeDocument/2006/relationships/hyperlink" Target="https://www.genome.jp/entry/6.1.1.15" TargetMode="External"/><Relationship Id="rId2387" Type="http://schemas.openxmlformats.org/officeDocument/2006/relationships/hyperlink" Target="https://www.genome.jp/entry/R00158" TargetMode="External"/><Relationship Id="rId2594" Type="http://schemas.openxmlformats.org/officeDocument/2006/relationships/hyperlink" Target="https://www.genome.jp/entry/2.4.2.1" TargetMode="External"/><Relationship Id="rId359" Type="http://schemas.openxmlformats.org/officeDocument/2006/relationships/hyperlink" Target="https://www.genome.jp/entry/6.3.2.17" TargetMode="External"/><Relationship Id="rId566" Type="http://schemas.openxmlformats.org/officeDocument/2006/relationships/hyperlink" Target="https://www.genome.jp/entry/R00669" TargetMode="External"/><Relationship Id="rId773" Type="http://schemas.openxmlformats.org/officeDocument/2006/relationships/hyperlink" Target="https://www.genome.jp/entry/2.6.1.1" TargetMode="External"/><Relationship Id="rId1196" Type="http://schemas.openxmlformats.org/officeDocument/2006/relationships/hyperlink" Target="https://www.genome.jp/entry/2.7.1.69" TargetMode="External"/><Relationship Id="rId2247" Type="http://schemas.openxmlformats.org/officeDocument/2006/relationships/hyperlink" Target="https://www.genome.jp/entry/R02628" TargetMode="External"/><Relationship Id="rId2454" Type="http://schemas.openxmlformats.org/officeDocument/2006/relationships/hyperlink" Target="https://www.genome.jp/entry/R02320" TargetMode="External"/><Relationship Id="rId121" Type="http://schemas.openxmlformats.org/officeDocument/2006/relationships/hyperlink" Target="https://www.genome.jp/entry/2.2.1.6" TargetMode="External"/><Relationship Id="rId219" Type="http://schemas.openxmlformats.org/officeDocument/2006/relationships/hyperlink" Target="https://www.genome.jp/entry/4.2.1.17" TargetMode="External"/><Relationship Id="rId426" Type="http://schemas.openxmlformats.org/officeDocument/2006/relationships/hyperlink" Target="https://www.genome.jp/entry/2.7.7.7" TargetMode="External"/><Relationship Id="rId633" Type="http://schemas.openxmlformats.org/officeDocument/2006/relationships/hyperlink" Target="https://www.genome.jp/entry/2.7.13.3" TargetMode="External"/><Relationship Id="rId980" Type="http://schemas.openxmlformats.org/officeDocument/2006/relationships/hyperlink" Target="https://www.genome.jp/entry/R07105" TargetMode="External"/><Relationship Id="rId1056" Type="http://schemas.openxmlformats.org/officeDocument/2006/relationships/hyperlink" Target="https://www.genome.jp/entry/R00771" TargetMode="External"/><Relationship Id="rId1263" Type="http://schemas.openxmlformats.org/officeDocument/2006/relationships/hyperlink" Target="https://www.genome.jp/entry/2.7.7.6" TargetMode="External"/><Relationship Id="rId2107" Type="http://schemas.openxmlformats.org/officeDocument/2006/relationships/hyperlink" Target="https://www.genome.jp/entry/R00943" TargetMode="External"/><Relationship Id="rId2314" Type="http://schemas.openxmlformats.org/officeDocument/2006/relationships/hyperlink" Target="https://www.genome.jp/entry/R01567" TargetMode="External"/><Relationship Id="rId2661" Type="http://schemas.openxmlformats.org/officeDocument/2006/relationships/hyperlink" Target="https://www.genome.jp/entry/6.1.1.10" TargetMode="External"/><Relationship Id="rId840" Type="http://schemas.openxmlformats.org/officeDocument/2006/relationships/hyperlink" Target="https://www.genome.jp/entry/R01130" TargetMode="External"/><Relationship Id="rId938" Type="http://schemas.openxmlformats.org/officeDocument/2006/relationships/hyperlink" Target="https://www.genome.jp/entry/R02262" TargetMode="External"/><Relationship Id="rId1470" Type="http://schemas.openxmlformats.org/officeDocument/2006/relationships/hyperlink" Target="https://www.genome.jp/entry/R01154" TargetMode="External"/><Relationship Id="rId1568" Type="http://schemas.openxmlformats.org/officeDocument/2006/relationships/hyperlink" Target="https://www.genome.jp/entry/R02410" TargetMode="External"/><Relationship Id="rId1775" Type="http://schemas.openxmlformats.org/officeDocument/2006/relationships/hyperlink" Target="https://www.genome.jp/entry/1.17.1.8" TargetMode="External"/><Relationship Id="rId2521" Type="http://schemas.openxmlformats.org/officeDocument/2006/relationships/hyperlink" Target="https://www.genome.jp/entry/2.7.1.144" TargetMode="External"/><Relationship Id="rId2619" Type="http://schemas.openxmlformats.org/officeDocument/2006/relationships/hyperlink" Target="https://www.genome.jp/entry/R02297" TargetMode="External"/><Relationship Id="rId67" Type="http://schemas.openxmlformats.org/officeDocument/2006/relationships/hyperlink" Target="https://www.genome.jp/entry/2.7.7.7" TargetMode="External"/><Relationship Id="rId700" Type="http://schemas.openxmlformats.org/officeDocument/2006/relationships/hyperlink" Target="https://www.genome.jp/entry/R06144" TargetMode="External"/><Relationship Id="rId1123" Type="http://schemas.openxmlformats.org/officeDocument/2006/relationships/hyperlink" Target="https://www.genome.jp/entry/R02124" TargetMode="External"/><Relationship Id="rId1330" Type="http://schemas.openxmlformats.org/officeDocument/2006/relationships/hyperlink" Target="https://www.genome.jp/entry/1.1.1.100" TargetMode="External"/><Relationship Id="rId1428" Type="http://schemas.openxmlformats.org/officeDocument/2006/relationships/hyperlink" Target="https://www.genome.jp/entry/R02961" TargetMode="External"/><Relationship Id="rId1635" Type="http://schemas.openxmlformats.org/officeDocument/2006/relationships/hyperlink" Target="https://www.genome.jp/entry/R04650" TargetMode="External"/><Relationship Id="rId1982" Type="http://schemas.openxmlformats.org/officeDocument/2006/relationships/hyperlink" Target="https://www.genome.jp/entry/1.1.1.3" TargetMode="External"/><Relationship Id="rId1842" Type="http://schemas.openxmlformats.org/officeDocument/2006/relationships/hyperlink" Target="https://www.genome.jp/entry/3.6.3.14" TargetMode="External"/><Relationship Id="rId1702" Type="http://schemas.openxmlformats.org/officeDocument/2006/relationships/hyperlink" Target="https://www.genome.jp/entry/2.7.4.14" TargetMode="External"/><Relationship Id="rId283" Type="http://schemas.openxmlformats.org/officeDocument/2006/relationships/hyperlink" Target="https://www.genome.jp/entry/1.1.1.44" TargetMode="External"/><Relationship Id="rId490" Type="http://schemas.openxmlformats.org/officeDocument/2006/relationships/hyperlink" Target="https://www.genome.jp/entry/R10040" TargetMode="External"/><Relationship Id="rId2171" Type="http://schemas.openxmlformats.org/officeDocument/2006/relationships/hyperlink" Target="https://www.genome.jp/entry/1.2.1.9" TargetMode="External"/><Relationship Id="rId143" Type="http://schemas.openxmlformats.org/officeDocument/2006/relationships/hyperlink" Target="https://www.genome.jp/entry/2.3.1.179" TargetMode="External"/><Relationship Id="rId350" Type="http://schemas.openxmlformats.org/officeDocument/2006/relationships/hyperlink" Target="https://www.genome.jp/entry/R00428" TargetMode="External"/><Relationship Id="rId588" Type="http://schemas.openxmlformats.org/officeDocument/2006/relationships/hyperlink" Target="https://www.genome.jp/entry/R00220" TargetMode="External"/><Relationship Id="rId795" Type="http://schemas.openxmlformats.org/officeDocument/2006/relationships/hyperlink" Target="https://www.genome.jp/entry/4.3.2.2" TargetMode="External"/><Relationship Id="rId2031" Type="http://schemas.openxmlformats.org/officeDocument/2006/relationships/hyperlink" Target="https://www.genome.jp/entry/R01397" TargetMode="External"/><Relationship Id="rId2269" Type="http://schemas.openxmlformats.org/officeDocument/2006/relationships/hyperlink" Target="https://www.genome.jp/entry/R02018" TargetMode="External"/><Relationship Id="rId2476" Type="http://schemas.openxmlformats.org/officeDocument/2006/relationships/hyperlink" Target="https://www.genome.jp/entry/R00379" TargetMode="External"/><Relationship Id="rId2683" Type="http://schemas.openxmlformats.org/officeDocument/2006/relationships/hyperlink" Target="https://www.genome.jp/entry/1.17.4.2" TargetMode="External"/><Relationship Id="rId9" Type="http://schemas.openxmlformats.org/officeDocument/2006/relationships/hyperlink" Target="https://www.genome.jp/entry/6.3.1.2" TargetMode="External"/><Relationship Id="rId210" Type="http://schemas.openxmlformats.org/officeDocument/2006/relationships/hyperlink" Target="https://www.genome.jp/entry/R10115" TargetMode="External"/><Relationship Id="rId448" Type="http://schemas.openxmlformats.org/officeDocument/2006/relationships/hyperlink" Target="https://www.genome.jp/entry/R09385" TargetMode="External"/><Relationship Id="rId655" Type="http://schemas.openxmlformats.org/officeDocument/2006/relationships/hyperlink" Target="https://www.genome.jp/entry/R02295" TargetMode="External"/><Relationship Id="rId862" Type="http://schemas.openxmlformats.org/officeDocument/2006/relationships/hyperlink" Target="https://www.genome.jp/entry/R00846" TargetMode="External"/><Relationship Id="rId1078" Type="http://schemas.openxmlformats.org/officeDocument/2006/relationships/hyperlink" Target="https://www.genome.jp/entry/R08221" TargetMode="External"/><Relationship Id="rId1285" Type="http://schemas.openxmlformats.org/officeDocument/2006/relationships/hyperlink" Target="https://www.genome.jp/entry/2.7.4.6" TargetMode="External"/><Relationship Id="rId1492" Type="http://schemas.openxmlformats.org/officeDocument/2006/relationships/hyperlink" Target="https://www.genome.jp/entry/3.2.1.26" TargetMode="External"/><Relationship Id="rId2129" Type="http://schemas.openxmlformats.org/officeDocument/2006/relationships/hyperlink" Target="https://www.genome.jp/entry/R01055" TargetMode="External"/><Relationship Id="rId2336" Type="http://schemas.openxmlformats.org/officeDocument/2006/relationships/hyperlink" Target="https://www.genome.jp/entry/R00379" TargetMode="External"/><Relationship Id="rId2543" Type="http://schemas.openxmlformats.org/officeDocument/2006/relationships/hyperlink" Target="https://www.genome.jp/entry/R00377" TargetMode="External"/><Relationship Id="rId308" Type="http://schemas.openxmlformats.org/officeDocument/2006/relationships/hyperlink" Target="https://www.genome.jp/entry/R02584" TargetMode="External"/><Relationship Id="rId515" Type="http://schemas.openxmlformats.org/officeDocument/2006/relationships/hyperlink" Target="https://www.genome.jp/entry/R07312" TargetMode="External"/><Relationship Id="rId722" Type="http://schemas.openxmlformats.org/officeDocument/2006/relationships/hyperlink" Target="https://www.genome.jp/entry/R07809" TargetMode="External"/><Relationship Id="rId1145" Type="http://schemas.openxmlformats.org/officeDocument/2006/relationships/hyperlink" Target="https://www.genome.jp/entry/R08558" TargetMode="External"/><Relationship Id="rId1352" Type="http://schemas.openxmlformats.org/officeDocument/2006/relationships/hyperlink" Target="https://www.genome.jp/entry/R01101" TargetMode="External"/><Relationship Id="rId1797" Type="http://schemas.openxmlformats.org/officeDocument/2006/relationships/hyperlink" Target="https://www.genome.jp/entry/R00694" TargetMode="External"/><Relationship Id="rId2403" Type="http://schemas.openxmlformats.org/officeDocument/2006/relationships/hyperlink" Target="https://www.genome.jp/entry/2.7.7.7" TargetMode="External"/><Relationship Id="rId89" Type="http://schemas.openxmlformats.org/officeDocument/2006/relationships/hyperlink" Target="https://www.genome.jp/entry/1.1.1.86" TargetMode="External"/><Relationship Id="rId1005" Type="http://schemas.openxmlformats.org/officeDocument/2006/relationships/hyperlink" Target="https://www.genome.jp/entry/2.2.1.1" TargetMode="External"/><Relationship Id="rId1212" Type="http://schemas.openxmlformats.org/officeDocument/2006/relationships/hyperlink" Target="https://www.genome.jp/entry/R00485" TargetMode="External"/><Relationship Id="rId1657" Type="http://schemas.openxmlformats.org/officeDocument/2006/relationships/hyperlink" Target="https://www.genome.jp/entry/R02087" TargetMode="External"/><Relationship Id="rId1864" Type="http://schemas.openxmlformats.org/officeDocument/2006/relationships/hyperlink" Target="https://www.genome.jp/entry/1.1.1.274" TargetMode="External"/><Relationship Id="rId2610" Type="http://schemas.openxmlformats.org/officeDocument/2006/relationships/hyperlink" Target="https://www.genome.jp/entry/2.4.2.1" TargetMode="External"/><Relationship Id="rId1517" Type="http://schemas.openxmlformats.org/officeDocument/2006/relationships/hyperlink" Target="https://www.genome.jp/entry/1.8.1.9" TargetMode="External"/><Relationship Id="rId1724" Type="http://schemas.openxmlformats.org/officeDocument/2006/relationships/hyperlink" Target="https://www.genome.jp/entry/R02807" TargetMode="External"/><Relationship Id="rId16" Type="http://schemas.openxmlformats.org/officeDocument/2006/relationships/hyperlink" Target="https://www.genome.jp/entry/R03492" TargetMode="External"/><Relationship Id="rId1931" Type="http://schemas.openxmlformats.org/officeDocument/2006/relationships/hyperlink" Target="https://www.genome.jp/entry/3.1.3.25" TargetMode="External"/><Relationship Id="rId2193" Type="http://schemas.openxmlformats.org/officeDocument/2006/relationships/hyperlink" Target="https://www.genome.jp/entry/4.2.1.11" TargetMode="External"/><Relationship Id="rId2498" Type="http://schemas.openxmlformats.org/officeDocument/2006/relationships/hyperlink" Target="https://www.genome.jp/entry/R00756" TargetMode="External"/><Relationship Id="rId165" Type="http://schemas.openxmlformats.org/officeDocument/2006/relationships/hyperlink" Target="https://www.genome.jp/entry/1.1.1.100" TargetMode="External"/><Relationship Id="rId372" Type="http://schemas.openxmlformats.org/officeDocument/2006/relationships/hyperlink" Target="https://www.genome.jp/entry/R03067" TargetMode="External"/><Relationship Id="rId677" Type="http://schemas.openxmlformats.org/officeDocument/2006/relationships/hyperlink" Target="https://www.genome.jp/entry/3.2.1.23" TargetMode="External"/><Relationship Id="rId2053" Type="http://schemas.openxmlformats.org/officeDocument/2006/relationships/hyperlink" Target="https://www.genome.jp/entry/R10949" TargetMode="External"/><Relationship Id="rId2260" Type="http://schemas.openxmlformats.org/officeDocument/2006/relationships/hyperlink" Target="https://www.genome.jp/entry/1.17.4.1" TargetMode="External"/><Relationship Id="rId2358" Type="http://schemas.openxmlformats.org/officeDocument/2006/relationships/hyperlink" Target="https://www.genome.jp/entry/R04273" TargetMode="External"/><Relationship Id="rId232" Type="http://schemas.openxmlformats.org/officeDocument/2006/relationships/hyperlink" Target="https://www.genome.jp/entry/4.2.1.17" TargetMode="External"/><Relationship Id="rId884" Type="http://schemas.openxmlformats.org/officeDocument/2006/relationships/hyperlink" Target="https://www.genome.jp/entry/R12863" TargetMode="External"/><Relationship Id="rId2120" Type="http://schemas.openxmlformats.org/officeDocument/2006/relationships/hyperlink" Target="https://www.genome.jp/entry/2.5.1.49" TargetMode="External"/><Relationship Id="rId2565" Type="http://schemas.openxmlformats.org/officeDocument/2006/relationships/hyperlink" Target="https://www.genome.jp/entry/R02485" TargetMode="External"/><Relationship Id="rId537" Type="http://schemas.openxmlformats.org/officeDocument/2006/relationships/hyperlink" Target="https://www.genome.jp/entry/R04710" TargetMode="External"/><Relationship Id="rId744" Type="http://schemas.openxmlformats.org/officeDocument/2006/relationships/hyperlink" Target="https://www.genome.jp/entry/R07404" TargetMode="External"/><Relationship Id="rId951" Type="http://schemas.openxmlformats.org/officeDocument/2006/relationships/hyperlink" Target="https://www.genome.jp/entry/1.1.1.1" TargetMode="External"/><Relationship Id="rId1167" Type="http://schemas.openxmlformats.org/officeDocument/2006/relationships/hyperlink" Target="https://www.genome.jp/entry/R01481" TargetMode="External"/><Relationship Id="rId1374" Type="http://schemas.openxmlformats.org/officeDocument/2006/relationships/hyperlink" Target="https://www.genome.jp/entry/R05961" TargetMode="External"/><Relationship Id="rId1581" Type="http://schemas.openxmlformats.org/officeDocument/2006/relationships/hyperlink" Target="https://www.genome.jp/entry/3.2.1.26" TargetMode="External"/><Relationship Id="rId1679" Type="http://schemas.openxmlformats.org/officeDocument/2006/relationships/hyperlink" Target="https://www.genome.jp/entry/R03663" TargetMode="External"/><Relationship Id="rId2218" Type="http://schemas.openxmlformats.org/officeDocument/2006/relationships/hyperlink" Target="https://www.genome.jp/entry/R04225" TargetMode="External"/><Relationship Id="rId2425" Type="http://schemas.openxmlformats.org/officeDocument/2006/relationships/hyperlink" Target="https://www.genome.jp/entry/3.5.1.77" TargetMode="External"/><Relationship Id="rId2632" Type="http://schemas.openxmlformats.org/officeDocument/2006/relationships/hyperlink" Target="https://www.genome.jp/entry/5.4.2.7" TargetMode="External"/><Relationship Id="rId80" Type="http://schemas.openxmlformats.org/officeDocument/2006/relationships/hyperlink" Target="https://www.genome.jp/entry/R11098" TargetMode="External"/><Relationship Id="rId604" Type="http://schemas.openxmlformats.org/officeDocument/2006/relationships/hyperlink" Target="https://www.genome.jp/entry/R00963" TargetMode="External"/><Relationship Id="rId811" Type="http://schemas.openxmlformats.org/officeDocument/2006/relationships/hyperlink" Target="https://www.genome.jp/entry/2.4.2.8" TargetMode="External"/><Relationship Id="rId1027" Type="http://schemas.openxmlformats.org/officeDocument/2006/relationships/hyperlink" Target="https://www.genome.jp/entry/1.14.99.36" TargetMode="External"/><Relationship Id="rId1234" Type="http://schemas.openxmlformats.org/officeDocument/2006/relationships/hyperlink" Target="https://www.genome.jp/entry/R10716" TargetMode="External"/><Relationship Id="rId1441" Type="http://schemas.openxmlformats.org/officeDocument/2006/relationships/hyperlink" Target="https://www.genome.jp/entry/4.1.3.27" TargetMode="External"/><Relationship Id="rId1886" Type="http://schemas.openxmlformats.org/officeDocument/2006/relationships/hyperlink" Target="https://www.genome.jp/entry/R05635" TargetMode="External"/><Relationship Id="rId909" Type="http://schemas.openxmlformats.org/officeDocument/2006/relationships/hyperlink" Target="https://www.genome.jp/entry/3.2.1.22" TargetMode="External"/><Relationship Id="rId1301" Type="http://schemas.openxmlformats.org/officeDocument/2006/relationships/hyperlink" Target="https://www.genome.jp/entry/2.7.4.6" TargetMode="External"/><Relationship Id="rId1539" Type="http://schemas.openxmlformats.org/officeDocument/2006/relationships/hyperlink" Target="https://www.genome.jp/entry/R00444" TargetMode="External"/><Relationship Id="rId1746" Type="http://schemas.openxmlformats.org/officeDocument/2006/relationships/hyperlink" Target="https://www.genome.jp/entry/R00939" TargetMode="External"/><Relationship Id="rId1953" Type="http://schemas.openxmlformats.org/officeDocument/2006/relationships/hyperlink" Target="https://www.genome.jp/entry/3.2.1.1" TargetMode="External"/><Relationship Id="rId38" Type="http://schemas.openxmlformats.org/officeDocument/2006/relationships/hyperlink" Target="https://www.genome.jp/entry/R11316" TargetMode="External"/><Relationship Id="rId1606" Type="http://schemas.openxmlformats.org/officeDocument/2006/relationships/hyperlink" Target="https://www.genome.jp/entry/3.2.1.18" TargetMode="External"/><Relationship Id="rId1813" Type="http://schemas.openxmlformats.org/officeDocument/2006/relationships/hyperlink" Target="https://www.genome.jp/entry/R03648" TargetMode="External"/><Relationship Id="rId187" Type="http://schemas.openxmlformats.org/officeDocument/2006/relationships/hyperlink" Target="https://www.genome.jp/entry/1.13.12.16" TargetMode="External"/><Relationship Id="rId394" Type="http://schemas.openxmlformats.org/officeDocument/2006/relationships/hyperlink" Target="https://www.genome.jp/entry/R06927" TargetMode="External"/><Relationship Id="rId2075" Type="http://schemas.openxmlformats.org/officeDocument/2006/relationships/hyperlink" Target="https://www.genome.jp/entry/2.3.3.13" TargetMode="External"/><Relationship Id="rId2282" Type="http://schemas.openxmlformats.org/officeDocument/2006/relationships/hyperlink" Target="https://www.genome.jp/entry/3.2.1.85" TargetMode="External"/><Relationship Id="rId254" Type="http://schemas.openxmlformats.org/officeDocument/2006/relationships/hyperlink" Target="https://www.genome.jp/entry/4.2.1.17" TargetMode="External"/><Relationship Id="rId699" Type="http://schemas.openxmlformats.org/officeDocument/2006/relationships/hyperlink" Target="https://www.genome.jp/entry/3.2.1.23" TargetMode="External"/><Relationship Id="rId1091" Type="http://schemas.openxmlformats.org/officeDocument/2006/relationships/hyperlink" Target="https://www.genome.jp/entry/3.1.3.5" TargetMode="External"/><Relationship Id="rId2587" Type="http://schemas.openxmlformats.org/officeDocument/2006/relationships/hyperlink" Target="https://www.genome.jp/entry/R04391" TargetMode="External"/><Relationship Id="rId114" Type="http://schemas.openxmlformats.org/officeDocument/2006/relationships/hyperlink" Target="https://www.genome.jp/entry/R00006" TargetMode="External"/><Relationship Id="rId461" Type="http://schemas.openxmlformats.org/officeDocument/2006/relationships/hyperlink" Target="https://www.genome.jp/entry/3.2.1.86" TargetMode="External"/><Relationship Id="rId559" Type="http://schemas.openxmlformats.org/officeDocument/2006/relationships/hyperlink" Target="https://www.genome.jp/entry/3.2.2.20" TargetMode="External"/><Relationship Id="rId766" Type="http://schemas.openxmlformats.org/officeDocument/2006/relationships/hyperlink" Target="https://www.genome.jp/entry/R00694" TargetMode="External"/><Relationship Id="rId1189" Type="http://schemas.openxmlformats.org/officeDocument/2006/relationships/hyperlink" Target="https://www.genome.jp/entry/R06590" TargetMode="External"/><Relationship Id="rId1396" Type="http://schemas.openxmlformats.org/officeDocument/2006/relationships/hyperlink" Target="https://www.genome.jp/entry/R06113" TargetMode="External"/><Relationship Id="rId2142" Type="http://schemas.openxmlformats.org/officeDocument/2006/relationships/hyperlink" Target="https://www.genome.jp/entry/3.1.11.6" TargetMode="External"/><Relationship Id="rId2447" Type="http://schemas.openxmlformats.org/officeDocument/2006/relationships/hyperlink" Target="https://www.genome.jp/entry/2.7.1.40" TargetMode="External"/><Relationship Id="rId321" Type="http://schemas.openxmlformats.org/officeDocument/2006/relationships/hyperlink" Target="https://www.genome.jp/entry/3.2.1.179" TargetMode="External"/><Relationship Id="rId419" Type="http://schemas.openxmlformats.org/officeDocument/2006/relationships/hyperlink" Target="https://www.genome.jp/entry/R00379" TargetMode="External"/><Relationship Id="rId626" Type="http://schemas.openxmlformats.org/officeDocument/2006/relationships/hyperlink" Target="https://www.genome.jp/entry/R12958" TargetMode="External"/><Relationship Id="rId973" Type="http://schemas.openxmlformats.org/officeDocument/2006/relationships/hyperlink" Target="https://www.genome.jp/entry/1.1.1.1" TargetMode="External"/><Relationship Id="rId1049" Type="http://schemas.openxmlformats.org/officeDocument/2006/relationships/hyperlink" Target="https://www.genome.jp/entry/3.6.3.27" TargetMode="External"/><Relationship Id="rId1256" Type="http://schemas.openxmlformats.org/officeDocument/2006/relationships/hyperlink" Target="https://www.genome.jp/entry/R00660" TargetMode="External"/><Relationship Id="rId2002" Type="http://schemas.openxmlformats.org/officeDocument/2006/relationships/hyperlink" Target="https://www.genome.jp/entry/5.1.3.24" TargetMode="External"/><Relationship Id="rId2307" Type="http://schemas.openxmlformats.org/officeDocument/2006/relationships/hyperlink" Target="https://www.genome.jp/entry/R02984" TargetMode="External"/><Relationship Id="rId2654" Type="http://schemas.openxmlformats.org/officeDocument/2006/relationships/hyperlink" Target="https://www.genome.jp/entry/R04951" TargetMode="External"/><Relationship Id="rId833" Type="http://schemas.openxmlformats.org/officeDocument/2006/relationships/hyperlink" Target="https://www.genome.jp/entry/2.7.7.7" TargetMode="External"/><Relationship Id="rId1116" Type="http://schemas.openxmlformats.org/officeDocument/2006/relationships/hyperlink" Target="https://www.genome.jp/entry/3.5.1.25" TargetMode="External"/><Relationship Id="rId1463" Type="http://schemas.openxmlformats.org/officeDocument/2006/relationships/hyperlink" Target="https://www.genome.jp/entry/4.2.1.20" TargetMode="External"/><Relationship Id="rId1670" Type="http://schemas.openxmlformats.org/officeDocument/2006/relationships/hyperlink" Target="https://www.genome.jp/entry/R04573" TargetMode="External"/><Relationship Id="rId1768" Type="http://schemas.openxmlformats.org/officeDocument/2006/relationships/hyperlink" Target="https://www.genome.jp/entry/R01195" TargetMode="External"/><Relationship Id="rId2514" Type="http://schemas.openxmlformats.org/officeDocument/2006/relationships/hyperlink" Target="https://www.genome.jp/entry/R03239" TargetMode="External"/><Relationship Id="rId900" Type="http://schemas.openxmlformats.org/officeDocument/2006/relationships/hyperlink" Target="https://www.genome.jp/entry/R01101" TargetMode="External"/><Relationship Id="rId1323" Type="http://schemas.openxmlformats.org/officeDocument/2006/relationships/hyperlink" Target="https://www.genome.jp/entry/R02767" TargetMode="External"/><Relationship Id="rId1530" Type="http://schemas.openxmlformats.org/officeDocument/2006/relationships/hyperlink" Target="https://www.genome.jp/entry/2.1.1.156" TargetMode="External"/><Relationship Id="rId1628" Type="http://schemas.openxmlformats.org/officeDocument/2006/relationships/hyperlink" Target="https://www.genome.jp/entry/3.2.1.18" TargetMode="External"/><Relationship Id="rId1975" Type="http://schemas.openxmlformats.org/officeDocument/2006/relationships/hyperlink" Target="https://www.genome.jp/entry/R01373" TargetMode="External"/><Relationship Id="rId1835" Type="http://schemas.openxmlformats.org/officeDocument/2006/relationships/hyperlink" Target="https://www.genome.jp/entry/R04946" TargetMode="External"/><Relationship Id="rId1902" Type="http://schemas.openxmlformats.org/officeDocument/2006/relationships/hyperlink" Target="https://www.genome.jp/entry/6.3.1.5" TargetMode="External"/><Relationship Id="rId2097" Type="http://schemas.openxmlformats.org/officeDocument/2006/relationships/hyperlink" Target="https://www.genome.jp/entry/R00835" TargetMode="External"/><Relationship Id="rId276" Type="http://schemas.openxmlformats.org/officeDocument/2006/relationships/hyperlink" Target="https://www.genome.jp/entry/R01123" TargetMode="External"/><Relationship Id="rId483" Type="http://schemas.openxmlformats.org/officeDocument/2006/relationships/hyperlink" Target="https://www.genome.jp/entry/3.2.1.21" TargetMode="External"/><Relationship Id="rId690" Type="http://schemas.openxmlformats.org/officeDocument/2006/relationships/hyperlink" Target="https://www.genome.jp/entry/R05994" TargetMode="External"/><Relationship Id="rId2164" Type="http://schemas.openxmlformats.org/officeDocument/2006/relationships/hyperlink" Target="https://www.genome.jp/entry/2.3.1.8" TargetMode="External"/><Relationship Id="rId2371" Type="http://schemas.openxmlformats.org/officeDocument/2006/relationships/hyperlink" Target="https://www.genome.jp/entry/R02530" TargetMode="External"/><Relationship Id="rId136" Type="http://schemas.openxmlformats.org/officeDocument/2006/relationships/hyperlink" Target="https://www.genome.jp/entry/R00742" TargetMode="External"/><Relationship Id="rId343" Type="http://schemas.openxmlformats.org/officeDocument/2006/relationships/hyperlink" Target="https://www.genome.jp/entry/3.2.1.86" TargetMode="External"/><Relationship Id="rId550" Type="http://schemas.openxmlformats.org/officeDocument/2006/relationships/hyperlink" Target="https://www.genome.jp/entry/6.3.2.17" TargetMode="External"/><Relationship Id="rId788" Type="http://schemas.openxmlformats.org/officeDocument/2006/relationships/hyperlink" Target="https://www.genome.jp/entry/R00378" TargetMode="External"/><Relationship Id="rId995" Type="http://schemas.openxmlformats.org/officeDocument/2006/relationships/hyperlink" Target="https://www.genome.jp/entry/3.2.1.170" TargetMode="External"/><Relationship Id="rId1180" Type="http://schemas.openxmlformats.org/officeDocument/2006/relationships/hyperlink" Target="https://www.genome.jp/entry/5.1.3.4" TargetMode="External"/><Relationship Id="rId2024" Type="http://schemas.openxmlformats.org/officeDocument/2006/relationships/hyperlink" Target="https://www.genome.jp/entry/R00146" TargetMode="External"/><Relationship Id="rId2231" Type="http://schemas.openxmlformats.org/officeDocument/2006/relationships/hyperlink" Target="https://www.genome.jp/entry/1.2.4.4" TargetMode="External"/><Relationship Id="rId2469" Type="http://schemas.openxmlformats.org/officeDocument/2006/relationships/hyperlink" Target="https://www.genome.jp/entry/2.7.1.11" TargetMode="External"/><Relationship Id="rId2676" Type="http://schemas.openxmlformats.org/officeDocument/2006/relationships/hyperlink" Target="https://www.genome.jp/entry/R08218" TargetMode="External"/><Relationship Id="rId203" Type="http://schemas.openxmlformats.org/officeDocument/2006/relationships/hyperlink" Target="https://www.genome.jp/entry/2.3.1.41" TargetMode="External"/><Relationship Id="rId648" Type="http://schemas.openxmlformats.org/officeDocument/2006/relationships/hyperlink" Target="https://www.genome.jp/entry/2.4.2.1" TargetMode="External"/><Relationship Id="rId855" Type="http://schemas.openxmlformats.org/officeDocument/2006/relationships/hyperlink" Target="https://www.genome.jp/entry/R04112" TargetMode="External"/><Relationship Id="rId1040" Type="http://schemas.openxmlformats.org/officeDocument/2006/relationships/hyperlink" Target="https://www.genome.jp/entry/2.3.1.89" TargetMode="External"/><Relationship Id="rId1278" Type="http://schemas.openxmlformats.org/officeDocument/2006/relationships/hyperlink" Target="https://www.genome.jp/entry/R00443" TargetMode="External"/><Relationship Id="rId1485" Type="http://schemas.openxmlformats.org/officeDocument/2006/relationships/hyperlink" Target="https://www.genome.jp/entry/R03632" TargetMode="External"/><Relationship Id="rId1692" Type="http://schemas.openxmlformats.org/officeDocument/2006/relationships/hyperlink" Target="https://www.genome.jp/entry/1.4.3.19" TargetMode="External"/><Relationship Id="rId2329" Type="http://schemas.openxmlformats.org/officeDocument/2006/relationships/hyperlink" Target="https://www.genome.jp/entry/3.1.4.46" TargetMode="External"/><Relationship Id="rId2536" Type="http://schemas.openxmlformats.org/officeDocument/2006/relationships/hyperlink" Target="https://www.genome.jp/entry/2.7.7.7" TargetMode="External"/><Relationship Id="rId410" Type="http://schemas.openxmlformats.org/officeDocument/2006/relationships/hyperlink" Target="https://www.genome.jp/entry/R02246" TargetMode="External"/><Relationship Id="rId508" Type="http://schemas.openxmlformats.org/officeDocument/2006/relationships/hyperlink" Target="https://www.genome.jp/entry/1.1.1.6" TargetMode="External"/><Relationship Id="rId715" Type="http://schemas.openxmlformats.org/officeDocument/2006/relationships/hyperlink" Target="https://www.genome.jp/entry/3.2.1.52" TargetMode="External"/><Relationship Id="rId922" Type="http://schemas.openxmlformats.org/officeDocument/2006/relationships/hyperlink" Target="https://www.genome.jp/entry/R05961" TargetMode="External"/><Relationship Id="rId1138" Type="http://schemas.openxmlformats.org/officeDocument/2006/relationships/hyperlink" Target="https://www.genome.jp/entry/1.1.1.1" TargetMode="External"/><Relationship Id="rId1345" Type="http://schemas.openxmlformats.org/officeDocument/2006/relationships/hyperlink" Target="https://www.genome.jp/entry/6.3.4.15" TargetMode="External"/><Relationship Id="rId1552" Type="http://schemas.openxmlformats.org/officeDocument/2006/relationships/hyperlink" Target="https://www.genome.jp/entry/2.1.1.176" TargetMode="External"/><Relationship Id="rId1997" Type="http://schemas.openxmlformats.org/officeDocument/2006/relationships/hyperlink" Target="https://www.genome.jp/entry/R02770" TargetMode="External"/><Relationship Id="rId2603" Type="http://schemas.openxmlformats.org/officeDocument/2006/relationships/hyperlink" Target="https://www.genome.jp/entry/R02557" TargetMode="External"/><Relationship Id="rId1205" Type="http://schemas.openxmlformats.org/officeDocument/2006/relationships/hyperlink" Target="https://www.genome.jp/entry/2.4.2.19" TargetMode="External"/><Relationship Id="rId1857" Type="http://schemas.openxmlformats.org/officeDocument/2006/relationships/hyperlink" Target="https://www.genome.jp/entry/5.4.2.8" TargetMode="External"/><Relationship Id="rId51" Type="http://schemas.openxmlformats.org/officeDocument/2006/relationships/hyperlink" Target="https://www.genome.jp/entry/2.1.1.207" TargetMode="External"/><Relationship Id="rId1412" Type="http://schemas.openxmlformats.org/officeDocument/2006/relationships/hyperlink" Target="https://www.genome.jp/entry/R01763" TargetMode="External"/><Relationship Id="rId1717" Type="http://schemas.openxmlformats.org/officeDocument/2006/relationships/hyperlink" Target="https://www.genome.jp/entry/R01909" TargetMode="External"/><Relationship Id="rId1924" Type="http://schemas.openxmlformats.org/officeDocument/2006/relationships/hyperlink" Target="https://www.genome.jp/entry/R08163" TargetMode="External"/><Relationship Id="rId298" Type="http://schemas.openxmlformats.org/officeDocument/2006/relationships/hyperlink" Target="https://www.genome.jp/entry/5.1.3.13" TargetMode="External"/><Relationship Id="rId158" Type="http://schemas.openxmlformats.org/officeDocument/2006/relationships/hyperlink" Target="https://www.genome.jp/entry/R07762" TargetMode="External"/><Relationship Id="rId2186" Type="http://schemas.openxmlformats.org/officeDocument/2006/relationships/hyperlink" Target="https://www.genome.jp/entry/R00582" TargetMode="External"/><Relationship Id="rId2393" Type="http://schemas.openxmlformats.org/officeDocument/2006/relationships/hyperlink" Target="https://www.genome.jp/entry/2.7.7.7" TargetMode="External"/><Relationship Id="rId365" Type="http://schemas.openxmlformats.org/officeDocument/2006/relationships/hyperlink" Target="https://www.genome.jp/entry/6.3.2.17" TargetMode="External"/><Relationship Id="rId572" Type="http://schemas.openxmlformats.org/officeDocument/2006/relationships/hyperlink" Target="https://www.genome.jp/entry/3.2.1.96" TargetMode="External"/><Relationship Id="rId2046" Type="http://schemas.openxmlformats.org/officeDocument/2006/relationships/hyperlink" Target="https://www.genome.jp/entry/6.3.5.5" TargetMode="External"/><Relationship Id="rId2253" Type="http://schemas.openxmlformats.org/officeDocument/2006/relationships/hyperlink" Target="https://www.genome.jp/entry/R02018" TargetMode="External"/><Relationship Id="rId2460" Type="http://schemas.openxmlformats.org/officeDocument/2006/relationships/hyperlink" Target="https://www.genome.jp/entry/R00767" TargetMode="External"/><Relationship Id="rId225" Type="http://schemas.openxmlformats.org/officeDocument/2006/relationships/hyperlink" Target="https://www.genome.jp/entry/R04738" TargetMode="External"/><Relationship Id="rId432" Type="http://schemas.openxmlformats.org/officeDocument/2006/relationships/hyperlink" Target="https://www.genome.jp/entry/2.7.7.7" TargetMode="External"/><Relationship Id="rId877" Type="http://schemas.openxmlformats.org/officeDocument/2006/relationships/hyperlink" Target="https://www.genome.jp/entry/6.1.1.13" TargetMode="External"/><Relationship Id="rId1062" Type="http://schemas.openxmlformats.org/officeDocument/2006/relationships/hyperlink" Target="https://www.genome.jp/entry/R13199" TargetMode="External"/><Relationship Id="rId2113" Type="http://schemas.openxmlformats.org/officeDocument/2006/relationships/hyperlink" Target="https://www.genome.jp/entry/1.1.1.27" TargetMode="External"/><Relationship Id="rId2320" Type="http://schemas.openxmlformats.org/officeDocument/2006/relationships/hyperlink" Target="https://www.genome.jp/entry/R10147" TargetMode="External"/><Relationship Id="rId2558" Type="http://schemas.openxmlformats.org/officeDocument/2006/relationships/hyperlink" Target="https://www.genome.jp/entry/R02199" TargetMode="External"/><Relationship Id="rId737" Type="http://schemas.openxmlformats.org/officeDocument/2006/relationships/hyperlink" Target="https://www.genome.jp/entry/4.3.2.2" TargetMode="External"/><Relationship Id="rId944" Type="http://schemas.openxmlformats.org/officeDocument/2006/relationships/hyperlink" Target="https://www.genome.jp/entry/R00623" TargetMode="External"/><Relationship Id="rId1367" Type="http://schemas.openxmlformats.org/officeDocument/2006/relationships/hyperlink" Target="https://www.genome.jp/entry/3.2.1.22" TargetMode="External"/><Relationship Id="rId1574" Type="http://schemas.openxmlformats.org/officeDocument/2006/relationships/hyperlink" Target="https://www.genome.jp/entry/R06087" TargetMode="External"/><Relationship Id="rId1781" Type="http://schemas.openxmlformats.org/officeDocument/2006/relationships/hyperlink" Target="https://www.genome.jp/entry/2.7.7.72" TargetMode="External"/><Relationship Id="rId2418" Type="http://schemas.openxmlformats.org/officeDocument/2006/relationships/hyperlink" Target="https://www.genome.jp/entry/R03313" TargetMode="External"/><Relationship Id="rId2625" Type="http://schemas.openxmlformats.org/officeDocument/2006/relationships/hyperlink" Target="https://www.genome.jp/entry/R02557" TargetMode="External"/><Relationship Id="rId73" Type="http://schemas.openxmlformats.org/officeDocument/2006/relationships/hyperlink" Target="https://www.genome.jp/entry/2.7.7.7" TargetMode="External"/><Relationship Id="rId804" Type="http://schemas.openxmlformats.org/officeDocument/2006/relationships/hyperlink" Target="https://www.genome.jp/entry/R04112" TargetMode="External"/><Relationship Id="rId1227" Type="http://schemas.openxmlformats.org/officeDocument/2006/relationships/hyperlink" Target="https://www.genome.jp/entry/2.6.1.1" TargetMode="External"/><Relationship Id="rId1434" Type="http://schemas.openxmlformats.org/officeDocument/2006/relationships/hyperlink" Target="https://www.genome.jp/entry/2.4.2.22" TargetMode="External"/><Relationship Id="rId1641" Type="http://schemas.openxmlformats.org/officeDocument/2006/relationships/hyperlink" Target="https://www.genome.jp/entry/R05996" TargetMode="External"/><Relationship Id="rId1879" Type="http://schemas.openxmlformats.org/officeDocument/2006/relationships/hyperlink" Target="https://www.genome.jp/entry/1.8.1.9" TargetMode="External"/><Relationship Id="rId1501" Type="http://schemas.openxmlformats.org/officeDocument/2006/relationships/hyperlink" Target="https://www.genome.jp/entry/R06100" TargetMode="External"/><Relationship Id="rId1739" Type="http://schemas.openxmlformats.org/officeDocument/2006/relationships/hyperlink" Target="https://www.genome.jp/entry/2.3.1.46" TargetMode="External"/><Relationship Id="rId1946" Type="http://schemas.openxmlformats.org/officeDocument/2006/relationships/hyperlink" Target="https://www.genome.jp/entry/R03038" TargetMode="External"/><Relationship Id="rId1806" Type="http://schemas.openxmlformats.org/officeDocument/2006/relationships/hyperlink" Target="https://www.genome.jp/entry/2.6.1.1" TargetMode="External"/><Relationship Id="rId387" Type="http://schemas.openxmlformats.org/officeDocument/2006/relationships/hyperlink" Target="https://www.genome.jp/entry/1.1.1.1" TargetMode="External"/><Relationship Id="rId594" Type="http://schemas.openxmlformats.org/officeDocument/2006/relationships/hyperlink" Target="https://www.genome.jp/entry/R11100" TargetMode="External"/><Relationship Id="rId2068" Type="http://schemas.openxmlformats.org/officeDocument/2006/relationships/hyperlink" Target="https://www.genome.jp/entry/R01652" TargetMode="External"/><Relationship Id="rId2275" Type="http://schemas.openxmlformats.org/officeDocument/2006/relationships/hyperlink" Target="https://www.genome.jp/entry/R08363" TargetMode="External"/><Relationship Id="rId247" Type="http://schemas.openxmlformats.org/officeDocument/2006/relationships/hyperlink" Target="https://www.genome.jp/entry/R05595" TargetMode="External"/><Relationship Id="rId899" Type="http://schemas.openxmlformats.org/officeDocument/2006/relationships/hyperlink" Target="https://www.genome.jp/entry/3.2.1.22" TargetMode="External"/><Relationship Id="rId1084" Type="http://schemas.openxmlformats.org/officeDocument/2006/relationships/hyperlink" Target="https://www.genome.jp/entry/R07297" TargetMode="External"/><Relationship Id="rId2482" Type="http://schemas.openxmlformats.org/officeDocument/2006/relationships/hyperlink" Target="https://www.genome.jp/entry/R00377" TargetMode="External"/><Relationship Id="rId107" Type="http://schemas.openxmlformats.org/officeDocument/2006/relationships/hyperlink" Target="https://www.genome.jp/entry/2.2.1.6" TargetMode="External"/><Relationship Id="rId454" Type="http://schemas.openxmlformats.org/officeDocument/2006/relationships/hyperlink" Target="https://www.genome.jp/entry/R00768" TargetMode="External"/><Relationship Id="rId661" Type="http://schemas.openxmlformats.org/officeDocument/2006/relationships/hyperlink" Target="https://www.genome.jp/entry/R04089" TargetMode="External"/><Relationship Id="rId759" Type="http://schemas.openxmlformats.org/officeDocument/2006/relationships/hyperlink" Target="https://www.genome.jp/entry/6.3.5.3" TargetMode="External"/><Relationship Id="rId966" Type="http://schemas.openxmlformats.org/officeDocument/2006/relationships/hyperlink" Target="https://www.genome.jp/entry/R08306" TargetMode="External"/><Relationship Id="rId1291" Type="http://schemas.openxmlformats.org/officeDocument/2006/relationships/hyperlink" Target="https://www.genome.jp/entry/2.7.4.6" TargetMode="External"/><Relationship Id="rId1389" Type="http://schemas.openxmlformats.org/officeDocument/2006/relationships/hyperlink" Target="https://www.genome.jp/entry/2.4.1.7" TargetMode="External"/><Relationship Id="rId1596" Type="http://schemas.openxmlformats.org/officeDocument/2006/relationships/hyperlink" Target="https://www.genome.jp/entry/R01826" TargetMode="External"/><Relationship Id="rId2135" Type="http://schemas.openxmlformats.org/officeDocument/2006/relationships/hyperlink" Target="https://www.genome.jp/entry/2.7.1.48" TargetMode="External"/><Relationship Id="rId2342" Type="http://schemas.openxmlformats.org/officeDocument/2006/relationships/hyperlink" Target="https://www.genome.jp/entry/R00377" TargetMode="External"/><Relationship Id="rId2647" Type="http://schemas.openxmlformats.org/officeDocument/2006/relationships/hyperlink" Target="https://www.genome.jp/entry/3.1.3.18" TargetMode="External"/><Relationship Id="rId314" Type="http://schemas.openxmlformats.org/officeDocument/2006/relationships/hyperlink" Target="https://www.genome.jp/entry/2.7.8.13" TargetMode="External"/><Relationship Id="rId521" Type="http://schemas.openxmlformats.org/officeDocument/2006/relationships/hyperlink" Target="https://www.genome.jp/entry/R00435" TargetMode="External"/><Relationship Id="rId619" Type="http://schemas.openxmlformats.org/officeDocument/2006/relationships/hyperlink" Target="https://www.genome.jp/entry/3.1.3.5" TargetMode="External"/><Relationship Id="rId1151" Type="http://schemas.openxmlformats.org/officeDocument/2006/relationships/hyperlink" Target="https://www.genome.jp/entry/R08310" TargetMode="External"/><Relationship Id="rId1249" Type="http://schemas.openxmlformats.org/officeDocument/2006/relationships/hyperlink" Target="https://www.genome.jp/entry/3.6.1.7" TargetMode="External"/><Relationship Id="rId2202" Type="http://schemas.openxmlformats.org/officeDocument/2006/relationships/hyperlink" Target="https://www.genome.jp/entry/2.7.7.63" TargetMode="External"/><Relationship Id="rId95" Type="http://schemas.openxmlformats.org/officeDocument/2006/relationships/hyperlink" Target="https://www.genome.jp/entry/1.1.1.86" TargetMode="External"/><Relationship Id="rId826" Type="http://schemas.openxmlformats.org/officeDocument/2006/relationships/hyperlink" Target="https://www.genome.jp/entry/R00375" TargetMode="External"/><Relationship Id="rId1011" Type="http://schemas.openxmlformats.org/officeDocument/2006/relationships/hyperlink" Target="https://www.genome.jp/entry/2.2.1.1" TargetMode="External"/><Relationship Id="rId1109" Type="http://schemas.openxmlformats.org/officeDocument/2006/relationships/hyperlink" Target="https://www.genome.jp/entry/3.1.3.5" TargetMode="External"/><Relationship Id="rId1456" Type="http://schemas.openxmlformats.org/officeDocument/2006/relationships/hyperlink" Target="https://www.genome.jp/entry/R00674" TargetMode="External"/><Relationship Id="rId1663" Type="http://schemas.openxmlformats.org/officeDocument/2006/relationships/hyperlink" Target="https://www.genome.jp/entry/R01441" TargetMode="External"/><Relationship Id="rId1870" Type="http://schemas.openxmlformats.org/officeDocument/2006/relationships/hyperlink" Target="https://www.genome.jp/entry/1.7.1.6" TargetMode="External"/><Relationship Id="rId1968" Type="http://schemas.openxmlformats.org/officeDocument/2006/relationships/hyperlink" Target="https://www.genome.jp/entry/1.3.1.43" TargetMode="External"/><Relationship Id="rId2507" Type="http://schemas.openxmlformats.org/officeDocument/2006/relationships/hyperlink" Target="https://www.genome.jp/entry/2.7.1.11" TargetMode="External"/><Relationship Id="rId1316" Type="http://schemas.openxmlformats.org/officeDocument/2006/relationships/hyperlink" Target="https://www.genome.jp/entry/R00948" TargetMode="External"/><Relationship Id="rId1523" Type="http://schemas.openxmlformats.org/officeDocument/2006/relationships/hyperlink" Target="https://www.genome.jp/entry/R03005" TargetMode="External"/><Relationship Id="rId1730" Type="http://schemas.openxmlformats.org/officeDocument/2006/relationships/hyperlink" Target="https://www.genome.jp/entry/R07618" TargetMode="External"/><Relationship Id="rId22" Type="http://schemas.openxmlformats.org/officeDocument/2006/relationships/hyperlink" Target="https://www.genome.jp/entry/R05963" TargetMode="External"/><Relationship Id="rId1828" Type="http://schemas.openxmlformats.org/officeDocument/2006/relationships/hyperlink" Target="https://www.genome.jp/entry/2.5.1.48" TargetMode="External"/><Relationship Id="rId171" Type="http://schemas.openxmlformats.org/officeDocument/2006/relationships/hyperlink" Target="https://www.genome.jp/entry/1.1.1.100" TargetMode="External"/><Relationship Id="rId2297" Type="http://schemas.openxmlformats.org/officeDocument/2006/relationships/hyperlink" Target="https://www.genome.jp/entry/R00660" TargetMode="External"/><Relationship Id="rId269" Type="http://schemas.openxmlformats.org/officeDocument/2006/relationships/hyperlink" Target="https://www.genome.jp/entry/3.4.21.89" TargetMode="External"/><Relationship Id="rId476" Type="http://schemas.openxmlformats.org/officeDocument/2006/relationships/hyperlink" Target="https://www.genome.jp/entry/R04949" TargetMode="External"/><Relationship Id="rId683" Type="http://schemas.openxmlformats.org/officeDocument/2006/relationships/hyperlink" Target="https://www.genome.jp/entry/3.2.1.23" TargetMode="External"/><Relationship Id="rId890" Type="http://schemas.openxmlformats.org/officeDocument/2006/relationships/hyperlink" Target="https://www.genome.jp/entry/R12873" TargetMode="External"/><Relationship Id="rId2157" Type="http://schemas.openxmlformats.org/officeDocument/2006/relationships/hyperlink" Target="https://www.genome.jp/entry/2.7.6.5" TargetMode="External"/><Relationship Id="rId2364" Type="http://schemas.openxmlformats.org/officeDocument/2006/relationships/hyperlink" Target="https://www.genome.jp/entry/R05626" TargetMode="External"/><Relationship Id="rId2571" Type="http://schemas.openxmlformats.org/officeDocument/2006/relationships/hyperlink" Target="https://www.genome.jp/entry/R01570" TargetMode="External"/><Relationship Id="rId129" Type="http://schemas.openxmlformats.org/officeDocument/2006/relationships/hyperlink" Target="https://www.genome.jp/entry/1.1.1.14" TargetMode="External"/><Relationship Id="rId336" Type="http://schemas.openxmlformats.org/officeDocument/2006/relationships/hyperlink" Target="https://www.genome.jp/entry/2.7.1.69" TargetMode="External"/><Relationship Id="rId543" Type="http://schemas.openxmlformats.org/officeDocument/2006/relationships/hyperlink" Target="https://www.genome.jp/entry/R02020" TargetMode="External"/><Relationship Id="rId988" Type="http://schemas.openxmlformats.org/officeDocument/2006/relationships/hyperlink" Target="https://www.genome.jp/entry/R12185" TargetMode="External"/><Relationship Id="rId1173" Type="http://schemas.openxmlformats.org/officeDocument/2006/relationships/hyperlink" Target="https://www.genome.jp/entry/R01353" TargetMode="External"/><Relationship Id="rId1380" Type="http://schemas.openxmlformats.org/officeDocument/2006/relationships/hyperlink" Target="https://www.genome.jp/entry/R06093" TargetMode="External"/><Relationship Id="rId2017" Type="http://schemas.openxmlformats.org/officeDocument/2006/relationships/hyperlink" Target="https://www.genome.jp/entry/R01811" TargetMode="External"/><Relationship Id="rId2224" Type="http://schemas.openxmlformats.org/officeDocument/2006/relationships/hyperlink" Target="https://www.genome.jp/entry/R07601" TargetMode="External"/><Relationship Id="rId2669" Type="http://schemas.openxmlformats.org/officeDocument/2006/relationships/hyperlink" Target="https://www.genome.jp/entry/1.8.1.7" TargetMode="External"/><Relationship Id="rId403" Type="http://schemas.openxmlformats.org/officeDocument/2006/relationships/hyperlink" Target="https://www.genome.jp/entry/1.1.1.1" TargetMode="External"/><Relationship Id="rId750" Type="http://schemas.openxmlformats.org/officeDocument/2006/relationships/hyperlink" Target="https://www.genome.jp/entry/R04560" TargetMode="External"/><Relationship Id="rId848" Type="http://schemas.openxmlformats.org/officeDocument/2006/relationships/hyperlink" Target="https://www.genome.jp/entry/R03601" TargetMode="External"/><Relationship Id="rId1033" Type="http://schemas.openxmlformats.org/officeDocument/2006/relationships/hyperlink" Target="https://www.genome.jp/entry/R06069" TargetMode="External"/><Relationship Id="rId1478" Type="http://schemas.openxmlformats.org/officeDocument/2006/relationships/hyperlink" Target="https://www.genome.jp/entry/3.1.6.1" TargetMode="External"/><Relationship Id="rId1685" Type="http://schemas.openxmlformats.org/officeDocument/2006/relationships/hyperlink" Target="https://www.genome.jp/entry/R07463" TargetMode="External"/><Relationship Id="rId1892" Type="http://schemas.openxmlformats.org/officeDocument/2006/relationships/hyperlink" Target="https://www.genome.jp/entry/R00256" TargetMode="External"/><Relationship Id="rId2431" Type="http://schemas.openxmlformats.org/officeDocument/2006/relationships/hyperlink" Target="https://www.genome.jp/entry/4.1.1.20" TargetMode="External"/><Relationship Id="rId2529" Type="http://schemas.openxmlformats.org/officeDocument/2006/relationships/hyperlink" Target="https://www.genome.jp/entry/3.4.16.4" TargetMode="External"/><Relationship Id="rId610" Type="http://schemas.openxmlformats.org/officeDocument/2006/relationships/hyperlink" Target="https://www.genome.jp/entry/R02323" TargetMode="External"/><Relationship Id="rId708" Type="http://schemas.openxmlformats.org/officeDocument/2006/relationships/hyperlink" Target="https://www.genome.jp/entry/R03492" TargetMode="External"/><Relationship Id="rId915" Type="http://schemas.openxmlformats.org/officeDocument/2006/relationships/hyperlink" Target="https://www.genome.jp/entry/3.2.1.22" TargetMode="External"/><Relationship Id="rId1240" Type="http://schemas.openxmlformats.org/officeDocument/2006/relationships/hyperlink" Target="https://www.genome.jp/entry/R00451" TargetMode="External"/><Relationship Id="rId1338" Type="http://schemas.openxmlformats.org/officeDocument/2006/relationships/hyperlink" Target="https://www.genome.jp/entry/1.1.1.100" TargetMode="External"/><Relationship Id="rId1545" Type="http://schemas.openxmlformats.org/officeDocument/2006/relationships/hyperlink" Target="https://www.genome.jp/entry/R00442" TargetMode="External"/><Relationship Id="rId1100" Type="http://schemas.openxmlformats.org/officeDocument/2006/relationships/hyperlink" Target="https://www.genome.jp/entry/R03346" TargetMode="External"/><Relationship Id="rId1405" Type="http://schemas.openxmlformats.org/officeDocument/2006/relationships/hyperlink" Target="https://www.genome.jp/entry/R00418" TargetMode="External"/><Relationship Id="rId1752" Type="http://schemas.openxmlformats.org/officeDocument/2006/relationships/hyperlink" Target="https://www.genome.jp/entry/R00940" TargetMode="External"/><Relationship Id="rId44" Type="http://schemas.openxmlformats.org/officeDocument/2006/relationships/hyperlink" Target="https://www.genome.jp/entry/R00256" TargetMode="External"/><Relationship Id="rId1612" Type="http://schemas.openxmlformats.org/officeDocument/2006/relationships/hyperlink" Target="https://www.genome.jp/entry/3.2.1.18" TargetMode="External"/><Relationship Id="rId1917" Type="http://schemas.openxmlformats.org/officeDocument/2006/relationships/hyperlink" Target="https://www.genome.jp/entry/3.1.2.14" TargetMode="External"/><Relationship Id="rId193" Type="http://schemas.openxmlformats.org/officeDocument/2006/relationships/hyperlink" Target="https://www.genome.jp/entry/2.3.1.41" TargetMode="External"/><Relationship Id="rId498" Type="http://schemas.openxmlformats.org/officeDocument/2006/relationships/hyperlink" Target="https://www.genome.jp/entry/R13081" TargetMode="External"/><Relationship Id="rId2081" Type="http://schemas.openxmlformats.org/officeDocument/2006/relationships/hyperlink" Target="https://www.genome.jp/entry/1.1.1.85" TargetMode="External"/><Relationship Id="rId2179" Type="http://schemas.openxmlformats.org/officeDocument/2006/relationships/hyperlink" Target="https://www.genome.jp/entry/2.7.7.27" TargetMode="External"/><Relationship Id="rId260" Type="http://schemas.openxmlformats.org/officeDocument/2006/relationships/hyperlink" Target="https://www.genome.jp/entry/6.1.1.11" TargetMode="External"/><Relationship Id="rId2386" Type="http://schemas.openxmlformats.org/officeDocument/2006/relationships/hyperlink" Target="https://www.genome.jp/entry/2.7.4.22" TargetMode="External"/><Relationship Id="rId2593" Type="http://schemas.openxmlformats.org/officeDocument/2006/relationships/hyperlink" Target="https://www.genome.jp/entry/R01863" TargetMode="External"/><Relationship Id="rId120" Type="http://schemas.openxmlformats.org/officeDocument/2006/relationships/hyperlink" Target="https://www.genome.jp/entry/R03050" TargetMode="External"/><Relationship Id="rId358" Type="http://schemas.openxmlformats.org/officeDocument/2006/relationships/hyperlink" Target="https://www.genome.jp/entry/R04241" TargetMode="External"/><Relationship Id="rId565" Type="http://schemas.openxmlformats.org/officeDocument/2006/relationships/hyperlink" Target="https://www.genome.jp/entry/3.5.1.16" TargetMode="External"/><Relationship Id="rId772" Type="http://schemas.openxmlformats.org/officeDocument/2006/relationships/hyperlink" Target="https://www.genome.jp/entry/R00896" TargetMode="External"/><Relationship Id="rId1195" Type="http://schemas.openxmlformats.org/officeDocument/2006/relationships/hyperlink" Target="https://www.genome.jp/entry/R02585" TargetMode="External"/><Relationship Id="rId2039" Type="http://schemas.openxmlformats.org/officeDocument/2006/relationships/hyperlink" Target="https://www.genome.jp/entry/R10948" TargetMode="External"/><Relationship Id="rId2246" Type="http://schemas.openxmlformats.org/officeDocument/2006/relationships/hyperlink" Target="https://www.genome.jp/entry/2.7.3.9" TargetMode="External"/><Relationship Id="rId2453" Type="http://schemas.openxmlformats.org/officeDocument/2006/relationships/hyperlink" Target="https://www.genome.jp/entry/2.7.1.40" TargetMode="External"/><Relationship Id="rId2660" Type="http://schemas.openxmlformats.org/officeDocument/2006/relationships/hyperlink" Target="https://www.genome.jp/entry/R02229" TargetMode="External"/><Relationship Id="rId218" Type="http://schemas.openxmlformats.org/officeDocument/2006/relationships/hyperlink" Target="https://www.genome.jp/entry/R03045" TargetMode="External"/><Relationship Id="rId425" Type="http://schemas.openxmlformats.org/officeDocument/2006/relationships/hyperlink" Target="https://www.genome.jp/entry/R00377" TargetMode="External"/><Relationship Id="rId632" Type="http://schemas.openxmlformats.org/officeDocument/2006/relationships/hyperlink" Target="https://www.genome.jp/entry/R02984" TargetMode="External"/><Relationship Id="rId1055" Type="http://schemas.openxmlformats.org/officeDocument/2006/relationships/hyperlink" Target="https://www.genome.jp/entry/5.3.1.9" TargetMode="External"/><Relationship Id="rId1262" Type="http://schemas.openxmlformats.org/officeDocument/2006/relationships/hyperlink" Target="https://www.genome.jp/entry/R00441" TargetMode="External"/><Relationship Id="rId2106" Type="http://schemas.openxmlformats.org/officeDocument/2006/relationships/hyperlink" Target="https://www.genome.jp/entry/6.3.4.3" TargetMode="External"/><Relationship Id="rId2313" Type="http://schemas.openxmlformats.org/officeDocument/2006/relationships/hyperlink" Target="https://www.genome.jp/entry/2.7.1.21" TargetMode="External"/><Relationship Id="rId2520" Type="http://schemas.openxmlformats.org/officeDocument/2006/relationships/hyperlink" Target="https://www.genome.jp/entry/R03236" TargetMode="External"/><Relationship Id="rId937" Type="http://schemas.openxmlformats.org/officeDocument/2006/relationships/hyperlink" Target="https://www.genome.jp/entry/4.1.2.17" TargetMode="External"/><Relationship Id="rId1122" Type="http://schemas.openxmlformats.org/officeDocument/2006/relationships/hyperlink" Target="https://www.genome.jp/entry/1.1.1.1" TargetMode="External"/><Relationship Id="rId1567" Type="http://schemas.openxmlformats.org/officeDocument/2006/relationships/hyperlink" Target="https://www.genome.jp/entry/3.2.1.26" TargetMode="External"/><Relationship Id="rId1774" Type="http://schemas.openxmlformats.org/officeDocument/2006/relationships/hyperlink" Target="https://www.genome.jp/entry/R02060" TargetMode="External"/><Relationship Id="rId1981" Type="http://schemas.openxmlformats.org/officeDocument/2006/relationships/hyperlink" Target="https://www.genome.jp/entry/R06068" TargetMode="External"/><Relationship Id="rId2618" Type="http://schemas.openxmlformats.org/officeDocument/2006/relationships/hyperlink" Target="https://www.genome.jp/entry/2.4.2.1" TargetMode="External"/><Relationship Id="rId66" Type="http://schemas.openxmlformats.org/officeDocument/2006/relationships/hyperlink" Target="https://www.genome.jp/entry/R00375" TargetMode="External"/><Relationship Id="rId1427" Type="http://schemas.openxmlformats.org/officeDocument/2006/relationships/hyperlink" Target="https://www.genome.jp/entry/2.1.1.72" TargetMode="External"/><Relationship Id="rId1634" Type="http://schemas.openxmlformats.org/officeDocument/2006/relationships/hyperlink" Target="https://www.genome.jp/entry/3.2.1.18" TargetMode="External"/><Relationship Id="rId1841" Type="http://schemas.openxmlformats.org/officeDocument/2006/relationships/hyperlink" Target="https://www.genome.jp/entry/3.6.3.14" TargetMode="External"/><Relationship Id="rId1939" Type="http://schemas.openxmlformats.org/officeDocument/2006/relationships/hyperlink" Target="https://www.genome.jp/entry/R02948" TargetMode="External"/><Relationship Id="rId1701" Type="http://schemas.openxmlformats.org/officeDocument/2006/relationships/hyperlink" Target="https://www.genome.jp/entry/R00158" TargetMode="External"/><Relationship Id="rId282" Type="http://schemas.openxmlformats.org/officeDocument/2006/relationships/hyperlink" Target="https://www.genome.jp/entry/R04112" TargetMode="External"/><Relationship Id="rId587" Type="http://schemas.openxmlformats.org/officeDocument/2006/relationships/hyperlink" Target="https://www.genome.jp/entry/4.3.1.17" TargetMode="External"/><Relationship Id="rId2170" Type="http://schemas.openxmlformats.org/officeDocument/2006/relationships/hyperlink" Target="https://www.genome.jp/entry/3.2.1.41" TargetMode="External"/><Relationship Id="rId2268" Type="http://schemas.openxmlformats.org/officeDocument/2006/relationships/hyperlink" Target="https://www.genome.jp/entry/1.17.4.1" TargetMode="External"/><Relationship Id="rId8" Type="http://schemas.openxmlformats.org/officeDocument/2006/relationships/hyperlink" Target="https://www.genome.jp/entry/R00253" TargetMode="External"/><Relationship Id="rId142" Type="http://schemas.openxmlformats.org/officeDocument/2006/relationships/hyperlink" Target="https://www.genome.jp/entry/R02768" TargetMode="External"/><Relationship Id="rId447" Type="http://schemas.openxmlformats.org/officeDocument/2006/relationships/hyperlink" Target="https://www.genome.jp/entry/1.14.13.107" TargetMode="External"/><Relationship Id="rId794" Type="http://schemas.openxmlformats.org/officeDocument/2006/relationships/hyperlink" Target="https://www.genome.jp/entry/R04559" TargetMode="External"/><Relationship Id="rId1077" Type="http://schemas.openxmlformats.org/officeDocument/2006/relationships/hyperlink" Target="https://www.genome.jp/entry/3.5.4.5" TargetMode="External"/><Relationship Id="rId2030" Type="http://schemas.openxmlformats.org/officeDocument/2006/relationships/hyperlink" Target="https://www.genome.jp/entry/2.1.3.2" TargetMode="External"/><Relationship Id="rId2128" Type="http://schemas.openxmlformats.org/officeDocument/2006/relationships/hyperlink" Target="https://www.genome.jp/entry/4.2.1.70" TargetMode="External"/><Relationship Id="rId2475" Type="http://schemas.openxmlformats.org/officeDocument/2006/relationships/hyperlink" Target="https://www.genome.jp/entry/2.7.7.7" TargetMode="External"/><Relationship Id="rId2682" Type="http://schemas.openxmlformats.org/officeDocument/2006/relationships/hyperlink" Target="https://www.genome.jp/entry/R02020" TargetMode="External"/><Relationship Id="rId654" Type="http://schemas.openxmlformats.org/officeDocument/2006/relationships/hyperlink" Target="https://www.genome.jp/entry/2.4.2.1" TargetMode="External"/><Relationship Id="rId861" Type="http://schemas.openxmlformats.org/officeDocument/2006/relationships/hyperlink" Target="https://www.genome.jp/entry/1.1.3.21" TargetMode="External"/><Relationship Id="rId959" Type="http://schemas.openxmlformats.org/officeDocument/2006/relationships/hyperlink" Target="https://www.genome.jp/entry/1.1.1.1" TargetMode="External"/><Relationship Id="rId1284" Type="http://schemas.openxmlformats.org/officeDocument/2006/relationships/hyperlink" Target="https://www.genome.jp/entry/R00124" TargetMode="External"/><Relationship Id="rId1491" Type="http://schemas.openxmlformats.org/officeDocument/2006/relationships/hyperlink" Target="https://www.genome.jp/entry/R02410" TargetMode="External"/><Relationship Id="rId1589" Type="http://schemas.openxmlformats.org/officeDocument/2006/relationships/hyperlink" Target="https://www.genome.jp/entry/1.5.1.39" TargetMode="External"/><Relationship Id="rId2335" Type="http://schemas.openxmlformats.org/officeDocument/2006/relationships/hyperlink" Target="https://www.genome.jp/entry/2.7.7.7" TargetMode="External"/><Relationship Id="rId2542" Type="http://schemas.openxmlformats.org/officeDocument/2006/relationships/hyperlink" Target="https://www.genome.jp/entry/2.7.7.7" TargetMode="External"/><Relationship Id="rId307" Type="http://schemas.openxmlformats.org/officeDocument/2006/relationships/hyperlink" Target="https://www.genome.jp/entry/2.7.10.2" TargetMode="External"/><Relationship Id="rId514" Type="http://schemas.openxmlformats.org/officeDocument/2006/relationships/hyperlink" Target="https://www.genome.jp/entry/4.1.1.83" TargetMode="External"/><Relationship Id="rId721" Type="http://schemas.openxmlformats.org/officeDocument/2006/relationships/hyperlink" Target="https://www.genome.jp/entry/3.2.1.52" TargetMode="External"/><Relationship Id="rId1144" Type="http://schemas.openxmlformats.org/officeDocument/2006/relationships/hyperlink" Target="https://www.genome.jp/entry/1.1.1.1" TargetMode="External"/><Relationship Id="rId1351" Type="http://schemas.openxmlformats.org/officeDocument/2006/relationships/hyperlink" Target="https://www.genome.jp/entry/3.2.1.22" TargetMode="External"/><Relationship Id="rId1449" Type="http://schemas.openxmlformats.org/officeDocument/2006/relationships/hyperlink" Target="https://www.genome.jp/entry/2.4.2.18" TargetMode="External"/><Relationship Id="rId1796" Type="http://schemas.openxmlformats.org/officeDocument/2006/relationships/hyperlink" Target="https://www.genome.jp/entry/2.6.1.1" TargetMode="External"/><Relationship Id="rId2402" Type="http://schemas.openxmlformats.org/officeDocument/2006/relationships/hyperlink" Target="https://www.genome.jp/entry/R00378" TargetMode="External"/><Relationship Id="rId88" Type="http://schemas.openxmlformats.org/officeDocument/2006/relationships/hyperlink" Target="https://www.genome.jp/entry/R04439" TargetMode="External"/><Relationship Id="rId819" Type="http://schemas.openxmlformats.org/officeDocument/2006/relationships/hyperlink" Target="https://www.genome.jp/entry/6.3.4.19" TargetMode="External"/><Relationship Id="rId1004" Type="http://schemas.openxmlformats.org/officeDocument/2006/relationships/hyperlink" Target="https://www.genome.jp/entry/R06176" TargetMode="External"/><Relationship Id="rId1211" Type="http://schemas.openxmlformats.org/officeDocument/2006/relationships/hyperlink" Target="https://www.genome.jp/entry/3.5.1.1" TargetMode="External"/><Relationship Id="rId1656" Type="http://schemas.openxmlformats.org/officeDocument/2006/relationships/hyperlink" Target="https://www.genome.jp/entry/5.1.3.9" TargetMode="External"/><Relationship Id="rId1863" Type="http://schemas.openxmlformats.org/officeDocument/2006/relationships/hyperlink" Target="https://www.genome.jp/entry/R05823" TargetMode="External"/><Relationship Id="rId1309" Type="http://schemas.openxmlformats.org/officeDocument/2006/relationships/hyperlink" Target="https://www.genome.jp/entry/2.7.4.6" TargetMode="External"/><Relationship Id="rId1516" Type="http://schemas.openxmlformats.org/officeDocument/2006/relationships/hyperlink" Target="https://www.genome.jp/entry/R03596" TargetMode="External"/><Relationship Id="rId1723" Type="http://schemas.openxmlformats.org/officeDocument/2006/relationships/hyperlink" Target="https://www.genome.jp/entry/1.16.1.1" TargetMode="External"/><Relationship Id="rId1930" Type="http://schemas.openxmlformats.org/officeDocument/2006/relationships/hyperlink" Target="https://www.genome.jp/entry/R01185" TargetMode="External"/><Relationship Id="rId15" Type="http://schemas.openxmlformats.org/officeDocument/2006/relationships/hyperlink" Target="https://www.genome.jp/entry/3.2.1.52" TargetMode="External"/><Relationship Id="rId2192" Type="http://schemas.openxmlformats.org/officeDocument/2006/relationships/hyperlink" Target="https://www.genome.jp/entry/R00658" TargetMode="External"/><Relationship Id="rId164" Type="http://schemas.openxmlformats.org/officeDocument/2006/relationships/hyperlink" Target="https://www.genome.jp/entry/R02767" TargetMode="External"/><Relationship Id="rId371" Type="http://schemas.openxmlformats.org/officeDocument/2006/relationships/hyperlink" Target="https://www.genome.jp/entry/2.5.1.15" TargetMode="External"/><Relationship Id="rId2052" Type="http://schemas.openxmlformats.org/officeDocument/2006/relationships/hyperlink" Target="https://www.genome.jp/entry/6.3.5.5" TargetMode="External"/><Relationship Id="rId2497" Type="http://schemas.openxmlformats.org/officeDocument/2006/relationships/hyperlink" Target="https://www.genome.jp/entry/2.7.1.11" TargetMode="External"/><Relationship Id="rId469" Type="http://schemas.openxmlformats.org/officeDocument/2006/relationships/hyperlink" Target="https://www.genome.jp/entry/3.2.1.21" TargetMode="External"/><Relationship Id="rId676" Type="http://schemas.openxmlformats.org/officeDocument/2006/relationships/hyperlink" Target="https://www.genome.jp/entry/R01100" TargetMode="External"/><Relationship Id="rId883" Type="http://schemas.openxmlformats.org/officeDocument/2006/relationships/hyperlink" Target="https://www.genome.jp/entry/6.1.1.13" TargetMode="External"/><Relationship Id="rId1099" Type="http://schemas.openxmlformats.org/officeDocument/2006/relationships/hyperlink" Target="https://www.genome.jp/entry/3.1.3.5" TargetMode="External"/><Relationship Id="rId2357" Type="http://schemas.openxmlformats.org/officeDocument/2006/relationships/hyperlink" Target="https://www.genome.jp/entry/5.2.1.8" TargetMode="External"/><Relationship Id="rId2564" Type="http://schemas.openxmlformats.org/officeDocument/2006/relationships/hyperlink" Target="https://www.genome.jp/entry/3.5.4.5" TargetMode="External"/><Relationship Id="rId231" Type="http://schemas.openxmlformats.org/officeDocument/2006/relationships/hyperlink" Target="https://www.genome.jp/entry/R04746" TargetMode="External"/><Relationship Id="rId329" Type="http://schemas.openxmlformats.org/officeDocument/2006/relationships/hyperlink" Target="https://www.genome.jp/entry/4.2.2.1" TargetMode="External"/><Relationship Id="rId536" Type="http://schemas.openxmlformats.org/officeDocument/2006/relationships/hyperlink" Target="https://www.genome.jp/entry/1.97.1.4" TargetMode="External"/><Relationship Id="rId1166" Type="http://schemas.openxmlformats.org/officeDocument/2006/relationships/hyperlink" Target="https://www.genome.jp/entry/1.1.1.2" TargetMode="External"/><Relationship Id="rId1373" Type="http://schemas.openxmlformats.org/officeDocument/2006/relationships/hyperlink" Target="https://www.genome.jp/entry/3.2.1.22" TargetMode="External"/><Relationship Id="rId2217" Type="http://schemas.openxmlformats.org/officeDocument/2006/relationships/hyperlink" Target="https://www.genome.jp/entry/1.2.4.4" TargetMode="External"/><Relationship Id="rId743" Type="http://schemas.openxmlformats.org/officeDocument/2006/relationships/hyperlink" Target="https://www.genome.jp/entry/6.3.4.18" TargetMode="External"/><Relationship Id="rId950" Type="http://schemas.openxmlformats.org/officeDocument/2006/relationships/hyperlink" Target="https://www.genome.jp/entry/R02878" TargetMode="External"/><Relationship Id="rId1026" Type="http://schemas.openxmlformats.org/officeDocument/2006/relationships/hyperlink" Target="https://www.genome.jp/entry/R03655" TargetMode="External"/><Relationship Id="rId1580" Type="http://schemas.openxmlformats.org/officeDocument/2006/relationships/hyperlink" Target="https://www.genome.jp/entry/R06101" TargetMode="External"/><Relationship Id="rId1678" Type="http://schemas.openxmlformats.org/officeDocument/2006/relationships/hyperlink" Target="https://www.genome.jp/entry/6.1.1.3" TargetMode="External"/><Relationship Id="rId1885" Type="http://schemas.openxmlformats.org/officeDocument/2006/relationships/hyperlink" Target="https://www.genome.jp/entry/3.5.1.88" TargetMode="External"/><Relationship Id="rId2424" Type="http://schemas.openxmlformats.org/officeDocument/2006/relationships/hyperlink" Target="https://www.genome.jp/entry/3.4.23.36" TargetMode="External"/><Relationship Id="rId2631" Type="http://schemas.openxmlformats.org/officeDocument/2006/relationships/hyperlink" Target="https://www.genome.jp/entry/R02295" TargetMode="External"/><Relationship Id="rId603" Type="http://schemas.openxmlformats.org/officeDocument/2006/relationships/hyperlink" Target="https://www.genome.jp/entry/3.1.3.5" TargetMode="External"/><Relationship Id="rId810" Type="http://schemas.openxmlformats.org/officeDocument/2006/relationships/hyperlink" Target="https://www.genome.jp/entry/R01229" TargetMode="External"/><Relationship Id="rId908" Type="http://schemas.openxmlformats.org/officeDocument/2006/relationships/hyperlink" Target="https://www.genome.jp/entry/R01329" TargetMode="External"/><Relationship Id="rId1233" Type="http://schemas.openxmlformats.org/officeDocument/2006/relationships/hyperlink" Target="https://www.genome.jp/entry/2.1.1.182" TargetMode="External"/><Relationship Id="rId1440" Type="http://schemas.openxmlformats.org/officeDocument/2006/relationships/hyperlink" Target="https://www.genome.jp/entry/3.6.3.19" TargetMode="External"/><Relationship Id="rId1538" Type="http://schemas.openxmlformats.org/officeDocument/2006/relationships/hyperlink" Target="https://www.genome.jp/entry/2.7.7.6" TargetMode="External"/><Relationship Id="rId1300" Type="http://schemas.openxmlformats.org/officeDocument/2006/relationships/hyperlink" Target="https://www.genome.jp/entry/R02093" TargetMode="External"/><Relationship Id="rId1745" Type="http://schemas.openxmlformats.org/officeDocument/2006/relationships/hyperlink" Target="https://www.genome.jp/entry/1.5.1.3" TargetMode="External"/><Relationship Id="rId1952" Type="http://schemas.openxmlformats.org/officeDocument/2006/relationships/hyperlink" Target="https://www.genome.jp/entry/R06209" TargetMode="External"/><Relationship Id="rId37" Type="http://schemas.openxmlformats.org/officeDocument/2006/relationships/hyperlink" Target="https://www.genome.jp/entry/3.2.1.52" TargetMode="External"/><Relationship Id="rId1605" Type="http://schemas.openxmlformats.org/officeDocument/2006/relationships/hyperlink" Target="https://www.genome.jp/entry/R03491" TargetMode="External"/><Relationship Id="rId1812" Type="http://schemas.openxmlformats.org/officeDocument/2006/relationships/hyperlink" Target="https://www.genome.jp/entry/6.1.1.22" TargetMode="External"/><Relationship Id="rId186" Type="http://schemas.openxmlformats.org/officeDocument/2006/relationships/hyperlink" Target="https://www.genome.jp/entry/R01626" TargetMode="External"/><Relationship Id="rId393" Type="http://schemas.openxmlformats.org/officeDocument/2006/relationships/hyperlink" Target="https://www.genome.jp/entry/1.1.1.1" TargetMode="External"/><Relationship Id="rId2074" Type="http://schemas.openxmlformats.org/officeDocument/2006/relationships/hyperlink" Target="https://www.genome.jp/entry/R00994" TargetMode="External"/><Relationship Id="rId2281" Type="http://schemas.openxmlformats.org/officeDocument/2006/relationships/hyperlink" Target="https://www.genome.jp/entry/R03255" TargetMode="External"/><Relationship Id="rId253" Type="http://schemas.openxmlformats.org/officeDocument/2006/relationships/hyperlink" Target="https://www.genome.jp/entry/R06942" TargetMode="External"/><Relationship Id="rId460" Type="http://schemas.openxmlformats.org/officeDocument/2006/relationships/hyperlink" Target="https://www.genome.jp/entry/R05133" TargetMode="External"/><Relationship Id="rId698" Type="http://schemas.openxmlformats.org/officeDocument/2006/relationships/hyperlink" Target="https://www.genome.jp/entry/R06114" TargetMode="External"/><Relationship Id="rId1090" Type="http://schemas.openxmlformats.org/officeDocument/2006/relationships/hyperlink" Target="https://www.genome.jp/entry/R00963" TargetMode="External"/><Relationship Id="rId2141" Type="http://schemas.openxmlformats.org/officeDocument/2006/relationships/hyperlink" Target="https://www.genome.jp/entry/3.1.11.6" TargetMode="External"/><Relationship Id="rId2379" Type="http://schemas.openxmlformats.org/officeDocument/2006/relationships/hyperlink" Target="https://www.genome.jp/entry/1.4.1.1" TargetMode="External"/><Relationship Id="rId2586" Type="http://schemas.openxmlformats.org/officeDocument/2006/relationships/hyperlink" Target="https://www.genome.jp/entry/2.7.1.33" TargetMode="External"/><Relationship Id="rId113" Type="http://schemas.openxmlformats.org/officeDocument/2006/relationships/hyperlink" Target="https://www.genome.jp/entry/2.2.1.6" TargetMode="External"/><Relationship Id="rId320" Type="http://schemas.openxmlformats.org/officeDocument/2006/relationships/hyperlink" Target="https://www.genome.jp/entry/2.7.1.69" TargetMode="External"/><Relationship Id="rId558" Type="http://schemas.openxmlformats.org/officeDocument/2006/relationships/hyperlink" Target="https://www.genome.jp/entry/3.4.11.9" TargetMode="External"/><Relationship Id="rId765" Type="http://schemas.openxmlformats.org/officeDocument/2006/relationships/hyperlink" Target="https://www.genome.jp/entry/2.6.1.1" TargetMode="External"/><Relationship Id="rId972" Type="http://schemas.openxmlformats.org/officeDocument/2006/relationships/hyperlink" Target="https://www.genome.jp/entry/R10783" TargetMode="External"/><Relationship Id="rId1188" Type="http://schemas.openxmlformats.org/officeDocument/2006/relationships/hyperlink" Target="https://www.genome.jp/entry/2.2.1.1" TargetMode="External"/><Relationship Id="rId1395" Type="http://schemas.openxmlformats.org/officeDocument/2006/relationships/hyperlink" Target="https://www.genome.jp/entry/3.2.1.93" TargetMode="External"/><Relationship Id="rId2001" Type="http://schemas.openxmlformats.org/officeDocument/2006/relationships/hyperlink" Target="https://www.genome.jp/entry/R09797" TargetMode="External"/><Relationship Id="rId2239" Type="http://schemas.openxmlformats.org/officeDocument/2006/relationships/hyperlink" Target="https://www.genome.jp/entry/1.2.4.1" TargetMode="External"/><Relationship Id="rId2446" Type="http://schemas.openxmlformats.org/officeDocument/2006/relationships/hyperlink" Target="https://www.genome.jp/entry/R00659" TargetMode="External"/><Relationship Id="rId2653" Type="http://schemas.openxmlformats.org/officeDocument/2006/relationships/hyperlink" Target="https://www.genome.jp/entry/3.4.11.2" TargetMode="External"/><Relationship Id="rId418" Type="http://schemas.openxmlformats.org/officeDocument/2006/relationships/hyperlink" Target="https://www.genome.jp/entry/2.7.7.7" TargetMode="External"/><Relationship Id="rId625" Type="http://schemas.openxmlformats.org/officeDocument/2006/relationships/hyperlink" Target="https://www.genome.jp/entry/3.1.3.5" TargetMode="External"/><Relationship Id="rId832" Type="http://schemas.openxmlformats.org/officeDocument/2006/relationships/hyperlink" Target="https://www.genome.jp/entry/R00378" TargetMode="External"/><Relationship Id="rId1048" Type="http://schemas.openxmlformats.org/officeDocument/2006/relationships/hyperlink" Target="https://www.genome.jp/entry/R00844" TargetMode="External"/><Relationship Id="rId1255" Type="http://schemas.openxmlformats.org/officeDocument/2006/relationships/hyperlink" Target="https://www.genome.jp/entry/2.5.1.7" TargetMode="External"/><Relationship Id="rId1462" Type="http://schemas.openxmlformats.org/officeDocument/2006/relationships/hyperlink" Target="https://www.genome.jp/entry/R00674" TargetMode="External"/><Relationship Id="rId2306" Type="http://schemas.openxmlformats.org/officeDocument/2006/relationships/hyperlink" Target="https://www.genome.jp/entry/5.1.3.2" TargetMode="External"/><Relationship Id="rId2513" Type="http://schemas.openxmlformats.org/officeDocument/2006/relationships/hyperlink" Target="https://www.genome.jp/entry/2.7.1.11" TargetMode="External"/><Relationship Id="rId1115" Type="http://schemas.openxmlformats.org/officeDocument/2006/relationships/hyperlink" Target="https://www.genome.jp/entry/R10209" TargetMode="External"/><Relationship Id="rId1322" Type="http://schemas.openxmlformats.org/officeDocument/2006/relationships/hyperlink" Target="https://www.genome.jp/entry/1.1.1.100" TargetMode="External"/><Relationship Id="rId1767" Type="http://schemas.openxmlformats.org/officeDocument/2006/relationships/hyperlink" Target="https://www.genome.jp/entry/1.18.1.2" TargetMode="External"/><Relationship Id="rId1974" Type="http://schemas.openxmlformats.org/officeDocument/2006/relationships/hyperlink" Target="https://www.genome.jp/entry/4.2.1.51" TargetMode="External"/><Relationship Id="rId59" Type="http://schemas.openxmlformats.org/officeDocument/2006/relationships/hyperlink" Target="https://www.genome.jp/entry/2.3.1.54" TargetMode="External"/><Relationship Id="rId1627" Type="http://schemas.openxmlformats.org/officeDocument/2006/relationships/hyperlink" Target="https://www.genome.jp/entry/R06253" TargetMode="External"/><Relationship Id="rId1834" Type="http://schemas.openxmlformats.org/officeDocument/2006/relationships/hyperlink" Target="https://www.genome.jp/entry/2.5.1.48" TargetMode="External"/><Relationship Id="rId2096" Type="http://schemas.openxmlformats.org/officeDocument/2006/relationships/hyperlink" Target="https://www.genome.jp/entry/1.1.1.49" TargetMode="External"/><Relationship Id="rId1901" Type="http://schemas.openxmlformats.org/officeDocument/2006/relationships/hyperlink" Target="https://www.genome.jp/entry/R02961" TargetMode="External"/><Relationship Id="rId275" Type="http://schemas.openxmlformats.org/officeDocument/2006/relationships/hyperlink" Target="https://www.genome.jp/entry/5.3.3.2" TargetMode="External"/><Relationship Id="rId482" Type="http://schemas.openxmlformats.org/officeDocument/2006/relationships/hyperlink" Target="https://www.genome.jp/entry/R06092" TargetMode="External"/><Relationship Id="rId2163" Type="http://schemas.openxmlformats.org/officeDocument/2006/relationships/hyperlink" Target="https://www.genome.jp/entry/R00230" TargetMode="External"/><Relationship Id="rId2370" Type="http://schemas.openxmlformats.org/officeDocument/2006/relationships/hyperlink" Target="https://www.genome.jp/entry/4.4.1.5" TargetMode="External"/><Relationship Id="rId135" Type="http://schemas.openxmlformats.org/officeDocument/2006/relationships/hyperlink" Target="https://www.genome.jp/entry/6.4.1.2" TargetMode="External"/><Relationship Id="rId342" Type="http://schemas.openxmlformats.org/officeDocument/2006/relationships/hyperlink" Target="https://www.genome.jp/entry/R05133" TargetMode="External"/><Relationship Id="rId787" Type="http://schemas.openxmlformats.org/officeDocument/2006/relationships/hyperlink" Target="https://www.genome.jp/entry/2.7.7.7" TargetMode="External"/><Relationship Id="rId994" Type="http://schemas.openxmlformats.org/officeDocument/2006/relationships/hyperlink" Target="https://www.genome.jp/entry/R06138" TargetMode="External"/><Relationship Id="rId2023" Type="http://schemas.openxmlformats.org/officeDocument/2006/relationships/hyperlink" Target="https://www.genome.jp/entry/1.4.1.4" TargetMode="External"/><Relationship Id="rId2230" Type="http://schemas.openxmlformats.org/officeDocument/2006/relationships/hyperlink" Target="https://www.genome.jp/entry/R07604" TargetMode="External"/><Relationship Id="rId2468" Type="http://schemas.openxmlformats.org/officeDocument/2006/relationships/hyperlink" Target="https://www.genome.jp/entry/R03236" TargetMode="External"/><Relationship Id="rId2675" Type="http://schemas.openxmlformats.org/officeDocument/2006/relationships/hyperlink" Target="https://www.genome.jp/entry/6.1.1.11" TargetMode="External"/><Relationship Id="rId202" Type="http://schemas.openxmlformats.org/officeDocument/2006/relationships/hyperlink" Target="https://www.genome.jp/entry/R04960" TargetMode="External"/><Relationship Id="rId647" Type="http://schemas.openxmlformats.org/officeDocument/2006/relationships/hyperlink" Target="https://www.genome.jp/entry/R01969" TargetMode="External"/><Relationship Id="rId854" Type="http://schemas.openxmlformats.org/officeDocument/2006/relationships/hyperlink" Target="https://www.genome.jp/entry/3.5.1.28" TargetMode="External"/><Relationship Id="rId1277" Type="http://schemas.openxmlformats.org/officeDocument/2006/relationships/hyperlink" Target="https://www.genome.jp/entry/2.7.7.6" TargetMode="External"/><Relationship Id="rId1484" Type="http://schemas.openxmlformats.org/officeDocument/2006/relationships/hyperlink" Target="https://www.genome.jp/entry/2.7.11.1" TargetMode="External"/><Relationship Id="rId1691" Type="http://schemas.openxmlformats.org/officeDocument/2006/relationships/hyperlink" Target="https://www.genome.jp/entry/R05862" TargetMode="External"/><Relationship Id="rId2328" Type="http://schemas.openxmlformats.org/officeDocument/2006/relationships/hyperlink" Target="https://www.genome.jp/entry/R03914" TargetMode="External"/><Relationship Id="rId2535" Type="http://schemas.openxmlformats.org/officeDocument/2006/relationships/hyperlink" Target="https://www.genome.jp/entry/R11529" TargetMode="External"/><Relationship Id="rId507" Type="http://schemas.openxmlformats.org/officeDocument/2006/relationships/hyperlink" Target="https://www.genome.jp/entry/R03657" TargetMode="External"/><Relationship Id="rId714" Type="http://schemas.openxmlformats.org/officeDocument/2006/relationships/hyperlink" Target="https://www.genome.jp/entry/R05963" TargetMode="External"/><Relationship Id="rId921" Type="http://schemas.openxmlformats.org/officeDocument/2006/relationships/hyperlink" Target="https://www.genome.jp/entry/3.2.1.22" TargetMode="External"/><Relationship Id="rId1137" Type="http://schemas.openxmlformats.org/officeDocument/2006/relationships/hyperlink" Target="https://www.genome.jp/entry/R06927" TargetMode="External"/><Relationship Id="rId1344" Type="http://schemas.openxmlformats.org/officeDocument/2006/relationships/hyperlink" Target="https://www.genome.jp/entry/2.1.1.189" TargetMode="External"/><Relationship Id="rId1551" Type="http://schemas.openxmlformats.org/officeDocument/2006/relationships/hyperlink" Target="https://www.genome.jp/entry/R03940" TargetMode="External"/><Relationship Id="rId1789" Type="http://schemas.openxmlformats.org/officeDocument/2006/relationships/hyperlink" Target="https://www.genome.jp/entry/3.6.3.8" TargetMode="External"/><Relationship Id="rId1996" Type="http://schemas.openxmlformats.org/officeDocument/2006/relationships/hyperlink" Target="https://www.genome.jp/entry/5.1.3.9" TargetMode="External"/><Relationship Id="rId2602" Type="http://schemas.openxmlformats.org/officeDocument/2006/relationships/hyperlink" Target="https://www.genome.jp/entry/2.4.2.1" TargetMode="External"/><Relationship Id="rId50" Type="http://schemas.openxmlformats.org/officeDocument/2006/relationships/hyperlink" Target="https://www.genome.jp/entry/R05627" TargetMode="External"/><Relationship Id="rId1204" Type="http://schemas.openxmlformats.org/officeDocument/2006/relationships/hyperlink" Target="https://www.genome.jp/entry/R05134" TargetMode="External"/><Relationship Id="rId1411" Type="http://schemas.openxmlformats.org/officeDocument/2006/relationships/hyperlink" Target="https://www.genome.jp/entry/1.1.1.90" TargetMode="External"/><Relationship Id="rId1649" Type="http://schemas.openxmlformats.org/officeDocument/2006/relationships/hyperlink" Target="https://www.genome.jp/entry/R06147" TargetMode="External"/><Relationship Id="rId1856" Type="http://schemas.openxmlformats.org/officeDocument/2006/relationships/hyperlink" Target="https://www.genome.jp/entry/R03319" TargetMode="External"/><Relationship Id="rId1509" Type="http://schemas.openxmlformats.org/officeDocument/2006/relationships/hyperlink" Target="https://www.genome.jp/entry/1.7.1.13" TargetMode="External"/><Relationship Id="rId1716" Type="http://schemas.openxmlformats.org/officeDocument/2006/relationships/hyperlink" Target="https://www.genome.jp/entry/2.7.1.35" TargetMode="External"/><Relationship Id="rId1923" Type="http://schemas.openxmlformats.org/officeDocument/2006/relationships/hyperlink" Target="https://www.genome.jp/entry/3.1.2.14" TargetMode="External"/><Relationship Id="rId297" Type="http://schemas.openxmlformats.org/officeDocument/2006/relationships/hyperlink" Target="https://www.genome.jp/entry/R06513" TargetMode="External"/><Relationship Id="rId2185" Type="http://schemas.openxmlformats.org/officeDocument/2006/relationships/hyperlink" Target="https://www.genome.jp/entry/3.1.3.3" TargetMode="External"/><Relationship Id="rId2392" Type="http://schemas.openxmlformats.org/officeDocument/2006/relationships/hyperlink" Target="https://www.genome.jp/entry/2.1.1.198" TargetMode="External"/><Relationship Id="rId157" Type="http://schemas.openxmlformats.org/officeDocument/2006/relationships/hyperlink" Target="https://www.genome.jp/entry/2.3.1.179" TargetMode="External"/><Relationship Id="rId364" Type="http://schemas.openxmlformats.org/officeDocument/2006/relationships/hyperlink" Target="https://www.genome.jp/entry/R02237" TargetMode="External"/><Relationship Id="rId2045" Type="http://schemas.openxmlformats.org/officeDocument/2006/relationships/hyperlink" Target="https://www.genome.jp/entry/R00256" TargetMode="External"/><Relationship Id="rId571" Type="http://schemas.openxmlformats.org/officeDocument/2006/relationships/hyperlink" Target="https://www.genome.jp/entry/3.4.24.57" TargetMode="External"/><Relationship Id="rId669" Type="http://schemas.openxmlformats.org/officeDocument/2006/relationships/hyperlink" Target="https://www.genome.jp/entry/R07795" TargetMode="External"/><Relationship Id="rId876" Type="http://schemas.openxmlformats.org/officeDocument/2006/relationships/hyperlink" Target="https://www.genome.jp/entry/R12875" TargetMode="External"/><Relationship Id="rId1299" Type="http://schemas.openxmlformats.org/officeDocument/2006/relationships/hyperlink" Target="https://www.genome.jp/entry/2.7.4.6" TargetMode="External"/><Relationship Id="rId2252" Type="http://schemas.openxmlformats.org/officeDocument/2006/relationships/hyperlink" Target="https://www.genome.jp/entry/1.17.4.1" TargetMode="External"/><Relationship Id="rId2557" Type="http://schemas.openxmlformats.org/officeDocument/2006/relationships/hyperlink" Target="https://www.genome.jp/entry/2.6.1.42" TargetMode="External"/><Relationship Id="rId224" Type="http://schemas.openxmlformats.org/officeDocument/2006/relationships/hyperlink" Target="https://www.genome.jp/entry/4.2.1.17" TargetMode="External"/><Relationship Id="rId431" Type="http://schemas.openxmlformats.org/officeDocument/2006/relationships/hyperlink" Target="https://www.genome.jp/entry/R00379" TargetMode="External"/><Relationship Id="rId529" Type="http://schemas.openxmlformats.org/officeDocument/2006/relationships/hyperlink" Target="https://www.genome.jp/entry/R10813" TargetMode="External"/><Relationship Id="rId736" Type="http://schemas.openxmlformats.org/officeDocument/2006/relationships/hyperlink" Target="https://www.genome.jp/entry/R01083" TargetMode="External"/><Relationship Id="rId1061" Type="http://schemas.openxmlformats.org/officeDocument/2006/relationships/hyperlink" Target="https://www.genome.jp/entry/5.3.1.9" TargetMode="External"/><Relationship Id="rId1159" Type="http://schemas.openxmlformats.org/officeDocument/2006/relationships/hyperlink" Target="https://www.genome.jp/entry/R00625" TargetMode="External"/><Relationship Id="rId1366" Type="http://schemas.openxmlformats.org/officeDocument/2006/relationships/hyperlink" Target="https://www.genome.jp/entry/R03634" TargetMode="External"/><Relationship Id="rId2112" Type="http://schemas.openxmlformats.org/officeDocument/2006/relationships/hyperlink" Target="https://www.genome.jp/entry/R01000" TargetMode="External"/><Relationship Id="rId2417" Type="http://schemas.openxmlformats.org/officeDocument/2006/relationships/hyperlink" Target="https://www.genome.jp/entry/1.2.1.41" TargetMode="External"/><Relationship Id="rId943" Type="http://schemas.openxmlformats.org/officeDocument/2006/relationships/hyperlink" Target="https://www.genome.jp/entry/1.1.1.1" TargetMode="External"/><Relationship Id="rId1019" Type="http://schemas.openxmlformats.org/officeDocument/2006/relationships/hyperlink" Target="https://www.genome.jp/entry/4.2.1.9" TargetMode="External"/><Relationship Id="rId1573" Type="http://schemas.openxmlformats.org/officeDocument/2006/relationships/hyperlink" Target="https://www.genome.jp/entry/3.2.1.26" TargetMode="External"/><Relationship Id="rId1780" Type="http://schemas.openxmlformats.org/officeDocument/2006/relationships/hyperlink" Target="https://www.genome.jp/entry/R09382" TargetMode="External"/><Relationship Id="rId1878" Type="http://schemas.openxmlformats.org/officeDocument/2006/relationships/hyperlink" Target="https://www.genome.jp/entry/R02016" TargetMode="External"/><Relationship Id="rId2624" Type="http://schemas.openxmlformats.org/officeDocument/2006/relationships/hyperlink" Target="https://www.genome.jp/entry/2.4.2.1" TargetMode="External"/><Relationship Id="rId72" Type="http://schemas.openxmlformats.org/officeDocument/2006/relationships/hyperlink" Target="https://www.genome.jp/entry/R00378" TargetMode="External"/><Relationship Id="rId803" Type="http://schemas.openxmlformats.org/officeDocument/2006/relationships/hyperlink" Target="https://www.genome.jp/entry/3.5.1.28" TargetMode="External"/><Relationship Id="rId1226" Type="http://schemas.openxmlformats.org/officeDocument/2006/relationships/hyperlink" Target="https://www.genome.jp/entry/R02433" TargetMode="External"/><Relationship Id="rId1433" Type="http://schemas.openxmlformats.org/officeDocument/2006/relationships/hyperlink" Target="https://www.genome.jp/entry/R02142" TargetMode="External"/><Relationship Id="rId1640" Type="http://schemas.openxmlformats.org/officeDocument/2006/relationships/hyperlink" Target="https://www.genome.jp/entry/3.2.1.18" TargetMode="External"/><Relationship Id="rId1738" Type="http://schemas.openxmlformats.org/officeDocument/2006/relationships/hyperlink" Target="https://www.genome.jp/entry/R04378" TargetMode="External"/><Relationship Id="rId1500" Type="http://schemas.openxmlformats.org/officeDocument/2006/relationships/hyperlink" Target="https://www.genome.jp/entry/3.2.1.26" TargetMode="External"/><Relationship Id="rId1945" Type="http://schemas.openxmlformats.org/officeDocument/2006/relationships/hyperlink" Target="https://www.genome.jp/entry/6.1.1.7" TargetMode="External"/><Relationship Id="rId1805" Type="http://schemas.openxmlformats.org/officeDocument/2006/relationships/hyperlink" Target="https://www.genome.jp/entry/R02433" TargetMode="External"/><Relationship Id="rId179" Type="http://schemas.openxmlformats.org/officeDocument/2006/relationships/hyperlink" Target="https://www.genome.jp/entry/1.1.1.100" TargetMode="External"/><Relationship Id="rId386" Type="http://schemas.openxmlformats.org/officeDocument/2006/relationships/hyperlink" Target="https://www.genome.jp/entry/R04880" TargetMode="External"/><Relationship Id="rId593" Type="http://schemas.openxmlformats.org/officeDocument/2006/relationships/hyperlink" Target="https://www.genome.jp/entry/4.3.1.17" TargetMode="External"/><Relationship Id="rId2067" Type="http://schemas.openxmlformats.org/officeDocument/2006/relationships/hyperlink" Target="https://www.genome.jp/entry/1.1.1.85" TargetMode="External"/><Relationship Id="rId2274" Type="http://schemas.openxmlformats.org/officeDocument/2006/relationships/hyperlink" Target="https://www.genome.jp/entry/1.17.4.1" TargetMode="External"/><Relationship Id="rId2481" Type="http://schemas.openxmlformats.org/officeDocument/2006/relationships/hyperlink" Target="https://www.genome.jp/entry/2.7.7.7" TargetMode="External"/><Relationship Id="rId246" Type="http://schemas.openxmlformats.org/officeDocument/2006/relationships/hyperlink" Target="https://www.genome.jp/entry/4.2.1.17" TargetMode="External"/><Relationship Id="rId453" Type="http://schemas.openxmlformats.org/officeDocument/2006/relationships/hyperlink" Target="https://www.genome.jp/entry/2.6.1.16" TargetMode="External"/><Relationship Id="rId660" Type="http://schemas.openxmlformats.org/officeDocument/2006/relationships/hyperlink" Target="https://www.genome.jp/entry/1.13.11.2" TargetMode="External"/><Relationship Id="rId898" Type="http://schemas.openxmlformats.org/officeDocument/2006/relationships/hyperlink" Target="https://www.genome.jp/entry/R01902" TargetMode="External"/><Relationship Id="rId1083" Type="http://schemas.openxmlformats.org/officeDocument/2006/relationships/hyperlink" Target="https://www.genome.jp/entry/3.1.3.5" TargetMode="External"/><Relationship Id="rId1290" Type="http://schemas.openxmlformats.org/officeDocument/2006/relationships/hyperlink" Target="https://www.genome.jp/entry/R00330" TargetMode="External"/><Relationship Id="rId2134" Type="http://schemas.openxmlformats.org/officeDocument/2006/relationships/hyperlink" Target="https://www.genome.jp/entry/R00964" TargetMode="External"/><Relationship Id="rId2341" Type="http://schemas.openxmlformats.org/officeDocument/2006/relationships/hyperlink" Target="https://www.genome.jp/entry/2.7.7.7" TargetMode="External"/><Relationship Id="rId2579" Type="http://schemas.openxmlformats.org/officeDocument/2006/relationships/hyperlink" Target="https://www.genome.jp/entry/R02298" TargetMode="External"/><Relationship Id="rId106" Type="http://schemas.openxmlformats.org/officeDocument/2006/relationships/hyperlink" Target="https://www.genome.jp/entry/R03050" TargetMode="External"/><Relationship Id="rId313" Type="http://schemas.openxmlformats.org/officeDocument/2006/relationships/hyperlink" Target="https://www.genome.jp/entry/R01291" TargetMode="External"/><Relationship Id="rId758" Type="http://schemas.openxmlformats.org/officeDocument/2006/relationships/hyperlink" Target="https://www.genome.jp/entry/R01072" TargetMode="External"/><Relationship Id="rId965" Type="http://schemas.openxmlformats.org/officeDocument/2006/relationships/hyperlink" Target="https://www.genome.jp/entry/1.1.1.1" TargetMode="External"/><Relationship Id="rId1150" Type="http://schemas.openxmlformats.org/officeDocument/2006/relationships/hyperlink" Target="https://www.genome.jp/entry/1.1.1.1" TargetMode="External"/><Relationship Id="rId1388" Type="http://schemas.openxmlformats.org/officeDocument/2006/relationships/hyperlink" Target="https://www.genome.jp/entry/R06152" TargetMode="External"/><Relationship Id="rId1595" Type="http://schemas.openxmlformats.org/officeDocument/2006/relationships/hyperlink" Target="https://www.genome.jp/entry/2.5.1.54" TargetMode="External"/><Relationship Id="rId2439" Type="http://schemas.openxmlformats.org/officeDocument/2006/relationships/hyperlink" Target="https://www.genome.jp/entry/2.7.1.40" TargetMode="External"/><Relationship Id="rId2646" Type="http://schemas.openxmlformats.org/officeDocument/2006/relationships/hyperlink" Target="https://www.genome.jp/entry/5.99.1.3" TargetMode="External"/><Relationship Id="rId94" Type="http://schemas.openxmlformats.org/officeDocument/2006/relationships/hyperlink" Target="https://www.genome.jp/entry/R05068" TargetMode="External"/><Relationship Id="rId520" Type="http://schemas.openxmlformats.org/officeDocument/2006/relationships/hyperlink" Target="https://www.genome.jp/entry/2.7.7.6" TargetMode="External"/><Relationship Id="rId618" Type="http://schemas.openxmlformats.org/officeDocument/2006/relationships/hyperlink" Target="https://www.genome.jp/entry/R01664" TargetMode="External"/><Relationship Id="rId825" Type="http://schemas.openxmlformats.org/officeDocument/2006/relationships/hyperlink" Target="https://www.genome.jp/entry/2.7.7.7" TargetMode="External"/><Relationship Id="rId1248" Type="http://schemas.openxmlformats.org/officeDocument/2006/relationships/hyperlink" Target="https://www.genome.jp/entry/R01421" TargetMode="External"/><Relationship Id="rId1455" Type="http://schemas.openxmlformats.org/officeDocument/2006/relationships/hyperlink" Target="https://www.genome.jp/entry/4.2.1.20" TargetMode="External"/><Relationship Id="rId1662" Type="http://schemas.openxmlformats.org/officeDocument/2006/relationships/hyperlink" Target="https://www.genome.jp/entry/2.7.1.85" TargetMode="External"/><Relationship Id="rId2201" Type="http://schemas.openxmlformats.org/officeDocument/2006/relationships/hyperlink" Target="https://www.genome.jp/entry/R04858" TargetMode="External"/><Relationship Id="rId2506" Type="http://schemas.openxmlformats.org/officeDocument/2006/relationships/hyperlink" Target="https://www.genome.jp/entry/R01843" TargetMode="External"/><Relationship Id="rId1010" Type="http://schemas.openxmlformats.org/officeDocument/2006/relationships/hyperlink" Target="https://www.genome.jp/entry/R01830" TargetMode="External"/><Relationship Id="rId1108" Type="http://schemas.openxmlformats.org/officeDocument/2006/relationships/hyperlink" Target="https://www.genome.jp/entry/R02088" TargetMode="External"/><Relationship Id="rId1315" Type="http://schemas.openxmlformats.org/officeDocument/2006/relationships/hyperlink" Target="https://www.genome.jp/entry/2.7.7.27" TargetMode="External"/><Relationship Id="rId1967" Type="http://schemas.openxmlformats.org/officeDocument/2006/relationships/hyperlink" Target="https://www.genome.jp/entry/R01728" TargetMode="External"/><Relationship Id="rId1522" Type="http://schemas.openxmlformats.org/officeDocument/2006/relationships/hyperlink" Target="https://www.genome.jp/entry/2.7.7.18" TargetMode="External"/><Relationship Id="rId21" Type="http://schemas.openxmlformats.org/officeDocument/2006/relationships/hyperlink" Target="https://www.genome.jp/entry/3.2.1.52" TargetMode="External"/><Relationship Id="rId2089" Type="http://schemas.openxmlformats.org/officeDocument/2006/relationships/hyperlink" Target="https://www.genome.jp/entry/4.2.1.33" TargetMode="External"/><Relationship Id="rId2296" Type="http://schemas.openxmlformats.org/officeDocument/2006/relationships/hyperlink" Target="https://www.genome.jp/entry/2.5.1.7" TargetMode="External"/><Relationship Id="rId268" Type="http://schemas.openxmlformats.org/officeDocument/2006/relationships/hyperlink" Target="https://www.genome.jp/entry/3.1.26.4" TargetMode="External"/><Relationship Id="rId475" Type="http://schemas.openxmlformats.org/officeDocument/2006/relationships/hyperlink" Target="https://www.genome.jp/entry/3.2.1.21" TargetMode="External"/><Relationship Id="rId682" Type="http://schemas.openxmlformats.org/officeDocument/2006/relationships/hyperlink" Target="https://www.genome.jp/entry/R03355" TargetMode="External"/><Relationship Id="rId2156" Type="http://schemas.openxmlformats.org/officeDocument/2006/relationships/hyperlink" Target="https://www.genome.jp/entry/R01049" TargetMode="External"/><Relationship Id="rId2363" Type="http://schemas.openxmlformats.org/officeDocument/2006/relationships/hyperlink" Target="https://www.genome.jp/entry/2.7.1.66" TargetMode="External"/><Relationship Id="rId2570" Type="http://schemas.openxmlformats.org/officeDocument/2006/relationships/hyperlink" Target="https://www.genome.jp/entry/2.4.2.2" TargetMode="External"/><Relationship Id="rId128" Type="http://schemas.openxmlformats.org/officeDocument/2006/relationships/hyperlink" Target="https://www.genome.jp/entry/R07145" TargetMode="External"/><Relationship Id="rId335" Type="http://schemas.openxmlformats.org/officeDocument/2006/relationships/hyperlink" Target="https://www.genome.jp/entry/3.2.1.177" TargetMode="External"/><Relationship Id="rId542" Type="http://schemas.openxmlformats.org/officeDocument/2006/relationships/hyperlink" Target="https://www.genome.jp/entry/1.17.4.2" TargetMode="External"/><Relationship Id="rId1172" Type="http://schemas.openxmlformats.org/officeDocument/2006/relationships/hyperlink" Target="https://www.genome.jp/entry/2.7.2.1" TargetMode="External"/><Relationship Id="rId2016" Type="http://schemas.openxmlformats.org/officeDocument/2006/relationships/hyperlink" Target="https://www.genome.jp/entry/4.1.3.3" TargetMode="External"/><Relationship Id="rId2223" Type="http://schemas.openxmlformats.org/officeDocument/2006/relationships/hyperlink" Target="https://www.genome.jp/entry/1.2.4.4" TargetMode="External"/><Relationship Id="rId2430" Type="http://schemas.openxmlformats.org/officeDocument/2006/relationships/hyperlink" Target="https://www.genome.jp/entry/R06138" TargetMode="External"/><Relationship Id="rId402" Type="http://schemas.openxmlformats.org/officeDocument/2006/relationships/hyperlink" Target="https://www.genome.jp/entry/R08558" TargetMode="External"/><Relationship Id="rId1032" Type="http://schemas.openxmlformats.org/officeDocument/2006/relationships/hyperlink" Target="https://www.genome.jp/entry/2.4.1.25" TargetMode="External"/><Relationship Id="rId1989" Type="http://schemas.openxmlformats.org/officeDocument/2006/relationships/hyperlink" Target="https://www.genome.jp/entry/R00193" TargetMode="External"/><Relationship Id="rId1849" Type="http://schemas.openxmlformats.org/officeDocument/2006/relationships/hyperlink" Target="https://www.genome.jp/entry/5.4.2.2" TargetMode="External"/><Relationship Id="rId192" Type="http://schemas.openxmlformats.org/officeDocument/2006/relationships/hyperlink" Target="https://www.genome.jp/entry/R02768" TargetMode="External"/><Relationship Id="rId1709" Type="http://schemas.openxmlformats.org/officeDocument/2006/relationships/hyperlink" Target="https://www.genome.jp/entry/R11892" TargetMode="External"/><Relationship Id="rId1916" Type="http://schemas.openxmlformats.org/officeDocument/2006/relationships/hyperlink" Target="https://www.genome.jp/entry/R01706" TargetMode="External"/><Relationship Id="rId2080" Type="http://schemas.openxmlformats.org/officeDocument/2006/relationships/hyperlink" Target="https://www.genome.jp/entry/R01652" TargetMode="External"/><Relationship Id="rId869" Type="http://schemas.openxmlformats.org/officeDocument/2006/relationships/hyperlink" Target="https://www.genome.jp/entry/6.1.1.13" TargetMode="External"/><Relationship Id="rId1499" Type="http://schemas.openxmlformats.org/officeDocument/2006/relationships/hyperlink" Target="https://www.genome.jp/entry/R06088" TargetMode="External"/><Relationship Id="rId729" Type="http://schemas.openxmlformats.org/officeDocument/2006/relationships/hyperlink" Target="https://www.genome.jp/entry/3.2.1.52" TargetMode="External"/><Relationship Id="rId1359" Type="http://schemas.openxmlformats.org/officeDocument/2006/relationships/hyperlink" Target="https://www.genome.jp/entry/3.2.1.22" TargetMode="External"/><Relationship Id="rId936" Type="http://schemas.openxmlformats.org/officeDocument/2006/relationships/hyperlink" Target="https://www.genome.jp/entry/R06152" TargetMode="External"/><Relationship Id="rId1219" Type="http://schemas.openxmlformats.org/officeDocument/2006/relationships/hyperlink" Target="https://www.genome.jp/entry/2.6.1.1" TargetMode="External"/><Relationship Id="rId1566" Type="http://schemas.openxmlformats.org/officeDocument/2006/relationships/hyperlink" Target="https://www.genome.jp/entry/R00802" TargetMode="External"/><Relationship Id="rId1773" Type="http://schemas.openxmlformats.org/officeDocument/2006/relationships/hyperlink" Target="https://www.genome.jp/entry/5.4.2.10" TargetMode="External"/><Relationship Id="rId1980" Type="http://schemas.openxmlformats.org/officeDocument/2006/relationships/hyperlink" Target="https://www.genome.jp/entry/2.4.1.212" TargetMode="External"/><Relationship Id="rId2617" Type="http://schemas.openxmlformats.org/officeDocument/2006/relationships/hyperlink" Target="https://www.genome.jp/entry/R02147" TargetMode="External"/><Relationship Id="rId65" Type="http://schemas.openxmlformats.org/officeDocument/2006/relationships/hyperlink" Target="https://www.genome.jp/entry/2.7.7.7" TargetMode="External"/><Relationship Id="rId1426" Type="http://schemas.openxmlformats.org/officeDocument/2006/relationships/hyperlink" Target="https://www.genome.jp/entry/R00502" TargetMode="External"/><Relationship Id="rId1633" Type="http://schemas.openxmlformats.org/officeDocument/2006/relationships/hyperlink" Target="https://www.genome.jp/entry/R04634" TargetMode="External"/><Relationship Id="rId1840" Type="http://schemas.openxmlformats.org/officeDocument/2006/relationships/hyperlink" Target="https://www.genome.jp/entry/3.6.3.14" TargetMode="External"/><Relationship Id="rId1700" Type="http://schemas.openxmlformats.org/officeDocument/2006/relationships/hyperlink" Target="https://www.genome.jp/entry/2.7.4.14" TargetMode="External"/><Relationship Id="rId379" Type="http://schemas.openxmlformats.org/officeDocument/2006/relationships/hyperlink" Target="https://www.genome.jp/entry/1.1.1.1" TargetMode="External"/><Relationship Id="rId586" Type="http://schemas.openxmlformats.org/officeDocument/2006/relationships/hyperlink" Target="https://www.genome.jp/entry/R06131" TargetMode="External"/><Relationship Id="rId793" Type="http://schemas.openxmlformats.org/officeDocument/2006/relationships/hyperlink" Target="https://www.genome.jp/entry/4.3.2.2" TargetMode="External"/><Relationship Id="rId2267" Type="http://schemas.openxmlformats.org/officeDocument/2006/relationships/hyperlink" Target="https://www.genome.jp/entry/R02017" TargetMode="External"/><Relationship Id="rId2474" Type="http://schemas.openxmlformats.org/officeDocument/2006/relationships/hyperlink" Target="https://www.genome.jp/entry/R03239" TargetMode="External"/><Relationship Id="rId2681" Type="http://schemas.openxmlformats.org/officeDocument/2006/relationships/hyperlink" Target="https://www.genome.jp/entry/1.17.4.2" TargetMode="External"/><Relationship Id="rId239" Type="http://schemas.openxmlformats.org/officeDocument/2006/relationships/hyperlink" Target="https://www.genome.jp/entry/R07897" TargetMode="External"/><Relationship Id="rId446" Type="http://schemas.openxmlformats.org/officeDocument/2006/relationships/hyperlink" Target="https://www.genome.jp/entry/R06398" TargetMode="External"/><Relationship Id="rId653" Type="http://schemas.openxmlformats.org/officeDocument/2006/relationships/hyperlink" Target="https://www.genome.jp/entry/R02294" TargetMode="External"/><Relationship Id="rId1076" Type="http://schemas.openxmlformats.org/officeDocument/2006/relationships/hyperlink" Target="https://www.genome.jp/entry/R02485" TargetMode="External"/><Relationship Id="rId1283" Type="http://schemas.openxmlformats.org/officeDocument/2006/relationships/hyperlink" Target="https://www.genome.jp/entry/2.7.4.6" TargetMode="External"/><Relationship Id="rId1490" Type="http://schemas.openxmlformats.org/officeDocument/2006/relationships/hyperlink" Target="https://www.genome.jp/entry/3.2.1.26" TargetMode="External"/><Relationship Id="rId2127" Type="http://schemas.openxmlformats.org/officeDocument/2006/relationships/hyperlink" Target="https://www.genome.jp/entry/R04770" TargetMode="External"/><Relationship Id="rId2334" Type="http://schemas.openxmlformats.org/officeDocument/2006/relationships/hyperlink" Target="https://www.genome.jp/entry/R01470" TargetMode="External"/><Relationship Id="rId306" Type="http://schemas.openxmlformats.org/officeDocument/2006/relationships/hyperlink" Target="https://www.genome.jp/entry/3.6.3.1" TargetMode="External"/><Relationship Id="rId860" Type="http://schemas.openxmlformats.org/officeDocument/2006/relationships/hyperlink" Target="https://www.genome.jp/entry/R00847" TargetMode="External"/><Relationship Id="rId1143" Type="http://schemas.openxmlformats.org/officeDocument/2006/relationships/hyperlink" Target="https://www.genome.jp/entry/R08557" TargetMode="External"/><Relationship Id="rId2541" Type="http://schemas.openxmlformats.org/officeDocument/2006/relationships/hyperlink" Target="https://www.genome.jp/entry/R00376" TargetMode="External"/><Relationship Id="rId513" Type="http://schemas.openxmlformats.org/officeDocument/2006/relationships/hyperlink" Target="https://www.genome.jp/entry/R10717" TargetMode="External"/><Relationship Id="rId720" Type="http://schemas.openxmlformats.org/officeDocument/2006/relationships/hyperlink" Target="https://www.genome.jp/entry/R06141" TargetMode="External"/><Relationship Id="rId1350" Type="http://schemas.openxmlformats.org/officeDocument/2006/relationships/hyperlink" Target="https://www.genome.jp/entry/R05145" TargetMode="External"/><Relationship Id="rId2401" Type="http://schemas.openxmlformats.org/officeDocument/2006/relationships/hyperlink" Target="https://www.genome.jp/entry/2.7.7.7" TargetMode="External"/><Relationship Id="rId1003" Type="http://schemas.openxmlformats.org/officeDocument/2006/relationships/hyperlink" Target="https://www.genome.jp/entry/2.7.1.85" TargetMode="External"/><Relationship Id="rId1210" Type="http://schemas.openxmlformats.org/officeDocument/2006/relationships/hyperlink" Target="https://www.genome.jp/entry/2.7.13.3" TargetMode="External"/><Relationship Id="rId2191" Type="http://schemas.openxmlformats.org/officeDocument/2006/relationships/hyperlink" Target="https://www.genome.jp/entry/4.2.1.11" TargetMode="External"/><Relationship Id="rId163" Type="http://schemas.openxmlformats.org/officeDocument/2006/relationships/hyperlink" Target="https://www.genome.jp/entry/1.1.1.100" TargetMode="External"/><Relationship Id="rId370" Type="http://schemas.openxmlformats.org/officeDocument/2006/relationships/hyperlink" Target="https://www.genome.jp/entry/R01654" TargetMode="External"/><Relationship Id="rId2051" Type="http://schemas.openxmlformats.org/officeDocument/2006/relationships/hyperlink" Target="https://www.genome.jp/entry/R10948" TargetMode="External"/><Relationship Id="rId230" Type="http://schemas.openxmlformats.org/officeDocument/2006/relationships/hyperlink" Target="https://www.genome.jp/entry/4.2.1.17" TargetMode="External"/><Relationship Id="rId1677" Type="http://schemas.openxmlformats.org/officeDocument/2006/relationships/hyperlink" Target="https://www.genome.jp/entry/2.7.13.3" TargetMode="External"/><Relationship Id="rId1884" Type="http://schemas.openxmlformats.org/officeDocument/2006/relationships/hyperlink" Target="https://www.genome.jp/entry/R09372" TargetMode="External"/><Relationship Id="rId907" Type="http://schemas.openxmlformats.org/officeDocument/2006/relationships/hyperlink" Target="https://www.genome.jp/entry/3.2.1.22" TargetMode="External"/><Relationship Id="rId1537" Type="http://schemas.openxmlformats.org/officeDocument/2006/relationships/hyperlink" Target="https://www.genome.jp/entry/R12852" TargetMode="External"/><Relationship Id="rId1744" Type="http://schemas.openxmlformats.org/officeDocument/2006/relationships/hyperlink" Target="https://www.genome.jp/entry/3.2.1.96" TargetMode="External"/><Relationship Id="rId1951" Type="http://schemas.openxmlformats.org/officeDocument/2006/relationships/hyperlink" Target="https://www.genome.jp/entry/3.2.1.1" TargetMode="External"/><Relationship Id="rId36" Type="http://schemas.openxmlformats.org/officeDocument/2006/relationships/hyperlink" Target="https://www.genome.jp/entry/R10831" TargetMode="External"/><Relationship Id="rId1604" Type="http://schemas.openxmlformats.org/officeDocument/2006/relationships/hyperlink" Target="https://www.genome.jp/entry/3.2.1.18" TargetMode="External"/><Relationship Id="rId1811" Type="http://schemas.openxmlformats.org/officeDocument/2006/relationships/hyperlink" Target="https://www.genome.jp/entry/R02530" TargetMode="External"/><Relationship Id="rId697" Type="http://schemas.openxmlformats.org/officeDocument/2006/relationships/hyperlink" Target="https://www.genome.jp/entry/3.2.1.23" TargetMode="External"/><Relationship Id="rId2378" Type="http://schemas.openxmlformats.org/officeDocument/2006/relationships/hyperlink" Target="https://www.genome.jp/entry/1.4.1.1" TargetMode="External"/><Relationship Id="rId1187" Type="http://schemas.openxmlformats.org/officeDocument/2006/relationships/hyperlink" Target="https://www.genome.jp/entry/R01830" TargetMode="External"/><Relationship Id="rId2585" Type="http://schemas.openxmlformats.org/officeDocument/2006/relationships/hyperlink" Target="https://www.genome.jp/entry/R02971" TargetMode="External"/><Relationship Id="rId557" Type="http://schemas.openxmlformats.org/officeDocument/2006/relationships/hyperlink" Target="https://www.genome.jp/entry/R05197" TargetMode="External"/><Relationship Id="rId764" Type="http://schemas.openxmlformats.org/officeDocument/2006/relationships/hyperlink" Target="https://www.genome.jp/entry/R00355" TargetMode="External"/><Relationship Id="rId971" Type="http://schemas.openxmlformats.org/officeDocument/2006/relationships/hyperlink" Target="https://www.genome.jp/entry/1.1.1.1" TargetMode="External"/><Relationship Id="rId1394" Type="http://schemas.openxmlformats.org/officeDocument/2006/relationships/hyperlink" Target="https://www.genome.jp/entry/R00837" TargetMode="External"/><Relationship Id="rId2238" Type="http://schemas.openxmlformats.org/officeDocument/2006/relationships/hyperlink" Target="https://www.genome.jp/entry/R00014" TargetMode="External"/><Relationship Id="rId2445" Type="http://schemas.openxmlformats.org/officeDocument/2006/relationships/hyperlink" Target="https://www.genome.jp/entry/2.7.1.40" TargetMode="External"/><Relationship Id="rId2652" Type="http://schemas.openxmlformats.org/officeDocument/2006/relationships/hyperlink" Target="https://www.genome.jp/entry/R00899" TargetMode="External"/><Relationship Id="rId417" Type="http://schemas.openxmlformats.org/officeDocument/2006/relationships/hyperlink" Target="https://www.genome.jp/entry/5.4.99.19" TargetMode="External"/><Relationship Id="rId624" Type="http://schemas.openxmlformats.org/officeDocument/2006/relationships/hyperlink" Target="https://www.genome.jp/entry/R02102" TargetMode="External"/><Relationship Id="rId831" Type="http://schemas.openxmlformats.org/officeDocument/2006/relationships/hyperlink" Target="https://www.genome.jp/entry/2.7.7.7" TargetMode="External"/><Relationship Id="rId1047" Type="http://schemas.openxmlformats.org/officeDocument/2006/relationships/hyperlink" Target="https://www.genome.jp/entry/1.1.1.94" TargetMode="External"/><Relationship Id="rId1254" Type="http://schemas.openxmlformats.org/officeDocument/2006/relationships/hyperlink" Target="https://www.genome.jp/entry/R07234" TargetMode="External"/><Relationship Id="rId1461" Type="http://schemas.openxmlformats.org/officeDocument/2006/relationships/hyperlink" Target="https://www.genome.jp/entry/4.2.1.20" TargetMode="External"/><Relationship Id="rId2305" Type="http://schemas.openxmlformats.org/officeDocument/2006/relationships/hyperlink" Target="https://www.genome.jp/entry/R00418" TargetMode="External"/><Relationship Id="rId2512" Type="http://schemas.openxmlformats.org/officeDocument/2006/relationships/hyperlink" Target="https://www.genome.jp/entry/R03238" TargetMode="External"/><Relationship Id="rId1114" Type="http://schemas.openxmlformats.org/officeDocument/2006/relationships/hyperlink" Target="https://www.genome.jp/entry/2.4.2.29" TargetMode="External"/><Relationship Id="rId1321" Type="http://schemas.openxmlformats.org/officeDocument/2006/relationships/hyperlink" Target="https://www.genome.jp/entry/R03660" TargetMode="External"/><Relationship Id="rId2095" Type="http://schemas.openxmlformats.org/officeDocument/2006/relationships/hyperlink" Target="https://www.genome.jp/entry/3.1.26.3" TargetMode="External"/><Relationship Id="rId274" Type="http://schemas.openxmlformats.org/officeDocument/2006/relationships/hyperlink" Target="https://www.genome.jp/entry/2.7.13.3" TargetMode="External"/><Relationship Id="rId481" Type="http://schemas.openxmlformats.org/officeDocument/2006/relationships/hyperlink" Target="https://www.genome.jp/entry/3.2.1.21" TargetMode="External"/><Relationship Id="rId2162" Type="http://schemas.openxmlformats.org/officeDocument/2006/relationships/hyperlink" Target="https://www.genome.jp/entry/2.3.1.8" TargetMode="External"/><Relationship Id="rId134" Type="http://schemas.openxmlformats.org/officeDocument/2006/relationships/hyperlink" Target="https://www.genome.jp/entry/R00742" TargetMode="External"/><Relationship Id="rId341" Type="http://schemas.openxmlformats.org/officeDocument/2006/relationships/hyperlink" Target="https://www.genome.jp/entry/3.2.1.86" TargetMode="External"/><Relationship Id="rId2022" Type="http://schemas.openxmlformats.org/officeDocument/2006/relationships/hyperlink" Target="https://www.genome.jp/entry/R00145" TargetMode="External"/><Relationship Id="rId201" Type="http://schemas.openxmlformats.org/officeDocument/2006/relationships/hyperlink" Target="https://www.genome.jp/entry/2.3.1.41" TargetMode="External"/><Relationship Id="rId1788" Type="http://schemas.openxmlformats.org/officeDocument/2006/relationships/hyperlink" Target="https://www.genome.jp/entry/R00435" TargetMode="External"/><Relationship Id="rId1995" Type="http://schemas.openxmlformats.org/officeDocument/2006/relationships/hyperlink" Target="https://www.genome.jp/entry/2.1.1.37" TargetMode="External"/><Relationship Id="rId1648" Type="http://schemas.openxmlformats.org/officeDocument/2006/relationships/hyperlink" Target="https://www.genome.jp/entry/3.2.1.18" TargetMode="External"/><Relationship Id="rId1508" Type="http://schemas.openxmlformats.org/officeDocument/2006/relationships/hyperlink" Target="https://www.genome.jp/entry/3.4.24.15" TargetMode="External"/><Relationship Id="rId1855" Type="http://schemas.openxmlformats.org/officeDocument/2006/relationships/hyperlink" Target="https://www.genome.jp/entry/5.4.2.2" TargetMode="External"/><Relationship Id="rId1715" Type="http://schemas.openxmlformats.org/officeDocument/2006/relationships/hyperlink" Target="https://www.genome.jp/entry/R00174" TargetMode="External"/><Relationship Id="rId1922" Type="http://schemas.openxmlformats.org/officeDocument/2006/relationships/hyperlink" Target="https://www.genome.jp/entry/R08162" TargetMode="External"/><Relationship Id="rId2489" Type="http://schemas.openxmlformats.org/officeDocument/2006/relationships/hyperlink" Target="https://www.genome.jp/entry/2.1.1.72" TargetMode="External"/><Relationship Id="rId668" Type="http://schemas.openxmlformats.org/officeDocument/2006/relationships/hyperlink" Target="https://www.genome.jp/entry/1.13.11.2" TargetMode="External"/><Relationship Id="rId875" Type="http://schemas.openxmlformats.org/officeDocument/2006/relationships/hyperlink" Target="https://www.genome.jp/entry/6.1.1.13" TargetMode="External"/><Relationship Id="rId1298" Type="http://schemas.openxmlformats.org/officeDocument/2006/relationships/hyperlink" Target="https://www.genome.jp/entry/R01857" TargetMode="External"/><Relationship Id="rId2349" Type="http://schemas.openxmlformats.org/officeDocument/2006/relationships/hyperlink" Target="https://www.genome.jp/entry/3.2.2.9" TargetMode="External"/><Relationship Id="rId2556" Type="http://schemas.openxmlformats.org/officeDocument/2006/relationships/hyperlink" Target="https://www.genome.jp/entry/R01214" TargetMode="External"/><Relationship Id="rId528" Type="http://schemas.openxmlformats.org/officeDocument/2006/relationships/hyperlink" Target="https://www.genome.jp/entry/2.7.7.6" TargetMode="External"/><Relationship Id="rId735" Type="http://schemas.openxmlformats.org/officeDocument/2006/relationships/hyperlink" Target="https://www.genome.jp/entry/4.3.2.2" TargetMode="External"/><Relationship Id="rId942" Type="http://schemas.openxmlformats.org/officeDocument/2006/relationships/hyperlink" Target="https://www.genome.jp/entry/R03163" TargetMode="External"/><Relationship Id="rId1158" Type="http://schemas.openxmlformats.org/officeDocument/2006/relationships/hyperlink" Target="https://www.genome.jp/entry/1.1.1.2" TargetMode="External"/><Relationship Id="rId1365" Type="http://schemas.openxmlformats.org/officeDocument/2006/relationships/hyperlink" Target="https://www.genome.jp/entry/3.2.1.22" TargetMode="External"/><Relationship Id="rId1572" Type="http://schemas.openxmlformats.org/officeDocument/2006/relationships/hyperlink" Target="https://www.genome.jp/entry/R03921" TargetMode="External"/><Relationship Id="rId2209" Type="http://schemas.openxmlformats.org/officeDocument/2006/relationships/hyperlink" Target="https://www.genome.jp/entry/1.8.1.4" TargetMode="External"/><Relationship Id="rId2416" Type="http://schemas.openxmlformats.org/officeDocument/2006/relationships/hyperlink" Target="https://www.genome.jp/entry/R03293" TargetMode="External"/><Relationship Id="rId2623" Type="http://schemas.openxmlformats.org/officeDocument/2006/relationships/hyperlink" Target="https://www.genome.jp/entry/R01969" TargetMode="External"/><Relationship Id="rId1018" Type="http://schemas.openxmlformats.org/officeDocument/2006/relationships/hyperlink" Target="https://www.genome.jp/entry/R05636" TargetMode="External"/><Relationship Id="rId1225" Type="http://schemas.openxmlformats.org/officeDocument/2006/relationships/hyperlink" Target="https://www.genome.jp/entry/2.6.1.1" TargetMode="External"/><Relationship Id="rId1432" Type="http://schemas.openxmlformats.org/officeDocument/2006/relationships/hyperlink" Target="https://www.genome.jp/entry/2.4.2.22" TargetMode="External"/><Relationship Id="rId71" Type="http://schemas.openxmlformats.org/officeDocument/2006/relationships/hyperlink" Target="https://www.genome.jp/entry/2.7.7.7" TargetMode="External"/><Relationship Id="rId802" Type="http://schemas.openxmlformats.org/officeDocument/2006/relationships/hyperlink" Target="https://www.genome.jp/entry/R11896" TargetMode="External"/><Relationship Id="rId178" Type="http://schemas.openxmlformats.org/officeDocument/2006/relationships/hyperlink" Target="https://www.genome.jp/entry/R04964" TargetMode="External"/><Relationship Id="rId385" Type="http://schemas.openxmlformats.org/officeDocument/2006/relationships/hyperlink" Target="https://www.genome.jp/entry/1.1.1.1" TargetMode="External"/><Relationship Id="rId592" Type="http://schemas.openxmlformats.org/officeDocument/2006/relationships/hyperlink" Target="https://www.genome.jp/entry/R11099" TargetMode="External"/><Relationship Id="rId2066" Type="http://schemas.openxmlformats.org/officeDocument/2006/relationships/hyperlink" Target="https://www.genome.jp/entry/5.99.1.2" TargetMode="External"/><Relationship Id="rId2273" Type="http://schemas.openxmlformats.org/officeDocument/2006/relationships/hyperlink" Target="https://www.genome.jp/entry/R02024" TargetMode="External"/><Relationship Id="rId2480" Type="http://schemas.openxmlformats.org/officeDocument/2006/relationships/hyperlink" Target="https://www.genome.jp/entry/R00376" TargetMode="External"/><Relationship Id="rId245" Type="http://schemas.openxmlformats.org/officeDocument/2006/relationships/hyperlink" Target="https://www.genome.jp/entry/R04137" TargetMode="External"/><Relationship Id="rId452" Type="http://schemas.openxmlformats.org/officeDocument/2006/relationships/hyperlink" Target="https://www.genome.jp/entry/R09393" TargetMode="External"/><Relationship Id="rId1082" Type="http://schemas.openxmlformats.org/officeDocument/2006/relationships/hyperlink" Target="https://www.genome.jp/entry/R05086" TargetMode="External"/><Relationship Id="rId2133" Type="http://schemas.openxmlformats.org/officeDocument/2006/relationships/hyperlink" Target="https://www.genome.jp/entry/2.7.1.48" TargetMode="External"/><Relationship Id="rId2340" Type="http://schemas.openxmlformats.org/officeDocument/2006/relationships/hyperlink" Target="https://www.genome.jp/entry/R00376" TargetMode="External"/><Relationship Id="rId105" Type="http://schemas.openxmlformats.org/officeDocument/2006/relationships/hyperlink" Target="https://www.genome.jp/entry/2.2.1.6" TargetMode="External"/><Relationship Id="rId312" Type="http://schemas.openxmlformats.org/officeDocument/2006/relationships/hyperlink" Target="https://www.genome.jp/entry/4.4.1.21" TargetMode="External"/><Relationship Id="rId2200" Type="http://schemas.openxmlformats.org/officeDocument/2006/relationships/hyperlink" Target="https://www.genome.jp/entry/2.1.1.37" TargetMode="External"/><Relationship Id="rId1899" Type="http://schemas.openxmlformats.org/officeDocument/2006/relationships/hyperlink" Target="https://www.genome.jp/entry/3.6.3.42" TargetMode="External"/><Relationship Id="rId1759" Type="http://schemas.openxmlformats.org/officeDocument/2006/relationships/hyperlink" Target="https://www.genome.jp/entry/1.8.1.9" TargetMode="External"/><Relationship Id="rId1966" Type="http://schemas.openxmlformats.org/officeDocument/2006/relationships/hyperlink" Target="https://www.genome.jp/entry/1.3.1.12" TargetMode="External"/><Relationship Id="rId1619" Type="http://schemas.openxmlformats.org/officeDocument/2006/relationships/hyperlink" Target="https://www.genome.jp/entry/R05998" TargetMode="External"/><Relationship Id="rId1826" Type="http://schemas.openxmlformats.org/officeDocument/2006/relationships/hyperlink" Target="https://www.genome.jp/entry/2.5.1.48" TargetMode="External"/><Relationship Id="rId779" Type="http://schemas.openxmlformats.org/officeDocument/2006/relationships/hyperlink" Target="https://www.genome.jp/entry/2.7.7.7" TargetMode="External"/><Relationship Id="rId986" Type="http://schemas.openxmlformats.org/officeDocument/2006/relationships/hyperlink" Target="https://www.genome.jp/entry/R01395" TargetMode="External"/><Relationship Id="rId2667" Type="http://schemas.openxmlformats.org/officeDocument/2006/relationships/hyperlink" Target="https://www.genome.jp/entry/6.1.1.10" TargetMode="External"/><Relationship Id="rId639" Type="http://schemas.openxmlformats.org/officeDocument/2006/relationships/hyperlink" Target="https://www.genome.jp/entry/R01863" TargetMode="External"/><Relationship Id="rId1269" Type="http://schemas.openxmlformats.org/officeDocument/2006/relationships/hyperlink" Target="https://www.genome.jp/entry/2.7.7.6" TargetMode="External"/><Relationship Id="rId1476" Type="http://schemas.openxmlformats.org/officeDocument/2006/relationships/hyperlink" Target="https://www.genome.jp/entry/3.1.6.1" TargetMode="External"/><Relationship Id="rId846" Type="http://schemas.openxmlformats.org/officeDocument/2006/relationships/hyperlink" Target="https://www.genome.jp/entry/R00897" TargetMode="External"/><Relationship Id="rId1129" Type="http://schemas.openxmlformats.org/officeDocument/2006/relationships/hyperlink" Target="https://www.genome.jp/entry/R04880" TargetMode="External"/><Relationship Id="rId1683" Type="http://schemas.openxmlformats.org/officeDocument/2006/relationships/hyperlink" Target="https://www.genome.jp/entry/R00366" TargetMode="External"/><Relationship Id="rId1890" Type="http://schemas.openxmlformats.org/officeDocument/2006/relationships/hyperlink" Target="https://www.genome.jp/entry/R00804" TargetMode="External"/><Relationship Id="rId2527" Type="http://schemas.openxmlformats.org/officeDocument/2006/relationships/hyperlink" Target="https://www.genome.jp/entry/2.7.1.56" TargetMode="External"/><Relationship Id="rId706" Type="http://schemas.openxmlformats.org/officeDocument/2006/relationships/hyperlink" Target="https://www.genome.jp/entry/R00022" TargetMode="External"/><Relationship Id="rId913" Type="http://schemas.openxmlformats.org/officeDocument/2006/relationships/hyperlink" Target="https://www.genome.jp/entry/3.2.1.22" TargetMode="External"/><Relationship Id="rId1336" Type="http://schemas.openxmlformats.org/officeDocument/2006/relationships/hyperlink" Target="https://www.genome.jp/entry/1.1.1.100" TargetMode="External"/><Relationship Id="rId1543" Type="http://schemas.openxmlformats.org/officeDocument/2006/relationships/hyperlink" Target="https://www.genome.jp/entry/R00441" TargetMode="External"/><Relationship Id="rId1750" Type="http://schemas.openxmlformats.org/officeDocument/2006/relationships/hyperlink" Target="https://www.genome.jp/entry/R00937" TargetMode="External"/><Relationship Id="rId42" Type="http://schemas.openxmlformats.org/officeDocument/2006/relationships/hyperlink" Target="https://www.genome.jp/entry/R12963" TargetMode="External"/><Relationship Id="rId1403" Type="http://schemas.openxmlformats.org/officeDocument/2006/relationships/hyperlink" Target="https://www.genome.jp/entry/R00291" TargetMode="External"/><Relationship Id="rId1610" Type="http://schemas.openxmlformats.org/officeDocument/2006/relationships/hyperlink" Target="https://www.genome.jp/entry/3.2.1.18" TargetMode="External"/><Relationship Id="rId289" Type="http://schemas.openxmlformats.org/officeDocument/2006/relationships/hyperlink" Target="https://www.genome.jp/entry/R04527" TargetMode="External"/><Relationship Id="rId496" Type="http://schemas.openxmlformats.org/officeDocument/2006/relationships/hyperlink" Target="https://www.genome.jp/entry/R13065" TargetMode="External"/><Relationship Id="rId2177" Type="http://schemas.openxmlformats.org/officeDocument/2006/relationships/hyperlink" Target="https://www.genome.jp/entry/2.7.7.27" TargetMode="External"/><Relationship Id="rId2384" Type="http://schemas.openxmlformats.org/officeDocument/2006/relationships/hyperlink" Target="https://www.genome.jp/entry/R00146" TargetMode="External"/><Relationship Id="rId2591" Type="http://schemas.openxmlformats.org/officeDocument/2006/relationships/hyperlink" Target="https://www.genome.jp/entry/R01561" TargetMode="External"/><Relationship Id="rId149" Type="http://schemas.openxmlformats.org/officeDocument/2006/relationships/hyperlink" Target="https://www.genome.jp/entry/2.3.1.179" TargetMode="External"/><Relationship Id="rId356" Type="http://schemas.openxmlformats.org/officeDocument/2006/relationships/hyperlink" Target="https://www.genome.jp/entry/R05048" TargetMode="External"/><Relationship Id="rId563" Type="http://schemas.openxmlformats.org/officeDocument/2006/relationships/hyperlink" Target="https://www.genome.jp/entry/2.5.1.9" TargetMode="External"/><Relationship Id="rId770" Type="http://schemas.openxmlformats.org/officeDocument/2006/relationships/hyperlink" Target="https://www.genome.jp/entry/R00895" TargetMode="External"/><Relationship Id="rId1193" Type="http://schemas.openxmlformats.org/officeDocument/2006/relationships/hyperlink" Target="https://www.genome.jp/entry/R06863" TargetMode="External"/><Relationship Id="rId2037" Type="http://schemas.openxmlformats.org/officeDocument/2006/relationships/hyperlink" Target="https://www.genome.jp/entry/R01395" TargetMode="External"/><Relationship Id="rId2244" Type="http://schemas.openxmlformats.org/officeDocument/2006/relationships/hyperlink" Target="https://www.genome.jp/entry/R09832" TargetMode="External"/><Relationship Id="rId2451" Type="http://schemas.openxmlformats.org/officeDocument/2006/relationships/hyperlink" Target="https://www.genome.jp/entry/2.7.1.40" TargetMode="External"/><Relationship Id="rId216" Type="http://schemas.openxmlformats.org/officeDocument/2006/relationships/hyperlink" Target="https://www.genome.jp/entry/R03026" TargetMode="External"/><Relationship Id="rId423" Type="http://schemas.openxmlformats.org/officeDocument/2006/relationships/hyperlink" Target="https://www.genome.jp/entry/R00376" TargetMode="External"/><Relationship Id="rId1053" Type="http://schemas.openxmlformats.org/officeDocument/2006/relationships/hyperlink" Target="https://www.genome.jp/entry/5.3.1.9" TargetMode="External"/><Relationship Id="rId1260" Type="http://schemas.openxmlformats.org/officeDocument/2006/relationships/hyperlink" Target="https://www.genome.jp/entry/R00435" TargetMode="External"/><Relationship Id="rId2104" Type="http://schemas.openxmlformats.org/officeDocument/2006/relationships/hyperlink" Target="https://www.genome.jp/entry/3.6.1.55" TargetMode="External"/><Relationship Id="rId630" Type="http://schemas.openxmlformats.org/officeDocument/2006/relationships/hyperlink" Target="https://www.genome.jp/entry/R00418" TargetMode="External"/><Relationship Id="rId2311" Type="http://schemas.openxmlformats.org/officeDocument/2006/relationships/hyperlink" Target="https://www.genome.jp/entry/2.1.2.1" TargetMode="External"/><Relationship Id="rId1120" Type="http://schemas.openxmlformats.org/officeDocument/2006/relationships/hyperlink" Target="https://www.genome.jp/entry/1.1.1.1" TargetMode="External"/><Relationship Id="rId1937" Type="http://schemas.openxmlformats.org/officeDocument/2006/relationships/hyperlink" Target="https://www.genome.jp/entry/3.6.3.27" TargetMode="External"/><Relationship Id="rId280" Type="http://schemas.openxmlformats.org/officeDocument/2006/relationships/hyperlink" Target="https://www.genome.jp/entry/R01121" TargetMode="External"/><Relationship Id="rId140" Type="http://schemas.openxmlformats.org/officeDocument/2006/relationships/hyperlink" Target="https://www.genome.jp/entry/R00742" TargetMode="External"/><Relationship Id="rId6" Type="http://schemas.openxmlformats.org/officeDocument/2006/relationships/hyperlink" Target="https://www.genome.jp/entry/R01512" TargetMode="External"/><Relationship Id="rId957" Type="http://schemas.openxmlformats.org/officeDocument/2006/relationships/hyperlink" Target="https://www.genome.jp/entry/1.1.1.1" TargetMode="External"/><Relationship Id="rId1587" Type="http://schemas.openxmlformats.org/officeDocument/2006/relationships/hyperlink" Target="https://www.genome.jp/entry/2.7.1.4" TargetMode="External"/><Relationship Id="rId1794" Type="http://schemas.openxmlformats.org/officeDocument/2006/relationships/hyperlink" Target="https://www.genome.jp/entry/2.6.1.1" TargetMode="External"/><Relationship Id="rId2638" Type="http://schemas.openxmlformats.org/officeDocument/2006/relationships/hyperlink" Target="https://www.genome.jp/entry/5.4.2.7" TargetMode="External"/><Relationship Id="rId86" Type="http://schemas.openxmlformats.org/officeDocument/2006/relationships/hyperlink" Target="https://www.genome.jp/entry/R06131" TargetMode="External"/><Relationship Id="rId817" Type="http://schemas.openxmlformats.org/officeDocument/2006/relationships/hyperlink" Target="https://www.genome.jp/entry/2.4.2.8" TargetMode="External"/><Relationship Id="rId1447" Type="http://schemas.openxmlformats.org/officeDocument/2006/relationships/hyperlink" Target="https://www.genome.jp/entry/4.1.3.27" TargetMode="External"/><Relationship Id="rId1654" Type="http://schemas.openxmlformats.org/officeDocument/2006/relationships/hyperlink" Target="https://www.genome.jp/entry/5.1.3.9" TargetMode="External"/><Relationship Id="rId1861" Type="http://schemas.openxmlformats.org/officeDocument/2006/relationships/hyperlink" Target="https://www.genome.jp/entry/3.6.4.13" TargetMode="External"/><Relationship Id="rId1307" Type="http://schemas.openxmlformats.org/officeDocument/2006/relationships/hyperlink" Target="https://www.genome.jp/entry/2.7.4.6" TargetMode="External"/><Relationship Id="rId1514" Type="http://schemas.openxmlformats.org/officeDocument/2006/relationships/hyperlink" Target="https://www.genome.jp/entry/R00900" TargetMode="External"/><Relationship Id="rId1721" Type="http://schemas.openxmlformats.org/officeDocument/2006/relationships/hyperlink" Target="https://www.genome.jp/entry/6.3.5.10" TargetMode="External"/><Relationship Id="rId13" Type="http://schemas.openxmlformats.org/officeDocument/2006/relationships/hyperlink" Target="https://www.genome.jp/entry/3.2.1.52" TargetMode="External"/><Relationship Id="rId2288" Type="http://schemas.openxmlformats.org/officeDocument/2006/relationships/hyperlink" Target="https://www.genome.jp/entry/R01069" TargetMode="External"/><Relationship Id="rId2495" Type="http://schemas.openxmlformats.org/officeDocument/2006/relationships/hyperlink" Target="https://www.genome.jp/entry/2.7.1.11" TargetMode="External"/><Relationship Id="rId467" Type="http://schemas.openxmlformats.org/officeDocument/2006/relationships/hyperlink" Target="https://www.genome.jp/entry/3.2.1.21" TargetMode="External"/><Relationship Id="rId1097" Type="http://schemas.openxmlformats.org/officeDocument/2006/relationships/hyperlink" Target="https://www.genome.jp/entry/3.1.3.5" TargetMode="External"/><Relationship Id="rId2148" Type="http://schemas.openxmlformats.org/officeDocument/2006/relationships/hyperlink" Target="https://www.genome.jp/entry/3.6.4.12" TargetMode="External"/><Relationship Id="rId674" Type="http://schemas.openxmlformats.org/officeDocument/2006/relationships/hyperlink" Target="https://www.genome.jp/entry/2.7.1.69" TargetMode="External"/><Relationship Id="rId881" Type="http://schemas.openxmlformats.org/officeDocument/2006/relationships/hyperlink" Target="https://www.genome.jp/entry/6.1.1.13" TargetMode="External"/><Relationship Id="rId2355" Type="http://schemas.openxmlformats.org/officeDocument/2006/relationships/hyperlink" Target="https://www.genome.jp/entry/3.6.1.13" TargetMode="External"/><Relationship Id="rId2562" Type="http://schemas.openxmlformats.org/officeDocument/2006/relationships/hyperlink" Target="https://www.genome.jp/entry/3.5.4.5" TargetMode="External"/><Relationship Id="rId327" Type="http://schemas.openxmlformats.org/officeDocument/2006/relationships/hyperlink" Target="https://www.genome.jp/entry/4.1.2.21" TargetMode="External"/><Relationship Id="rId534" Type="http://schemas.openxmlformats.org/officeDocument/2006/relationships/hyperlink" Target="https://www.genome.jp/entry/2.7.4.3" TargetMode="External"/><Relationship Id="rId741" Type="http://schemas.openxmlformats.org/officeDocument/2006/relationships/hyperlink" Target="https://www.genome.jp/entry/4.1.1.21" TargetMode="External"/><Relationship Id="rId1164" Type="http://schemas.openxmlformats.org/officeDocument/2006/relationships/hyperlink" Target="https://www.genome.jp/entry/1.1.1.2" TargetMode="External"/><Relationship Id="rId1371" Type="http://schemas.openxmlformats.org/officeDocument/2006/relationships/hyperlink" Target="https://www.genome.jp/entry/3.2.1.22" TargetMode="External"/><Relationship Id="rId2008" Type="http://schemas.openxmlformats.org/officeDocument/2006/relationships/hyperlink" Target="https://www.genome.jp/entry/3.5.4.5" TargetMode="External"/><Relationship Id="rId2215" Type="http://schemas.openxmlformats.org/officeDocument/2006/relationships/hyperlink" Target="https://www.genome.jp/entry/1.2.4.4" TargetMode="External"/><Relationship Id="rId2422" Type="http://schemas.openxmlformats.org/officeDocument/2006/relationships/hyperlink" Target="https://www.genome.jp/entry/R04112" TargetMode="External"/><Relationship Id="rId601" Type="http://schemas.openxmlformats.org/officeDocument/2006/relationships/hyperlink" Target="https://www.genome.jp/entry/3.1.3.5" TargetMode="External"/><Relationship Id="rId1024" Type="http://schemas.openxmlformats.org/officeDocument/2006/relationships/hyperlink" Target="https://www.genome.jp/entry/R05070" TargetMode="External"/><Relationship Id="rId1231" Type="http://schemas.openxmlformats.org/officeDocument/2006/relationships/hyperlink" Target="https://www.genome.jp/entry/2.6.1.2" TargetMode="External"/><Relationship Id="rId184" Type="http://schemas.openxmlformats.org/officeDocument/2006/relationships/hyperlink" Target="https://www.genome.jp/entry/R10120" TargetMode="External"/><Relationship Id="rId391" Type="http://schemas.openxmlformats.org/officeDocument/2006/relationships/hyperlink" Target="https://www.genome.jp/entry/1.1.1.1" TargetMode="External"/><Relationship Id="rId1908" Type="http://schemas.openxmlformats.org/officeDocument/2006/relationships/hyperlink" Target="https://www.genome.jp/entry/3.5.99.6" TargetMode="External"/><Relationship Id="rId2072" Type="http://schemas.openxmlformats.org/officeDocument/2006/relationships/hyperlink" Target="https://www.genome.jp/entry/R10052" TargetMode="External"/><Relationship Id="rId251" Type="http://schemas.openxmlformats.org/officeDocument/2006/relationships/hyperlink" Target="https://www.genome.jp/entry/R06412" TargetMode="External"/><Relationship Id="rId111" Type="http://schemas.openxmlformats.org/officeDocument/2006/relationships/hyperlink" Target="https://www.genome.jp/entry/2.2.1.6" TargetMode="External"/><Relationship Id="rId1698" Type="http://schemas.openxmlformats.org/officeDocument/2006/relationships/hyperlink" Target="https://www.genome.jp/entry/5.1.3.2" TargetMode="External"/><Relationship Id="rId928" Type="http://schemas.openxmlformats.org/officeDocument/2006/relationships/hyperlink" Target="https://www.genome.jp/entry/R06093" TargetMode="External"/><Relationship Id="rId1558" Type="http://schemas.openxmlformats.org/officeDocument/2006/relationships/hyperlink" Target="https://www.genome.jp/entry/R03632" TargetMode="External"/><Relationship Id="rId1765" Type="http://schemas.openxmlformats.org/officeDocument/2006/relationships/hyperlink" Target="https://www.genome.jp/entry/1.8.1.9" TargetMode="External"/><Relationship Id="rId2609" Type="http://schemas.openxmlformats.org/officeDocument/2006/relationships/hyperlink" Target="https://www.genome.jp/entry/R02295" TargetMode="External"/><Relationship Id="rId57" Type="http://schemas.openxmlformats.org/officeDocument/2006/relationships/hyperlink" Target="https://www.genome.jp/entry/3.2.1.85" TargetMode="External"/><Relationship Id="rId1418" Type="http://schemas.openxmlformats.org/officeDocument/2006/relationships/hyperlink" Target="https://www.genome.jp/entry/R05282" TargetMode="External"/><Relationship Id="rId1972" Type="http://schemas.openxmlformats.org/officeDocument/2006/relationships/hyperlink" Target="https://www.genome.jp/entry/2.7.1.71" TargetMode="External"/><Relationship Id="rId1625" Type="http://schemas.openxmlformats.org/officeDocument/2006/relationships/hyperlink" Target="https://www.genome.jp/entry/R06147" TargetMode="External"/><Relationship Id="rId1832" Type="http://schemas.openxmlformats.org/officeDocument/2006/relationships/hyperlink" Target="https://www.genome.jp/entry/2.5.1.48" TargetMode="External"/><Relationship Id="rId2399" Type="http://schemas.openxmlformats.org/officeDocument/2006/relationships/hyperlink" Target="https://www.genome.jp/entry/2.7.7.7" TargetMode="External"/><Relationship Id="rId578" Type="http://schemas.openxmlformats.org/officeDocument/2006/relationships/hyperlink" Target="https://www.genome.jp/entry/R00220" TargetMode="External"/><Relationship Id="rId785" Type="http://schemas.openxmlformats.org/officeDocument/2006/relationships/hyperlink" Target="https://www.genome.jp/entry/2.7.7.7" TargetMode="External"/><Relationship Id="rId992" Type="http://schemas.openxmlformats.org/officeDocument/2006/relationships/hyperlink" Target="https://www.genome.jp/entry/R00552" TargetMode="External"/><Relationship Id="rId2259" Type="http://schemas.openxmlformats.org/officeDocument/2006/relationships/hyperlink" Target="https://www.genome.jp/entry/R08363" TargetMode="External"/><Relationship Id="rId2466" Type="http://schemas.openxmlformats.org/officeDocument/2006/relationships/hyperlink" Target="https://www.genome.jp/entry/R01843" TargetMode="External"/><Relationship Id="rId2673" Type="http://schemas.openxmlformats.org/officeDocument/2006/relationships/hyperlink" Target="https://www.genome.jp/entry/6.1.1.11" TargetMode="External"/><Relationship Id="rId438" Type="http://schemas.openxmlformats.org/officeDocument/2006/relationships/hyperlink" Target="https://www.genome.jp/entry/2.7.7.7" TargetMode="External"/><Relationship Id="rId645" Type="http://schemas.openxmlformats.org/officeDocument/2006/relationships/hyperlink" Target="https://www.genome.jp/entry/R10244" TargetMode="External"/><Relationship Id="rId852" Type="http://schemas.openxmlformats.org/officeDocument/2006/relationships/hyperlink" Target="https://www.genome.jp/entry/R07274" TargetMode="External"/><Relationship Id="rId1068" Type="http://schemas.openxmlformats.org/officeDocument/2006/relationships/hyperlink" Target="https://www.genome.jp/entry/R05578" TargetMode="External"/><Relationship Id="rId1275" Type="http://schemas.openxmlformats.org/officeDocument/2006/relationships/hyperlink" Target="https://www.genome.jp/entry/2.7.7.6" TargetMode="External"/><Relationship Id="rId1482" Type="http://schemas.openxmlformats.org/officeDocument/2006/relationships/hyperlink" Target="https://www.genome.jp/entry/2.7.11.1" TargetMode="External"/><Relationship Id="rId2119" Type="http://schemas.openxmlformats.org/officeDocument/2006/relationships/hyperlink" Target="https://www.genome.jp/entry/R01287" TargetMode="External"/><Relationship Id="rId2326" Type="http://schemas.openxmlformats.org/officeDocument/2006/relationships/hyperlink" Target="https://www.genome.jp/entry/R03913" TargetMode="External"/><Relationship Id="rId2533" Type="http://schemas.openxmlformats.org/officeDocument/2006/relationships/hyperlink" Target="https://www.genome.jp/entry/R11528" TargetMode="External"/><Relationship Id="rId505" Type="http://schemas.openxmlformats.org/officeDocument/2006/relationships/hyperlink" Target="https://www.genome.jp/entry/3.6.4.12" TargetMode="External"/><Relationship Id="rId712" Type="http://schemas.openxmlformats.org/officeDocument/2006/relationships/hyperlink" Target="https://www.genome.jp/entry/R04586" TargetMode="External"/><Relationship Id="rId1135" Type="http://schemas.openxmlformats.org/officeDocument/2006/relationships/hyperlink" Target="https://www.genome.jp/entry/R06917" TargetMode="External"/><Relationship Id="rId1342" Type="http://schemas.openxmlformats.org/officeDocument/2006/relationships/hyperlink" Target="https://www.genome.jp/entry/1.1.1.100" TargetMode="External"/><Relationship Id="rId1202" Type="http://schemas.openxmlformats.org/officeDocument/2006/relationships/hyperlink" Target="https://www.genome.jp/entry/R05133" TargetMode="External"/><Relationship Id="rId2600" Type="http://schemas.openxmlformats.org/officeDocument/2006/relationships/hyperlink" Target="https://www.genome.jp/entry/2.4.2.1" TargetMode="External"/><Relationship Id="rId295" Type="http://schemas.openxmlformats.org/officeDocument/2006/relationships/hyperlink" Target="https://www.genome.jp/entry/R02777" TargetMode="External"/><Relationship Id="rId2183" Type="http://schemas.openxmlformats.org/officeDocument/2006/relationships/hyperlink" Target="https://www.genome.jp/entry/2.4.1.21" TargetMode="External"/><Relationship Id="rId2390" Type="http://schemas.openxmlformats.org/officeDocument/2006/relationships/hyperlink" Target="https://www.genome.jp/entry/2.1.1.74" TargetMode="External"/><Relationship Id="rId155" Type="http://schemas.openxmlformats.org/officeDocument/2006/relationships/hyperlink" Target="https://www.genome.jp/entry/2.3.1.179" TargetMode="External"/><Relationship Id="rId362" Type="http://schemas.openxmlformats.org/officeDocument/2006/relationships/hyperlink" Target="https://www.genome.jp/entry/R01654" TargetMode="External"/><Relationship Id="rId2043" Type="http://schemas.openxmlformats.org/officeDocument/2006/relationships/hyperlink" Target="https://www.genome.jp/entry/R07641" TargetMode="External"/><Relationship Id="rId2250" Type="http://schemas.openxmlformats.org/officeDocument/2006/relationships/hyperlink" Target="https://www.genome.jp/entry/1.17.4.1" TargetMode="External"/><Relationship Id="rId222" Type="http://schemas.openxmlformats.org/officeDocument/2006/relationships/hyperlink" Target="https://www.genome.jp/entry/R04204" TargetMode="External"/><Relationship Id="rId2110" Type="http://schemas.openxmlformats.org/officeDocument/2006/relationships/hyperlink" Target="https://www.genome.jp/entry/R00703" TargetMode="External"/><Relationship Id="rId1669" Type="http://schemas.openxmlformats.org/officeDocument/2006/relationships/hyperlink" Target="https://www.genome.jp/entry/6.3.2.10" TargetMode="External"/><Relationship Id="rId1876" Type="http://schemas.openxmlformats.org/officeDocument/2006/relationships/hyperlink" Target="https://www.genome.jp/entry/R04314" TargetMode="External"/><Relationship Id="rId1529" Type="http://schemas.openxmlformats.org/officeDocument/2006/relationships/hyperlink" Target="https://www.genome.jp/entry/R07243" TargetMode="External"/><Relationship Id="rId1736" Type="http://schemas.openxmlformats.org/officeDocument/2006/relationships/hyperlink" Target="https://www.genome.jp/entry/R00190" TargetMode="External"/><Relationship Id="rId1943" Type="http://schemas.openxmlformats.org/officeDocument/2006/relationships/hyperlink" Target="https://www.genome.jp/entry/R03191" TargetMode="External"/><Relationship Id="rId28" Type="http://schemas.openxmlformats.org/officeDocument/2006/relationships/hyperlink" Target="https://www.genome.jp/entry/R06141" TargetMode="External"/><Relationship Id="rId1803" Type="http://schemas.openxmlformats.org/officeDocument/2006/relationships/hyperlink" Target="https://www.genome.jp/entry/R00896" TargetMode="External"/><Relationship Id="rId689" Type="http://schemas.openxmlformats.org/officeDocument/2006/relationships/hyperlink" Target="https://www.genome.jp/entry/3.2.1.23" TargetMode="External"/><Relationship Id="rId896" Type="http://schemas.openxmlformats.org/officeDocument/2006/relationships/hyperlink" Target="https://www.genome.jp/entry/R03014" TargetMode="External"/><Relationship Id="rId2577" Type="http://schemas.openxmlformats.org/officeDocument/2006/relationships/hyperlink" Target="https://www.genome.jp/entry/R02484" TargetMode="External"/><Relationship Id="rId549" Type="http://schemas.openxmlformats.org/officeDocument/2006/relationships/hyperlink" Target="https://www.genome.jp/entry/R04241" TargetMode="External"/><Relationship Id="rId756" Type="http://schemas.openxmlformats.org/officeDocument/2006/relationships/hyperlink" Target="https://www.genome.jp/entry/R04208" TargetMode="External"/><Relationship Id="rId1179" Type="http://schemas.openxmlformats.org/officeDocument/2006/relationships/hyperlink" Target="https://www.genome.jp/entry/R03244" TargetMode="External"/><Relationship Id="rId1386" Type="http://schemas.openxmlformats.org/officeDocument/2006/relationships/hyperlink" Target="https://www.genome.jp/entry/R06142" TargetMode="External"/><Relationship Id="rId1593" Type="http://schemas.openxmlformats.org/officeDocument/2006/relationships/hyperlink" Target="https://www.genome.jp/entry/2.5.1.54" TargetMode="External"/><Relationship Id="rId2437" Type="http://schemas.openxmlformats.org/officeDocument/2006/relationships/hyperlink" Target="https://www.genome.jp/entry/4.1.1.19" TargetMode="External"/><Relationship Id="rId409" Type="http://schemas.openxmlformats.org/officeDocument/2006/relationships/hyperlink" Target="https://www.genome.jp/entry/1.1.1.1" TargetMode="External"/><Relationship Id="rId963" Type="http://schemas.openxmlformats.org/officeDocument/2006/relationships/hyperlink" Target="https://www.genome.jp/entry/1.1.1.1" TargetMode="External"/><Relationship Id="rId1039" Type="http://schemas.openxmlformats.org/officeDocument/2006/relationships/hyperlink" Target="https://www.genome.jp/entry/R04365" TargetMode="External"/><Relationship Id="rId1246" Type="http://schemas.openxmlformats.org/officeDocument/2006/relationships/hyperlink" Target="https://www.genome.jp/entry/R00317" TargetMode="External"/><Relationship Id="rId2644" Type="http://schemas.openxmlformats.org/officeDocument/2006/relationships/hyperlink" Target="https://www.genome.jp/entry/1.5.1.5" TargetMode="External"/><Relationship Id="rId92" Type="http://schemas.openxmlformats.org/officeDocument/2006/relationships/hyperlink" Target="https://www.genome.jp/entry/R04440" TargetMode="External"/><Relationship Id="rId616" Type="http://schemas.openxmlformats.org/officeDocument/2006/relationships/hyperlink" Target="https://www.genome.jp/entry/R01569" TargetMode="External"/><Relationship Id="rId823" Type="http://schemas.openxmlformats.org/officeDocument/2006/relationships/hyperlink" Target="https://www.genome.jp/entry/2.7.7.7" TargetMode="External"/><Relationship Id="rId1453" Type="http://schemas.openxmlformats.org/officeDocument/2006/relationships/hyperlink" Target="https://www.genome.jp/entry/5.3.1.24" TargetMode="External"/><Relationship Id="rId1660" Type="http://schemas.openxmlformats.org/officeDocument/2006/relationships/hyperlink" Target="https://www.genome.jp/entry/4.1.3.3" TargetMode="External"/><Relationship Id="rId2504" Type="http://schemas.openxmlformats.org/officeDocument/2006/relationships/hyperlink" Target="https://www.genome.jp/entry/R00770" TargetMode="External"/><Relationship Id="rId1106" Type="http://schemas.openxmlformats.org/officeDocument/2006/relationships/hyperlink" Target="https://www.genome.jp/entry/R01968" TargetMode="External"/><Relationship Id="rId1313" Type="http://schemas.openxmlformats.org/officeDocument/2006/relationships/hyperlink" Target="https://www.genome.jp/entry/3.5.1.28" TargetMode="External"/><Relationship Id="rId1520" Type="http://schemas.openxmlformats.org/officeDocument/2006/relationships/hyperlink" Target="https://www.genome.jp/entry/2.4.1.52" TargetMode="External"/><Relationship Id="rId199" Type="http://schemas.openxmlformats.org/officeDocument/2006/relationships/hyperlink" Target="https://www.genome.jp/entry/2.3.1.41" TargetMode="External"/><Relationship Id="rId2087" Type="http://schemas.openxmlformats.org/officeDocument/2006/relationships/hyperlink" Target="https://www.genome.jp/entry/4.2.1.33" TargetMode="External"/><Relationship Id="rId2294" Type="http://schemas.openxmlformats.org/officeDocument/2006/relationships/hyperlink" Target="https://www.genome.jp/entry/R03240" TargetMode="External"/><Relationship Id="rId266" Type="http://schemas.openxmlformats.org/officeDocument/2006/relationships/hyperlink" Target="https://www.genome.jp/entry/6.1.1.11" TargetMode="External"/><Relationship Id="rId473" Type="http://schemas.openxmlformats.org/officeDocument/2006/relationships/hyperlink" Target="https://www.genome.jp/entry/3.2.1.21" TargetMode="External"/><Relationship Id="rId680" Type="http://schemas.openxmlformats.org/officeDocument/2006/relationships/hyperlink" Target="https://www.genome.jp/entry/R01678" TargetMode="External"/><Relationship Id="rId2154" Type="http://schemas.openxmlformats.org/officeDocument/2006/relationships/hyperlink" Target="https://www.genome.jp/entry/R11529" TargetMode="External"/><Relationship Id="rId2361" Type="http://schemas.openxmlformats.org/officeDocument/2006/relationships/hyperlink" Target="https://www.genome.jp/entry/R00130" TargetMode="External"/><Relationship Id="rId126" Type="http://schemas.openxmlformats.org/officeDocument/2006/relationships/hyperlink" Target="https://www.genome.jp/entry/R08648" TargetMode="External"/><Relationship Id="rId333" Type="http://schemas.openxmlformats.org/officeDocument/2006/relationships/hyperlink" Target="https://www.genome.jp/entry/1.11.1.9" TargetMode="External"/><Relationship Id="rId540" Type="http://schemas.openxmlformats.org/officeDocument/2006/relationships/hyperlink" Target="https://www.genome.jp/entry/1.17.4.2" TargetMode="External"/><Relationship Id="rId1170" Type="http://schemas.openxmlformats.org/officeDocument/2006/relationships/hyperlink" Target="https://www.genome.jp/entry/2.7.2.1" TargetMode="External"/><Relationship Id="rId2014" Type="http://schemas.openxmlformats.org/officeDocument/2006/relationships/hyperlink" Target="https://www.genome.jp/entry/4.1.3.3" TargetMode="External"/><Relationship Id="rId2221" Type="http://schemas.openxmlformats.org/officeDocument/2006/relationships/hyperlink" Target="https://www.genome.jp/entry/1.2.4.4" TargetMode="External"/><Relationship Id="rId1030" Type="http://schemas.openxmlformats.org/officeDocument/2006/relationships/hyperlink" Target="https://www.genome.jp/entry/2.4.1.25" TargetMode="External"/><Relationship Id="rId400" Type="http://schemas.openxmlformats.org/officeDocument/2006/relationships/hyperlink" Target="https://www.genome.jp/entry/R08557" TargetMode="External"/><Relationship Id="rId1987" Type="http://schemas.openxmlformats.org/officeDocument/2006/relationships/hyperlink" Target="https://www.genome.jp/entry/R01771" TargetMode="External"/><Relationship Id="rId1847" Type="http://schemas.openxmlformats.org/officeDocument/2006/relationships/hyperlink" Target="https://www.genome.jp/entry/5.5.1.5" TargetMode="External"/><Relationship Id="rId1707" Type="http://schemas.openxmlformats.org/officeDocument/2006/relationships/hyperlink" Target="https://www.genome.jp/entry/R11891" TargetMode="External"/><Relationship Id="rId190" Type="http://schemas.openxmlformats.org/officeDocument/2006/relationships/hyperlink" Target="https://www.genome.jp/entry/R10707" TargetMode="External"/><Relationship Id="rId1914" Type="http://schemas.openxmlformats.org/officeDocument/2006/relationships/hyperlink" Target="https://www.genome.jp/entry/R02814" TargetMode="External"/><Relationship Id="rId2688" Type="http://schemas.openxmlformats.org/officeDocument/2006/relationships/hyperlink" Target="https://www.genome.jp/entry/R00597" TargetMode="External"/><Relationship Id="rId867" Type="http://schemas.openxmlformats.org/officeDocument/2006/relationships/hyperlink" Target="https://www.genome.jp/entry/6.1.1.13" TargetMode="External"/><Relationship Id="rId1497" Type="http://schemas.openxmlformats.org/officeDocument/2006/relationships/hyperlink" Target="https://www.genome.jp/entry/R06087" TargetMode="External"/><Relationship Id="rId2548" Type="http://schemas.openxmlformats.org/officeDocument/2006/relationships/hyperlink" Target="https://www.genome.jp/entry/1.8.4.14" TargetMode="External"/><Relationship Id="rId727" Type="http://schemas.openxmlformats.org/officeDocument/2006/relationships/hyperlink" Target="https://www.genome.jp/entry/3.2.1.52" TargetMode="External"/><Relationship Id="rId934" Type="http://schemas.openxmlformats.org/officeDocument/2006/relationships/hyperlink" Target="https://www.genome.jp/entry/R06142" TargetMode="External"/><Relationship Id="rId1357" Type="http://schemas.openxmlformats.org/officeDocument/2006/relationships/hyperlink" Target="https://www.genome.jp/entry/3.2.1.22" TargetMode="External"/><Relationship Id="rId1564" Type="http://schemas.openxmlformats.org/officeDocument/2006/relationships/hyperlink" Target="https://www.genome.jp/entry/R00801" TargetMode="External"/><Relationship Id="rId1771" Type="http://schemas.openxmlformats.org/officeDocument/2006/relationships/hyperlink" Target="https://www.genome.jp/entry/5.4.2.3" TargetMode="External"/><Relationship Id="rId2408" Type="http://schemas.openxmlformats.org/officeDocument/2006/relationships/hyperlink" Target="https://www.genome.jp/entry/R02098" TargetMode="External"/><Relationship Id="rId2615" Type="http://schemas.openxmlformats.org/officeDocument/2006/relationships/hyperlink" Target="https://www.genome.jp/entry/R01863" TargetMode="External"/><Relationship Id="rId63" Type="http://schemas.openxmlformats.org/officeDocument/2006/relationships/hyperlink" Target="https://www.genome.jp/entry/2.7.7.7" TargetMode="External"/><Relationship Id="rId1217" Type="http://schemas.openxmlformats.org/officeDocument/2006/relationships/hyperlink" Target="https://www.genome.jp/entry/2.6.1.1" TargetMode="External"/><Relationship Id="rId1424" Type="http://schemas.openxmlformats.org/officeDocument/2006/relationships/hyperlink" Target="https://www.genome.jp/entry/R01092" TargetMode="External"/><Relationship Id="rId1631" Type="http://schemas.openxmlformats.org/officeDocument/2006/relationships/hyperlink" Target="https://www.genome.jp/entry/R04018" TargetMode="External"/><Relationship Id="rId2198" Type="http://schemas.openxmlformats.org/officeDocument/2006/relationships/hyperlink" Target="https://www.genome.jp/entry/2.1.1.37" TargetMode="External"/><Relationship Id="rId377" Type="http://schemas.openxmlformats.org/officeDocument/2006/relationships/hyperlink" Target="https://www.genome.jp/entry/1.1.1.1" TargetMode="External"/><Relationship Id="rId584" Type="http://schemas.openxmlformats.org/officeDocument/2006/relationships/hyperlink" Target="https://www.genome.jp/entry/R11100" TargetMode="External"/><Relationship Id="rId2058" Type="http://schemas.openxmlformats.org/officeDocument/2006/relationships/hyperlink" Target="https://www.genome.jp/entry/1.1.1.264" TargetMode="External"/><Relationship Id="rId2265" Type="http://schemas.openxmlformats.org/officeDocument/2006/relationships/hyperlink" Target="https://www.genome.jp/entry/R04294" TargetMode="External"/><Relationship Id="rId237" Type="http://schemas.openxmlformats.org/officeDocument/2006/relationships/hyperlink" Target="https://www.genome.jp/entry/R07893" TargetMode="External"/><Relationship Id="rId791" Type="http://schemas.openxmlformats.org/officeDocument/2006/relationships/hyperlink" Target="https://www.genome.jp/entry/4.3.2.2" TargetMode="External"/><Relationship Id="rId1074" Type="http://schemas.openxmlformats.org/officeDocument/2006/relationships/hyperlink" Target="https://www.genome.jp/entry/R01878" TargetMode="External"/><Relationship Id="rId2472" Type="http://schemas.openxmlformats.org/officeDocument/2006/relationships/hyperlink" Target="https://www.genome.jp/entry/R03238" TargetMode="External"/><Relationship Id="rId444" Type="http://schemas.openxmlformats.org/officeDocument/2006/relationships/hyperlink" Target="https://www.genome.jp/entry/3.2.1.41" TargetMode="External"/><Relationship Id="rId651" Type="http://schemas.openxmlformats.org/officeDocument/2006/relationships/hyperlink" Target="https://www.genome.jp/entry/R02748" TargetMode="External"/><Relationship Id="rId1281" Type="http://schemas.openxmlformats.org/officeDocument/2006/relationships/hyperlink" Target="https://www.genome.jp/entry/2.7.4.6" TargetMode="External"/><Relationship Id="rId2125" Type="http://schemas.openxmlformats.org/officeDocument/2006/relationships/hyperlink" Target="https://www.genome.jp/entry/R08635" TargetMode="External"/><Relationship Id="rId2332" Type="http://schemas.openxmlformats.org/officeDocument/2006/relationships/hyperlink" Target="https://www.genome.jp/entry/R01030" TargetMode="External"/><Relationship Id="rId304" Type="http://schemas.openxmlformats.org/officeDocument/2006/relationships/hyperlink" Target="https://www.genome.jp/entry/4.2.1.46" TargetMode="External"/><Relationship Id="rId511" Type="http://schemas.openxmlformats.org/officeDocument/2006/relationships/hyperlink" Target="https://www.genome.jp/entry/R10715" TargetMode="External"/><Relationship Id="rId1141" Type="http://schemas.openxmlformats.org/officeDocument/2006/relationships/hyperlink" Target="https://www.genome.jp/entry/R08306" TargetMode="External"/><Relationship Id="rId1001" Type="http://schemas.openxmlformats.org/officeDocument/2006/relationships/hyperlink" Target="https://www.genome.jp/entry/2.7.1.85" TargetMode="External"/><Relationship Id="rId1958" Type="http://schemas.openxmlformats.org/officeDocument/2006/relationships/hyperlink" Target="https://www.genome.jp/entry/1.1.1.25" TargetMode="External"/><Relationship Id="rId1818" Type="http://schemas.openxmlformats.org/officeDocument/2006/relationships/hyperlink" Target="https://www.genome.jp/entry/R02786" TargetMode="External"/><Relationship Id="rId161" Type="http://schemas.openxmlformats.org/officeDocument/2006/relationships/hyperlink" Target="https://www.genome.jp/entry/2.3.1.179" TargetMode="External"/><Relationship Id="rId978" Type="http://schemas.openxmlformats.org/officeDocument/2006/relationships/hyperlink" Target="https://www.genome.jp/entry/R02246" TargetMode="External"/><Relationship Id="rId2659" Type="http://schemas.openxmlformats.org/officeDocument/2006/relationships/hyperlink" Target="https://www.genome.jp/entry/1.1.1.163" TargetMode="External"/><Relationship Id="rId838" Type="http://schemas.openxmlformats.org/officeDocument/2006/relationships/hyperlink" Target="https://www.genome.jp/entry/R03664" TargetMode="External"/><Relationship Id="rId1468" Type="http://schemas.openxmlformats.org/officeDocument/2006/relationships/hyperlink" Target="https://www.genome.jp/entry/R03910" TargetMode="External"/><Relationship Id="rId1675" Type="http://schemas.openxmlformats.org/officeDocument/2006/relationships/hyperlink" Target="https://www.genome.jp/entry/2.7.6.5" TargetMode="External"/><Relationship Id="rId1882" Type="http://schemas.openxmlformats.org/officeDocument/2006/relationships/hyperlink" Target="https://www.genome.jp/entry/R03596" TargetMode="External"/><Relationship Id="rId2519" Type="http://schemas.openxmlformats.org/officeDocument/2006/relationships/hyperlink" Target="https://www.genome.jp/entry/2.7.1.56" TargetMode="External"/><Relationship Id="rId1328" Type="http://schemas.openxmlformats.org/officeDocument/2006/relationships/hyperlink" Target="https://www.genome.jp/entry/1.1.1.100" TargetMode="External"/><Relationship Id="rId1535" Type="http://schemas.openxmlformats.org/officeDocument/2006/relationships/hyperlink" Target="https://www.genome.jp/entry/R02090" TargetMode="External"/><Relationship Id="rId905" Type="http://schemas.openxmlformats.org/officeDocument/2006/relationships/hyperlink" Target="https://www.genome.jp/entry/3.2.1.22" TargetMode="External"/><Relationship Id="rId1742" Type="http://schemas.openxmlformats.org/officeDocument/2006/relationships/hyperlink" Target="https://www.genome.jp/entry/R01015" TargetMode="External"/><Relationship Id="rId34" Type="http://schemas.openxmlformats.org/officeDocument/2006/relationships/hyperlink" Target="https://www.genome.jp/entry/R09323" TargetMode="External"/><Relationship Id="rId1602" Type="http://schemas.openxmlformats.org/officeDocument/2006/relationships/hyperlink" Target="https://www.genome.jp/entry/3.1.1.41" TargetMode="External"/><Relationship Id="rId488" Type="http://schemas.openxmlformats.org/officeDocument/2006/relationships/hyperlink" Target="https://www.genome.jp/entry/R10039" TargetMode="External"/><Relationship Id="rId695" Type="http://schemas.openxmlformats.org/officeDocument/2006/relationships/hyperlink" Target="https://www.genome.jp/entry/3.2.1.23" TargetMode="External"/><Relationship Id="rId2169" Type="http://schemas.openxmlformats.org/officeDocument/2006/relationships/hyperlink" Target="https://www.genome.jp/entry/R00382" TargetMode="External"/><Relationship Id="rId2376" Type="http://schemas.openxmlformats.org/officeDocument/2006/relationships/hyperlink" Target="https://www.genome.jp/entry/1.4.1.1" TargetMode="External"/><Relationship Id="rId2583" Type="http://schemas.openxmlformats.org/officeDocument/2006/relationships/hyperlink" Target="https://www.genome.jp/entry/R03018" TargetMode="External"/><Relationship Id="rId348" Type="http://schemas.openxmlformats.org/officeDocument/2006/relationships/hyperlink" Target="https://www.genome.jp/entry/R00424" TargetMode="External"/><Relationship Id="rId555" Type="http://schemas.openxmlformats.org/officeDocument/2006/relationships/hyperlink" Target="https://www.genome.jp/entry/R02237" TargetMode="External"/><Relationship Id="rId762" Type="http://schemas.openxmlformats.org/officeDocument/2006/relationships/hyperlink" Target="https://www.genome.jp/entry/R04591" TargetMode="External"/><Relationship Id="rId1185" Type="http://schemas.openxmlformats.org/officeDocument/2006/relationships/hyperlink" Target="https://www.genome.jp/entry/R01067" TargetMode="External"/><Relationship Id="rId1392" Type="http://schemas.openxmlformats.org/officeDocument/2006/relationships/hyperlink" Target="https://www.genome.jp/entry/R06034" TargetMode="External"/><Relationship Id="rId2029" Type="http://schemas.openxmlformats.org/officeDocument/2006/relationships/hyperlink" Target="https://www.genome.jp/entry/4.2.99.18" TargetMode="External"/><Relationship Id="rId2236" Type="http://schemas.openxmlformats.org/officeDocument/2006/relationships/hyperlink" Target="https://www.genome.jp/entry/R01699" TargetMode="External"/><Relationship Id="rId2443" Type="http://schemas.openxmlformats.org/officeDocument/2006/relationships/hyperlink" Target="https://www.genome.jp/entry/2.7.1.40" TargetMode="External"/><Relationship Id="rId2650" Type="http://schemas.openxmlformats.org/officeDocument/2006/relationships/hyperlink" Target="https://www.genome.jp/entry/2.7.13.3" TargetMode="External"/><Relationship Id="rId208" Type="http://schemas.openxmlformats.org/officeDocument/2006/relationships/hyperlink" Target="https://www.genome.jp/entry/R07762" TargetMode="External"/><Relationship Id="rId415" Type="http://schemas.openxmlformats.org/officeDocument/2006/relationships/hyperlink" Target="https://www.genome.jp/entry/4.2.1.70" TargetMode="External"/><Relationship Id="rId622" Type="http://schemas.openxmlformats.org/officeDocument/2006/relationships/hyperlink" Target="https://www.genome.jp/entry/R02088" TargetMode="External"/><Relationship Id="rId1045" Type="http://schemas.openxmlformats.org/officeDocument/2006/relationships/hyperlink" Target="https://www.genome.jp/entry/1.1.1.94" TargetMode="External"/><Relationship Id="rId1252" Type="http://schemas.openxmlformats.org/officeDocument/2006/relationships/hyperlink" Target="https://www.genome.jp/entry/R00483" TargetMode="External"/><Relationship Id="rId2303" Type="http://schemas.openxmlformats.org/officeDocument/2006/relationships/hyperlink" Target="https://www.genome.jp/entry/R00291" TargetMode="External"/><Relationship Id="rId2510" Type="http://schemas.openxmlformats.org/officeDocument/2006/relationships/hyperlink" Target="https://www.genome.jp/entry/R03237" TargetMode="External"/><Relationship Id="rId1112" Type="http://schemas.openxmlformats.org/officeDocument/2006/relationships/hyperlink" Target="https://www.genome.jp/entry/R12958" TargetMode="External"/><Relationship Id="rId1929" Type="http://schemas.openxmlformats.org/officeDocument/2006/relationships/hyperlink" Target="https://www.genome.jp/entry/3.1.3.25" TargetMode="External"/><Relationship Id="rId2093" Type="http://schemas.openxmlformats.org/officeDocument/2006/relationships/hyperlink" Target="https://www.genome.jp/entry/1.7.1.7" TargetMode="External"/><Relationship Id="rId272" Type="http://schemas.openxmlformats.org/officeDocument/2006/relationships/hyperlink" Target="https://www.genome.jp/entry/R04273" TargetMode="External"/><Relationship Id="rId2160" Type="http://schemas.openxmlformats.org/officeDocument/2006/relationships/hyperlink" Target="https://www.genome.jp/entry/R00104" TargetMode="External"/><Relationship Id="rId132" Type="http://schemas.openxmlformats.org/officeDocument/2006/relationships/hyperlink" Target="https://www.genome.jp/entry/R01896" TargetMode="External"/><Relationship Id="rId2020" Type="http://schemas.openxmlformats.org/officeDocument/2006/relationships/hyperlink" Target="https://www.genome.jp/entry/R00248" TargetMode="External"/><Relationship Id="rId1579" Type="http://schemas.openxmlformats.org/officeDocument/2006/relationships/hyperlink" Target="https://www.genome.jp/entry/3.2.1.26" TargetMode="External"/><Relationship Id="rId949" Type="http://schemas.openxmlformats.org/officeDocument/2006/relationships/hyperlink" Target="https://www.genome.jp/entry/1.1.1.1" TargetMode="External"/><Relationship Id="rId1786" Type="http://schemas.openxmlformats.org/officeDocument/2006/relationships/hyperlink" Target="https://www.genome.jp/entry/R09386" TargetMode="External"/><Relationship Id="rId1993" Type="http://schemas.openxmlformats.org/officeDocument/2006/relationships/hyperlink" Target="https://www.genome.jp/entry/2.1.1.37" TargetMode="External"/><Relationship Id="rId78" Type="http://schemas.openxmlformats.org/officeDocument/2006/relationships/hyperlink" Target="https://www.genome.jp/entry/R00996" TargetMode="External"/><Relationship Id="rId809" Type="http://schemas.openxmlformats.org/officeDocument/2006/relationships/hyperlink" Target="https://www.genome.jp/entry/2.4.2.8" TargetMode="External"/><Relationship Id="rId1439" Type="http://schemas.openxmlformats.org/officeDocument/2006/relationships/hyperlink" Target="https://www.genome.jp/entry/3.6.3.31" TargetMode="External"/><Relationship Id="rId1646" Type="http://schemas.openxmlformats.org/officeDocument/2006/relationships/hyperlink" Target="https://www.genome.jp/entry/3.2.1.18" TargetMode="External"/><Relationship Id="rId1853" Type="http://schemas.openxmlformats.org/officeDocument/2006/relationships/hyperlink" Target="https://www.genome.jp/entry/5.4.2.2" TargetMode="External"/><Relationship Id="rId1506" Type="http://schemas.openxmlformats.org/officeDocument/2006/relationships/hyperlink" Target="https://www.genome.jp/entry/3.6.4.6" TargetMode="External"/><Relationship Id="rId1713" Type="http://schemas.openxmlformats.org/officeDocument/2006/relationships/hyperlink" Target="https://www.genome.jp/entry/R04509" TargetMode="External"/><Relationship Id="rId1920" Type="http://schemas.openxmlformats.org/officeDocument/2006/relationships/hyperlink" Target="https://www.genome.jp/entry/R08159" TargetMode="External"/><Relationship Id="rId599" Type="http://schemas.openxmlformats.org/officeDocument/2006/relationships/hyperlink" Target="https://www.genome.jp/entry/3.1.3.5" TargetMode="External"/><Relationship Id="rId2487" Type="http://schemas.openxmlformats.org/officeDocument/2006/relationships/hyperlink" Target="https://www.genome.jp/entry/3.4.14.11" TargetMode="External"/><Relationship Id="rId2694" Type="http://schemas.openxmlformats.org/officeDocument/2006/relationships/hyperlink" Target="https://www.genome.jp/entry/1.3.98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F7" sqref="F7"/>
    </sheetView>
  </sheetViews>
  <sheetFormatPr defaultColWidth="14.453125" defaultRowHeight="15" customHeight="1"/>
  <cols>
    <col min="1" max="1" width="29" customWidth="1"/>
    <col min="2" max="2" width="19.26953125" customWidth="1"/>
    <col min="3" max="3" width="18.7265625" customWidth="1"/>
    <col min="4" max="26" width="9.08984375" customWidth="1"/>
  </cols>
  <sheetData>
    <row r="1" spans="1:3" ht="14.5">
      <c r="A1" s="14" t="s">
        <v>0</v>
      </c>
      <c r="B1" s="12" t="s">
        <v>1</v>
      </c>
    </row>
    <row r="2" spans="1:3" ht="14.5">
      <c r="A2" s="14" t="s">
        <v>2</v>
      </c>
      <c r="B2" s="10" t="s">
        <v>3</v>
      </c>
    </row>
    <row r="3" spans="1:3" ht="14.5">
      <c r="A3" s="14" t="s">
        <v>4</v>
      </c>
      <c r="B3" s="10" t="s">
        <v>5</v>
      </c>
    </row>
    <row r="4" spans="1:3" ht="14.5">
      <c r="A4" s="14" t="s">
        <v>6</v>
      </c>
    </row>
    <row r="5" spans="1:3" ht="14.5">
      <c r="A5" s="14" t="s">
        <v>7</v>
      </c>
      <c r="B5" t="s">
        <v>8</v>
      </c>
    </row>
    <row r="6" spans="1:3" ht="14.5">
      <c r="A6" s="14" t="s">
        <v>9</v>
      </c>
      <c r="B6" s="15" t="s">
        <v>10</v>
      </c>
    </row>
    <row r="7" spans="1:3" ht="14.5">
      <c r="A7" s="14"/>
      <c r="B7" s="16" t="s">
        <v>11</v>
      </c>
      <c r="C7" s="16" t="s">
        <v>12</v>
      </c>
    </row>
    <row r="8" spans="1:3" ht="14.5">
      <c r="A8" s="14" t="s">
        <v>13</v>
      </c>
      <c r="B8" s="16" t="s">
        <v>14</v>
      </c>
      <c r="C8" s="16" t="s">
        <v>14</v>
      </c>
    </row>
    <row r="9" spans="1:3" ht="14.5">
      <c r="A9" s="14" t="s">
        <v>15</v>
      </c>
      <c r="B9" s="16" t="s">
        <v>14</v>
      </c>
      <c r="C9" s="16" t="s">
        <v>14</v>
      </c>
    </row>
    <row r="10" spans="1:3" ht="14.5">
      <c r="A10" s="14" t="s">
        <v>16</v>
      </c>
      <c r="B10" s="16">
        <v>1</v>
      </c>
      <c r="C10" s="16">
        <v>1</v>
      </c>
    </row>
    <row r="11" spans="1:3" ht="14.5">
      <c r="A11" s="14" t="s">
        <v>17</v>
      </c>
      <c r="B11" s="16">
        <v>1</v>
      </c>
      <c r="C11" s="16">
        <v>1</v>
      </c>
    </row>
    <row r="12" spans="1:3" ht="14.5">
      <c r="A12" s="14" t="s">
        <v>18</v>
      </c>
      <c r="B12" s="16" t="s">
        <v>14</v>
      </c>
      <c r="C12" s="16" t="s">
        <v>14</v>
      </c>
    </row>
    <row r="13" spans="1:3" ht="14.5">
      <c r="A13" s="14" t="s">
        <v>19</v>
      </c>
      <c r="B13" s="16">
        <v>1</v>
      </c>
      <c r="C13" s="16">
        <v>1</v>
      </c>
    </row>
    <row r="14" spans="1:3" ht="14.5">
      <c r="A14" s="14" t="s">
        <v>20</v>
      </c>
      <c r="B14" s="16">
        <v>1</v>
      </c>
      <c r="C14" s="16">
        <v>1</v>
      </c>
    </row>
    <row r="15" spans="1:3" ht="14.5">
      <c r="A15" s="14" t="s">
        <v>21</v>
      </c>
      <c r="B15" s="16" t="s">
        <v>14</v>
      </c>
      <c r="C15" s="16" t="s">
        <v>14</v>
      </c>
    </row>
    <row r="16" spans="1:3" ht="14.5">
      <c r="A16" s="14" t="s">
        <v>22</v>
      </c>
      <c r="B16" s="16">
        <v>1</v>
      </c>
      <c r="C16" s="16">
        <v>1</v>
      </c>
    </row>
    <row r="17" spans="1:3" ht="14.5">
      <c r="A17" s="14" t="s">
        <v>23</v>
      </c>
      <c r="B17" s="16">
        <v>39.5</v>
      </c>
      <c r="C17" s="16">
        <v>39.5</v>
      </c>
    </row>
    <row r="18" spans="1:3" ht="14.5">
      <c r="A18" s="14" t="s">
        <v>24</v>
      </c>
      <c r="B18" s="16" t="s">
        <v>25</v>
      </c>
      <c r="C18" s="16" t="s">
        <v>25</v>
      </c>
    </row>
    <row r="19" spans="1:3" ht="14.5">
      <c r="A19" s="14" t="s">
        <v>26</v>
      </c>
      <c r="B19" s="17">
        <v>2189</v>
      </c>
      <c r="C19" s="17">
        <v>2147</v>
      </c>
    </row>
    <row r="20" spans="1:3" ht="14.5">
      <c r="A20" s="14" t="s">
        <v>27</v>
      </c>
      <c r="B20" s="17">
        <v>1931</v>
      </c>
      <c r="C20" s="17">
        <v>2088</v>
      </c>
    </row>
    <row r="21" spans="1:3" ht="15.75" customHeight="1">
      <c r="A21" s="18"/>
      <c r="B21" s="16"/>
      <c r="C21" s="16"/>
    </row>
    <row r="22" spans="1:3" ht="15.75" customHeight="1">
      <c r="A22" s="14" t="s">
        <v>28</v>
      </c>
      <c r="B22" s="16" t="s">
        <v>10</v>
      </c>
      <c r="C22" s="16" t="s">
        <v>29</v>
      </c>
    </row>
    <row r="23" spans="1:3" ht="15.75" customHeight="1">
      <c r="A23" s="18"/>
    </row>
    <row r="24" spans="1:3" ht="15.75" customHeight="1">
      <c r="A24" s="18"/>
    </row>
    <row r="25" spans="1:3" ht="15.75" customHeight="1">
      <c r="A25" s="18" t="s">
        <v>30</v>
      </c>
    </row>
    <row r="26" spans="1:3" ht="15.75" customHeight="1">
      <c r="A26" s="18" t="s">
        <v>31</v>
      </c>
      <c r="B26" s="19">
        <v>0.98399999999999999</v>
      </c>
    </row>
    <row r="27" spans="1:3" ht="15.75" customHeight="1">
      <c r="A27" s="18" t="s">
        <v>32</v>
      </c>
      <c r="B27" s="19">
        <v>9.4000000000000004E-3</v>
      </c>
    </row>
    <row r="28" spans="1:3" ht="15.75" customHeight="1">
      <c r="A28" s="20"/>
    </row>
    <row r="29" spans="1:3" ht="15.75" customHeight="1">
      <c r="A29" s="20"/>
    </row>
    <row r="30" spans="1:3" ht="15.75" customHeight="1">
      <c r="A30" s="20"/>
    </row>
    <row r="31" spans="1:3" ht="15.75" customHeight="1">
      <c r="A31" s="20"/>
    </row>
    <row r="32" spans="1:3" ht="15.75" customHeight="1">
      <c r="A32" s="20"/>
    </row>
    <row r="33" spans="1:1" ht="15.75" customHeight="1">
      <c r="A33" s="20"/>
    </row>
    <row r="34" spans="1:1" ht="15.75" customHeight="1">
      <c r="A34" s="20"/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1" r:id="rId1" tooltip="https://www.ncbi.nlm.nih.gov/datasets/genome/GCF_001457635.1/" xr:uid="{00000000-0004-0000-0000-000000000000}"/>
    <hyperlink ref="B6" r:id="rId2" xr:uid="{00000000-0004-0000-0000-000001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48"/>
  <sheetViews>
    <sheetView topLeftCell="A16" workbookViewId="0"/>
  </sheetViews>
  <sheetFormatPr defaultColWidth="14.453125" defaultRowHeight="15" customHeight="1"/>
  <cols>
    <col min="1" max="1" width="17.7265625" customWidth="1"/>
    <col min="2" max="2" width="13.08984375" customWidth="1"/>
    <col min="3" max="3" width="9.08984375" customWidth="1"/>
    <col min="4" max="4" width="15.54296875" customWidth="1"/>
    <col min="5" max="5" width="11.7265625" customWidth="1"/>
    <col min="6" max="6" width="102" customWidth="1"/>
    <col min="7" max="7" width="15" customWidth="1"/>
    <col min="8" max="8" width="11.08984375" customWidth="1"/>
    <col min="9" max="9" width="18" customWidth="1"/>
    <col min="10" max="10" width="19.54296875" customWidth="1"/>
    <col min="11" max="11" width="18.26953125" customWidth="1"/>
    <col min="12" max="12" width="18.54296875" customWidth="1"/>
    <col min="13" max="13" width="90.54296875" customWidth="1"/>
    <col min="14" max="14" width="19.54296875" customWidth="1"/>
    <col min="15" max="15" width="18.26953125" customWidth="1"/>
    <col min="16" max="26" width="9.08984375" customWidth="1"/>
  </cols>
  <sheetData>
    <row r="1" spans="1:15" ht="14.5">
      <c r="A1" t="s">
        <v>33</v>
      </c>
      <c r="B1" t="s">
        <v>34</v>
      </c>
      <c r="C1" t="s">
        <v>35</v>
      </c>
      <c r="D1" t="s">
        <v>28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ht="14.5">
      <c r="A2" t="s">
        <v>29</v>
      </c>
      <c r="B2">
        <v>558</v>
      </c>
      <c r="C2">
        <v>758</v>
      </c>
      <c r="D2">
        <v>1</v>
      </c>
      <c r="E2" t="s">
        <v>47</v>
      </c>
      <c r="F2" t="s">
        <v>48</v>
      </c>
      <c r="I2" t="s">
        <v>49</v>
      </c>
      <c r="L2" t="s">
        <v>50</v>
      </c>
      <c r="M2" t="s">
        <v>48</v>
      </c>
      <c r="N2">
        <v>66</v>
      </c>
      <c r="O2" t="s">
        <v>51</v>
      </c>
    </row>
    <row r="3" spans="1:15" ht="14.5">
      <c r="A3" t="s">
        <v>29</v>
      </c>
      <c r="B3">
        <v>991</v>
      </c>
      <c r="C3">
        <v>1263</v>
      </c>
      <c r="D3">
        <v>1</v>
      </c>
      <c r="E3" t="s">
        <v>47</v>
      </c>
      <c r="F3" t="s">
        <v>48</v>
      </c>
      <c r="I3" t="s">
        <v>49</v>
      </c>
      <c r="L3" t="s">
        <v>52</v>
      </c>
      <c r="M3" t="s">
        <v>48</v>
      </c>
      <c r="N3">
        <v>90</v>
      </c>
      <c r="O3" t="s">
        <v>53</v>
      </c>
    </row>
    <row r="4" spans="1:15" ht="14.5">
      <c r="A4" t="s">
        <v>29</v>
      </c>
      <c r="B4">
        <v>1425</v>
      </c>
      <c r="C4">
        <v>1559</v>
      </c>
      <c r="D4">
        <v>1</v>
      </c>
      <c r="E4" t="s">
        <v>47</v>
      </c>
      <c r="F4" t="s">
        <v>54</v>
      </c>
      <c r="G4" t="s">
        <v>55</v>
      </c>
      <c r="I4" t="s">
        <v>49</v>
      </c>
      <c r="L4" t="s">
        <v>56</v>
      </c>
      <c r="M4" t="s">
        <v>54</v>
      </c>
      <c r="N4">
        <v>44</v>
      </c>
      <c r="O4" t="s">
        <v>57</v>
      </c>
    </row>
    <row r="5" spans="1:15" ht="14.5">
      <c r="A5" t="s">
        <v>29</v>
      </c>
      <c r="B5">
        <v>1958</v>
      </c>
      <c r="C5">
        <v>2302</v>
      </c>
      <c r="D5">
        <v>1</v>
      </c>
      <c r="E5" t="s">
        <v>47</v>
      </c>
      <c r="F5" t="s">
        <v>54</v>
      </c>
      <c r="G5" t="s">
        <v>58</v>
      </c>
      <c r="I5" t="s">
        <v>49</v>
      </c>
      <c r="L5" t="s">
        <v>59</v>
      </c>
      <c r="M5" t="s">
        <v>54</v>
      </c>
      <c r="N5">
        <v>114</v>
      </c>
      <c r="O5" t="s">
        <v>60</v>
      </c>
    </row>
    <row r="6" spans="1:15" ht="14.5">
      <c r="A6" t="s">
        <v>29</v>
      </c>
      <c r="B6">
        <v>2286</v>
      </c>
      <c r="C6">
        <v>2615</v>
      </c>
      <c r="D6">
        <v>1</v>
      </c>
      <c r="E6" t="s">
        <v>47</v>
      </c>
      <c r="F6" t="s">
        <v>61</v>
      </c>
      <c r="G6" t="s">
        <v>62</v>
      </c>
      <c r="I6" t="s">
        <v>49</v>
      </c>
      <c r="L6" t="s">
        <v>63</v>
      </c>
      <c r="M6" t="s">
        <v>61</v>
      </c>
      <c r="N6">
        <v>109</v>
      </c>
      <c r="O6" t="s">
        <v>64</v>
      </c>
    </row>
    <row r="7" spans="1:15" ht="14.5">
      <c r="A7" t="s">
        <v>29</v>
      </c>
      <c r="B7">
        <v>2762</v>
      </c>
      <c r="C7">
        <v>3289</v>
      </c>
      <c r="D7">
        <v>1</v>
      </c>
      <c r="E7" t="s">
        <v>47</v>
      </c>
      <c r="F7" t="s">
        <v>65</v>
      </c>
      <c r="I7" t="s">
        <v>49</v>
      </c>
      <c r="L7" t="s">
        <v>66</v>
      </c>
      <c r="M7" t="s">
        <v>65</v>
      </c>
      <c r="N7">
        <v>175</v>
      </c>
      <c r="O7" t="s">
        <v>67</v>
      </c>
    </row>
    <row r="8" spans="1:15" ht="14.5">
      <c r="A8" t="s">
        <v>29</v>
      </c>
      <c r="B8">
        <v>3366</v>
      </c>
      <c r="C8">
        <v>3722</v>
      </c>
      <c r="D8">
        <v>1</v>
      </c>
      <c r="E8" t="s">
        <v>47</v>
      </c>
      <c r="F8" t="s">
        <v>68</v>
      </c>
      <c r="G8" t="s">
        <v>69</v>
      </c>
      <c r="I8" t="s">
        <v>49</v>
      </c>
      <c r="L8" t="s">
        <v>70</v>
      </c>
      <c r="M8" t="s">
        <v>68</v>
      </c>
      <c r="N8">
        <v>118</v>
      </c>
      <c r="O8" t="s">
        <v>71</v>
      </c>
    </row>
    <row r="9" spans="1:15" ht="14.5">
      <c r="A9" t="s">
        <v>29</v>
      </c>
      <c r="B9">
        <v>3759</v>
      </c>
      <c r="C9">
        <v>5105</v>
      </c>
      <c r="D9">
        <v>1</v>
      </c>
      <c r="E9" t="s">
        <v>47</v>
      </c>
      <c r="F9" t="s">
        <v>72</v>
      </c>
      <c r="G9" t="s">
        <v>73</v>
      </c>
      <c r="I9" t="s">
        <v>49</v>
      </c>
      <c r="L9" t="s">
        <v>74</v>
      </c>
      <c r="M9" t="s">
        <v>72</v>
      </c>
      <c r="N9">
        <v>448</v>
      </c>
      <c r="O9" t="s">
        <v>75</v>
      </c>
    </row>
    <row r="10" spans="1:15" ht="14.5">
      <c r="A10" t="s">
        <v>29</v>
      </c>
      <c r="B10">
        <v>5548</v>
      </c>
      <c r="C10">
        <v>6894</v>
      </c>
      <c r="D10">
        <v>1</v>
      </c>
      <c r="E10" t="s">
        <v>76</v>
      </c>
      <c r="F10" t="s">
        <v>77</v>
      </c>
      <c r="I10" t="s">
        <v>49</v>
      </c>
      <c r="L10" t="s">
        <v>78</v>
      </c>
      <c r="M10" t="s">
        <v>77</v>
      </c>
      <c r="N10">
        <v>448</v>
      </c>
      <c r="O10" t="s">
        <v>79</v>
      </c>
    </row>
    <row r="11" spans="1:15" ht="14.5">
      <c r="A11" t="s">
        <v>29</v>
      </c>
      <c r="B11">
        <v>7588</v>
      </c>
      <c r="C11">
        <v>8868</v>
      </c>
      <c r="D11">
        <v>1</v>
      </c>
      <c r="E11" t="s">
        <v>47</v>
      </c>
      <c r="F11" t="s">
        <v>80</v>
      </c>
      <c r="G11" t="s">
        <v>81</v>
      </c>
      <c r="I11" t="s">
        <v>49</v>
      </c>
      <c r="L11" t="s">
        <v>82</v>
      </c>
      <c r="M11" t="s">
        <v>80</v>
      </c>
      <c r="N11">
        <v>426</v>
      </c>
      <c r="O11" t="s">
        <v>83</v>
      </c>
    </row>
    <row r="12" spans="1:15" ht="14.5">
      <c r="A12" t="s">
        <v>29</v>
      </c>
      <c r="B12">
        <v>8925</v>
      </c>
      <c r="C12">
        <v>9722</v>
      </c>
      <c r="D12">
        <v>1</v>
      </c>
      <c r="E12" t="s">
        <v>47</v>
      </c>
      <c r="F12" t="s">
        <v>84</v>
      </c>
      <c r="G12" t="s">
        <v>85</v>
      </c>
      <c r="I12" t="s">
        <v>49</v>
      </c>
      <c r="L12" t="s">
        <v>86</v>
      </c>
      <c r="M12" t="s">
        <v>84</v>
      </c>
      <c r="N12">
        <v>265</v>
      </c>
      <c r="O12" t="s">
        <v>87</v>
      </c>
    </row>
    <row r="13" spans="1:15" ht="14.5">
      <c r="A13" t="s">
        <v>29</v>
      </c>
      <c r="B13">
        <v>9793</v>
      </c>
      <c r="C13">
        <v>10338</v>
      </c>
      <c r="D13">
        <v>1</v>
      </c>
      <c r="E13" t="s">
        <v>47</v>
      </c>
      <c r="F13" t="s">
        <v>88</v>
      </c>
      <c r="I13" t="s">
        <v>49</v>
      </c>
      <c r="L13" t="s">
        <v>89</v>
      </c>
      <c r="M13" t="s">
        <v>88</v>
      </c>
      <c r="N13">
        <v>181</v>
      </c>
      <c r="O13" t="s">
        <v>90</v>
      </c>
    </row>
    <row r="14" spans="1:15" ht="14.5">
      <c r="A14" t="s">
        <v>29</v>
      </c>
      <c r="B14">
        <v>10286</v>
      </c>
      <c r="C14">
        <v>11569</v>
      </c>
      <c r="D14">
        <v>1</v>
      </c>
      <c r="E14" t="s">
        <v>76</v>
      </c>
      <c r="F14" t="s">
        <v>91</v>
      </c>
      <c r="G14" t="s">
        <v>92</v>
      </c>
      <c r="I14" t="s">
        <v>49</v>
      </c>
      <c r="L14" t="s">
        <v>93</v>
      </c>
      <c r="M14" t="s">
        <v>91</v>
      </c>
      <c r="N14">
        <v>427</v>
      </c>
      <c r="O14" t="s">
        <v>94</v>
      </c>
    </row>
    <row r="15" spans="1:15" ht="14.5">
      <c r="A15" t="s">
        <v>29</v>
      </c>
      <c r="B15">
        <v>12278</v>
      </c>
      <c r="C15">
        <v>13624</v>
      </c>
      <c r="D15">
        <v>1</v>
      </c>
      <c r="E15" t="s">
        <v>47</v>
      </c>
      <c r="F15" t="s">
        <v>77</v>
      </c>
      <c r="I15" t="s">
        <v>49</v>
      </c>
      <c r="L15" t="s">
        <v>95</v>
      </c>
      <c r="M15" t="s">
        <v>77</v>
      </c>
      <c r="N15">
        <v>448</v>
      </c>
      <c r="O15" t="s">
        <v>96</v>
      </c>
    </row>
    <row r="16" spans="1:15" ht="14.5">
      <c r="A16" t="s">
        <v>29</v>
      </c>
      <c r="B16">
        <v>14067</v>
      </c>
      <c r="C16">
        <v>15413</v>
      </c>
      <c r="D16">
        <v>1</v>
      </c>
      <c r="E16" t="s">
        <v>76</v>
      </c>
      <c r="F16" t="s">
        <v>72</v>
      </c>
      <c r="G16" t="s">
        <v>97</v>
      </c>
      <c r="I16" t="s">
        <v>49</v>
      </c>
      <c r="L16" t="s">
        <v>98</v>
      </c>
      <c r="M16" t="s">
        <v>72</v>
      </c>
      <c r="N16">
        <v>448</v>
      </c>
      <c r="O16" t="s">
        <v>99</v>
      </c>
    </row>
    <row r="17" spans="1:15" ht="14.5">
      <c r="A17" t="s">
        <v>29</v>
      </c>
      <c r="B17">
        <v>15450</v>
      </c>
      <c r="C17">
        <v>15806</v>
      </c>
      <c r="D17">
        <v>1</v>
      </c>
      <c r="E17" t="s">
        <v>76</v>
      </c>
      <c r="F17" t="s">
        <v>68</v>
      </c>
      <c r="G17" t="s">
        <v>100</v>
      </c>
      <c r="I17" t="s">
        <v>49</v>
      </c>
      <c r="L17" t="s">
        <v>101</v>
      </c>
      <c r="M17" t="s">
        <v>68</v>
      </c>
      <c r="N17">
        <v>118</v>
      </c>
      <c r="O17" t="s">
        <v>102</v>
      </c>
    </row>
    <row r="18" spans="1:15" ht="14.5">
      <c r="A18" t="s">
        <v>29</v>
      </c>
      <c r="B18">
        <v>15883</v>
      </c>
      <c r="C18">
        <v>16410</v>
      </c>
      <c r="D18">
        <v>1</v>
      </c>
      <c r="E18" t="s">
        <v>76</v>
      </c>
      <c r="F18" t="s">
        <v>65</v>
      </c>
      <c r="I18" t="s">
        <v>49</v>
      </c>
      <c r="L18" t="s">
        <v>103</v>
      </c>
      <c r="M18" t="s">
        <v>65</v>
      </c>
      <c r="N18">
        <v>175</v>
      </c>
      <c r="O18" t="s">
        <v>104</v>
      </c>
    </row>
    <row r="19" spans="1:15" ht="14.5">
      <c r="A19" t="s">
        <v>29</v>
      </c>
      <c r="B19">
        <v>16546</v>
      </c>
      <c r="C19">
        <v>17742</v>
      </c>
      <c r="D19">
        <v>1</v>
      </c>
      <c r="E19" t="s">
        <v>76</v>
      </c>
      <c r="F19" t="s">
        <v>61</v>
      </c>
      <c r="G19" t="s">
        <v>105</v>
      </c>
      <c r="I19" t="s">
        <v>49</v>
      </c>
      <c r="L19" t="s">
        <v>106</v>
      </c>
      <c r="M19" t="s">
        <v>61</v>
      </c>
      <c r="N19">
        <v>398</v>
      </c>
      <c r="O19" t="s">
        <v>107</v>
      </c>
    </row>
    <row r="20" spans="1:15" ht="14.5">
      <c r="A20" t="s">
        <v>29</v>
      </c>
      <c r="B20">
        <v>17832</v>
      </c>
      <c r="C20">
        <v>22772</v>
      </c>
      <c r="D20">
        <v>1</v>
      </c>
      <c r="E20" t="s">
        <v>76</v>
      </c>
      <c r="F20" t="s">
        <v>48</v>
      </c>
      <c r="G20" t="s">
        <v>108</v>
      </c>
      <c r="I20" t="s">
        <v>49</v>
      </c>
      <c r="L20" t="s">
        <v>109</v>
      </c>
      <c r="M20" t="s">
        <v>48</v>
      </c>
      <c r="N20">
        <v>1646</v>
      </c>
      <c r="O20" t="s">
        <v>110</v>
      </c>
    </row>
    <row r="21" spans="1:15" ht="15.75" customHeight="1">
      <c r="A21" t="s">
        <v>29</v>
      </c>
      <c r="B21">
        <v>23065</v>
      </c>
      <c r="C21">
        <v>24696</v>
      </c>
      <c r="D21">
        <v>1</v>
      </c>
      <c r="E21" t="s">
        <v>47</v>
      </c>
      <c r="F21" t="s">
        <v>111</v>
      </c>
      <c r="I21" t="s">
        <v>49</v>
      </c>
      <c r="L21" t="s">
        <v>112</v>
      </c>
      <c r="M21" t="s">
        <v>111</v>
      </c>
      <c r="N21">
        <v>543</v>
      </c>
      <c r="O21" t="s">
        <v>113</v>
      </c>
    </row>
    <row r="22" spans="1:15" ht="15.75" customHeight="1">
      <c r="A22" t="s">
        <v>29</v>
      </c>
      <c r="B22">
        <v>25255</v>
      </c>
      <c r="C22">
        <v>26862</v>
      </c>
      <c r="D22">
        <v>1</v>
      </c>
      <c r="E22" t="s">
        <v>76</v>
      </c>
      <c r="F22" t="s">
        <v>114</v>
      </c>
      <c r="G22" t="s">
        <v>115</v>
      </c>
      <c r="I22" t="s">
        <v>49</v>
      </c>
      <c r="L22" t="s">
        <v>116</v>
      </c>
      <c r="M22" t="s">
        <v>114</v>
      </c>
      <c r="N22">
        <v>535</v>
      </c>
      <c r="O22" t="s">
        <v>117</v>
      </c>
    </row>
    <row r="23" spans="1:15" ht="15.75" customHeight="1">
      <c r="A23" t="s">
        <v>29</v>
      </c>
      <c r="B23">
        <v>27252</v>
      </c>
      <c r="C23">
        <v>27839</v>
      </c>
      <c r="D23">
        <v>1</v>
      </c>
      <c r="E23" t="s">
        <v>76</v>
      </c>
      <c r="F23" t="s">
        <v>118</v>
      </c>
      <c r="G23" t="s">
        <v>119</v>
      </c>
      <c r="I23" t="s">
        <v>49</v>
      </c>
      <c r="L23" t="s">
        <v>120</v>
      </c>
      <c r="M23" t="s">
        <v>118</v>
      </c>
      <c r="N23">
        <v>195</v>
      </c>
      <c r="O23" t="s">
        <v>121</v>
      </c>
    </row>
    <row r="24" spans="1:15" ht="15.75" customHeight="1">
      <c r="A24" t="s">
        <v>29</v>
      </c>
      <c r="B24">
        <v>27967</v>
      </c>
      <c r="C24">
        <v>28416</v>
      </c>
      <c r="D24">
        <v>1</v>
      </c>
      <c r="E24" t="s">
        <v>76</v>
      </c>
      <c r="F24" t="s">
        <v>122</v>
      </c>
      <c r="I24" t="s">
        <v>49</v>
      </c>
      <c r="L24" t="s">
        <v>123</v>
      </c>
      <c r="M24" t="s">
        <v>122</v>
      </c>
      <c r="N24">
        <v>149</v>
      </c>
      <c r="O24" t="s">
        <v>124</v>
      </c>
    </row>
    <row r="25" spans="1:15" ht="15.75" customHeight="1">
      <c r="A25" t="s">
        <v>29</v>
      </c>
      <c r="B25">
        <v>28421</v>
      </c>
      <c r="C25">
        <v>28810</v>
      </c>
      <c r="D25">
        <v>1</v>
      </c>
      <c r="E25" t="s">
        <v>76</v>
      </c>
      <c r="F25" t="s">
        <v>125</v>
      </c>
      <c r="I25" t="s">
        <v>49</v>
      </c>
      <c r="L25" t="s">
        <v>126</v>
      </c>
      <c r="M25" t="s">
        <v>125</v>
      </c>
      <c r="N25">
        <v>129</v>
      </c>
      <c r="O25" t="s">
        <v>127</v>
      </c>
    </row>
    <row r="26" spans="1:15" ht="15.75" customHeight="1">
      <c r="A26" t="s">
        <v>29</v>
      </c>
      <c r="B26">
        <v>28838</v>
      </c>
      <c r="C26">
        <v>29488</v>
      </c>
      <c r="D26">
        <v>1</v>
      </c>
      <c r="E26" t="s">
        <v>76</v>
      </c>
      <c r="F26" t="s">
        <v>128</v>
      </c>
      <c r="G26" t="s">
        <v>129</v>
      </c>
      <c r="I26" t="s">
        <v>49</v>
      </c>
      <c r="L26" t="s">
        <v>130</v>
      </c>
      <c r="M26" t="s">
        <v>128</v>
      </c>
      <c r="N26">
        <v>216</v>
      </c>
      <c r="O26" t="s">
        <v>131</v>
      </c>
    </row>
    <row r="27" spans="1:15" ht="15.75" customHeight="1">
      <c r="A27" t="s">
        <v>29</v>
      </c>
      <c r="B27">
        <v>29478</v>
      </c>
      <c r="C27">
        <v>30041</v>
      </c>
      <c r="D27">
        <v>1</v>
      </c>
      <c r="E27" t="s">
        <v>76</v>
      </c>
      <c r="F27" t="s">
        <v>132</v>
      </c>
      <c r="G27" t="s">
        <v>133</v>
      </c>
      <c r="I27" t="s">
        <v>49</v>
      </c>
      <c r="L27" t="s">
        <v>134</v>
      </c>
      <c r="M27" t="s">
        <v>132</v>
      </c>
      <c r="N27">
        <v>187</v>
      </c>
      <c r="O27" t="s">
        <v>135</v>
      </c>
    </row>
    <row r="28" spans="1:15" ht="15.75" customHeight="1">
      <c r="A28" t="s">
        <v>29</v>
      </c>
      <c r="B28">
        <v>30494</v>
      </c>
      <c r="C28">
        <v>30997</v>
      </c>
      <c r="D28">
        <v>1</v>
      </c>
      <c r="E28" t="s">
        <v>76</v>
      </c>
      <c r="F28" t="s">
        <v>136</v>
      </c>
      <c r="G28" t="s">
        <v>137</v>
      </c>
      <c r="I28" t="s">
        <v>49</v>
      </c>
      <c r="L28" t="s">
        <v>138</v>
      </c>
      <c r="M28" t="s">
        <v>136</v>
      </c>
      <c r="N28">
        <v>167</v>
      </c>
      <c r="O28" t="s">
        <v>139</v>
      </c>
    </row>
    <row r="29" spans="1:15" ht="15.75" customHeight="1">
      <c r="A29" t="s">
        <v>29</v>
      </c>
      <c r="B29">
        <v>31190</v>
      </c>
      <c r="C29">
        <v>32020</v>
      </c>
      <c r="D29">
        <v>1</v>
      </c>
      <c r="E29" t="s">
        <v>76</v>
      </c>
      <c r="F29" t="s">
        <v>140</v>
      </c>
      <c r="G29" t="s">
        <v>141</v>
      </c>
      <c r="I29" t="s">
        <v>49</v>
      </c>
      <c r="L29" t="s">
        <v>142</v>
      </c>
      <c r="M29" t="s">
        <v>140</v>
      </c>
      <c r="N29">
        <v>276</v>
      </c>
      <c r="O29" t="s">
        <v>143</v>
      </c>
    </row>
    <row r="30" spans="1:15" ht="15.75" customHeight="1">
      <c r="A30" t="s">
        <v>29</v>
      </c>
      <c r="B30">
        <v>32005</v>
      </c>
      <c r="C30">
        <v>33687</v>
      </c>
      <c r="D30">
        <v>1</v>
      </c>
      <c r="E30" t="s">
        <v>76</v>
      </c>
      <c r="F30" t="s">
        <v>144</v>
      </c>
      <c r="G30" t="s">
        <v>145</v>
      </c>
      <c r="I30" t="s">
        <v>49</v>
      </c>
      <c r="L30" t="s">
        <v>146</v>
      </c>
      <c r="M30" t="s">
        <v>144</v>
      </c>
      <c r="N30">
        <v>560</v>
      </c>
      <c r="O30" t="s">
        <v>147</v>
      </c>
    </row>
    <row r="31" spans="1:15" ht="15.75" customHeight="1">
      <c r="A31" t="s">
        <v>29</v>
      </c>
      <c r="B31">
        <v>33789</v>
      </c>
      <c r="C31">
        <v>34046</v>
      </c>
      <c r="D31">
        <v>1</v>
      </c>
      <c r="E31" t="s">
        <v>76</v>
      </c>
      <c r="F31" t="s">
        <v>148</v>
      </c>
      <c r="I31" t="s">
        <v>49</v>
      </c>
      <c r="L31" t="s">
        <v>149</v>
      </c>
      <c r="M31" t="s">
        <v>148</v>
      </c>
      <c r="N31">
        <v>85</v>
      </c>
      <c r="O31" t="s">
        <v>150</v>
      </c>
    </row>
    <row r="32" spans="1:15" ht="15.75" customHeight="1">
      <c r="A32" t="s">
        <v>29</v>
      </c>
      <c r="B32">
        <v>34053</v>
      </c>
      <c r="C32">
        <v>34601</v>
      </c>
      <c r="D32">
        <v>1</v>
      </c>
      <c r="E32" t="s">
        <v>76</v>
      </c>
      <c r="F32" t="s">
        <v>151</v>
      </c>
      <c r="I32" t="s">
        <v>49</v>
      </c>
      <c r="L32" t="s">
        <v>152</v>
      </c>
      <c r="M32" t="s">
        <v>151</v>
      </c>
      <c r="N32">
        <v>182</v>
      </c>
      <c r="O32" t="s">
        <v>153</v>
      </c>
    </row>
    <row r="33" spans="1:15" ht="15.75" customHeight="1">
      <c r="A33" t="s">
        <v>29</v>
      </c>
      <c r="B33">
        <v>34616</v>
      </c>
      <c r="C33">
        <v>35464</v>
      </c>
      <c r="D33">
        <v>1</v>
      </c>
      <c r="E33" t="s">
        <v>76</v>
      </c>
      <c r="F33" t="s">
        <v>154</v>
      </c>
      <c r="I33" t="s">
        <v>49</v>
      </c>
      <c r="L33" t="s">
        <v>155</v>
      </c>
      <c r="M33" t="s">
        <v>154</v>
      </c>
      <c r="N33">
        <v>282</v>
      </c>
      <c r="O33" t="s">
        <v>156</v>
      </c>
    </row>
    <row r="34" spans="1:15" ht="15.75" customHeight="1">
      <c r="A34" t="s">
        <v>29</v>
      </c>
      <c r="B34">
        <v>35652</v>
      </c>
      <c r="C34">
        <v>37001</v>
      </c>
      <c r="D34">
        <v>1</v>
      </c>
      <c r="E34" t="s">
        <v>47</v>
      </c>
      <c r="F34" t="s">
        <v>157</v>
      </c>
      <c r="G34" t="s">
        <v>158</v>
      </c>
      <c r="I34" t="s">
        <v>49</v>
      </c>
      <c r="L34" t="s">
        <v>159</v>
      </c>
      <c r="M34" t="s">
        <v>157</v>
      </c>
      <c r="N34">
        <v>449</v>
      </c>
      <c r="O34" t="s">
        <v>160</v>
      </c>
    </row>
    <row r="35" spans="1:15" ht="15.75" customHeight="1">
      <c r="A35" t="s">
        <v>29</v>
      </c>
      <c r="B35">
        <v>37005</v>
      </c>
      <c r="C35">
        <v>38444</v>
      </c>
      <c r="D35">
        <v>1</v>
      </c>
      <c r="E35" t="s">
        <v>47</v>
      </c>
      <c r="F35" t="s">
        <v>157</v>
      </c>
      <c r="G35" t="s">
        <v>161</v>
      </c>
      <c r="I35" t="s">
        <v>49</v>
      </c>
      <c r="L35" t="s">
        <v>162</v>
      </c>
      <c r="M35" t="s">
        <v>157</v>
      </c>
      <c r="N35">
        <v>479</v>
      </c>
      <c r="O35" t="s">
        <v>163</v>
      </c>
    </row>
    <row r="36" spans="1:15" ht="15.75" customHeight="1">
      <c r="A36" t="s">
        <v>29</v>
      </c>
      <c r="B36">
        <v>38570</v>
      </c>
      <c r="C36">
        <v>40249</v>
      </c>
      <c r="D36">
        <v>1</v>
      </c>
      <c r="E36" t="s">
        <v>76</v>
      </c>
      <c r="F36" t="s">
        <v>164</v>
      </c>
      <c r="G36" t="s">
        <v>165</v>
      </c>
      <c r="I36" t="s">
        <v>49</v>
      </c>
      <c r="L36" t="s">
        <v>166</v>
      </c>
      <c r="M36" t="s">
        <v>164</v>
      </c>
      <c r="N36">
        <v>559</v>
      </c>
      <c r="O36" t="s">
        <v>167</v>
      </c>
    </row>
    <row r="37" spans="1:15" ht="15.75" customHeight="1">
      <c r="A37" t="s">
        <v>29</v>
      </c>
      <c r="B37">
        <v>40319</v>
      </c>
      <c r="C37">
        <v>41731</v>
      </c>
      <c r="D37">
        <v>1</v>
      </c>
      <c r="E37" t="s">
        <v>76</v>
      </c>
      <c r="F37" t="s">
        <v>168</v>
      </c>
      <c r="G37" t="s">
        <v>169</v>
      </c>
      <c r="I37" t="s">
        <v>49</v>
      </c>
      <c r="L37" t="s">
        <v>170</v>
      </c>
      <c r="M37" t="s">
        <v>168</v>
      </c>
      <c r="N37">
        <v>470</v>
      </c>
      <c r="O37" t="s">
        <v>171</v>
      </c>
    </row>
    <row r="38" spans="1:15" ht="15.75" customHeight="1">
      <c r="A38" t="s">
        <v>29</v>
      </c>
      <c r="B38">
        <v>41741</v>
      </c>
      <c r="C38">
        <v>42085</v>
      </c>
      <c r="D38">
        <v>1</v>
      </c>
      <c r="E38" t="s">
        <v>76</v>
      </c>
      <c r="F38" t="s">
        <v>172</v>
      </c>
      <c r="G38" t="s">
        <v>173</v>
      </c>
      <c r="I38" t="s">
        <v>49</v>
      </c>
      <c r="L38" t="s">
        <v>174</v>
      </c>
      <c r="M38" t="s">
        <v>172</v>
      </c>
      <c r="N38">
        <v>114</v>
      </c>
      <c r="O38" t="s">
        <v>175</v>
      </c>
    </row>
    <row r="39" spans="1:15" ht="15.75" customHeight="1">
      <c r="A39" t="s">
        <v>29</v>
      </c>
      <c r="B39">
        <v>42253</v>
      </c>
      <c r="C39">
        <v>44139</v>
      </c>
      <c r="D39">
        <v>1</v>
      </c>
      <c r="E39" t="s">
        <v>76</v>
      </c>
      <c r="F39" t="s">
        <v>176</v>
      </c>
      <c r="I39" t="s">
        <v>49</v>
      </c>
      <c r="L39" t="s">
        <v>177</v>
      </c>
      <c r="M39" t="s">
        <v>176</v>
      </c>
      <c r="N39">
        <v>628</v>
      </c>
      <c r="O39" t="s">
        <v>178</v>
      </c>
    </row>
    <row r="40" spans="1:15" ht="15.75" customHeight="1">
      <c r="A40" t="s">
        <v>29</v>
      </c>
      <c r="B40">
        <v>44141</v>
      </c>
      <c r="C40">
        <v>45463</v>
      </c>
      <c r="D40">
        <v>1</v>
      </c>
      <c r="E40" t="s">
        <v>76</v>
      </c>
      <c r="F40" t="s">
        <v>179</v>
      </c>
      <c r="G40" t="s">
        <v>180</v>
      </c>
      <c r="I40" t="s">
        <v>49</v>
      </c>
      <c r="L40" t="s">
        <v>181</v>
      </c>
      <c r="M40" t="s">
        <v>179</v>
      </c>
      <c r="N40">
        <v>440</v>
      </c>
      <c r="O40" t="s">
        <v>182</v>
      </c>
    </row>
    <row r="41" spans="1:15" ht="15.75" customHeight="1">
      <c r="A41" t="s">
        <v>29</v>
      </c>
      <c r="B41">
        <v>45631</v>
      </c>
      <c r="C41">
        <v>46854</v>
      </c>
      <c r="D41">
        <v>1</v>
      </c>
      <c r="E41" t="s">
        <v>47</v>
      </c>
      <c r="F41" t="s">
        <v>183</v>
      </c>
      <c r="G41" t="s">
        <v>184</v>
      </c>
      <c r="I41" t="s">
        <v>49</v>
      </c>
      <c r="L41" t="s">
        <v>185</v>
      </c>
      <c r="M41" t="s">
        <v>183</v>
      </c>
      <c r="N41">
        <v>407</v>
      </c>
      <c r="O41" t="s">
        <v>186</v>
      </c>
    </row>
    <row r="42" spans="1:15" ht="15.75" customHeight="1">
      <c r="A42" t="s">
        <v>29</v>
      </c>
      <c r="B42">
        <v>47677</v>
      </c>
      <c r="C42">
        <v>47847</v>
      </c>
      <c r="D42">
        <v>1</v>
      </c>
      <c r="E42" t="s">
        <v>47</v>
      </c>
      <c r="F42" t="s">
        <v>187</v>
      </c>
      <c r="I42" t="s">
        <v>49</v>
      </c>
      <c r="L42" t="s">
        <v>188</v>
      </c>
      <c r="M42" t="s">
        <v>187</v>
      </c>
      <c r="N42">
        <v>56</v>
      </c>
      <c r="O42" t="s">
        <v>189</v>
      </c>
    </row>
    <row r="43" spans="1:15" ht="15.75" customHeight="1">
      <c r="A43" t="s">
        <v>29</v>
      </c>
      <c r="B43">
        <v>48459</v>
      </c>
      <c r="C43">
        <v>48743</v>
      </c>
      <c r="D43">
        <v>1</v>
      </c>
      <c r="E43" t="s">
        <v>47</v>
      </c>
      <c r="F43" t="s">
        <v>176</v>
      </c>
      <c r="I43" t="s">
        <v>49</v>
      </c>
      <c r="L43" t="s">
        <v>190</v>
      </c>
      <c r="M43" t="s">
        <v>176</v>
      </c>
      <c r="N43">
        <v>94</v>
      </c>
      <c r="O43" t="s">
        <v>191</v>
      </c>
    </row>
    <row r="44" spans="1:15" ht="15.75" customHeight="1">
      <c r="A44" t="s">
        <v>29</v>
      </c>
      <c r="B44">
        <v>49070</v>
      </c>
      <c r="C44">
        <v>49288</v>
      </c>
      <c r="D44">
        <v>1</v>
      </c>
      <c r="E44" t="s">
        <v>47</v>
      </c>
      <c r="F44" t="s">
        <v>176</v>
      </c>
      <c r="I44" t="s">
        <v>49</v>
      </c>
      <c r="L44" t="s">
        <v>192</v>
      </c>
      <c r="M44" t="s">
        <v>176</v>
      </c>
      <c r="N44">
        <v>72</v>
      </c>
      <c r="O44" t="s">
        <v>193</v>
      </c>
    </row>
    <row r="45" spans="1:15" ht="15.75" customHeight="1">
      <c r="A45" t="s">
        <v>29</v>
      </c>
      <c r="B45">
        <v>49660</v>
      </c>
      <c r="C45">
        <v>51984</v>
      </c>
      <c r="D45">
        <v>1</v>
      </c>
      <c r="E45" t="s">
        <v>76</v>
      </c>
      <c r="F45" t="s">
        <v>194</v>
      </c>
      <c r="G45" t="s">
        <v>195</v>
      </c>
      <c r="I45" t="s">
        <v>49</v>
      </c>
      <c r="L45" t="s">
        <v>196</v>
      </c>
      <c r="M45" t="s">
        <v>194</v>
      </c>
      <c r="N45">
        <v>774</v>
      </c>
      <c r="O45" t="s">
        <v>197</v>
      </c>
    </row>
    <row r="46" spans="1:15" ht="15.75" customHeight="1">
      <c r="A46" t="s">
        <v>29</v>
      </c>
      <c r="B46">
        <v>52380</v>
      </c>
      <c r="C46">
        <v>53441</v>
      </c>
      <c r="D46">
        <v>1</v>
      </c>
      <c r="E46" t="s">
        <v>47</v>
      </c>
      <c r="F46" t="s">
        <v>198</v>
      </c>
      <c r="G46" t="s">
        <v>199</v>
      </c>
      <c r="I46" t="s">
        <v>49</v>
      </c>
      <c r="L46" t="s">
        <v>200</v>
      </c>
      <c r="M46" t="s">
        <v>198</v>
      </c>
      <c r="N46">
        <v>353</v>
      </c>
      <c r="O46" t="s">
        <v>201</v>
      </c>
    </row>
    <row r="47" spans="1:15" ht="15.75" customHeight="1">
      <c r="A47" t="s">
        <v>29</v>
      </c>
      <c r="B47">
        <v>53588</v>
      </c>
      <c r="C47">
        <v>54433</v>
      </c>
      <c r="D47">
        <v>1</v>
      </c>
      <c r="E47" t="s">
        <v>76</v>
      </c>
      <c r="F47" t="s">
        <v>202</v>
      </c>
      <c r="G47" t="s">
        <v>203</v>
      </c>
      <c r="I47" t="s">
        <v>49</v>
      </c>
      <c r="L47" t="s">
        <v>204</v>
      </c>
      <c r="M47" t="s">
        <v>202</v>
      </c>
      <c r="N47">
        <v>281</v>
      </c>
      <c r="O47" t="s">
        <v>205</v>
      </c>
    </row>
    <row r="48" spans="1:15" ht="15.75" customHeight="1">
      <c r="A48" t="s">
        <v>29</v>
      </c>
      <c r="B48">
        <v>54689</v>
      </c>
      <c r="C48">
        <v>54811</v>
      </c>
      <c r="D48">
        <v>1</v>
      </c>
      <c r="E48" t="s">
        <v>47</v>
      </c>
      <c r="F48" t="s">
        <v>206</v>
      </c>
      <c r="I48" t="s">
        <v>49</v>
      </c>
      <c r="L48" t="s">
        <v>207</v>
      </c>
      <c r="M48" t="s">
        <v>206</v>
      </c>
      <c r="N48">
        <v>40</v>
      </c>
      <c r="O48" t="s">
        <v>208</v>
      </c>
    </row>
    <row r="49" spans="1:15" ht="15.75" customHeight="1">
      <c r="A49" t="s">
        <v>29</v>
      </c>
      <c r="B49">
        <v>55009</v>
      </c>
      <c r="C49">
        <v>55557</v>
      </c>
      <c r="D49">
        <v>1</v>
      </c>
      <c r="E49" t="s">
        <v>47</v>
      </c>
      <c r="F49" t="s">
        <v>206</v>
      </c>
      <c r="I49" t="s">
        <v>49</v>
      </c>
      <c r="L49" t="s">
        <v>209</v>
      </c>
      <c r="M49" t="s">
        <v>206</v>
      </c>
      <c r="N49">
        <v>182</v>
      </c>
      <c r="O49" t="s">
        <v>210</v>
      </c>
    </row>
    <row r="50" spans="1:15" ht="15.75" customHeight="1">
      <c r="A50" t="s">
        <v>29</v>
      </c>
      <c r="B50">
        <v>55858</v>
      </c>
      <c r="C50">
        <v>57747</v>
      </c>
      <c r="D50">
        <v>1</v>
      </c>
      <c r="E50" t="s">
        <v>76</v>
      </c>
      <c r="F50" t="s">
        <v>211</v>
      </c>
      <c r="I50" t="s">
        <v>49</v>
      </c>
      <c r="L50" t="s">
        <v>212</v>
      </c>
      <c r="M50" t="s">
        <v>211</v>
      </c>
      <c r="N50">
        <v>629</v>
      </c>
      <c r="O50" t="s">
        <v>213</v>
      </c>
    </row>
    <row r="51" spans="1:15" ht="15.75" customHeight="1">
      <c r="A51" t="s">
        <v>29</v>
      </c>
      <c r="B51">
        <v>57885</v>
      </c>
      <c r="C51">
        <v>59450</v>
      </c>
      <c r="D51">
        <v>1</v>
      </c>
      <c r="E51" t="s">
        <v>47</v>
      </c>
      <c r="F51" t="s">
        <v>214</v>
      </c>
      <c r="G51" t="s">
        <v>215</v>
      </c>
      <c r="I51" t="s">
        <v>49</v>
      </c>
      <c r="L51" t="s">
        <v>216</v>
      </c>
      <c r="M51" t="s">
        <v>214</v>
      </c>
      <c r="N51">
        <v>521</v>
      </c>
      <c r="O51" t="s">
        <v>217</v>
      </c>
    </row>
    <row r="52" spans="1:15" ht="15.75" customHeight="1">
      <c r="A52" t="s">
        <v>29</v>
      </c>
      <c r="B52">
        <v>59450</v>
      </c>
      <c r="C52">
        <v>60190</v>
      </c>
      <c r="D52">
        <v>1</v>
      </c>
      <c r="E52" t="s">
        <v>47</v>
      </c>
      <c r="F52" t="s">
        <v>218</v>
      </c>
      <c r="G52" t="s">
        <v>219</v>
      </c>
      <c r="I52" t="s">
        <v>49</v>
      </c>
      <c r="L52" t="s">
        <v>220</v>
      </c>
      <c r="M52" t="s">
        <v>218</v>
      </c>
      <c r="N52">
        <v>246</v>
      </c>
      <c r="O52" t="s">
        <v>221</v>
      </c>
    </row>
    <row r="53" spans="1:15" ht="15.75" customHeight="1">
      <c r="A53" t="s">
        <v>29</v>
      </c>
      <c r="B53">
        <v>60299</v>
      </c>
      <c r="C53">
        <v>60514</v>
      </c>
      <c r="D53">
        <v>1</v>
      </c>
      <c r="E53" t="s">
        <v>76</v>
      </c>
      <c r="F53" t="s">
        <v>176</v>
      </c>
      <c r="I53" t="s">
        <v>49</v>
      </c>
      <c r="L53" t="s">
        <v>222</v>
      </c>
      <c r="M53" t="s">
        <v>176</v>
      </c>
      <c r="N53">
        <v>71</v>
      </c>
      <c r="O53" t="s">
        <v>223</v>
      </c>
    </row>
    <row r="54" spans="1:15" ht="15.75" customHeight="1">
      <c r="A54" t="s">
        <v>29</v>
      </c>
      <c r="B54">
        <v>61385</v>
      </c>
      <c r="C54">
        <v>62635</v>
      </c>
      <c r="D54">
        <v>1</v>
      </c>
      <c r="E54" t="s">
        <v>76</v>
      </c>
      <c r="F54" t="s">
        <v>224</v>
      </c>
      <c r="G54" t="s">
        <v>225</v>
      </c>
      <c r="I54" t="s">
        <v>49</v>
      </c>
      <c r="L54" t="s">
        <v>226</v>
      </c>
      <c r="M54" t="s">
        <v>224</v>
      </c>
      <c r="N54">
        <v>416</v>
      </c>
      <c r="O54" t="s">
        <v>227</v>
      </c>
    </row>
    <row r="55" spans="1:15" ht="15.75" customHeight="1">
      <c r="A55" t="s">
        <v>29</v>
      </c>
      <c r="B55">
        <v>62685</v>
      </c>
      <c r="C55">
        <v>63041</v>
      </c>
      <c r="D55">
        <v>1</v>
      </c>
      <c r="E55" t="s">
        <v>76</v>
      </c>
      <c r="F55" t="s">
        <v>228</v>
      </c>
      <c r="I55" t="s">
        <v>49</v>
      </c>
      <c r="L55" t="s">
        <v>229</v>
      </c>
      <c r="M55" t="s">
        <v>228</v>
      </c>
      <c r="N55">
        <v>118</v>
      </c>
      <c r="O55" t="s">
        <v>230</v>
      </c>
    </row>
    <row r="56" spans="1:15" ht="15.75" customHeight="1">
      <c r="A56" t="s">
        <v>29</v>
      </c>
      <c r="B56">
        <v>63279</v>
      </c>
      <c r="C56">
        <v>63515</v>
      </c>
      <c r="D56">
        <v>1</v>
      </c>
      <c r="E56" t="s">
        <v>76</v>
      </c>
      <c r="F56" t="s">
        <v>176</v>
      </c>
      <c r="I56" t="s">
        <v>49</v>
      </c>
      <c r="L56" t="s">
        <v>231</v>
      </c>
      <c r="M56" t="s">
        <v>176</v>
      </c>
      <c r="N56">
        <v>78</v>
      </c>
      <c r="O56" t="s">
        <v>232</v>
      </c>
    </row>
    <row r="57" spans="1:15" ht="15.75" customHeight="1">
      <c r="A57" t="s">
        <v>29</v>
      </c>
      <c r="B57">
        <v>63622</v>
      </c>
      <c r="C57">
        <v>64644</v>
      </c>
      <c r="D57">
        <v>1</v>
      </c>
      <c r="E57" t="s">
        <v>76</v>
      </c>
      <c r="F57" t="s">
        <v>228</v>
      </c>
      <c r="G57" t="s">
        <v>233</v>
      </c>
      <c r="I57" t="s">
        <v>49</v>
      </c>
      <c r="L57" t="s">
        <v>234</v>
      </c>
      <c r="M57" t="s">
        <v>228</v>
      </c>
      <c r="N57">
        <v>340</v>
      </c>
      <c r="O57" t="s">
        <v>235</v>
      </c>
    </row>
    <row r="58" spans="1:15" ht="15.75" customHeight="1">
      <c r="A58" t="s">
        <v>29</v>
      </c>
      <c r="B58">
        <v>64710</v>
      </c>
      <c r="C58">
        <v>65186</v>
      </c>
      <c r="D58">
        <v>1</v>
      </c>
      <c r="E58" t="s">
        <v>76</v>
      </c>
      <c r="F58" t="s">
        <v>236</v>
      </c>
      <c r="G58" t="s">
        <v>237</v>
      </c>
      <c r="I58" t="s">
        <v>49</v>
      </c>
      <c r="L58" t="s">
        <v>238</v>
      </c>
      <c r="M58" t="s">
        <v>236</v>
      </c>
      <c r="N58">
        <v>158</v>
      </c>
      <c r="O58" t="s">
        <v>239</v>
      </c>
    </row>
    <row r="59" spans="1:15" ht="15.75" customHeight="1">
      <c r="A59" t="s">
        <v>29</v>
      </c>
      <c r="B59">
        <v>65179</v>
      </c>
      <c r="C59">
        <v>66879</v>
      </c>
      <c r="D59">
        <v>1</v>
      </c>
      <c r="E59" t="s">
        <v>76</v>
      </c>
      <c r="F59" t="s">
        <v>240</v>
      </c>
      <c r="G59" t="s">
        <v>241</v>
      </c>
      <c r="I59" t="s">
        <v>49</v>
      </c>
      <c r="L59" t="s">
        <v>242</v>
      </c>
      <c r="M59" t="s">
        <v>240</v>
      </c>
      <c r="N59">
        <v>566</v>
      </c>
      <c r="O59" t="s">
        <v>243</v>
      </c>
    </row>
    <row r="60" spans="1:15" ht="15.75" customHeight="1">
      <c r="A60" t="s">
        <v>29</v>
      </c>
      <c r="B60">
        <v>67080</v>
      </c>
      <c r="C60">
        <v>68747</v>
      </c>
      <c r="D60">
        <v>1</v>
      </c>
      <c r="E60" t="s">
        <v>76</v>
      </c>
      <c r="F60" t="s">
        <v>244</v>
      </c>
      <c r="I60" t="s">
        <v>49</v>
      </c>
      <c r="L60" t="s">
        <v>245</v>
      </c>
      <c r="M60" t="s">
        <v>244</v>
      </c>
      <c r="N60">
        <v>555</v>
      </c>
      <c r="O60" t="s">
        <v>246</v>
      </c>
    </row>
    <row r="61" spans="1:15" ht="15.75" customHeight="1">
      <c r="A61" t="s">
        <v>29</v>
      </c>
      <c r="B61">
        <v>68750</v>
      </c>
      <c r="C61">
        <v>69115</v>
      </c>
      <c r="D61">
        <v>1</v>
      </c>
      <c r="E61" t="s">
        <v>76</v>
      </c>
      <c r="F61" t="s">
        <v>247</v>
      </c>
      <c r="G61" t="s">
        <v>248</v>
      </c>
      <c r="I61" t="s">
        <v>49</v>
      </c>
      <c r="L61" t="s">
        <v>249</v>
      </c>
      <c r="M61" t="s">
        <v>247</v>
      </c>
      <c r="N61">
        <v>121</v>
      </c>
      <c r="O61" t="s">
        <v>250</v>
      </c>
    </row>
    <row r="62" spans="1:15" ht="15.75" customHeight="1">
      <c r="A62" t="s">
        <v>29</v>
      </c>
      <c r="B62">
        <v>69272</v>
      </c>
      <c r="C62">
        <v>69460</v>
      </c>
      <c r="D62">
        <v>1</v>
      </c>
      <c r="E62" t="s">
        <v>76</v>
      </c>
      <c r="F62" t="s">
        <v>251</v>
      </c>
      <c r="G62" t="s">
        <v>252</v>
      </c>
      <c r="I62" t="s">
        <v>49</v>
      </c>
      <c r="L62" t="s">
        <v>253</v>
      </c>
      <c r="M62" t="s">
        <v>251</v>
      </c>
      <c r="N62">
        <v>62</v>
      </c>
      <c r="O62" t="s">
        <v>254</v>
      </c>
    </row>
    <row r="63" spans="1:15" ht="15.75" customHeight="1">
      <c r="A63" t="s">
        <v>29</v>
      </c>
      <c r="B63">
        <v>69576</v>
      </c>
      <c r="C63">
        <v>70061</v>
      </c>
      <c r="D63">
        <v>1</v>
      </c>
      <c r="E63" t="s">
        <v>76</v>
      </c>
      <c r="F63" t="s">
        <v>255</v>
      </c>
      <c r="G63" t="s">
        <v>256</v>
      </c>
      <c r="I63" t="s">
        <v>49</v>
      </c>
      <c r="L63" t="s">
        <v>257</v>
      </c>
      <c r="M63" t="s">
        <v>255</v>
      </c>
      <c r="N63">
        <v>161</v>
      </c>
      <c r="O63" t="s">
        <v>258</v>
      </c>
    </row>
    <row r="64" spans="1:15" ht="15.75" customHeight="1">
      <c r="A64" t="s">
        <v>29</v>
      </c>
      <c r="B64">
        <v>70330</v>
      </c>
      <c r="C64">
        <v>71874</v>
      </c>
      <c r="D64">
        <v>1</v>
      </c>
      <c r="E64" t="s">
        <v>76</v>
      </c>
      <c r="F64" t="s">
        <v>259</v>
      </c>
      <c r="G64" t="s">
        <v>260</v>
      </c>
      <c r="I64" t="s">
        <v>49</v>
      </c>
      <c r="L64" t="s">
        <v>261</v>
      </c>
      <c r="M64" t="s">
        <v>259</v>
      </c>
      <c r="N64">
        <v>514</v>
      </c>
      <c r="O64" t="s">
        <v>262</v>
      </c>
    </row>
    <row r="65" spans="1:15" ht="15.75" customHeight="1">
      <c r="A65" t="s">
        <v>29</v>
      </c>
      <c r="B65">
        <v>72087</v>
      </c>
      <c r="C65">
        <v>72389</v>
      </c>
      <c r="D65">
        <v>1</v>
      </c>
      <c r="E65" t="s">
        <v>47</v>
      </c>
      <c r="F65" t="s">
        <v>263</v>
      </c>
      <c r="G65" t="s">
        <v>264</v>
      </c>
      <c r="I65" t="s">
        <v>49</v>
      </c>
      <c r="L65" t="s">
        <v>265</v>
      </c>
      <c r="M65" t="s">
        <v>263</v>
      </c>
      <c r="N65">
        <v>100</v>
      </c>
      <c r="O65" t="s">
        <v>266</v>
      </c>
    </row>
    <row r="66" spans="1:15" ht="15.75" customHeight="1">
      <c r="A66" t="s">
        <v>29</v>
      </c>
      <c r="B66">
        <v>72389</v>
      </c>
      <c r="C66">
        <v>73855</v>
      </c>
      <c r="D66">
        <v>1</v>
      </c>
      <c r="E66" t="s">
        <v>47</v>
      </c>
      <c r="F66" t="s">
        <v>267</v>
      </c>
      <c r="G66" t="s">
        <v>268</v>
      </c>
      <c r="I66" t="s">
        <v>49</v>
      </c>
      <c r="L66" t="s">
        <v>269</v>
      </c>
      <c r="M66" t="s">
        <v>267</v>
      </c>
      <c r="N66">
        <v>488</v>
      </c>
      <c r="O66" t="s">
        <v>270</v>
      </c>
    </row>
    <row r="67" spans="1:15" ht="15.75" customHeight="1">
      <c r="A67" t="s">
        <v>29</v>
      </c>
      <c r="B67">
        <v>73855</v>
      </c>
      <c r="C67">
        <v>75297</v>
      </c>
      <c r="D67">
        <v>1</v>
      </c>
      <c r="E67" t="s">
        <v>47</v>
      </c>
      <c r="F67" t="s">
        <v>271</v>
      </c>
      <c r="G67" t="s">
        <v>272</v>
      </c>
      <c r="I67" t="s">
        <v>49</v>
      </c>
      <c r="L67" t="s">
        <v>273</v>
      </c>
      <c r="M67" t="s">
        <v>271</v>
      </c>
      <c r="N67">
        <v>480</v>
      </c>
      <c r="O67" t="s">
        <v>274</v>
      </c>
    </row>
    <row r="68" spans="1:15" ht="15.75" customHeight="1">
      <c r="A68" t="s">
        <v>29</v>
      </c>
      <c r="B68">
        <v>75421</v>
      </c>
      <c r="C68">
        <v>76464</v>
      </c>
      <c r="D68">
        <v>1</v>
      </c>
      <c r="E68" t="s">
        <v>47</v>
      </c>
      <c r="F68" t="s">
        <v>275</v>
      </c>
      <c r="G68" t="s">
        <v>276</v>
      </c>
      <c r="I68" t="s">
        <v>49</v>
      </c>
      <c r="L68" t="s">
        <v>277</v>
      </c>
      <c r="M68" t="s">
        <v>275</v>
      </c>
      <c r="N68">
        <v>347</v>
      </c>
      <c r="O68" t="s">
        <v>278</v>
      </c>
    </row>
    <row r="69" spans="1:15" ht="15.75" customHeight="1">
      <c r="A69" t="s">
        <v>29</v>
      </c>
      <c r="B69">
        <v>76842</v>
      </c>
      <c r="C69">
        <v>77402</v>
      </c>
      <c r="D69">
        <v>1</v>
      </c>
      <c r="E69" t="s">
        <v>47</v>
      </c>
      <c r="F69" t="s">
        <v>279</v>
      </c>
      <c r="G69" t="s">
        <v>280</v>
      </c>
      <c r="I69" t="s">
        <v>49</v>
      </c>
      <c r="L69" t="s">
        <v>281</v>
      </c>
      <c r="M69" t="s">
        <v>279</v>
      </c>
      <c r="N69">
        <v>186</v>
      </c>
      <c r="O69" t="s">
        <v>282</v>
      </c>
    </row>
    <row r="70" spans="1:15" ht="15.75" customHeight="1">
      <c r="A70" t="s">
        <v>29</v>
      </c>
      <c r="B70">
        <v>77424</v>
      </c>
      <c r="C70">
        <v>77813</v>
      </c>
      <c r="D70">
        <v>1</v>
      </c>
      <c r="E70" t="s">
        <v>47</v>
      </c>
      <c r="F70" t="s">
        <v>283</v>
      </c>
      <c r="I70" t="s">
        <v>49</v>
      </c>
      <c r="L70" t="s">
        <v>284</v>
      </c>
      <c r="M70" t="s">
        <v>283</v>
      </c>
      <c r="N70">
        <v>129</v>
      </c>
      <c r="O70" t="s">
        <v>285</v>
      </c>
    </row>
    <row r="71" spans="1:15" ht="15.75" customHeight="1">
      <c r="A71" t="s">
        <v>29</v>
      </c>
      <c r="B71">
        <v>77806</v>
      </c>
      <c r="C71">
        <v>78228</v>
      </c>
      <c r="D71">
        <v>1</v>
      </c>
      <c r="E71" t="s">
        <v>47</v>
      </c>
      <c r="F71" t="s">
        <v>286</v>
      </c>
      <c r="G71" t="s">
        <v>287</v>
      </c>
      <c r="I71" t="s">
        <v>49</v>
      </c>
      <c r="L71" t="s">
        <v>288</v>
      </c>
      <c r="M71" t="s">
        <v>286</v>
      </c>
      <c r="N71">
        <v>140</v>
      </c>
      <c r="O71" t="s">
        <v>289</v>
      </c>
    </row>
    <row r="72" spans="1:15" ht="15.75" customHeight="1">
      <c r="A72" t="s">
        <v>29</v>
      </c>
      <c r="B72">
        <v>78527</v>
      </c>
      <c r="C72">
        <v>78961</v>
      </c>
      <c r="D72">
        <v>1</v>
      </c>
      <c r="E72" t="s">
        <v>76</v>
      </c>
      <c r="F72" t="s">
        <v>290</v>
      </c>
      <c r="I72" t="s">
        <v>49</v>
      </c>
      <c r="L72" t="s">
        <v>291</v>
      </c>
      <c r="M72" t="s">
        <v>290</v>
      </c>
      <c r="N72">
        <v>144</v>
      </c>
      <c r="O72" t="s">
        <v>292</v>
      </c>
    </row>
    <row r="73" spans="1:15" ht="15.75" customHeight="1">
      <c r="A73" t="s">
        <v>29</v>
      </c>
      <c r="B73">
        <v>79018</v>
      </c>
      <c r="C73">
        <v>79203</v>
      </c>
      <c r="D73">
        <v>1</v>
      </c>
      <c r="E73" t="s">
        <v>76</v>
      </c>
      <c r="F73" t="s">
        <v>176</v>
      </c>
      <c r="I73" t="s">
        <v>49</v>
      </c>
      <c r="L73" t="s">
        <v>293</v>
      </c>
      <c r="M73" t="s">
        <v>176</v>
      </c>
      <c r="N73">
        <v>61</v>
      </c>
      <c r="O73" t="s">
        <v>294</v>
      </c>
    </row>
    <row r="74" spans="1:15" ht="15.75" customHeight="1">
      <c r="A74" t="s">
        <v>29</v>
      </c>
      <c r="B74">
        <v>79362</v>
      </c>
      <c r="C74">
        <v>80129</v>
      </c>
      <c r="D74">
        <v>1</v>
      </c>
      <c r="E74" t="s">
        <v>76</v>
      </c>
      <c r="F74" t="s">
        <v>295</v>
      </c>
      <c r="G74" t="s">
        <v>296</v>
      </c>
      <c r="I74" t="s">
        <v>49</v>
      </c>
      <c r="L74" t="s">
        <v>297</v>
      </c>
      <c r="M74" t="s">
        <v>295</v>
      </c>
      <c r="N74">
        <v>255</v>
      </c>
      <c r="O74" t="s">
        <v>298</v>
      </c>
    </row>
    <row r="75" spans="1:15" ht="15.75" customHeight="1">
      <c r="A75" t="s">
        <v>29</v>
      </c>
      <c r="B75">
        <v>80126</v>
      </c>
      <c r="C75">
        <v>80992</v>
      </c>
      <c r="D75">
        <v>1</v>
      </c>
      <c r="E75" t="s">
        <v>76</v>
      </c>
      <c r="F75" t="s">
        <v>299</v>
      </c>
      <c r="G75" t="s">
        <v>300</v>
      </c>
      <c r="I75" t="s">
        <v>49</v>
      </c>
      <c r="L75" t="s">
        <v>301</v>
      </c>
      <c r="M75" t="s">
        <v>299</v>
      </c>
      <c r="N75">
        <v>288</v>
      </c>
      <c r="O75" t="s">
        <v>302</v>
      </c>
    </row>
    <row r="76" spans="1:15" ht="15.75" customHeight="1">
      <c r="A76" t="s">
        <v>29</v>
      </c>
      <c r="B76">
        <v>81029</v>
      </c>
      <c r="C76">
        <v>82396</v>
      </c>
      <c r="D76">
        <v>1</v>
      </c>
      <c r="E76" t="s">
        <v>76</v>
      </c>
      <c r="F76" t="s">
        <v>303</v>
      </c>
      <c r="G76" t="s">
        <v>304</v>
      </c>
      <c r="I76" t="s">
        <v>49</v>
      </c>
      <c r="L76" t="s">
        <v>305</v>
      </c>
      <c r="M76" t="s">
        <v>303</v>
      </c>
      <c r="N76">
        <v>455</v>
      </c>
      <c r="O76" t="s">
        <v>306</v>
      </c>
    </row>
    <row r="77" spans="1:15" ht="15.75" customHeight="1">
      <c r="A77" t="s">
        <v>29</v>
      </c>
      <c r="B77">
        <v>82408</v>
      </c>
      <c r="C77">
        <v>82830</v>
      </c>
      <c r="D77">
        <v>1</v>
      </c>
      <c r="E77" t="s">
        <v>76</v>
      </c>
      <c r="F77" t="s">
        <v>307</v>
      </c>
      <c r="G77" t="s">
        <v>308</v>
      </c>
      <c r="I77" t="s">
        <v>49</v>
      </c>
      <c r="L77" t="s">
        <v>309</v>
      </c>
      <c r="M77" t="s">
        <v>307</v>
      </c>
      <c r="N77">
        <v>140</v>
      </c>
      <c r="O77" t="s">
        <v>310</v>
      </c>
    </row>
    <row r="78" spans="1:15" ht="15.75" customHeight="1">
      <c r="A78" t="s">
        <v>29</v>
      </c>
      <c r="B78">
        <v>82827</v>
      </c>
      <c r="C78">
        <v>83312</v>
      </c>
      <c r="D78">
        <v>1</v>
      </c>
      <c r="E78" t="s">
        <v>76</v>
      </c>
      <c r="F78" t="s">
        <v>311</v>
      </c>
      <c r="G78" t="s">
        <v>312</v>
      </c>
      <c r="I78" t="s">
        <v>49</v>
      </c>
      <c r="L78" t="s">
        <v>313</v>
      </c>
      <c r="M78" t="s">
        <v>311</v>
      </c>
      <c r="N78">
        <v>161</v>
      </c>
      <c r="O78" t="s">
        <v>314</v>
      </c>
    </row>
    <row r="79" spans="1:15" ht="15.75" customHeight="1">
      <c r="A79" t="s">
        <v>29</v>
      </c>
      <c r="B79">
        <v>83315</v>
      </c>
      <c r="C79">
        <v>84550</v>
      </c>
      <c r="D79">
        <v>1</v>
      </c>
      <c r="E79" t="s">
        <v>76</v>
      </c>
      <c r="F79" t="s">
        <v>315</v>
      </c>
      <c r="G79" t="s">
        <v>316</v>
      </c>
      <c r="I79" t="s">
        <v>49</v>
      </c>
      <c r="L79" t="s">
        <v>317</v>
      </c>
      <c r="M79" t="s">
        <v>315</v>
      </c>
      <c r="N79">
        <v>411</v>
      </c>
      <c r="O79" t="s">
        <v>318</v>
      </c>
    </row>
    <row r="80" spans="1:15" ht="15.75" customHeight="1">
      <c r="A80" t="s">
        <v>29</v>
      </c>
      <c r="B80">
        <v>84572</v>
      </c>
      <c r="C80">
        <v>85303</v>
      </c>
      <c r="D80">
        <v>1</v>
      </c>
      <c r="E80" t="s">
        <v>76</v>
      </c>
      <c r="F80" t="s">
        <v>319</v>
      </c>
      <c r="G80" t="s">
        <v>320</v>
      </c>
      <c r="I80" t="s">
        <v>49</v>
      </c>
      <c r="L80" t="s">
        <v>321</v>
      </c>
      <c r="M80" t="s">
        <v>319</v>
      </c>
      <c r="N80">
        <v>243</v>
      </c>
      <c r="O80" t="s">
        <v>322</v>
      </c>
    </row>
    <row r="81" spans="1:15" ht="15.75" customHeight="1">
      <c r="A81" t="s">
        <v>29</v>
      </c>
      <c r="B81">
        <v>85337</v>
      </c>
      <c r="C81">
        <v>86257</v>
      </c>
      <c r="D81">
        <v>1</v>
      </c>
      <c r="E81" t="s">
        <v>76</v>
      </c>
      <c r="F81" t="s">
        <v>323</v>
      </c>
      <c r="G81" t="s">
        <v>324</v>
      </c>
      <c r="I81" t="s">
        <v>49</v>
      </c>
      <c r="L81" t="s">
        <v>325</v>
      </c>
      <c r="M81" t="s">
        <v>323</v>
      </c>
      <c r="N81">
        <v>306</v>
      </c>
      <c r="O81" t="s">
        <v>326</v>
      </c>
    </row>
    <row r="82" spans="1:15" ht="15.75" customHeight="1">
      <c r="A82" t="s">
        <v>29</v>
      </c>
      <c r="B82">
        <v>86250</v>
      </c>
      <c r="C82">
        <v>87224</v>
      </c>
      <c r="D82">
        <v>1</v>
      </c>
      <c r="E82" t="s">
        <v>76</v>
      </c>
      <c r="F82" t="s">
        <v>327</v>
      </c>
      <c r="I82" t="s">
        <v>49</v>
      </c>
      <c r="L82" t="s">
        <v>328</v>
      </c>
      <c r="M82" t="s">
        <v>327</v>
      </c>
      <c r="N82">
        <v>324</v>
      </c>
      <c r="O82" t="s">
        <v>329</v>
      </c>
    </row>
    <row r="83" spans="1:15" ht="15.75" customHeight="1">
      <c r="A83" t="s">
        <v>29</v>
      </c>
      <c r="B83">
        <v>87343</v>
      </c>
      <c r="C83">
        <v>87567</v>
      </c>
      <c r="D83">
        <v>1</v>
      </c>
      <c r="E83" t="s">
        <v>76</v>
      </c>
      <c r="F83" t="s">
        <v>330</v>
      </c>
      <c r="G83" t="s">
        <v>331</v>
      </c>
      <c r="I83" t="s">
        <v>49</v>
      </c>
      <c r="L83" t="s">
        <v>332</v>
      </c>
      <c r="M83" t="s">
        <v>330</v>
      </c>
      <c r="N83">
        <v>74</v>
      </c>
      <c r="O83" t="s">
        <v>333</v>
      </c>
    </row>
    <row r="84" spans="1:15" ht="15.75" customHeight="1">
      <c r="A84" t="s">
        <v>29</v>
      </c>
      <c r="B84">
        <v>87627</v>
      </c>
      <c r="C84">
        <v>88601</v>
      </c>
      <c r="D84">
        <v>1</v>
      </c>
      <c r="E84" t="s">
        <v>76</v>
      </c>
      <c r="F84" t="s">
        <v>334</v>
      </c>
      <c r="G84" t="s">
        <v>335</v>
      </c>
      <c r="I84" t="s">
        <v>49</v>
      </c>
      <c r="L84" t="s">
        <v>336</v>
      </c>
      <c r="M84" t="s">
        <v>334</v>
      </c>
      <c r="N84">
        <v>324</v>
      </c>
      <c r="O84" t="s">
        <v>337</v>
      </c>
    </row>
    <row r="85" spans="1:15" ht="15.75" customHeight="1">
      <c r="A85" t="s">
        <v>29</v>
      </c>
      <c r="B85">
        <v>88601</v>
      </c>
      <c r="C85">
        <v>89035</v>
      </c>
      <c r="D85">
        <v>1</v>
      </c>
      <c r="E85" t="s">
        <v>76</v>
      </c>
      <c r="F85" t="s">
        <v>338</v>
      </c>
      <c r="G85" t="s">
        <v>339</v>
      </c>
      <c r="I85" t="s">
        <v>49</v>
      </c>
      <c r="L85" t="s">
        <v>340</v>
      </c>
      <c r="M85" t="s">
        <v>338</v>
      </c>
      <c r="N85">
        <v>144</v>
      </c>
      <c r="O85" t="s">
        <v>341</v>
      </c>
    </row>
    <row r="86" spans="1:15" ht="15.75" customHeight="1">
      <c r="A86" t="s">
        <v>29</v>
      </c>
      <c r="B86">
        <v>89129</v>
      </c>
      <c r="C86">
        <v>89914</v>
      </c>
      <c r="D86">
        <v>1</v>
      </c>
      <c r="E86" t="s">
        <v>76</v>
      </c>
      <c r="F86" t="s">
        <v>342</v>
      </c>
      <c r="G86" t="s">
        <v>343</v>
      </c>
      <c r="I86" t="s">
        <v>49</v>
      </c>
      <c r="L86" t="s">
        <v>344</v>
      </c>
      <c r="M86" t="s">
        <v>342</v>
      </c>
      <c r="N86">
        <v>261</v>
      </c>
      <c r="O86" t="s">
        <v>345</v>
      </c>
    </row>
    <row r="87" spans="1:15" ht="15.75" customHeight="1">
      <c r="A87" t="s">
        <v>29</v>
      </c>
      <c r="B87">
        <v>90239</v>
      </c>
      <c r="C87">
        <v>91603</v>
      </c>
      <c r="D87">
        <v>1</v>
      </c>
      <c r="E87" t="s">
        <v>47</v>
      </c>
      <c r="F87" t="s">
        <v>346</v>
      </c>
      <c r="G87" t="s">
        <v>347</v>
      </c>
      <c r="I87" t="s">
        <v>49</v>
      </c>
      <c r="L87" t="s">
        <v>348</v>
      </c>
      <c r="M87" t="s">
        <v>346</v>
      </c>
      <c r="N87">
        <v>454</v>
      </c>
      <c r="O87" t="s">
        <v>349</v>
      </c>
    </row>
    <row r="88" spans="1:15" ht="15.75" customHeight="1">
      <c r="A88" t="s">
        <v>29</v>
      </c>
      <c r="B88">
        <v>91606</v>
      </c>
      <c r="C88">
        <v>91977</v>
      </c>
      <c r="D88">
        <v>1</v>
      </c>
      <c r="E88" t="s">
        <v>47</v>
      </c>
      <c r="F88" t="s">
        <v>350</v>
      </c>
      <c r="I88" t="s">
        <v>49</v>
      </c>
      <c r="L88" t="s">
        <v>351</v>
      </c>
      <c r="M88" t="s">
        <v>350</v>
      </c>
      <c r="N88">
        <v>123</v>
      </c>
      <c r="O88" t="s">
        <v>352</v>
      </c>
    </row>
    <row r="89" spans="1:15" ht="15.75" customHeight="1">
      <c r="A89" t="s">
        <v>29</v>
      </c>
      <c r="B89">
        <v>92191</v>
      </c>
      <c r="C89">
        <v>93465</v>
      </c>
      <c r="D89">
        <v>1</v>
      </c>
      <c r="E89" t="s">
        <v>47</v>
      </c>
      <c r="F89" t="s">
        <v>353</v>
      </c>
      <c r="G89" t="s">
        <v>354</v>
      </c>
      <c r="I89" t="s">
        <v>49</v>
      </c>
      <c r="L89" t="s">
        <v>355</v>
      </c>
      <c r="M89" t="s">
        <v>353</v>
      </c>
      <c r="N89">
        <v>424</v>
      </c>
      <c r="O89" t="s">
        <v>356</v>
      </c>
    </row>
    <row r="90" spans="1:15" ht="15.75" customHeight="1">
      <c r="A90" t="s">
        <v>29</v>
      </c>
      <c r="B90">
        <v>93490</v>
      </c>
      <c r="C90">
        <v>94389</v>
      </c>
      <c r="D90">
        <v>1</v>
      </c>
      <c r="E90" t="s">
        <v>76</v>
      </c>
      <c r="F90" t="s">
        <v>357</v>
      </c>
      <c r="G90" t="s">
        <v>358</v>
      </c>
      <c r="I90" t="s">
        <v>49</v>
      </c>
      <c r="L90" t="s">
        <v>359</v>
      </c>
      <c r="M90" t="s">
        <v>357</v>
      </c>
      <c r="N90">
        <v>299</v>
      </c>
      <c r="O90" t="s">
        <v>360</v>
      </c>
    </row>
    <row r="91" spans="1:15" ht="15.75" customHeight="1">
      <c r="A91" t="s">
        <v>29</v>
      </c>
      <c r="B91">
        <v>94499</v>
      </c>
      <c r="C91">
        <v>95047</v>
      </c>
      <c r="D91">
        <v>1</v>
      </c>
      <c r="E91" t="s">
        <v>76</v>
      </c>
      <c r="F91" t="s">
        <v>361</v>
      </c>
      <c r="I91" t="s">
        <v>49</v>
      </c>
      <c r="L91" t="s">
        <v>362</v>
      </c>
      <c r="M91" t="s">
        <v>361</v>
      </c>
      <c r="N91">
        <v>182</v>
      </c>
      <c r="O91" t="s">
        <v>363</v>
      </c>
    </row>
    <row r="92" spans="1:15" ht="15.75" customHeight="1">
      <c r="A92" t="s">
        <v>29</v>
      </c>
      <c r="B92">
        <v>95265</v>
      </c>
      <c r="C92">
        <v>96587</v>
      </c>
      <c r="D92">
        <v>1</v>
      </c>
      <c r="E92" t="s">
        <v>76</v>
      </c>
      <c r="F92" t="s">
        <v>364</v>
      </c>
      <c r="I92" t="s">
        <v>49</v>
      </c>
      <c r="L92" t="s">
        <v>365</v>
      </c>
      <c r="M92" t="s">
        <v>364</v>
      </c>
      <c r="N92">
        <v>440</v>
      </c>
      <c r="O92" t="s">
        <v>366</v>
      </c>
    </row>
    <row r="93" spans="1:15" ht="15.75" customHeight="1">
      <c r="A93" t="s">
        <v>29</v>
      </c>
      <c r="B93">
        <v>96930</v>
      </c>
      <c r="C93">
        <v>99266</v>
      </c>
      <c r="D93">
        <v>1</v>
      </c>
      <c r="E93" t="s">
        <v>76</v>
      </c>
      <c r="F93" t="s">
        <v>367</v>
      </c>
      <c r="G93" t="s">
        <v>368</v>
      </c>
      <c r="I93" t="s">
        <v>49</v>
      </c>
      <c r="L93" t="s">
        <v>369</v>
      </c>
      <c r="M93" t="s">
        <v>367</v>
      </c>
      <c r="N93">
        <v>778</v>
      </c>
      <c r="O93" t="s">
        <v>370</v>
      </c>
    </row>
    <row r="94" spans="1:15" ht="15.75" customHeight="1">
      <c r="A94" t="s">
        <v>29</v>
      </c>
      <c r="B94">
        <v>99370</v>
      </c>
      <c r="C94">
        <v>99918</v>
      </c>
      <c r="D94">
        <v>1</v>
      </c>
      <c r="E94" t="s">
        <v>76</v>
      </c>
      <c r="F94" t="s">
        <v>371</v>
      </c>
      <c r="G94" t="s">
        <v>372</v>
      </c>
      <c r="I94" t="s">
        <v>49</v>
      </c>
      <c r="L94" t="s">
        <v>373</v>
      </c>
      <c r="M94" t="s">
        <v>371</v>
      </c>
      <c r="N94">
        <v>182</v>
      </c>
      <c r="O94" t="s">
        <v>374</v>
      </c>
    </row>
    <row r="95" spans="1:15" ht="15.75" customHeight="1">
      <c r="A95" t="s">
        <v>29</v>
      </c>
      <c r="B95">
        <v>99915</v>
      </c>
      <c r="C95">
        <v>100217</v>
      </c>
      <c r="D95">
        <v>1</v>
      </c>
      <c r="E95" t="s">
        <v>76</v>
      </c>
      <c r="F95" t="s">
        <v>353</v>
      </c>
      <c r="I95" t="s">
        <v>49</v>
      </c>
      <c r="L95" t="s">
        <v>375</v>
      </c>
      <c r="M95" t="s">
        <v>353</v>
      </c>
      <c r="N95">
        <v>100</v>
      </c>
      <c r="O95" t="s">
        <v>376</v>
      </c>
    </row>
    <row r="96" spans="1:15" ht="15.75" customHeight="1">
      <c r="A96" t="s">
        <v>29</v>
      </c>
      <c r="B96">
        <v>100304</v>
      </c>
      <c r="C96">
        <v>101185</v>
      </c>
      <c r="D96">
        <v>1</v>
      </c>
      <c r="E96" t="s">
        <v>47</v>
      </c>
      <c r="F96" t="s">
        <v>377</v>
      </c>
      <c r="G96" t="s">
        <v>378</v>
      </c>
      <c r="I96" t="s">
        <v>49</v>
      </c>
      <c r="L96" t="s">
        <v>379</v>
      </c>
      <c r="M96" t="s">
        <v>377</v>
      </c>
      <c r="N96">
        <v>293</v>
      </c>
      <c r="O96" t="s">
        <v>380</v>
      </c>
    </row>
    <row r="97" spans="1:15" ht="15.75" customHeight="1">
      <c r="A97" t="s">
        <v>29</v>
      </c>
      <c r="B97">
        <v>101189</v>
      </c>
      <c r="C97">
        <v>101803</v>
      </c>
      <c r="D97">
        <v>1</v>
      </c>
      <c r="E97" t="s">
        <v>47</v>
      </c>
      <c r="F97" t="s">
        <v>381</v>
      </c>
      <c r="G97" t="s">
        <v>382</v>
      </c>
      <c r="I97" t="s">
        <v>49</v>
      </c>
      <c r="L97" t="s">
        <v>383</v>
      </c>
      <c r="M97" t="s">
        <v>381</v>
      </c>
      <c r="N97">
        <v>204</v>
      </c>
      <c r="O97" t="s">
        <v>384</v>
      </c>
    </row>
    <row r="98" spans="1:15" ht="15.75" customHeight="1">
      <c r="A98" t="s">
        <v>29</v>
      </c>
      <c r="B98">
        <v>101931</v>
      </c>
      <c r="C98">
        <v>104297</v>
      </c>
      <c r="D98">
        <v>1</v>
      </c>
      <c r="E98" t="s">
        <v>47</v>
      </c>
      <c r="F98" t="s">
        <v>385</v>
      </c>
      <c r="G98" t="s">
        <v>386</v>
      </c>
      <c r="I98" t="s">
        <v>49</v>
      </c>
      <c r="L98" t="s">
        <v>387</v>
      </c>
      <c r="M98" t="s">
        <v>385</v>
      </c>
      <c r="N98">
        <v>788</v>
      </c>
      <c r="O98" t="s">
        <v>388</v>
      </c>
    </row>
    <row r="99" spans="1:15" ht="15.75" customHeight="1">
      <c r="A99" t="s">
        <v>29</v>
      </c>
      <c r="B99">
        <v>104345</v>
      </c>
      <c r="C99">
        <v>105628</v>
      </c>
      <c r="D99">
        <v>1</v>
      </c>
      <c r="E99" t="s">
        <v>76</v>
      </c>
      <c r="F99" t="s">
        <v>389</v>
      </c>
      <c r="G99" t="s">
        <v>390</v>
      </c>
      <c r="I99" t="s">
        <v>49</v>
      </c>
      <c r="L99" t="s">
        <v>391</v>
      </c>
      <c r="M99" t="s">
        <v>389</v>
      </c>
      <c r="N99">
        <v>427</v>
      </c>
      <c r="O99" t="s">
        <v>392</v>
      </c>
    </row>
    <row r="100" spans="1:15" ht="15.75" customHeight="1">
      <c r="A100" t="s">
        <v>29</v>
      </c>
      <c r="B100">
        <v>105789</v>
      </c>
      <c r="C100">
        <v>106181</v>
      </c>
      <c r="D100">
        <v>1</v>
      </c>
      <c r="E100" t="s">
        <v>76</v>
      </c>
      <c r="F100" t="s">
        <v>393</v>
      </c>
      <c r="I100" t="s">
        <v>49</v>
      </c>
      <c r="L100" t="s">
        <v>394</v>
      </c>
      <c r="M100" t="s">
        <v>393</v>
      </c>
      <c r="N100">
        <v>130</v>
      </c>
      <c r="O100" t="s">
        <v>395</v>
      </c>
    </row>
    <row r="101" spans="1:15" ht="15.75" customHeight="1">
      <c r="A101" t="s">
        <v>29</v>
      </c>
      <c r="B101">
        <v>106480</v>
      </c>
      <c r="C101">
        <v>106674</v>
      </c>
      <c r="D101">
        <v>1</v>
      </c>
      <c r="E101" t="s">
        <v>76</v>
      </c>
      <c r="F101" t="s">
        <v>396</v>
      </c>
      <c r="I101" t="s">
        <v>49</v>
      </c>
      <c r="L101" t="s">
        <v>397</v>
      </c>
      <c r="M101" t="s">
        <v>396</v>
      </c>
      <c r="N101">
        <v>64</v>
      </c>
      <c r="O101" t="s">
        <v>398</v>
      </c>
    </row>
    <row r="102" spans="1:15" ht="15.75" customHeight="1">
      <c r="A102" t="s">
        <v>29</v>
      </c>
      <c r="B102">
        <v>106686</v>
      </c>
      <c r="C102">
        <v>107156</v>
      </c>
      <c r="D102">
        <v>1</v>
      </c>
      <c r="E102" t="s">
        <v>76</v>
      </c>
      <c r="F102" t="s">
        <v>396</v>
      </c>
      <c r="G102" t="s">
        <v>399</v>
      </c>
      <c r="I102" t="s">
        <v>49</v>
      </c>
      <c r="L102" t="s">
        <v>400</v>
      </c>
      <c r="M102" t="s">
        <v>396</v>
      </c>
      <c r="N102">
        <v>156</v>
      </c>
      <c r="O102" t="s">
        <v>401</v>
      </c>
    </row>
    <row r="103" spans="1:15" ht="15.75" customHeight="1">
      <c r="A103" t="s">
        <v>29</v>
      </c>
      <c r="B103">
        <v>107153</v>
      </c>
      <c r="C103">
        <v>107392</v>
      </c>
      <c r="D103">
        <v>1</v>
      </c>
      <c r="E103" t="s">
        <v>76</v>
      </c>
      <c r="F103" t="s">
        <v>402</v>
      </c>
      <c r="I103" t="s">
        <v>49</v>
      </c>
      <c r="L103" t="s">
        <v>403</v>
      </c>
      <c r="M103" t="s">
        <v>402</v>
      </c>
      <c r="N103">
        <v>79</v>
      </c>
      <c r="O103" t="s">
        <v>404</v>
      </c>
    </row>
    <row r="104" spans="1:15" ht="15.75" customHeight="1">
      <c r="A104" t="s">
        <v>29</v>
      </c>
      <c r="B104">
        <v>108311</v>
      </c>
      <c r="C104">
        <v>108943</v>
      </c>
      <c r="D104">
        <v>1</v>
      </c>
      <c r="E104" t="s">
        <v>76</v>
      </c>
      <c r="F104" t="s">
        <v>405</v>
      </c>
      <c r="G104" t="s">
        <v>406</v>
      </c>
      <c r="I104" t="s">
        <v>49</v>
      </c>
      <c r="L104" t="s">
        <v>407</v>
      </c>
      <c r="M104" t="s">
        <v>405</v>
      </c>
      <c r="N104">
        <v>210</v>
      </c>
      <c r="O104" t="s">
        <v>408</v>
      </c>
    </row>
    <row r="105" spans="1:15" ht="15.75" customHeight="1">
      <c r="A105" t="s">
        <v>29</v>
      </c>
      <c r="B105">
        <v>108957</v>
      </c>
      <c r="C105">
        <v>109952</v>
      </c>
      <c r="D105">
        <v>1</v>
      </c>
      <c r="E105" t="s">
        <v>76</v>
      </c>
      <c r="F105" t="s">
        <v>409</v>
      </c>
      <c r="G105" t="s">
        <v>410</v>
      </c>
      <c r="I105" t="s">
        <v>49</v>
      </c>
      <c r="L105" t="s">
        <v>411</v>
      </c>
      <c r="M105" t="s">
        <v>409</v>
      </c>
      <c r="N105">
        <v>331</v>
      </c>
      <c r="O105" t="s">
        <v>412</v>
      </c>
    </row>
    <row r="106" spans="1:15" ht="15.75" customHeight="1">
      <c r="A106" t="s">
        <v>29</v>
      </c>
      <c r="B106">
        <v>109949</v>
      </c>
      <c r="C106">
        <v>110647</v>
      </c>
      <c r="D106">
        <v>1</v>
      </c>
      <c r="E106" t="s">
        <v>76</v>
      </c>
      <c r="F106" t="s">
        <v>413</v>
      </c>
      <c r="I106" t="s">
        <v>49</v>
      </c>
      <c r="L106" t="s">
        <v>414</v>
      </c>
      <c r="M106" t="s">
        <v>413</v>
      </c>
      <c r="N106">
        <v>232</v>
      </c>
      <c r="O106" t="s">
        <v>415</v>
      </c>
    </row>
    <row r="107" spans="1:15" ht="15.75" customHeight="1">
      <c r="A107" t="s">
        <v>29</v>
      </c>
      <c r="B107">
        <v>110725</v>
      </c>
      <c r="C107">
        <v>111735</v>
      </c>
      <c r="D107">
        <v>1</v>
      </c>
      <c r="E107" t="s">
        <v>76</v>
      </c>
      <c r="F107" t="s">
        <v>416</v>
      </c>
      <c r="G107" t="s">
        <v>417</v>
      </c>
      <c r="I107" t="s">
        <v>49</v>
      </c>
      <c r="L107" t="s">
        <v>418</v>
      </c>
      <c r="M107" t="s">
        <v>416</v>
      </c>
      <c r="N107">
        <v>336</v>
      </c>
      <c r="O107" t="s">
        <v>419</v>
      </c>
    </row>
    <row r="108" spans="1:15" ht="15.75" customHeight="1">
      <c r="A108" t="s">
        <v>29</v>
      </c>
      <c r="B108">
        <v>111719</v>
      </c>
      <c r="C108">
        <v>112726</v>
      </c>
      <c r="D108">
        <v>1</v>
      </c>
      <c r="E108" t="s">
        <v>76</v>
      </c>
      <c r="F108" t="s">
        <v>420</v>
      </c>
      <c r="I108" t="s">
        <v>49</v>
      </c>
      <c r="L108" t="s">
        <v>421</v>
      </c>
      <c r="M108" t="s">
        <v>420</v>
      </c>
      <c r="N108">
        <v>335</v>
      </c>
      <c r="O108" t="s">
        <v>422</v>
      </c>
    </row>
    <row r="109" spans="1:15" ht="15.75" customHeight="1">
      <c r="A109" t="s">
        <v>29</v>
      </c>
      <c r="B109">
        <v>112713</v>
      </c>
      <c r="C109">
        <v>113666</v>
      </c>
      <c r="D109">
        <v>1</v>
      </c>
      <c r="E109" t="s">
        <v>76</v>
      </c>
      <c r="F109" t="s">
        <v>423</v>
      </c>
      <c r="G109" t="s">
        <v>424</v>
      </c>
      <c r="I109" t="s">
        <v>49</v>
      </c>
      <c r="L109" t="s">
        <v>425</v>
      </c>
      <c r="M109" t="s">
        <v>423</v>
      </c>
      <c r="N109">
        <v>317</v>
      </c>
      <c r="O109" t="s">
        <v>426</v>
      </c>
    </row>
    <row r="110" spans="1:15" ht="15.75" customHeight="1">
      <c r="A110" t="s">
        <v>29</v>
      </c>
      <c r="B110">
        <v>113648</v>
      </c>
      <c r="C110">
        <v>114526</v>
      </c>
      <c r="D110">
        <v>1</v>
      </c>
      <c r="E110" t="s">
        <v>76</v>
      </c>
      <c r="F110" t="s">
        <v>427</v>
      </c>
      <c r="I110" t="s">
        <v>49</v>
      </c>
      <c r="L110" t="s">
        <v>428</v>
      </c>
      <c r="M110" t="s">
        <v>427</v>
      </c>
      <c r="N110">
        <v>292</v>
      </c>
      <c r="O110" t="s">
        <v>429</v>
      </c>
    </row>
    <row r="111" spans="1:15" ht="15.75" customHeight="1">
      <c r="A111" t="s">
        <v>29</v>
      </c>
      <c r="B111">
        <v>114648</v>
      </c>
      <c r="C111">
        <v>114977</v>
      </c>
      <c r="D111">
        <v>1</v>
      </c>
      <c r="E111" t="s">
        <v>76</v>
      </c>
      <c r="F111" t="s">
        <v>430</v>
      </c>
      <c r="I111" t="s">
        <v>49</v>
      </c>
      <c r="L111" t="s">
        <v>431</v>
      </c>
      <c r="M111" t="s">
        <v>430</v>
      </c>
      <c r="N111">
        <v>109</v>
      </c>
      <c r="O111" t="s">
        <v>432</v>
      </c>
    </row>
    <row r="112" spans="1:15" ht="15.75" customHeight="1">
      <c r="A112" t="s">
        <v>29</v>
      </c>
      <c r="B112">
        <v>115878</v>
      </c>
      <c r="C112">
        <v>116348</v>
      </c>
      <c r="D112">
        <v>1</v>
      </c>
      <c r="E112" t="s">
        <v>47</v>
      </c>
      <c r="F112" t="s">
        <v>433</v>
      </c>
      <c r="I112" t="s">
        <v>49</v>
      </c>
      <c r="L112" t="s">
        <v>434</v>
      </c>
      <c r="M112" t="s">
        <v>433</v>
      </c>
      <c r="N112">
        <v>156</v>
      </c>
      <c r="O112" t="s">
        <v>435</v>
      </c>
    </row>
    <row r="113" spans="1:15" ht="15.75" customHeight="1">
      <c r="A113" t="s">
        <v>29</v>
      </c>
      <c r="B113">
        <v>116507</v>
      </c>
      <c r="C113">
        <v>117739</v>
      </c>
      <c r="D113">
        <v>1</v>
      </c>
      <c r="E113" t="s">
        <v>47</v>
      </c>
      <c r="F113" t="s">
        <v>436</v>
      </c>
      <c r="I113" t="s">
        <v>49</v>
      </c>
      <c r="L113" t="s">
        <v>437</v>
      </c>
      <c r="M113" t="s">
        <v>436</v>
      </c>
      <c r="N113">
        <v>410</v>
      </c>
      <c r="O113" t="s">
        <v>438</v>
      </c>
    </row>
    <row r="114" spans="1:15" ht="15.75" customHeight="1">
      <c r="A114" t="s">
        <v>29</v>
      </c>
      <c r="B114">
        <v>117857</v>
      </c>
      <c r="C114">
        <v>118105</v>
      </c>
      <c r="D114">
        <v>1</v>
      </c>
      <c r="E114" t="s">
        <v>76</v>
      </c>
      <c r="F114" t="s">
        <v>439</v>
      </c>
      <c r="G114" t="s">
        <v>440</v>
      </c>
      <c r="I114" t="s">
        <v>49</v>
      </c>
      <c r="L114" t="s">
        <v>441</v>
      </c>
      <c r="M114" t="s">
        <v>439</v>
      </c>
      <c r="N114">
        <v>82</v>
      </c>
      <c r="O114" t="s">
        <v>442</v>
      </c>
    </row>
    <row r="115" spans="1:15" ht="15.75" customHeight="1">
      <c r="A115" t="s">
        <v>29</v>
      </c>
      <c r="B115">
        <v>118056</v>
      </c>
      <c r="C115">
        <v>118799</v>
      </c>
      <c r="D115">
        <v>1</v>
      </c>
      <c r="E115" t="s">
        <v>76</v>
      </c>
      <c r="F115" t="s">
        <v>443</v>
      </c>
      <c r="G115" t="s">
        <v>444</v>
      </c>
      <c r="I115" t="s">
        <v>49</v>
      </c>
      <c r="L115" t="s">
        <v>445</v>
      </c>
      <c r="M115" t="s">
        <v>443</v>
      </c>
      <c r="N115">
        <v>247</v>
      </c>
      <c r="O115" t="s">
        <v>446</v>
      </c>
    </row>
    <row r="116" spans="1:15" ht="15.75" customHeight="1">
      <c r="A116" t="s">
        <v>29</v>
      </c>
      <c r="B116">
        <v>118897</v>
      </c>
      <c r="C116">
        <v>119586</v>
      </c>
      <c r="D116">
        <v>1</v>
      </c>
      <c r="E116" t="s">
        <v>76</v>
      </c>
      <c r="F116" t="s">
        <v>443</v>
      </c>
      <c r="G116" t="s">
        <v>447</v>
      </c>
      <c r="I116" t="s">
        <v>49</v>
      </c>
      <c r="L116" t="s">
        <v>448</v>
      </c>
      <c r="M116" t="s">
        <v>443</v>
      </c>
      <c r="N116">
        <v>229</v>
      </c>
      <c r="O116" t="s">
        <v>449</v>
      </c>
    </row>
    <row r="117" spans="1:15" ht="15.75" customHeight="1">
      <c r="A117" t="s">
        <v>29</v>
      </c>
      <c r="B117">
        <v>119598</v>
      </c>
      <c r="C117">
        <v>121022</v>
      </c>
      <c r="D117">
        <v>1</v>
      </c>
      <c r="E117" t="s">
        <v>76</v>
      </c>
      <c r="F117" t="s">
        <v>443</v>
      </c>
      <c r="G117" t="s">
        <v>450</v>
      </c>
      <c r="I117" t="s">
        <v>49</v>
      </c>
      <c r="L117" t="s">
        <v>451</v>
      </c>
      <c r="M117" t="s">
        <v>443</v>
      </c>
      <c r="N117">
        <v>474</v>
      </c>
      <c r="O117" t="s">
        <v>452</v>
      </c>
    </row>
    <row r="118" spans="1:15" ht="15.75" customHeight="1">
      <c r="A118" t="s">
        <v>29</v>
      </c>
      <c r="B118">
        <v>121098</v>
      </c>
      <c r="C118">
        <v>122492</v>
      </c>
      <c r="D118">
        <v>1</v>
      </c>
      <c r="E118" t="s">
        <v>76</v>
      </c>
      <c r="F118" t="s">
        <v>453</v>
      </c>
      <c r="I118" t="s">
        <v>49</v>
      </c>
      <c r="L118" t="s">
        <v>454</v>
      </c>
      <c r="M118" t="s">
        <v>453</v>
      </c>
      <c r="N118">
        <v>464</v>
      </c>
      <c r="O118" t="s">
        <v>455</v>
      </c>
    </row>
    <row r="119" spans="1:15" ht="15.75" customHeight="1">
      <c r="A119" t="s">
        <v>29</v>
      </c>
      <c r="B119">
        <v>122505</v>
      </c>
      <c r="C119">
        <v>123662</v>
      </c>
      <c r="D119">
        <v>1</v>
      </c>
      <c r="E119" t="s">
        <v>76</v>
      </c>
      <c r="F119" t="s">
        <v>456</v>
      </c>
      <c r="G119" t="s">
        <v>457</v>
      </c>
      <c r="I119" t="s">
        <v>49</v>
      </c>
      <c r="L119" t="s">
        <v>458</v>
      </c>
      <c r="M119" t="s">
        <v>456</v>
      </c>
      <c r="N119">
        <v>385</v>
      </c>
      <c r="O119" t="s">
        <v>459</v>
      </c>
    </row>
    <row r="120" spans="1:15" ht="15.75" customHeight="1">
      <c r="A120" t="s">
        <v>29</v>
      </c>
      <c r="B120">
        <v>124148</v>
      </c>
      <c r="C120">
        <v>124477</v>
      </c>
      <c r="D120">
        <v>1</v>
      </c>
      <c r="E120" t="s">
        <v>76</v>
      </c>
      <c r="F120" t="s">
        <v>460</v>
      </c>
      <c r="G120" t="s">
        <v>461</v>
      </c>
      <c r="I120" t="s">
        <v>49</v>
      </c>
      <c r="L120" t="s">
        <v>462</v>
      </c>
      <c r="M120" t="s">
        <v>460</v>
      </c>
      <c r="N120">
        <v>109</v>
      </c>
      <c r="O120" t="s">
        <v>463</v>
      </c>
    </row>
    <row r="121" spans="1:15" ht="15.75" customHeight="1">
      <c r="A121" t="s">
        <v>29</v>
      </c>
      <c r="B121">
        <v>124547</v>
      </c>
      <c r="C121">
        <v>125074</v>
      </c>
      <c r="D121">
        <v>1</v>
      </c>
      <c r="E121" t="s">
        <v>76</v>
      </c>
      <c r="F121" t="s">
        <v>464</v>
      </c>
      <c r="G121" t="s">
        <v>465</v>
      </c>
      <c r="I121" t="s">
        <v>49</v>
      </c>
      <c r="L121" t="s">
        <v>466</v>
      </c>
      <c r="M121" t="s">
        <v>464</v>
      </c>
      <c r="N121">
        <v>175</v>
      </c>
      <c r="O121" t="s">
        <v>467</v>
      </c>
    </row>
    <row r="122" spans="1:15" ht="15.75" customHeight="1">
      <c r="A122" t="s">
        <v>29</v>
      </c>
      <c r="B122">
        <v>125140</v>
      </c>
      <c r="C122">
        <v>125736</v>
      </c>
      <c r="D122">
        <v>1</v>
      </c>
      <c r="E122" t="s">
        <v>47</v>
      </c>
      <c r="F122" t="s">
        <v>468</v>
      </c>
      <c r="G122" t="s">
        <v>469</v>
      </c>
      <c r="I122" t="s">
        <v>49</v>
      </c>
      <c r="L122" t="s">
        <v>470</v>
      </c>
      <c r="M122" t="s">
        <v>468</v>
      </c>
      <c r="N122">
        <v>198</v>
      </c>
      <c r="O122" t="s">
        <v>471</v>
      </c>
    </row>
    <row r="123" spans="1:15" ht="15.75" customHeight="1">
      <c r="A123" t="s">
        <v>29</v>
      </c>
      <c r="B123">
        <v>125733</v>
      </c>
      <c r="C123">
        <v>127892</v>
      </c>
      <c r="D123">
        <v>1</v>
      </c>
      <c r="E123" t="s">
        <v>47</v>
      </c>
      <c r="F123" t="s">
        <v>472</v>
      </c>
      <c r="G123" t="s">
        <v>473</v>
      </c>
      <c r="I123" t="s">
        <v>49</v>
      </c>
      <c r="L123" t="s">
        <v>474</v>
      </c>
      <c r="M123" t="s">
        <v>472</v>
      </c>
      <c r="N123">
        <v>719</v>
      </c>
      <c r="O123" t="s">
        <v>475</v>
      </c>
    </row>
    <row r="124" spans="1:15" ht="15.75" customHeight="1">
      <c r="A124" t="s">
        <v>29</v>
      </c>
      <c r="B124">
        <v>128059</v>
      </c>
      <c r="C124">
        <v>133362</v>
      </c>
      <c r="D124">
        <v>1</v>
      </c>
      <c r="E124" t="s">
        <v>76</v>
      </c>
      <c r="F124" t="s">
        <v>476</v>
      </c>
      <c r="I124" t="s">
        <v>49</v>
      </c>
      <c r="L124" t="s">
        <v>477</v>
      </c>
      <c r="M124" t="s">
        <v>476</v>
      </c>
      <c r="N124">
        <v>1767</v>
      </c>
      <c r="O124" t="s">
        <v>478</v>
      </c>
    </row>
    <row r="125" spans="1:15" ht="15.75" customHeight="1">
      <c r="A125" t="s">
        <v>29</v>
      </c>
      <c r="B125">
        <v>133663</v>
      </c>
      <c r="C125">
        <v>135645</v>
      </c>
      <c r="D125">
        <v>1</v>
      </c>
      <c r="E125" t="s">
        <v>76</v>
      </c>
      <c r="F125" t="s">
        <v>479</v>
      </c>
      <c r="G125" t="s">
        <v>480</v>
      </c>
      <c r="I125" t="s">
        <v>49</v>
      </c>
      <c r="L125" t="s">
        <v>481</v>
      </c>
      <c r="M125" t="s">
        <v>479</v>
      </c>
      <c r="N125">
        <v>660</v>
      </c>
      <c r="O125" t="s">
        <v>482</v>
      </c>
    </row>
    <row r="126" spans="1:15" ht="15.75" customHeight="1">
      <c r="A126" t="s">
        <v>29</v>
      </c>
      <c r="B126">
        <v>136563</v>
      </c>
      <c r="C126">
        <v>136874</v>
      </c>
      <c r="D126">
        <v>1</v>
      </c>
      <c r="E126" t="s">
        <v>76</v>
      </c>
      <c r="F126" t="s">
        <v>483</v>
      </c>
      <c r="I126" t="s">
        <v>49</v>
      </c>
      <c r="L126" t="s">
        <v>484</v>
      </c>
      <c r="M126" t="s">
        <v>483</v>
      </c>
      <c r="N126">
        <v>103</v>
      </c>
      <c r="O126" t="s">
        <v>485</v>
      </c>
    </row>
    <row r="127" spans="1:15" ht="15.75" customHeight="1">
      <c r="A127" t="s">
        <v>29</v>
      </c>
      <c r="B127">
        <v>137171</v>
      </c>
      <c r="C127">
        <v>137527</v>
      </c>
      <c r="D127">
        <v>1</v>
      </c>
      <c r="E127" t="s">
        <v>76</v>
      </c>
      <c r="F127" t="s">
        <v>486</v>
      </c>
      <c r="G127" t="s">
        <v>487</v>
      </c>
      <c r="I127" t="s">
        <v>49</v>
      </c>
      <c r="L127" t="s">
        <v>488</v>
      </c>
      <c r="M127" t="s">
        <v>486</v>
      </c>
      <c r="N127">
        <v>118</v>
      </c>
      <c r="O127" t="s">
        <v>489</v>
      </c>
    </row>
    <row r="128" spans="1:15" ht="15.75" customHeight="1">
      <c r="A128" t="s">
        <v>29</v>
      </c>
      <c r="B128">
        <v>137615</v>
      </c>
      <c r="C128">
        <v>137923</v>
      </c>
      <c r="D128">
        <v>1</v>
      </c>
      <c r="E128" t="s">
        <v>76</v>
      </c>
      <c r="F128" t="s">
        <v>490</v>
      </c>
      <c r="G128" t="s">
        <v>491</v>
      </c>
      <c r="I128" t="s">
        <v>49</v>
      </c>
      <c r="L128" t="s">
        <v>492</v>
      </c>
      <c r="M128" t="s">
        <v>490</v>
      </c>
      <c r="N128">
        <v>102</v>
      </c>
      <c r="O128" t="s">
        <v>493</v>
      </c>
    </row>
    <row r="129" spans="1:15" ht="15.75" customHeight="1">
      <c r="A129" t="s">
        <v>29</v>
      </c>
      <c r="B129">
        <v>137989</v>
      </c>
      <c r="C129">
        <v>139038</v>
      </c>
      <c r="D129">
        <v>1</v>
      </c>
      <c r="E129" t="s">
        <v>76</v>
      </c>
      <c r="F129" t="s">
        <v>494</v>
      </c>
      <c r="G129" t="s">
        <v>495</v>
      </c>
      <c r="I129" t="s">
        <v>49</v>
      </c>
      <c r="L129" t="s">
        <v>496</v>
      </c>
      <c r="M129" t="s">
        <v>494</v>
      </c>
      <c r="N129">
        <v>349</v>
      </c>
      <c r="O129" t="s">
        <v>497</v>
      </c>
    </row>
    <row r="130" spans="1:15" ht="15.75" customHeight="1">
      <c r="A130" t="s">
        <v>29</v>
      </c>
      <c r="B130">
        <v>139048</v>
      </c>
      <c r="C130">
        <v>139644</v>
      </c>
      <c r="D130">
        <v>1</v>
      </c>
      <c r="E130" t="s">
        <v>76</v>
      </c>
      <c r="F130" t="s">
        <v>498</v>
      </c>
      <c r="G130" t="s">
        <v>499</v>
      </c>
      <c r="I130" t="s">
        <v>49</v>
      </c>
      <c r="L130" t="s">
        <v>500</v>
      </c>
      <c r="M130" t="s">
        <v>498</v>
      </c>
      <c r="N130">
        <v>198</v>
      </c>
      <c r="O130" t="s">
        <v>501</v>
      </c>
    </row>
    <row r="131" spans="1:15" ht="15.75" customHeight="1">
      <c r="A131" t="s">
        <v>29</v>
      </c>
      <c r="B131">
        <v>139645</v>
      </c>
      <c r="C131">
        <v>140502</v>
      </c>
      <c r="D131">
        <v>1</v>
      </c>
      <c r="E131" t="s">
        <v>76</v>
      </c>
      <c r="F131" t="s">
        <v>502</v>
      </c>
      <c r="G131" t="s">
        <v>503</v>
      </c>
      <c r="I131" t="s">
        <v>49</v>
      </c>
      <c r="L131" t="s">
        <v>504</v>
      </c>
      <c r="M131" t="s">
        <v>502</v>
      </c>
      <c r="N131">
        <v>285</v>
      </c>
      <c r="O131" t="s">
        <v>505</v>
      </c>
    </row>
    <row r="132" spans="1:15" ht="15.75" customHeight="1">
      <c r="A132" t="s">
        <v>29</v>
      </c>
      <c r="B132">
        <v>140716</v>
      </c>
      <c r="C132">
        <v>141498</v>
      </c>
      <c r="D132">
        <v>1</v>
      </c>
      <c r="E132" t="s">
        <v>47</v>
      </c>
      <c r="F132" t="s">
        <v>483</v>
      </c>
      <c r="I132" t="s">
        <v>49</v>
      </c>
      <c r="L132" t="s">
        <v>506</v>
      </c>
      <c r="M132" t="s">
        <v>483</v>
      </c>
      <c r="N132">
        <v>260</v>
      </c>
      <c r="O132" t="s">
        <v>507</v>
      </c>
    </row>
    <row r="133" spans="1:15" ht="15.75" customHeight="1">
      <c r="A133" t="s">
        <v>29</v>
      </c>
      <c r="B133">
        <v>141432</v>
      </c>
      <c r="C133">
        <v>141614</v>
      </c>
      <c r="D133">
        <v>1</v>
      </c>
      <c r="E133" t="s">
        <v>76</v>
      </c>
      <c r="F133" t="s">
        <v>176</v>
      </c>
      <c r="I133" t="s">
        <v>49</v>
      </c>
      <c r="L133" t="s">
        <v>508</v>
      </c>
      <c r="M133" t="s">
        <v>176</v>
      </c>
      <c r="N133">
        <v>60</v>
      </c>
      <c r="O133" t="s">
        <v>509</v>
      </c>
    </row>
    <row r="134" spans="1:15" ht="15.75" customHeight="1">
      <c r="A134" t="s">
        <v>29</v>
      </c>
      <c r="B134">
        <v>141672</v>
      </c>
      <c r="C134">
        <v>142022</v>
      </c>
      <c r="D134">
        <v>1</v>
      </c>
      <c r="E134" t="s">
        <v>47</v>
      </c>
      <c r="F134" t="s">
        <v>510</v>
      </c>
      <c r="I134" t="s">
        <v>49</v>
      </c>
      <c r="L134" t="s">
        <v>511</v>
      </c>
      <c r="M134" t="s">
        <v>510</v>
      </c>
      <c r="N134">
        <v>116</v>
      </c>
      <c r="O134" t="s">
        <v>512</v>
      </c>
    </row>
    <row r="135" spans="1:15" ht="15.75" customHeight="1">
      <c r="A135" t="s">
        <v>29</v>
      </c>
      <c r="B135">
        <v>142310</v>
      </c>
      <c r="C135">
        <v>142492</v>
      </c>
      <c r="D135">
        <v>1</v>
      </c>
      <c r="E135" t="s">
        <v>76</v>
      </c>
      <c r="F135" t="s">
        <v>513</v>
      </c>
      <c r="I135" t="s">
        <v>49</v>
      </c>
      <c r="L135" t="s">
        <v>514</v>
      </c>
      <c r="M135" t="s">
        <v>513</v>
      </c>
      <c r="N135">
        <v>60</v>
      </c>
      <c r="O135" t="s">
        <v>515</v>
      </c>
    </row>
    <row r="136" spans="1:15" ht="15.75" customHeight="1">
      <c r="A136" t="s">
        <v>29</v>
      </c>
      <c r="B136">
        <v>142708</v>
      </c>
      <c r="C136">
        <v>143940</v>
      </c>
      <c r="D136">
        <v>1</v>
      </c>
      <c r="E136" t="s">
        <v>76</v>
      </c>
      <c r="F136" t="s">
        <v>516</v>
      </c>
      <c r="G136" t="s">
        <v>517</v>
      </c>
      <c r="I136" t="s">
        <v>49</v>
      </c>
      <c r="L136" t="s">
        <v>518</v>
      </c>
      <c r="M136" t="s">
        <v>516</v>
      </c>
      <c r="N136">
        <v>410</v>
      </c>
      <c r="O136" t="s">
        <v>519</v>
      </c>
    </row>
    <row r="137" spans="1:15" ht="15.75" customHeight="1">
      <c r="A137" t="s">
        <v>29</v>
      </c>
      <c r="B137">
        <v>143969</v>
      </c>
      <c r="C137">
        <v>145039</v>
      </c>
      <c r="D137">
        <v>1</v>
      </c>
      <c r="E137" t="s">
        <v>76</v>
      </c>
      <c r="F137" t="s">
        <v>520</v>
      </c>
      <c r="G137" t="s">
        <v>521</v>
      </c>
      <c r="I137" t="s">
        <v>49</v>
      </c>
      <c r="L137" t="s">
        <v>522</v>
      </c>
      <c r="M137" t="s">
        <v>520</v>
      </c>
      <c r="N137">
        <v>356</v>
      </c>
      <c r="O137" t="s">
        <v>523</v>
      </c>
    </row>
    <row r="138" spans="1:15" ht="15.75" customHeight="1">
      <c r="A138" t="s">
        <v>29</v>
      </c>
      <c r="B138">
        <v>145107</v>
      </c>
      <c r="C138">
        <v>146276</v>
      </c>
      <c r="D138">
        <v>1</v>
      </c>
      <c r="E138" t="s">
        <v>76</v>
      </c>
      <c r="F138" t="s">
        <v>524</v>
      </c>
      <c r="G138" t="s">
        <v>525</v>
      </c>
      <c r="I138" t="s">
        <v>49</v>
      </c>
      <c r="L138" t="s">
        <v>526</v>
      </c>
      <c r="M138" t="s">
        <v>524</v>
      </c>
      <c r="N138">
        <v>389</v>
      </c>
      <c r="O138" t="s">
        <v>527</v>
      </c>
    </row>
    <row r="139" spans="1:15" ht="15.75" customHeight="1">
      <c r="A139" t="s">
        <v>29</v>
      </c>
      <c r="B139">
        <v>146462</v>
      </c>
      <c r="C139">
        <v>147766</v>
      </c>
      <c r="D139">
        <v>1</v>
      </c>
      <c r="E139" t="s">
        <v>76</v>
      </c>
      <c r="F139" t="s">
        <v>528</v>
      </c>
      <c r="G139" t="s">
        <v>529</v>
      </c>
      <c r="I139" t="s">
        <v>49</v>
      </c>
      <c r="L139" t="s">
        <v>530</v>
      </c>
      <c r="M139" t="s">
        <v>528</v>
      </c>
      <c r="N139">
        <v>434</v>
      </c>
      <c r="O139" t="s">
        <v>531</v>
      </c>
    </row>
    <row r="140" spans="1:15" ht="15.75" customHeight="1">
      <c r="A140" t="s">
        <v>29</v>
      </c>
      <c r="B140">
        <v>147883</v>
      </c>
      <c r="C140">
        <v>149037</v>
      </c>
      <c r="D140">
        <v>1</v>
      </c>
      <c r="E140" t="s">
        <v>76</v>
      </c>
      <c r="F140" t="s">
        <v>255</v>
      </c>
      <c r="G140" t="s">
        <v>532</v>
      </c>
      <c r="I140" t="s">
        <v>49</v>
      </c>
      <c r="L140" t="s">
        <v>533</v>
      </c>
      <c r="M140" t="s">
        <v>255</v>
      </c>
      <c r="N140">
        <v>384</v>
      </c>
      <c r="O140" t="s">
        <v>534</v>
      </c>
    </row>
    <row r="141" spans="1:15" ht="15.75" customHeight="1">
      <c r="A141" t="s">
        <v>29</v>
      </c>
      <c r="B141">
        <v>149034</v>
      </c>
      <c r="C141">
        <v>149585</v>
      </c>
      <c r="D141">
        <v>1</v>
      </c>
      <c r="E141" t="s">
        <v>76</v>
      </c>
      <c r="F141" t="s">
        <v>535</v>
      </c>
      <c r="G141" t="s">
        <v>536</v>
      </c>
      <c r="I141" t="s">
        <v>49</v>
      </c>
      <c r="L141" t="s">
        <v>537</v>
      </c>
      <c r="M141" t="s">
        <v>535</v>
      </c>
      <c r="N141">
        <v>183</v>
      </c>
      <c r="O141" t="s">
        <v>538</v>
      </c>
    </row>
    <row r="142" spans="1:15" ht="15.75" customHeight="1">
      <c r="A142" t="s">
        <v>29</v>
      </c>
      <c r="B142">
        <v>149578</v>
      </c>
      <c r="C142">
        <v>150714</v>
      </c>
      <c r="D142">
        <v>1</v>
      </c>
      <c r="E142" t="s">
        <v>76</v>
      </c>
      <c r="F142" t="s">
        <v>539</v>
      </c>
      <c r="G142" t="s">
        <v>540</v>
      </c>
      <c r="I142" t="s">
        <v>49</v>
      </c>
      <c r="L142" t="s">
        <v>541</v>
      </c>
      <c r="M142" t="s">
        <v>539</v>
      </c>
      <c r="N142">
        <v>378</v>
      </c>
      <c r="O142" t="s">
        <v>542</v>
      </c>
    </row>
    <row r="143" spans="1:15" ht="15.75" customHeight="1">
      <c r="A143" t="s">
        <v>29</v>
      </c>
      <c r="B143">
        <v>150855</v>
      </c>
      <c r="C143">
        <v>151520</v>
      </c>
      <c r="D143">
        <v>1</v>
      </c>
      <c r="E143" t="s">
        <v>76</v>
      </c>
      <c r="F143" t="s">
        <v>543</v>
      </c>
      <c r="G143" t="s">
        <v>544</v>
      </c>
      <c r="I143" t="s">
        <v>49</v>
      </c>
      <c r="L143" t="s">
        <v>545</v>
      </c>
      <c r="M143" t="s">
        <v>543</v>
      </c>
      <c r="N143">
        <v>221</v>
      </c>
      <c r="O143" t="s">
        <v>546</v>
      </c>
    </row>
    <row r="144" spans="1:15" ht="15.75" customHeight="1">
      <c r="A144" t="s">
        <v>29</v>
      </c>
      <c r="B144">
        <v>151530</v>
      </c>
      <c r="C144">
        <v>152222</v>
      </c>
      <c r="D144">
        <v>1</v>
      </c>
      <c r="E144" t="s">
        <v>76</v>
      </c>
      <c r="F144" t="s">
        <v>547</v>
      </c>
      <c r="G144" t="s">
        <v>548</v>
      </c>
      <c r="I144" t="s">
        <v>49</v>
      </c>
      <c r="L144" t="s">
        <v>549</v>
      </c>
      <c r="M144" t="s">
        <v>547</v>
      </c>
      <c r="N144">
        <v>230</v>
      </c>
      <c r="O144" t="s">
        <v>550</v>
      </c>
    </row>
    <row r="145" spans="1:15" ht="15.75" customHeight="1">
      <c r="A145" t="s">
        <v>29</v>
      </c>
      <c r="B145">
        <v>152231</v>
      </c>
      <c r="C145">
        <v>152962</v>
      </c>
      <c r="D145">
        <v>1</v>
      </c>
      <c r="E145" t="s">
        <v>76</v>
      </c>
      <c r="F145" t="s">
        <v>551</v>
      </c>
      <c r="G145" t="s">
        <v>552</v>
      </c>
      <c r="I145" t="s">
        <v>49</v>
      </c>
      <c r="L145" t="s">
        <v>553</v>
      </c>
      <c r="M145" t="s">
        <v>551</v>
      </c>
      <c r="N145">
        <v>243</v>
      </c>
      <c r="O145" t="s">
        <v>554</v>
      </c>
    </row>
    <row r="146" spans="1:15" ht="15.75" customHeight="1">
      <c r="A146" t="s">
        <v>29</v>
      </c>
      <c r="B146">
        <v>152964</v>
      </c>
      <c r="C146">
        <v>154409</v>
      </c>
      <c r="D146">
        <v>1</v>
      </c>
      <c r="E146" t="s">
        <v>76</v>
      </c>
      <c r="F146" t="s">
        <v>555</v>
      </c>
      <c r="G146" t="s">
        <v>556</v>
      </c>
      <c r="I146" t="s">
        <v>49</v>
      </c>
      <c r="L146" t="s">
        <v>557</v>
      </c>
      <c r="M146" t="s">
        <v>555</v>
      </c>
      <c r="N146">
        <v>481</v>
      </c>
      <c r="O146" t="s">
        <v>558</v>
      </c>
    </row>
    <row r="147" spans="1:15" ht="15.75" customHeight="1">
      <c r="A147" t="s">
        <v>29</v>
      </c>
      <c r="B147">
        <v>154662</v>
      </c>
      <c r="C147">
        <v>155060</v>
      </c>
      <c r="D147">
        <v>1</v>
      </c>
      <c r="E147" t="s">
        <v>47</v>
      </c>
      <c r="F147" t="s">
        <v>559</v>
      </c>
      <c r="I147" t="s">
        <v>49</v>
      </c>
      <c r="L147" t="s">
        <v>560</v>
      </c>
      <c r="M147" t="s">
        <v>559</v>
      </c>
      <c r="N147">
        <v>132</v>
      </c>
      <c r="O147" t="s">
        <v>561</v>
      </c>
    </row>
    <row r="148" spans="1:15" ht="15.75" customHeight="1">
      <c r="A148" t="s">
        <v>29</v>
      </c>
      <c r="B148">
        <v>155188</v>
      </c>
      <c r="C148">
        <v>155400</v>
      </c>
      <c r="D148">
        <v>1</v>
      </c>
      <c r="E148" t="s">
        <v>47</v>
      </c>
      <c r="F148" t="s">
        <v>562</v>
      </c>
      <c r="I148" t="s">
        <v>49</v>
      </c>
      <c r="L148" t="s">
        <v>563</v>
      </c>
      <c r="M148" t="s">
        <v>562</v>
      </c>
      <c r="N148">
        <v>70</v>
      </c>
      <c r="O148" t="s">
        <v>564</v>
      </c>
    </row>
    <row r="149" spans="1:15" ht="15.75" customHeight="1">
      <c r="A149" t="s">
        <v>29</v>
      </c>
      <c r="B149">
        <v>155499</v>
      </c>
      <c r="C149">
        <v>156281</v>
      </c>
      <c r="D149">
        <v>1</v>
      </c>
      <c r="E149" t="s">
        <v>47</v>
      </c>
      <c r="F149" t="s">
        <v>483</v>
      </c>
      <c r="I149" t="s">
        <v>49</v>
      </c>
      <c r="L149" t="s">
        <v>565</v>
      </c>
      <c r="M149" t="s">
        <v>483</v>
      </c>
      <c r="N149">
        <v>260</v>
      </c>
      <c r="O149" t="s">
        <v>566</v>
      </c>
    </row>
    <row r="150" spans="1:15" ht="15.75" customHeight="1">
      <c r="A150" t="s">
        <v>29</v>
      </c>
      <c r="B150">
        <v>156215</v>
      </c>
      <c r="C150">
        <v>156397</v>
      </c>
      <c r="D150">
        <v>1</v>
      </c>
      <c r="E150" t="s">
        <v>76</v>
      </c>
      <c r="F150" t="s">
        <v>176</v>
      </c>
      <c r="I150" t="s">
        <v>49</v>
      </c>
      <c r="L150" t="s">
        <v>567</v>
      </c>
      <c r="M150" t="s">
        <v>176</v>
      </c>
      <c r="N150">
        <v>60</v>
      </c>
      <c r="O150" t="s">
        <v>568</v>
      </c>
    </row>
    <row r="151" spans="1:15" ht="15.75" customHeight="1">
      <c r="A151" t="s">
        <v>29</v>
      </c>
      <c r="B151">
        <v>156455</v>
      </c>
      <c r="C151">
        <v>156805</v>
      </c>
      <c r="D151">
        <v>1</v>
      </c>
      <c r="E151" t="s">
        <v>47</v>
      </c>
      <c r="F151" t="s">
        <v>510</v>
      </c>
      <c r="I151" t="s">
        <v>49</v>
      </c>
      <c r="L151" t="s">
        <v>569</v>
      </c>
      <c r="M151" t="s">
        <v>510</v>
      </c>
      <c r="N151">
        <v>116</v>
      </c>
      <c r="O151" t="s">
        <v>570</v>
      </c>
    </row>
    <row r="152" spans="1:15" ht="15.75" customHeight="1">
      <c r="A152" t="s">
        <v>29</v>
      </c>
      <c r="B152">
        <v>156976</v>
      </c>
      <c r="C152">
        <v>157149</v>
      </c>
      <c r="D152">
        <v>1</v>
      </c>
      <c r="E152" t="s">
        <v>76</v>
      </c>
      <c r="F152" t="s">
        <v>571</v>
      </c>
      <c r="I152" t="s">
        <v>49</v>
      </c>
      <c r="L152" t="s">
        <v>572</v>
      </c>
      <c r="M152" t="s">
        <v>571</v>
      </c>
      <c r="N152">
        <v>57</v>
      </c>
      <c r="O152" t="s">
        <v>573</v>
      </c>
    </row>
    <row r="153" spans="1:15" ht="15.75" customHeight="1">
      <c r="A153" t="s">
        <v>29</v>
      </c>
      <c r="B153">
        <v>157308</v>
      </c>
      <c r="C153">
        <v>158915</v>
      </c>
      <c r="D153">
        <v>1</v>
      </c>
      <c r="E153" t="s">
        <v>76</v>
      </c>
      <c r="F153" t="s">
        <v>574</v>
      </c>
      <c r="G153" t="s">
        <v>575</v>
      </c>
      <c r="I153" t="s">
        <v>49</v>
      </c>
      <c r="L153" t="s">
        <v>576</v>
      </c>
      <c r="M153" t="s">
        <v>574</v>
      </c>
      <c r="N153">
        <v>535</v>
      </c>
      <c r="O153" t="s">
        <v>577</v>
      </c>
    </row>
    <row r="154" spans="1:15" ht="15.75" customHeight="1">
      <c r="A154" t="s">
        <v>29</v>
      </c>
      <c r="B154">
        <v>159068</v>
      </c>
      <c r="C154">
        <v>160552</v>
      </c>
      <c r="D154">
        <v>1</v>
      </c>
      <c r="E154" t="s">
        <v>47</v>
      </c>
      <c r="F154" t="s">
        <v>578</v>
      </c>
      <c r="I154" t="s">
        <v>49</v>
      </c>
      <c r="L154" t="s">
        <v>579</v>
      </c>
      <c r="M154" t="s">
        <v>578</v>
      </c>
      <c r="N154">
        <v>494</v>
      </c>
      <c r="O154" t="s">
        <v>580</v>
      </c>
    </row>
    <row r="155" spans="1:15" ht="15.75" customHeight="1">
      <c r="A155" t="s">
        <v>29</v>
      </c>
      <c r="B155">
        <v>160647</v>
      </c>
      <c r="C155">
        <v>161129</v>
      </c>
      <c r="D155">
        <v>1</v>
      </c>
      <c r="E155" t="s">
        <v>47</v>
      </c>
      <c r="F155" t="s">
        <v>581</v>
      </c>
      <c r="G155" t="s">
        <v>582</v>
      </c>
      <c r="I155" t="s">
        <v>49</v>
      </c>
      <c r="L155" t="s">
        <v>583</v>
      </c>
      <c r="M155" t="s">
        <v>581</v>
      </c>
      <c r="N155">
        <v>160</v>
      </c>
      <c r="O155" t="s">
        <v>584</v>
      </c>
    </row>
    <row r="156" spans="1:15" ht="15.75" customHeight="1">
      <c r="A156" t="s">
        <v>29</v>
      </c>
      <c r="B156">
        <v>161991</v>
      </c>
      <c r="C156">
        <v>164096</v>
      </c>
      <c r="D156">
        <v>1</v>
      </c>
      <c r="E156" t="s">
        <v>76</v>
      </c>
      <c r="F156" t="s">
        <v>585</v>
      </c>
      <c r="G156" t="s">
        <v>586</v>
      </c>
      <c r="I156" t="s">
        <v>49</v>
      </c>
      <c r="L156" t="s">
        <v>587</v>
      </c>
      <c r="M156" t="s">
        <v>585</v>
      </c>
      <c r="N156">
        <v>701</v>
      </c>
      <c r="O156" t="s">
        <v>588</v>
      </c>
    </row>
    <row r="157" spans="1:15" ht="15.75" customHeight="1">
      <c r="A157" t="s">
        <v>29</v>
      </c>
      <c r="B157">
        <v>164179</v>
      </c>
      <c r="C157">
        <v>164268</v>
      </c>
      <c r="D157">
        <v>1</v>
      </c>
      <c r="E157" t="s">
        <v>76</v>
      </c>
      <c r="F157" t="s">
        <v>176</v>
      </c>
      <c r="I157" t="s">
        <v>49</v>
      </c>
      <c r="L157" t="s">
        <v>589</v>
      </c>
      <c r="M157" t="s">
        <v>176</v>
      </c>
      <c r="N157">
        <v>29</v>
      </c>
      <c r="O157" t="s">
        <v>590</v>
      </c>
    </row>
    <row r="158" spans="1:15" ht="15.75" customHeight="1">
      <c r="A158" t="s">
        <v>29</v>
      </c>
      <c r="B158">
        <v>164705</v>
      </c>
      <c r="C158">
        <v>165685</v>
      </c>
      <c r="D158">
        <v>1</v>
      </c>
      <c r="E158" t="s">
        <v>76</v>
      </c>
      <c r="F158" t="s">
        <v>591</v>
      </c>
      <c r="G158" t="s">
        <v>592</v>
      </c>
      <c r="I158" t="s">
        <v>49</v>
      </c>
      <c r="L158" t="s">
        <v>593</v>
      </c>
      <c r="M158" t="s">
        <v>591</v>
      </c>
      <c r="N158">
        <v>326</v>
      </c>
      <c r="O158" t="s">
        <v>594</v>
      </c>
    </row>
    <row r="159" spans="1:15" ht="15.75" customHeight="1">
      <c r="A159" t="s">
        <v>29</v>
      </c>
      <c r="B159">
        <v>165687</v>
      </c>
      <c r="C159">
        <v>167939</v>
      </c>
      <c r="D159">
        <v>1</v>
      </c>
      <c r="E159" t="s">
        <v>76</v>
      </c>
      <c r="F159" t="s">
        <v>595</v>
      </c>
      <c r="G159" t="s">
        <v>596</v>
      </c>
      <c r="I159" t="s">
        <v>49</v>
      </c>
      <c r="L159" t="s">
        <v>597</v>
      </c>
      <c r="M159" t="s">
        <v>595</v>
      </c>
      <c r="N159">
        <v>750</v>
      </c>
      <c r="O159" t="s">
        <v>598</v>
      </c>
    </row>
    <row r="160" spans="1:15" ht="15.75" customHeight="1">
      <c r="A160" t="s">
        <v>29</v>
      </c>
      <c r="B160">
        <v>167943</v>
      </c>
      <c r="C160">
        <v>168260</v>
      </c>
      <c r="D160">
        <v>1</v>
      </c>
      <c r="E160" t="s">
        <v>76</v>
      </c>
      <c r="F160" t="s">
        <v>599</v>
      </c>
      <c r="G160" t="s">
        <v>600</v>
      </c>
      <c r="I160" t="s">
        <v>49</v>
      </c>
      <c r="L160" t="s">
        <v>601</v>
      </c>
      <c r="M160" t="s">
        <v>599</v>
      </c>
      <c r="N160">
        <v>105</v>
      </c>
      <c r="O160" t="s">
        <v>602</v>
      </c>
    </row>
    <row r="161" spans="1:15" ht="15.75" customHeight="1">
      <c r="A161" t="s">
        <v>29</v>
      </c>
      <c r="B161">
        <v>168272</v>
      </c>
      <c r="C161">
        <v>169222</v>
      </c>
      <c r="D161">
        <v>1</v>
      </c>
      <c r="E161" t="s">
        <v>76</v>
      </c>
      <c r="F161" t="s">
        <v>603</v>
      </c>
      <c r="G161" t="s">
        <v>604</v>
      </c>
      <c r="I161" t="s">
        <v>49</v>
      </c>
      <c r="L161" t="s">
        <v>605</v>
      </c>
      <c r="M161" t="s">
        <v>603</v>
      </c>
      <c r="N161">
        <v>316</v>
      </c>
      <c r="O161" t="s">
        <v>606</v>
      </c>
    </row>
    <row r="162" spans="1:15" ht="15.75" customHeight="1">
      <c r="A162" t="s">
        <v>29</v>
      </c>
      <c r="B162">
        <v>169388</v>
      </c>
      <c r="C162">
        <v>169582</v>
      </c>
      <c r="D162">
        <v>1</v>
      </c>
      <c r="E162" t="s">
        <v>47</v>
      </c>
      <c r="F162" t="s">
        <v>607</v>
      </c>
      <c r="I162" t="s">
        <v>49</v>
      </c>
      <c r="L162" t="s">
        <v>608</v>
      </c>
      <c r="M162" t="s">
        <v>607</v>
      </c>
      <c r="N162">
        <v>64</v>
      </c>
      <c r="O162" t="s">
        <v>609</v>
      </c>
    </row>
    <row r="163" spans="1:15" ht="15.75" customHeight="1">
      <c r="A163" t="s">
        <v>29</v>
      </c>
      <c r="B163">
        <v>169598</v>
      </c>
      <c r="C163">
        <v>170140</v>
      </c>
      <c r="D163">
        <v>1</v>
      </c>
      <c r="E163" t="s">
        <v>47</v>
      </c>
      <c r="F163" t="s">
        <v>65</v>
      </c>
      <c r="I163" t="s">
        <v>49</v>
      </c>
      <c r="L163" t="s">
        <v>610</v>
      </c>
      <c r="M163" t="s">
        <v>65</v>
      </c>
      <c r="N163">
        <v>180</v>
      </c>
      <c r="O163" t="s">
        <v>611</v>
      </c>
    </row>
    <row r="164" spans="1:15" ht="15.75" customHeight="1">
      <c r="A164" t="s">
        <v>29</v>
      </c>
      <c r="B164">
        <v>170151</v>
      </c>
      <c r="C164">
        <v>170393</v>
      </c>
      <c r="D164">
        <v>1</v>
      </c>
      <c r="E164" t="s">
        <v>47</v>
      </c>
      <c r="F164" t="s">
        <v>176</v>
      </c>
      <c r="I164" t="s">
        <v>49</v>
      </c>
      <c r="L164" t="s">
        <v>612</v>
      </c>
      <c r="M164" t="s">
        <v>176</v>
      </c>
      <c r="N164">
        <v>80</v>
      </c>
      <c r="O164" t="s">
        <v>613</v>
      </c>
    </row>
    <row r="165" spans="1:15" ht="15.75" customHeight="1">
      <c r="A165" t="s">
        <v>29</v>
      </c>
      <c r="B165">
        <v>170404</v>
      </c>
      <c r="C165">
        <v>170739</v>
      </c>
      <c r="D165">
        <v>1</v>
      </c>
      <c r="E165" t="s">
        <v>47</v>
      </c>
      <c r="F165" t="s">
        <v>65</v>
      </c>
      <c r="I165" t="s">
        <v>49</v>
      </c>
      <c r="L165" t="s">
        <v>614</v>
      </c>
      <c r="M165" t="s">
        <v>65</v>
      </c>
      <c r="N165">
        <v>111</v>
      </c>
      <c r="O165" t="s">
        <v>615</v>
      </c>
    </row>
    <row r="166" spans="1:15" ht="15.75" customHeight="1">
      <c r="A166" t="s">
        <v>29</v>
      </c>
      <c r="B166">
        <v>170849</v>
      </c>
      <c r="C166">
        <v>171850</v>
      </c>
      <c r="D166">
        <v>1</v>
      </c>
      <c r="E166" t="s">
        <v>76</v>
      </c>
      <c r="F166" t="s">
        <v>616</v>
      </c>
      <c r="G166" t="s">
        <v>617</v>
      </c>
      <c r="I166" t="s">
        <v>49</v>
      </c>
      <c r="L166" t="s">
        <v>618</v>
      </c>
      <c r="M166" t="s">
        <v>616</v>
      </c>
      <c r="N166">
        <v>333</v>
      </c>
      <c r="O166" t="s">
        <v>619</v>
      </c>
    </row>
    <row r="167" spans="1:15" ht="15.75" customHeight="1">
      <c r="A167" t="s">
        <v>29</v>
      </c>
      <c r="B167">
        <v>171910</v>
      </c>
      <c r="C167">
        <v>173811</v>
      </c>
      <c r="D167">
        <v>1</v>
      </c>
      <c r="E167" t="s">
        <v>76</v>
      </c>
      <c r="F167" t="s">
        <v>620</v>
      </c>
      <c r="I167" t="s">
        <v>49</v>
      </c>
      <c r="L167" t="s">
        <v>621</v>
      </c>
      <c r="M167" t="s">
        <v>620</v>
      </c>
      <c r="N167">
        <v>633</v>
      </c>
      <c r="O167" t="s">
        <v>622</v>
      </c>
    </row>
    <row r="168" spans="1:15" ht="15.75" customHeight="1">
      <c r="A168" t="s">
        <v>29</v>
      </c>
      <c r="B168">
        <v>173833</v>
      </c>
      <c r="C168">
        <v>174126</v>
      </c>
      <c r="D168">
        <v>1</v>
      </c>
      <c r="E168" t="s">
        <v>76</v>
      </c>
      <c r="F168" t="s">
        <v>623</v>
      </c>
      <c r="I168" t="s">
        <v>49</v>
      </c>
      <c r="L168" t="s">
        <v>624</v>
      </c>
      <c r="M168" t="s">
        <v>623</v>
      </c>
      <c r="N168">
        <v>97</v>
      </c>
      <c r="O168" t="s">
        <v>625</v>
      </c>
    </row>
    <row r="169" spans="1:15" ht="15.75" customHeight="1">
      <c r="A169" t="s">
        <v>29</v>
      </c>
      <c r="B169">
        <v>174126</v>
      </c>
      <c r="C169">
        <v>174944</v>
      </c>
      <c r="D169">
        <v>1</v>
      </c>
      <c r="E169" t="s">
        <v>76</v>
      </c>
      <c r="F169" t="s">
        <v>626</v>
      </c>
      <c r="G169" t="s">
        <v>627</v>
      </c>
      <c r="I169" t="s">
        <v>49</v>
      </c>
      <c r="L169" t="s">
        <v>628</v>
      </c>
      <c r="M169" t="s">
        <v>626</v>
      </c>
      <c r="N169">
        <v>272</v>
      </c>
      <c r="O169" t="s">
        <v>629</v>
      </c>
    </row>
    <row r="170" spans="1:15" ht="15.75" customHeight="1">
      <c r="A170" t="s">
        <v>29</v>
      </c>
      <c r="B170">
        <v>174931</v>
      </c>
      <c r="C170">
        <v>175710</v>
      </c>
      <c r="D170">
        <v>1</v>
      </c>
      <c r="E170" t="s">
        <v>76</v>
      </c>
      <c r="F170" t="s">
        <v>630</v>
      </c>
      <c r="G170" t="s">
        <v>631</v>
      </c>
      <c r="I170" t="s">
        <v>49</v>
      </c>
      <c r="L170" t="s">
        <v>632</v>
      </c>
      <c r="M170" t="s">
        <v>630</v>
      </c>
      <c r="N170">
        <v>259</v>
      </c>
      <c r="O170" t="s">
        <v>633</v>
      </c>
    </row>
    <row r="171" spans="1:15" ht="15.75" customHeight="1">
      <c r="A171" t="s">
        <v>29</v>
      </c>
      <c r="B171">
        <v>175725</v>
      </c>
      <c r="C171">
        <v>176216</v>
      </c>
      <c r="D171">
        <v>1</v>
      </c>
      <c r="E171" t="s">
        <v>76</v>
      </c>
      <c r="F171" t="s">
        <v>634</v>
      </c>
      <c r="G171" t="s">
        <v>635</v>
      </c>
      <c r="I171" t="s">
        <v>49</v>
      </c>
      <c r="L171" t="s">
        <v>636</v>
      </c>
      <c r="M171" t="s">
        <v>634</v>
      </c>
      <c r="N171">
        <v>163</v>
      </c>
      <c r="O171" t="s">
        <v>637</v>
      </c>
    </row>
    <row r="172" spans="1:15" ht="15.75" customHeight="1">
      <c r="A172" t="s">
        <v>29</v>
      </c>
      <c r="B172">
        <v>176227</v>
      </c>
      <c r="C172">
        <v>177417</v>
      </c>
      <c r="D172">
        <v>1</v>
      </c>
      <c r="E172" t="s">
        <v>76</v>
      </c>
      <c r="F172" t="s">
        <v>638</v>
      </c>
      <c r="G172" t="s">
        <v>639</v>
      </c>
      <c r="I172" t="s">
        <v>49</v>
      </c>
      <c r="L172" t="s">
        <v>640</v>
      </c>
      <c r="M172" t="s">
        <v>638</v>
      </c>
      <c r="N172">
        <v>396</v>
      </c>
      <c r="O172" t="s">
        <v>641</v>
      </c>
    </row>
    <row r="173" spans="1:15" ht="15.75" customHeight="1">
      <c r="A173" t="s">
        <v>29</v>
      </c>
      <c r="B173">
        <v>177429</v>
      </c>
      <c r="C173">
        <v>177863</v>
      </c>
      <c r="D173">
        <v>1</v>
      </c>
      <c r="E173" t="s">
        <v>76</v>
      </c>
      <c r="F173" t="s">
        <v>642</v>
      </c>
      <c r="G173" t="s">
        <v>643</v>
      </c>
      <c r="I173" t="s">
        <v>49</v>
      </c>
      <c r="L173" t="s">
        <v>644</v>
      </c>
      <c r="M173" t="s">
        <v>642</v>
      </c>
      <c r="N173">
        <v>144</v>
      </c>
      <c r="O173" t="s">
        <v>645</v>
      </c>
    </row>
    <row r="174" spans="1:15" ht="15.75" customHeight="1">
      <c r="A174" t="s">
        <v>29</v>
      </c>
      <c r="B174">
        <v>178134</v>
      </c>
      <c r="C174">
        <v>178949</v>
      </c>
      <c r="D174">
        <v>1</v>
      </c>
      <c r="E174" t="s">
        <v>47</v>
      </c>
      <c r="F174" t="s">
        <v>646</v>
      </c>
      <c r="G174" t="s">
        <v>647</v>
      </c>
      <c r="I174" t="s">
        <v>49</v>
      </c>
      <c r="L174" t="s">
        <v>648</v>
      </c>
      <c r="M174" t="s">
        <v>646</v>
      </c>
      <c r="N174">
        <v>271</v>
      </c>
      <c r="O174" t="s">
        <v>649</v>
      </c>
    </row>
    <row r="175" spans="1:15" ht="15.75" customHeight="1">
      <c r="A175" t="s">
        <v>29</v>
      </c>
      <c r="B175">
        <v>178968</v>
      </c>
      <c r="C175">
        <v>179609</v>
      </c>
      <c r="D175">
        <v>1</v>
      </c>
      <c r="E175" t="s">
        <v>47</v>
      </c>
      <c r="F175" t="s">
        <v>650</v>
      </c>
      <c r="I175" t="s">
        <v>49</v>
      </c>
      <c r="L175" t="s">
        <v>651</v>
      </c>
      <c r="M175" t="s">
        <v>650</v>
      </c>
      <c r="N175">
        <v>213</v>
      </c>
      <c r="O175" t="s">
        <v>652</v>
      </c>
    </row>
    <row r="176" spans="1:15" ht="15.75" customHeight="1">
      <c r="A176" t="s">
        <v>29</v>
      </c>
      <c r="B176">
        <v>179640</v>
      </c>
      <c r="C176">
        <v>180641</v>
      </c>
      <c r="D176">
        <v>1</v>
      </c>
      <c r="E176" t="s">
        <v>47</v>
      </c>
      <c r="F176" t="s">
        <v>653</v>
      </c>
      <c r="I176" t="s">
        <v>49</v>
      </c>
      <c r="L176" t="s">
        <v>654</v>
      </c>
      <c r="M176" t="s">
        <v>653</v>
      </c>
      <c r="N176">
        <v>333</v>
      </c>
      <c r="O176" t="s">
        <v>655</v>
      </c>
    </row>
    <row r="177" spans="1:15" ht="15.75" customHeight="1">
      <c r="A177" t="s">
        <v>29</v>
      </c>
      <c r="B177">
        <v>180651</v>
      </c>
      <c r="C177">
        <v>181280</v>
      </c>
      <c r="D177">
        <v>1</v>
      </c>
      <c r="E177" t="s">
        <v>47</v>
      </c>
      <c r="F177" t="s">
        <v>656</v>
      </c>
      <c r="G177" t="s">
        <v>657</v>
      </c>
      <c r="I177" t="s">
        <v>49</v>
      </c>
      <c r="L177" t="s">
        <v>658</v>
      </c>
      <c r="M177" t="s">
        <v>656</v>
      </c>
      <c r="N177">
        <v>209</v>
      </c>
      <c r="O177" t="s">
        <v>659</v>
      </c>
    </row>
    <row r="178" spans="1:15" ht="15.75" customHeight="1">
      <c r="A178" t="s">
        <v>29</v>
      </c>
      <c r="B178">
        <v>181656</v>
      </c>
      <c r="C178">
        <v>181871</v>
      </c>
      <c r="D178">
        <v>1</v>
      </c>
      <c r="E178" t="s">
        <v>76</v>
      </c>
      <c r="F178" t="s">
        <v>660</v>
      </c>
      <c r="I178" t="s">
        <v>49</v>
      </c>
      <c r="L178" t="s">
        <v>661</v>
      </c>
      <c r="M178" t="s">
        <v>660</v>
      </c>
      <c r="N178">
        <v>71</v>
      </c>
      <c r="O178" t="s">
        <v>662</v>
      </c>
    </row>
    <row r="179" spans="1:15" ht="15.75" customHeight="1">
      <c r="A179" t="s">
        <v>29</v>
      </c>
      <c r="B179">
        <v>182425</v>
      </c>
      <c r="C179">
        <v>185628</v>
      </c>
      <c r="D179">
        <v>1</v>
      </c>
      <c r="E179" t="s">
        <v>76</v>
      </c>
      <c r="F179" t="s">
        <v>663</v>
      </c>
      <c r="I179" t="s">
        <v>49</v>
      </c>
      <c r="L179" t="s">
        <v>664</v>
      </c>
      <c r="M179" t="s">
        <v>663</v>
      </c>
      <c r="N179">
        <v>1067</v>
      </c>
      <c r="O179" t="s">
        <v>665</v>
      </c>
    </row>
    <row r="180" spans="1:15" ht="15.75" customHeight="1">
      <c r="A180" t="s">
        <v>29</v>
      </c>
      <c r="B180">
        <v>185851</v>
      </c>
      <c r="C180">
        <v>186327</v>
      </c>
      <c r="D180">
        <v>1</v>
      </c>
      <c r="E180" t="s">
        <v>47</v>
      </c>
      <c r="F180" t="s">
        <v>666</v>
      </c>
      <c r="G180" t="s">
        <v>667</v>
      </c>
      <c r="I180" t="s">
        <v>49</v>
      </c>
      <c r="L180" t="s">
        <v>668</v>
      </c>
      <c r="M180" t="s">
        <v>666</v>
      </c>
      <c r="N180">
        <v>158</v>
      </c>
      <c r="O180" t="s">
        <v>669</v>
      </c>
    </row>
    <row r="181" spans="1:15" ht="15.75" customHeight="1">
      <c r="A181" t="s">
        <v>29</v>
      </c>
      <c r="B181">
        <v>186549</v>
      </c>
      <c r="C181">
        <v>188762</v>
      </c>
      <c r="D181">
        <v>1</v>
      </c>
      <c r="E181" t="s">
        <v>76</v>
      </c>
      <c r="F181" t="s">
        <v>670</v>
      </c>
      <c r="G181" t="s">
        <v>671</v>
      </c>
      <c r="I181" t="s">
        <v>49</v>
      </c>
      <c r="L181" t="s">
        <v>672</v>
      </c>
      <c r="M181" t="s">
        <v>670</v>
      </c>
      <c r="N181">
        <v>737</v>
      </c>
      <c r="O181" t="s">
        <v>673</v>
      </c>
    </row>
    <row r="182" spans="1:15" ht="15.75" customHeight="1">
      <c r="A182" t="s">
        <v>29</v>
      </c>
      <c r="B182">
        <v>189038</v>
      </c>
      <c r="C182">
        <v>189163</v>
      </c>
      <c r="D182">
        <v>1</v>
      </c>
      <c r="E182" t="s">
        <v>76</v>
      </c>
      <c r="F182" t="s">
        <v>674</v>
      </c>
      <c r="I182" t="s">
        <v>49</v>
      </c>
      <c r="L182" t="s">
        <v>675</v>
      </c>
      <c r="M182" t="s">
        <v>674</v>
      </c>
      <c r="N182">
        <v>41</v>
      </c>
      <c r="O182" t="s">
        <v>676</v>
      </c>
    </row>
    <row r="183" spans="1:15" ht="15.75" customHeight="1">
      <c r="A183" t="s">
        <v>29</v>
      </c>
      <c r="B183">
        <v>189163</v>
      </c>
      <c r="C183">
        <v>189339</v>
      </c>
      <c r="D183">
        <v>1</v>
      </c>
      <c r="E183" t="s">
        <v>76</v>
      </c>
      <c r="F183" t="s">
        <v>176</v>
      </c>
      <c r="I183" t="s">
        <v>49</v>
      </c>
      <c r="L183" t="s">
        <v>677</v>
      </c>
      <c r="M183" t="s">
        <v>176</v>
      </c>
      <c r="N183">
        <v>58</v>
      </c>
      <c r="O183" t="s">
        <v>678</v>
      </c>
    </row>
    <row r="184" spans="1:15" ht="15.75" customHeight="1">
      <c r="A184" t="s">
        <v>29</v>
      </c>
      <c r="B184">
        <v>189719</v>
      </c>
      <c r="C184">
        <v>191065</v>
      </c>
      <c r="D184">
        <v>1</v>
      </c>
      <c r="E184" t="s">
        <v>76</v>
      </c>
      <c r="F184" t="s">
        <v>679</v>
      </c>
      <c r="G184" t="s">
        <v>680</v>
      </c>
      <c r="I184" t="s">
        <v>49</v>
      </c>
      <c r="L184" t="s">
        <v>681</v>
      </c>
      <c r="M184" t="s">
        <v>679</v>
      </c>
      <c r="N184">
        <v>448</v>
      </c>
      <c r="O184" t="s">
        <v>682</v>
      </c>
    </row>
    <row r="185" spans="1:15" ht="15.75" customHeight="1">
      <c r="A185" t="s">
        <v>29</v>
      </c>
      <c r="B185">
        <v>191145</v>
      </c>
      <c r="C185">
        <v>191651</v>
      </c>
      <c r="D185">
        <v>1</v>
      </c>
      <c r="E185" t="s">
        <v>76</v>
      </c>
      <c r="F185" t="s">
        <v>683</v>
      </c>
      <c r="I185" t="s">
        <v>49</v>
      </c>
      <c r="L185" t="s">
        <v>684</v>
      </c>
      <c r="M185" t="s">
        <v>683</v>
      </c>
      <c r="N185">
        <v>168</v>
      </c>
      <c r="O185" t="s">
        <v>685</v>
      </c>
    </row>
    <row r="186" spans="1:15" ht="15.75" customHeight="1">
      <c r="A186" t="s">
        <v>29</v>
      </c>
      <c r="B186">
        <v>191682</v>
      </c>
      <c r="C186">
        <v>191996</v>
      </c>
      <c r="D186">
        <v>1</v>
      </c>
      <c r="E186" t="s">
        <v>76</v>
      </c>
      <c r="F186" t="s">
        <v>686</v>
      </c>
      <c r="G186" t="s">
        <v>687</v>
      </c>
      <c r="I186" t="s">
        <v>49</v>
      </c>
      <c r="L186" t="s">
        <v>688</v>
      </c>
      <c r="M186" t="s">
        <v>686</v>
      </c>
      <c r="N186">
        <v>104</v>
      </c>
      <c r="O186" t="s">
        <v>689</v>
      </c>
    </row>
    <row r="187" spans="1:15" ht="15.75" customHeight="1">
      <c r="A187" t="s">
        <v>29</v>
      </c>
      <c r="B187">
        <v>192006</v>
      </c>
      <c r="C187">
        <v>193979</v>
      </c>
      <c r="D187">
        <v>1</v>
      </c>
      <c r="E187" t="s">
        <v>76</v>
      </c>
      <c r="F187" t="s">
        <v>690</v>
      </c>
      <c r="G187" t="s">
        <v>691</v>
      </c>
      <c r="I187" t="s">
        <v>49</v>
      </c>
      <c r="L187" t="s">
        <v>692</v>
      </c>
      <c r="M187" t="s">
        <v>690</v>
      </c>
      <c r="N187">
        <v>657</v>
      </c>
      <c r="O187" t="s">
        <v>693</v>
      </c>
    </row>
    <row r="188" spans="1:15" ht="15.75" customHeight="1">
      <c r="A188" t="s">
        <v>29</v>
      </c>
      <c r="B188">
        <v>194103</v>
      </c>
      <c r="C188">
        <v>194417</v>
      </c>
      <c r="D188">
        <v>1</v>
      </c>
      <c r="E188" t="s">
        <v>76</v>
      </c>
      <c r="F188" t="s">
        <v>694</v>
      </c>
      <c r="G188" t="s">
        <v>695</v>
      </c>
      <c r="I188" t="s">
        <v>49</v>
      </c>
      <c r="L188" t="s">
        <v>696</v>
      </c>
      <c r="M188" t="s">
        <v>694</v>
      </c>
      <c r="N188">
        <v>104</v>
      </c>
      <c r="O188" t="s">
        <v>697</v>
      </c>
    </row>
    <row r="189" spans="1:15" ht="15.75" customHeight="1">
      <c r="A189" t="s">
        <v>29</v>
      </c>
      <c r="B189">
        <v>194547</v>
      </c>
      <c r="C189">
        <v>194786</v>
      </c>
      <c r="D189">
        <v>1</v>
      </c>
      <c r="E189" t="s">
        <v>76</v>
      </c>
      <c r="F189" t="s">
        <v>698</v>
      </c>
      <c r="I189" t="s">
        <v>49</v>
      </c>
      <c r="L189" t="s">
        <v>699</v>
      </c>
      <c r="M189" t="s">
        <v>698</v>
      </c>
      <c r="N189">
        <v>79</v>
      </c>
      <c r="O189" t="s">
        <v>700</v>
      </c>
    </row>
    <row r="190" spans="1:15" ht="15.75" customHeight="1">
      <c r="A190" t="s">
        <v>29</v>
      </c>
      <c r="B190">
        <v>194838</v>
      </c>
      <c r="C190">
        <v>196274</v>
      </c>
      <c r="D190">
        <v>1</v>
      </c>
      <c r="E190" t="s">
        <v>76</v>
      </c>
      <c r="F190" t="s">
        <v>701</v>
      </c>
      <c r="G190" t="s">
        <v>702</v>
      </c>
      <c r="I190" t="s">
        <v>49</v>
      </c>
      <c r="L190" t="s">
        <v>703</v>
      </c>
      <c r="M190" t="s">
        <v>701</v>
      </c>
      <c r="N190">
        <v>478</v>
      </c>
      <c r="O190" t="s">
        <v>704</v>
      </c>
    </row>
    <row r="191" spans="1:15" ht="15.75" customHeight="1">
      <c r="A191" t="s">
        <v>29</v>
      </c>
      <c r="B191">
        <v>196464</v>
      </c>
      <c r="C191">
        <v>196802</v>
      </c>
      <c r="D191">
        <v>1</v>
      </c>
      <c r="E191" t="s">
        <v>76</v>
      </c>
      <c r="F191" t="s">
        <v>705</v>
      </c>
      <c r="I191" t="s">
        <v>49</v>
      </c>
      <c r="L191" t="s">
        <v>706</v>
      </c>
      <c r="M191" t="s">
        <v>705</v>
      </c>
      <c r="N191">
        <v>112</v>
      </c>
      <c r="O191" t="s">
        <v>707</v>
      </c>
    </row>
    <row r="192" spans="1:15" ht="15.75" customHeight="1">
      <c r="A192" t="s">
        <v>29</v>
      </c>
      <c r="B192">
        <v>197420</v>
      </c>
      <c r="C192">
        <v>197812</v>
      </c>
      <c r="D192">
        <v>1</v>
      </c>
      <c r="E192" t="s">
        <v>76</v>
      </c>
      <c r="F192" t="s">
        <v>708</v>
      </c>
      <c r="G192" t="s">
        <v>709</v>
      </c>
      <c r="I192" t="s">
        <v>49</v>
      </c>
      <c r="L192" t="s">
        <v>710</v>
      </c>
      <c r="M192" t="s">
        <v>708</v>
      </c>
      <c r="N192">
        <v>130</v>
      </c>
      <c r="O192" t="s">
        <v>711</v>
      </c>
    </row>
    <row r="193" spans="1:15" ht="15.75" customHeight="1">
      <c r="A193" t="s">
        <v>29</v>
      </c>
      <c r="B193">
        <v>197831</v>
      </c>
      <c r="C193">
        <v>198277</v>
      </c>
      <c r="D193">
        <v>1</v>
      </c>
      <c r="E193" t="s">
        <v>76</v>
      </c>
      <c r="F193" t="s">
        <v>712</v>
      </c>
      <c r="G193" t="s">
        <v>713</v>
      </c>
      <c r="I193" t="s">
        <v>49</v>
      </c>
      <c r="L193" t="s">
        <v>714</v>
      </c>
      <c r="M193" t="s">
        <v>712</v>
      </c>
      <c r="N193">
        <v>148</v>
      </c>
      <c r="O193" t="s">
        <v>715</v>
      </c>
    </row>
    <row r="194" spans="1:15" ht="15.75" customHeight="1">
      <c r="A194" t="s">
        <v>29</v>
      </c>
      <c r="B194">
        <v>198633</v>
      </c>
      <c r="C194">
        <v>198950</v>
      </c>
      <c r="D194">
        <v>1</v>
      </c>
      <c r="E194" t="s">
        <v>47</v>
      </c>
      <c r="F194" t="s">
        <v>716</v>
      </c>
      <c r="I194" t="s">
        <v>49</v>
      </c>
      <c r="L194" t="s">
        <v>717</v>
      </c>
      <c r="M194" t="s">
        <v>716</v>
      </c>
      <c r="N194">
        <v>105</v>
      </c>
      <c r="O194" t="s">
        <v>718</v>
      </c>
    </row>
    <row r="195" spans="1:15" ht="15.75" customHeight="1">
      <c r="A195" t="s">
        <v>29</v>
      </c>
      <c r="B195">
        <v>199101</v>
      </c>
      <c r="C195">
        <v>199913</v>
      </c>
      <c r="D195">
        <v>1</v>
      </c>
      <c r="E195" t="s">
        <v>76</v>
      </c>
      <c r="F195" t="s">
        <v>719</v>
      </c>
      <c r="G195" t="s">
        <v>720</v>
      </c>
      <c r="I195" t="s">
        <v>49</v>
      </c>
      <c r="L195" t="s">
        <v>721</v>
      </c>
      <c r="M195" t="s">
        <v>719</v>
      </c>
      <c r="N195">
        <v>270</v>
      </c>
      <c r="O195" t="s">
        <v>722</v>
      </c>
    </row>
    <row r="196" spans="1:15" ht="15.75" customHeight="1">
      <c r="A196" t="s">
        <v>29</v>
      </c>
      <c r="B196">
        <v>199956</v>
      </c>
      <c r="C196">
        <v>200510</v>
      </c>
      <c r="D196">
        <v>1</v>
      </c>
      <c r="E196" t="s">
        <v>76</v>
      </c>
      <c r="F196" t="s">
        <v>723</v>
      </c>
      <c r="G196" t="s">
        <v>724</v>
      </c>
      <c r="I196" t="s">
        <v>49</v>
      </c>
      <c r="L196" t="s">
        <v>725</v>
      </c>
      <c r="M196" t="s">
        <v>723</v>
      </c>
      <c r="N196">
        <v>184</v>
      </c>
      <c r="O196" t="s">
        <v>726</v>
      </c>
    </row>
    <row r="197" spans="1:15" ht="15.75" customHeight="1">
      <c r="A197" t="s">
        <v>29</v>
      </c>
      <c r="B197">
        <v>200491</v>
      </c>
      <c r="C197">
        <v>201813</v>
      </c>
      <c r="D197">
        <v>1</v>
      </c>
      <c r="E197" t="s">
        <v>76</v>
      </c>
      <c r="F197" t="s">
        <v>727</v>
      </c>
      <c r="G197" t="s">
        <v>728</v>
      </c>
      <c r="I197" t="s">
        <v>49</v>
      </c>
      <c r="L197" t="s">
        <v>729</v>
      </c>
      <c r="M197" t="s">
        <v>727</v>
      </c>
      <c r="N197">
        <v>440</v>
      </c>
      <c r="O197" t="s">
        <v>730</v>
      </c>
    </row>
    <row r="198" spans="1:15" ht="15.75" customHeight="1">
      <c r="A198" t="s">
        <v>29</v>
      </c>
      <c r="B198">
        <v>201815</v>
      </c>
      <c r="C198">
        <v>202759</v>
      </c>
      <c r="D198">
        <v>1</v>
      </c>
      <c r="E198" t="s">
        <v>76</v>
      </c>
      <c r="F198" t="s">
        <v>731</v>
      </c>
      <c r="G198" t="s">
        <v>732</v>
      </c>
      <c r="I198" t="s">
        <v>49</v>
      </c>
      <c r="L198" t="s">
        <v>733</v>
      </c>
      <c r="M198" t="s">
        <v>731</v>
      </c>
      <c r="N198">
        <v>314</v>
      </c>
      <c r="O198" t="s">
        <v>734</v>
      </c>
    </row>
    <row r="199" spans="1:15" ht="15.75" customHeight="1">
      <c r="A199" t="s">
        <v>29</v>
      </c>
      <c r="B199">
        <v>202884</v>
      </c>
      <c r="C199">
        <v>203591</v>
      </c>
      <c r="D199">
        <v>1</v>
      </c>
      <c r="E199" t="s">
        <v>76</v>
      </c>
      <c r="F199" t="s">
        <v>290</v>
      </c>
      <c r="I199" t="s">
        <v>49</v>
      </c>
      <c r="L199" t="s">
        <v>735</v>
      </c>
      <c r="M199" t="s">
        <v>290</v>
      </c>
      <c r="N199">
        <v>235</v>
      </c>
      <c r="O199" t="s">
        <v>736</v>
      </c>
    </row>
    <row r="200" spans="1:15" ht="15.75" customHeight="1">
      <c r="A200" t="s">
        <v>29</v>
      </c>
      <c r="B200">
        <v>203644</v>
      </c>
      <c r="C200">
        <v>205062</v>
      </c>
      <c r="D200">
        <v>1</v>
      </c>
      <c r="E200" t="s">
        <v>76</v>
      </c>
      <c r="F200" t="s">
        <v>737</v>
      </c>
      <c r="G200" t="s">
        <v>738</v>
      </c>
      <c r="I200" t="s">
        <v>49</v>
      </c>
      <c r="L200" t="s">
        <v>739</v>
      </c>
      <c r="M200" t="s">
        <v>737</v>
      </c>
      <c r="N200">
        <v>472</v>
      </c>
      <c r="O200" t="s">
        <v>740</v>
      </c>
    </row>
    <row r="201" spans="1:15" ht="15.75" customHeight="1">
      <c r="A201" t="s">
        <v>29</v>
      </c>
      <c r="B201">
        <v>205252</v>
      </c>
      <c r="C201">
        <v>206064</v>
      </c>
      <c r="D201">
        <v>1</v>
      </c>
      <c r="E201" t="s">
        <v>47</v>
      </c>
      <c r="F201" t="s">
        <v>741</v>
      </c>
      <c r="G201" t="s">
        <v>742</v>
      </c>
      <c r="I201" t="s">
        <v>49</v>
      </c>
      <c r="L201" t="s">
        <v>743</v>
      </c>
      <c r="M201" t="s">
        <v>741</v>
      </c>
      <c r="N201">
        <v>270</v>
      </c>
      <c r="O201" t="s">
        <v>744</v>
      </c>
    </row>
    <row r="202" spans="1:15" ht="15.75" customHeight="1">
      <c r="A202" t="s">
        <v>29</v>
      </c>
      <c r="B202">
        <v>206403</v>
      </c>
      <c r="C202">
        <v>207422</v>
      </c>
      <c r="D202">
        <v>1</v>
      </c>
      <c r="E202" t="s">
        <v>47</v>
      </c>
      <c r="F202" t="s">
        <v>745</v>
      </c>
      <c r="G202" t="s">
        <v>746</v>
      </c>
      <c r="I202" t="s">
        <v>49</v>
      </c>
      <c r="L202" t="s">
        <v>747</v>
      </c>
      <c r="M202" t="s">
        <v>745</v>
      </c>
      <c r="N202">
        <v>339</v>
      </c>
      <c r="O202" t="s">
        <v>748</v>
      </c>
    </row>
    <row r="203" spans="1:15" ht="15.75" customHeight="1">
      <c r="A203" t="s">
        <v>29</v>
      </c>
      <c r="B203">
        <v>207654</v>
      </c>
      <c r="C203">
        <v>208643</v>
      </c>
      <c r="D203">
        <v>1</v>
      </c>
      <c r="E203" t="s">
        <v>47</v>
      </c>
      <c r="F203" t="s">
        <v>749</v>
      </c>
      <c r="G203" t="s">
        <v>750</v>
      </c>
      <c r="I203" t="s">
        <v>49</v>
      </c>
      <c r="L203" t="s">
        <v>751</v>
      </c>
      <c r="M203" t="s">
        <v>749</v>
      </c>
      <c r="N203">
        <v>329</v>
      </c>
      <c r="O203" t="s">
        <v>752</v>
      </c>
    </row>
    <row r="204" spans="1:15" ht="15.75" customHeight="1">
      <c r="A204" t="s">
        <v>29</v>
      </c>
      <c r="B204">
        <v>208671</v>
      </c>
      <c r="C204">
        <v>209474</v>
      </c>
      <c r="D204">
        <v>1</v>
      </c>
      <c r="E204" t="s">
        <v>47</v>
      </c>
      <c r="F204" t="s">
        <v>753</v>
      </c>
      <c r="G204" t="s">
        <v>754</v>
      </c>
      <c r="I204" t="s">
        <v>49</v>
      </c>
      <c r="L204" t="s">
        <v>755</v>
      </c>
      <c r="M204" t="s">
        <v>753</v>
      </c>
      <c r="N204">
        <v>267</v>
      </c>
      <c r="O204" t="s">
        <v>756</v>
      </c>
    </row>
    <row r="205" spans="1:15" ht="15.75" customHeight="1">
      <c r="A205" t="s">
        <v>29</v>
      </c>
      <c r="B205">
        <v>209498</v>
      </c>
      <c r="C205">
        <v>210409</v>
      </c>
      <c r="D205">
        <v>1</v>
      </c>
      <c r="E205" t="s">
        <v>47</v>
      </c>
      <c r="F205" t="s">
        <v>757</v>
      </c>
      <c r="G205" t="s">
        <v>758</v>
      </c>
      <c r="I205" t="s">
        <v>49</v>
      </c>
      <c r="L205" t="s">
        <v>759</v>
      </c>
      <c r="M205" t="s">
        <v>757</v>
      </c>
      <c r="N205">
        <v>303</v>
      </c>
      <c r="O205" t="s">
        <v>760</v>
      </c>
    </row>
    <row r="206" spans="1:15" ht="15.75" customHeight="1">
      <c r="A206" t="s">
        <v>29</v>
      </c>
      <c r="B206">
        <v>210465</v>
      </c>
      <c r="C206">
        <v>211799</v>
      </c>
      <c r="D206">
        <v>1</v>
      </c>
      <c r="E206" t="s">
        <v>76</v>
      </c>
      <c r="F206" t="s">
        <v>761</v>
      </c>
      <c r="G206" t="s">
        <v>762</v>
      </c>
      <c r="I206" t="s">
        <v>49</v>
      </c>
      <c r="L206" t="s">
        <v>763</v>
      </c>
      <c r="M206" t="s">
        <v>761</v>
      </c>
      <c r="N206">
        <v>444</v>
      </c>
      <c r="O206" t="s">
        <v>764</v>
      </c>
    </row>
    <row r="207" spans="1:15" ht="15.75" customHeight="1">
      <c r="A207" t="s">
        <v>29</v>
      </c>
      <c r="B207">
        <v>212017</v>
      </c>
      <c r="C207">
        <v>212739</v>
      </c>
      <c r="D207">
        <v>1</v>
      </c>
      <c r="E207" t="s">
        <v>76</v>
      </c>
      <c r="F207" t="s">
        <v>765</v>
      </c>
      <c r="G207" t="s">
        <v>766</v>
      </c>
      <c r="I207" t="s">
        <v>49</v>
      </c>
      <c r="L207" t="s">
        <v>767</v>
      </c>
      <c r="M207" t="s">
        <v>765</v>
      </c>
      <c r="N207">
        <v>240</v>
      </c>
      <c r="O207" t="s">
        <v>768</v>
      </c>
    </row>
    <row r="208" spans="1:15" ht="15.75" customHeight="1">
      <c r="A208" t="s">
        <v>29</v>
      </c>
      <c r="B208">
        <v>212962</v>
      </c>
      <c r="C208">
        <v>213192</v>
      </c>
      <c r="D208">
        <v>1</v>
      </c>
      <c r="E208" t="s">
        <v>76</v>
      </c>
      <c r="F208" t="s">
        <v>769</v>
      </c>
      <c r="I208" t="s">
        <v>49</v>
      </c>
      <c r="L208" t="s">
        <v>770</v>
      </c>
      <c r="M208" t="s">
        <v>769</v>
      </c>
      <c r="N208">
        <v>76</v>
      </c>
      <c r="O208" t="s">
        <v>771</v>
      </c>
    </row>
    <row r="209" spans="1:15" ht="15.75" customHeight="1">
      <c r="A209" t="s">
        <v>29</v>
      </c>
      <c r="B209">
        <v>213202</v>
      </c>
      <c r="C209">
        <v>214443</v>
      </c>
      <c r="D209">
        <v>1</v>
      </c>
      <c r="E209" t="s">
        <v>76</v>
      </c>
      <c r="F209" t="s">
        <v>772</v>
      </c>
      <c r="G209" t="s">
        <v>773</v>
      </c>
      <c r="I209" t="s">
        <v>49</v>
      </c>
      <c r="L209" t="s">
        <v>774</v>
      </c>
      <c r="M209" t="s">
        <v>772</v>
      </c>
      <c r="N209">
        <v>413</v>
      </c>
      <c r="O209" t="s">
        <v>775</v>
      </c>
    </row>
    <row r="210" spans="1:15" ht="15.75" customHeight="1">
      <c r="A210" t="s">
        <v>29</v>
      </c>
      <c r="B210">
        <v>214465</v>
      </c>
      <c r="C210">
        <v>214617</v>
      </c>
      <c r="D210">
        <v>1</v>
      </c>
      <c r="E210" t="s">
        <v>76</v>
      </c>
      <c r="F210" t="s">
        <v>776</v>
      </c>
      <c r="G210" t="s">
        <v>777</v>
      </c>
      <c r="I210" t="s">
        <v>49</v>
      </c>
      <c r="L210" t="s">
        <v>778</v>
      </c>
      <c r="M210" t="s">
        <v>776</v>
      </c>
      <c r="N210">
        <v>50</v>
      </c>
      <c r="O210" t="s">
        <v>779</v>
      </c>
    </row>
    <row r="211" spans="1:15" ht="15.75" customHeight="1">
      <c r="A211" t="s">
        <v>29</v>
      </c>
      <c r="B211">
        <v>214638</v>
      </c>
      <c r="C211">
        <v>214916</v>
      </c>
      <c r="D211">
        <v>1</v>
      </c>
      <c r="E211" t="s">
        <v>76</v>
      </c>
      <c r="F211" t="s">
        <v>780</v>
      </c>
      <c r="G211" t="s">
        <v>781</v>
      </c>
      <c r="I211" t="s">
        <v>49</v>
      </c>
      <c r="L211" t="s">
        <v>782</v>
      </c>
      <c r="M211" t="s">
        <v>780</v>
      </c>
      <c r="N211">
        <v>92</v>
      </c>
      <c r="O211" t="s">
        <v>783</v>
      </c>
    </row>
    <row r="212" spans="1:15" ht="15.75" customHeight="1">
      <c r="A212" t="s">
        <v>29</v>
      </c>
      <c r="B212">
        <v>214909</v>
      </c>
      <c r="C212">
        <v>215172</v>
      </c>
      <c r="D212">
        <v>1</v>
      </c>
      <c r="E212" t="s">
        <v>76</v>
      </c>
      <c r="F212" t="s">
        <v>784</v>
      </c>
      <c r="I212" t="s">
        <v>49</v>
      </c>
      <c r="L212" t="s">
        <v>785</v>
      </c>
      <c r="M212" t="s">
        <v>784</v>
      </c>
      <c r="N212">
        <v>87</v>
      </c>
      <c r="O212" t="s">
        <v>786</v>
      </c>
    </row>
    <row r="213" spans="1:15" ht="15.75" customHeight="1">
      <c r="A213" t="s">
        <v>29</v>
      </c>
      <c r="B213">
        <v>215274</v>
      </c>
      <c r="C213">
        <v>219665</v>
      </c>
      <c r="D213">
        <v>1</v>
      </c>
      <c r="E213" t="s">
        <v>76</v>
      </c>
      <c r="F213" t="s">
        <v>787</v>
      </c>
      <c r="G213" t="s">
        <v>788</v>
      </c>
      <c r="I213" t="s">
        <v>49</v>
      </c>
      <c r="L213" t="s">
        <v>789</v>
      </c>
      <c r="M213" t="s">
        <v>787</v>
      </c>
      <c r="N213">
        <v>1463</v>
      </c>
      <c r="O213" t="s">
        <v>790</v>
      </c>
    </row>
    <row r="214" spans="1:15" ht="15.75" customHeight="1">
      <c r="A214" t="s">
        <v>29</v>
      </c>
      <c r="B214">
        <v>219769</v>
      </c>
      <c r="C214">
        <v>221850</v>
      </c>
      <c r="D214">
        <v>1</v>
      </c>
      <c r="E214" t="s">
        <v>76</v>
      </c>
      <c r="F214" t="s">
        <v>791</v>
      </c>
      <c r="G214" t="s">
        <v>792</v>
      </c>
      <c r="I214" t="s">
        <v>49</v>
      </c>
      <c r="L214" t="s">
        <v>793</v>
      </c>
      <c r="M214" t="s">
        <v>791</v>
      </c>
      <c r="N214">
        <v>693</v>
      </c>
      <c r="O214" t="s">
        <v>794</v>
      </c>
    </row>
    <row r="215" spans="1:15" ht="15.75" customHeight="1">
      <c r="A215" t="s">
        <v>29</v>
      </c>
      <c r="B215">
        <v>222275</v>
      </c>
      <c r="C215">
        <v>222745</v>
      </c>
      <c r="D215">
        <v>1</v>
      </c>
      <c r="E215" t="s">
        <v>76</v>
      </c>
      <c r="F215" t="s">
        <v>795</v>
      </c>
      <c r="G215" t="s">
        <v>796</v>
      </c>
      <c r="I215" t="s">
        <v>49</v>
      </c>
      <c r="L215" t="s">
        <v>797</v>
      </c>
      <c r="M215" t="s">
        <v>795</v>
      </c>
      <c r="N215">
        <v>156</v>
      </c>
      <c r="O215" t="s">
        <v>798</v>
      </c>
    </row>
    <row r="216" spans="1:15" ht="15.75" customHeight="1">
      <c r="A216" t="s">
        <v>29</v>
      </c>
      <c r="B216">
        <v>222765</v>
      </c>
      <c r="C216">
        <v>223178</v>
      </c>
      <c r="D216">
        <v>1</v>
      </c>
      <c r="E216" t="s">
        <v>76</v>
      </c>
      <c r="F216" t="s">
        <v>799</v>
      </c>
      <c r="G216" t="s">
        <v>800</v>
      </c>
      <c r="I216" t="s">
        <v>49</v>
      </c>
      <c r="L216" t="s">
        <v>801</v>
      </c>
      <c r="M216" t="s">
        <v>799</v>
      </c>
      <c r="N216">
        <v>137</v>
      </c>
      <c r="O216" t="s">
        <v>802</v>
      </c>
    </row>
    <row r="217" spans="1:15" ht="15.75" customHeight="1">
      <c r="A217" t="s">
        <v>29</v>
      </c>
      <c r="B217">
        <v>223595</v>
      </c>
      <c r="C217">
        <v>227365</v>
      </c>
      <c r="D217">
        <v>1</v>
      </c>
      <c r="E217" t="s">
        <v>47</v>
      </c>
      <c r="F217" t="s">
        <v>803</v>
      </c>
      <c r="G217" t="s">
        <v>804</v>
      </c>
      <c r="I217" t="s">
        <v>49</v>
      </c>
      <c r="L217" t="s">
        <v>805</v>
      </c>
      <c r="M217" t="s">
        <v>803</v>
      </c>
      <c r="N217">
        <v>1256</v>
      </c>
      <c r="O217" t="s">
        <v>806</v>
      </c>
    </row>
    <row r="218" spans="1:15" ht="15.75" customHeight="1">
      <c r="A218" t="s">
        <v>29</v>
      </c>
      <c r="B218">
        <v>227465</v>
      </c>
      <c r="C218">
        <v>228421</v>
      </c>
      <c r="D218">
        <v>1</v>
      </c>
      <c r="E218" t="s">
        <v>76</v>
      </c>
      <c r="F218" t="s">
        <v>807</v>
      </c>
      <c r="G218" t="s">
        <v>808</v>
      </c>
      <c r="I218" t="s">
        <v>49</v>
      </c>
      <c r="L218" t="s">
        <v>809</v>
      </c>
      <c r="M218" t="s">
        <v>807</v>
      </c>
      <c r="N218">
        <v>318</v>
      </c>
      <c r="O218" t="s">
        <v>810</v>
      </c>
    </row>
    <row r="219" spans="1:15" ht="15.75" customHeight="1">
      <c r="A219" t="s">
        <v>29</v>
      </c>
      <c r="B219">
        <v>228632</v>
      </c>
      <c r="C219">
        <v>230440</v>
      </c>
      <c r="D219">
        <v>1</v>
      </c>
      <c r="E219" t="s">
        <v>76</v>
      </c>
      <c r="F219" t="s">
        <v>811</v>
      </c>
      <c r="G219" t="s">
        <v>812</v>
      </c>
      <c r="I219" t="s">
        <v>49</v>
      </c>
      <c r="L219" t="s">
        <v>813</v>
      </c>
      <c r="M219" t="s">
        <v>811</v>
      </c>
      <c r="N219">
        <v>602</v>
      </c>
      <c r="O219" t="s">
        <v>814</v>
      </c>
    </row>
    <row r="220" spans="1:15" ht="15.75" customHeight="1">
      <c r="A220" t="s">
        <v>29</v>
      </c>
      <c r="B220">
        <v>230632</v>
      </c>
      <c r="C220">
        <v>232011</v>
      </c>
      <c r="D220">
        <v>1</v>
      </c>
      <c r="E220" t="s">
        <v>76</v>
      </c>
      <c r="F220" t="s">
        <v>815</v>
      </c>
      <c r="G220" t="s">
        <v>816</v>
      </c>
      <c r="I220" t="s">
        <v>49</v>
      </c>
      <c r="L220" t="s">
        <v>817</v>
      </c>
      <c r="M220" t="s">
        <v>815</v>
      </c>
      <c r="N220">
        <v>459</v>
      </c>
      <c r="O220" t="s">
        <v>818</v>
      </c>
    </row>
    <row r="221" spans="1:15" ht="15.75" customHeight="1">
      <c r="A221" t="s">
        <v>29</v>
      </c>
      <c r="B221">
        <v>232110</v>
      </c>
      <c r="C221">
        <v>233963</v>
      </c>
      <c r="D221">
        <v>1</v>
      </c>
      <c r="E221" t="s">
        <v>76</v>
      </c>
      <c r="F221" t="s">
        <v>819</v>
      </c>
      <c r="G221" t="s">
        <v>820</v>
      </c>
      <c r="I221" t="s">
        <v>49</v>
      </c>
      <c r="L221" t="s">
        <v>821</v>
      </c>
      <c r="M221" t="s">
        <v>819</v>
      </c>
      <c r="N221">
        <v>617</v>
      </c>
      <c r="O221" t="s">
        <v>822</v>
      </c>
    </row>
    <row r="222" spans="1:15" ht="15.75" customHeight="1">
      <c r="A222" t="s">
        <v>29</v>
      </c>
      <c r="B222">
        <v>233976</v>
      </c>
      <c r="C222">
        <v>235235</v>
      </c>
      <c r="D222">
        <v>1</v>
      </c>
      <c r="E222" t="s">
        <v>76</v>
      </c>
      <c r="F222" t="s">
        <v>823</v>
      </c>
      <c r="G222" t="s">
        <v>824</v>
      </c>
      <c r="I222" t="s">
        <v>49</v>
      </c>
      <c r="L222" t="s">
        <v>825</v>
      </c>
      <c r="M222" t="s">
        <v>823</v>
      </c>
      <c r="N222">
        <v>419</v>
      </c>
      <c r="O222" t="s">
        <v>826</v>
      </c>
    </row>
    <row r="223" spans="1:15" ht="15.75" customHeight="1">
      <c r="A223" t="s">
        <v>29</v>
      </c>
      <c r="B223">
        <v>235257</v>
      </c>
      <c r="C223">
        <v>236060</v>
      </c>
      <c r="D223">
        <v>1</v>
      </c>
      <c r="E223" t="s">
        <v>76</v>
      </c>
      <c r="F223" t="s">
        <v>827</v>
      </c>
      <c r="G223" t="s">
        <v>828</v>
      </c>
      <c r="I223" t="s">
        <v>49</v>
      </c>
      <c r="L223" t="s">
        <v>829</v>
      </c>
      <c r="M223" t="s">
        <v>827</v>
      </c>
      <c r="N223">
        <v>267</v>
      </c>
      <c r="O223" t="s">
        <v>830</v>
      </c>
    </row>
    <row r="224" spans="1:15" ht="15.75" customHeight="1">
      <c r="A224" t="s">
        <v>29</v>
      </c>
      <c r="B224">
        <v>236069</v>
      </c>
      <c r="C224">
        <v>236827</v>
      </c>
      <c r="D224">
        <v>1</v>
      </c>
      <c r="E224" t="s">
        <v>76</v>
      </c>
      <c r="F224" t="s">
        <v>831</v>
      </c>
      <c r="G224" t="s">
        <v>832</v>
      </c>
      <c r="I224" t="s">
        <v>49</v>
      </c>
      <c r="L224" t="s">
        <v>833</v>
      </c>
      <c r="M224" t="s">
        <v>831</v>
      </c>
      <c r="N224">
        <v>252</v>
      </c>
      <c r="O224" t="s">
        <v>834</v>
      </c>
    </row>
    <row r="225" spans="1:15" ht="15.75" customHeight="1">
      <c r="A225" t="s">
        <v>29</v>
      </c>
      <c r="B225">
        <v>237058</v>
      </c>
      <c r="C225">
        <v>237630</v>
      </c>
      <c r="D225">
        <v>1</v>
      </c>
      <c r="E225" t="s">
        <v>76</v>
      </c>
      <c r="F225" t="s">
        <v>835</v>
      </c>
      <c r="I225" t="s">
        <v>49</v>
      </c>
      <c r="L225" t="s">
        <v>836</v>
      </c>
      <c r="M225" t="s">
        <v>835</v>
      </c>
      <c r="N225">
        <v>190</v>
      </c>
      <c r="O225" t="s">
        <v>837</v>
      </c>
    </row>
    <row r="226" spans="1:15" ht="15.75" customHeight="1">
      <c r="A226" t="s">
        <v>29</v>
      </c>
      <c r="B226">
        <v>237611</v>
      </c>
      <c r="C226">
        <v>238582</v>
      </c>
      <c r="D226">
        <v>1</v>
      </c>
      <c r="E226" t="s">
        <v>76</v>
      </c>
      <c r="F226" t="s">
        <v>838</v>
      </c>
      <c r="G226" t="s">
        <v>839</v>
      </c>
      <c r="I226" t="s">
        <v>49</v>
      </c>
      <c r="L226" t="s">
        <v>840</v>
      </c>
      <c r="M226" t="s">
        <v>838</v>
      </c>
      <c r="N226">
        <v>323</v>
      </c>
      <c r="O226" t="s">
        <v>841</v>
      </c>
    </row>
    <row r="227" spans="1:15" ht="15.75" customHeight="1">
      <c r="A227" t="s">
        <v>29</v>
      </c>
      <c r="B227">
        <v>239650</v>
      </c>
      <c r="C227">
        <v>240066</v>
      </c>
      <c r="D227">
        <v>1</v>
      </c>
      <c r="E227" t="s">
        <v>76</v>
      </c>
      <c r="F227" t="s">
        <v>842</v>
      </c>
      <c r="I227" t="s">
        <v>49</v>
      </c>
      <c r="L227" t="s">
        <v>843</v>
      </c>
      <c r="M227" t="s">
        <v>842</v>
      </c>
      <c r="N227">
        <v>138</v>
      </c>
      <c r="O227" t="s">
        <v>844</v>
      </c>
    </row>
    <row r="228" spans="1:15" ht="15.75" customHeight="1">
      <c r="A228" t="s">
        <v>29</v>
      </c>
      <c r="B228">
        <v>240078</v>
      </c>
      <c r="C228">
        <v>240773</v>
      </c>
      <c r="D228">
        <v>1</v>
      </c>
      <c r="E228" t="s">
        <v>76</v>
      </c>
      <c r="F228" t="s">
        <v>845</v>
      </c>
      <c r="G228" t="s">
        <v>846</v>
      </c>
      <c r="I228" t="s">
        <v>49</v>
      </c>
      <c r="L228" t="s">
        <v>847</v>
      </c>
      <c r="M228" t="s">
        <v>845</v>
      </c>
      <c r="N228">
        <v>231</v>
      </c>
      <c r="O228" t="s">
        <v>848</v>
      </c>
    </row>
    <row r="229" spans="1:15" ht="15.75" customHeight="1">
      <c r="A229" t="s">
        <v>29</v>
      </c>
      <c r="B229">
        <v>240967</v>
      </c>
      <c r="C229">
        <v>243468</v>
      </c>
      <c r="D229">
        <v>1</v>
      </c>
      <c r="E229" t="s">
        <v>76</v>
      </c>
      <c r="F229" t="s">
        <v>849</v>
      </c>
      <c r="G229" t="s">
        <v>850</v>
      </c>
      <c r="I229" t="s">
        <v>49</v>
      </c>
      <c r="L229" t="s">
        <v>851</v>
      </c>
      <c r="M229" t="s">
        <v>849</v>
      </c>
      <c r="N229">
        <v>833</v>
      </c>
      <c r="O229" t="s">
        <v>852</v>
      </c>
    </row>
    <row r="230" spans="1:15" ht="15.75" customHeight="1">
      <c r="A230" t="s">
        <v>29</v>
      </c>
      <c r="B230">
        <v>243923</v>
      </c>
      <c r="C230">
        <v>245011</v>
      </c>
      <c r="D230">
        <v>1</v>
      </c>
      <c r="E230" t="s">
        <v>76</v>
      </c>
      <c r="F230" t="s">
        <v>853</v>
      </c>
      <c r="G230" t="s">
        <v>854</v>
      </c>
      <c r="I230" t="s">
        <v>49</v>
      </c>
      <c r="L230" t="s">
        <v>855</v>
      </c>
      <c r="M230" t="s">
        <v>853</v>
      </c>
      <c r="N230">
        <v>362</v>
      </c>
      <c r="O230" t="s">
        <v>856</v>
      </c>
    </row>
    <row r="231" spans="1:15" ht="15.75" customHeight="1">
      <c r="A231" t="s">
        <v>29</v>
      </c>
      <c r="B231">
        <v>245029</v>
      </c>
      <c r="C231">
        <v>245697</v>
      </c>
      <c r="D231">
        <v>1</v>
      </c>
      <c r="E231" t="s">
        <v>76</v>
      </c>
      <c r="F231" t="s">
        <v>857</v>
      </c>
      <c r="G231" t="s">
        <v>858</v>
      </c>
      <c r="I231" t="s">
        <v>49</v>
      </c>
      <c r="L231" t="s">
        <v>859</v>
      </c>
      <c r="M231" t="s">
        <v>857</v>
      </c>
      <c r="N231">
        <v>222</v>
      </c>
      <c r="O231" t="s">
        <v>860</v>
      </c>
    </row>
    <row r="232" spans="1:15" ht="15.75" customHeight="1">
      <c r="A232" t="s">
        <v>29</v>
      </c>
      <c r="B232">
        <v>245716</v>
      </c>
      <c r="C232">
        <v>248154</v>
      </c>
      <c r="D232">
        <v>1</v>
      </c>
      <c r="E232" t="s">
        <v>76</v>
      </c>
      <c r="F232" t="s">
        <v>861</v>
      </c>
      <c r="G232" t="s">
        <v>862</v>
      </c>
      <c r="I232" t="s">
        <v>49</v>
      </c>
      <c r="L232" t="s">
        <v>863</v>
      </c>
      <c r="M232" t="s">
        <v>861</v>
      </c>
      <c r="N232">
        <v>812</v>
      </c>
      <c r="O232" t="s">
        <v>864</v>
      </c>
    </row>
    <row r="233" spans="1:15" ht="15.75" customHeight="1">
      <c r="A233" t="s">
        <v>29</v>
      </c>
      <c r="B233">
        <v>248305</v>
      </c>
      <c r="C233">
        <v>249603</v>
      </c>
      <c r="D233">
        <v>1</v>
      </c>
      <c r="E233" t="s">
        <v>76</v>
      </c>
      <c r="F233" t="s">
        <v>679</v>
      </c>
      <c r="G233" t="s">
        <v>865</v>
      </c>
      <c r="I233" t="s">
        <v>49</v>
      </c>
      <c r="L233" t="s">
        <v>866</v>
      </c>
      <c r="M233" t="s">
        <v>679</v>
      </c>
      <c r="N233">
        <v>432</v>
      </c>
      <c r="O233" t="s">
        <v>867</v>
      </c>
    </row>
    <row r="234" spans="1:15" ht="15.75" customHeight="1">
      <c r="A234" t="s">
        <v>29</v>
      </c>
      <c r="B234">
        <v>249620</v>
      </c>
      <c r="C234">
        <v>249928</v>
      </c>
      <c r="D234">
        <v>1</v>
      </c>
      <c r="E234" t="s">
        <v>76</v>
      </c>
      <c r="F234" t="s">
        <v>868</v>
      </c>
      <c r="G234" t="s">
        <v>869</v>
      </c>
      <c r="I234" t="s">
        <v>49</v>
      </c>
      <c r="L234" t="s">
        <v>870</v>
      </c>
      <c r="M234" t="s">
        <v>868</v>
      </c>
      <c r="N234">
        <v>102</v>
      </c>
      <c r="O234" t="s">
        <v>871</v>
      </c>
    </row>
    <row r="235" spans="1:15" ht="15.75" customHeight="1">
      <c r="A235" t="s">
        <v>29</v>
      </c>
      <c r="B235">
        <v>249974</v>
      </c>
      <c r="C235">
        <v>250294</v>
      </c>
      <c r="D235">
        <v>1</v>
      </c>
      <c r="E235" t="s">
        <v>76</v>
      </c>
      <c r="F235" t="s">
        <v>872</v>
      </c>
      <c r="G235" t="s">
        <v>873</v>
      </c>
      <c r="I235" t="s">
        <v>49</v>
      </c>
      <c r="L235" t="s">
        <v>874</v>
      </c>
      <c r="M235" t="s">
        <v>872</v>
      </c>
      <c r="N235">
        <v>106</v>
      </c>
      <c r="O235" t="s">
        <v>875</v>
      </c>
    </row>
    <row r="236" spans="1:15" ht="15.75" customHeight="1">
      <c r="A236" t="s">
        <v>29</v>
      </c>
      <c r="B236">
        <v>250489</v>
      </c>
      <c r="C236">
        <v>251469</v>
      </c>
      <c r="D236">
        <v>1</v>
      </c>
      <c r="E236" t="s">
        <v>76</v>
      </c>
      <c r="F236" t="s">
        <v>607</v>
      </c>
      <c r="G236" t="s">
        <v>876</v>
      </c>
      <c r="I236" t="s">
        <v>49</v>
      </c>
      <c r="L236" t="s">
        <v>877</v>
      </c>
      <c r="M236" t="s">
        <v>607</v>
      </c>
      <c r="N236">
        <v>326</v>
      </c>
      <c r="O236" t="s">
        <v>878</v>
      </c>
    </row>
    <row r="237" spans="1:15" ht="15.75" customHeight="1">
      <c r="A237" t="s">
        <v>29</v>
      </c>
      <c r="B237">
        <v>251482</v>
      </c>
      <c r="C237">
        <v>252228</v>
      </c>
      <c r="D237">
        <v>1</v>
      </c>
      <c r="E237" t="s">
        <v>76</v>
      </c>
      <c r="F237" t="s">
        <v>879</v>
      </c>
      <c r="G237" t="s">
        <v>880</v>
      </c>
      <c r="I237" t="s">
        <v>49</v>
      </c>
      <c r="L237" t="s">
        <v>881</v>
      </c>
      <c r="M237" t="s">
        <v>879</v>
      </c>
      <c r="N237">
        <v>248</v>
      </c>
      <c r="O237" t="s">
        <v>882</v>
      </c>
    </row>
    <row r="238" spans="1:15" ht="15.75" customHeight="1">
      <c r="A238" t="s">
        <v>29</v>
      </c>
      <c r="B238">
        <v>252350</v>
      </c>
      <c r="C238">
        <v>253126</v>
      </c>
      <c r="D238">
        <v>1</v>
      </c>
      <c r="E238" t="s">
        <v>47</v>
      </c>
      <c r="F238" t="s">
        <v>883</v>
      </c>
      <c r="G238" t="s">
        <v>884</v>
      </c>
      <c r="I238" t="s">
        <v>49</v>
      </c>
      <c r="L238" t="s">
        <v>885</v>
      </c>
      <c r="M238" t="s">
        <v>883</v>
      </c>
      <c r="N238">
        <v>258</v>
      </c>
      <c r="O238" t="s">
        <v>886</v>
      </c>
    </row>
    <row r="239" spans="1:15" ht="15.75" customHeight="1">
      <c r="A239" t="s">
        <v>29</v>
      </c>
      <c r="B239">
        <v>253615</v>
      </c>
      <c r="C239">
        <v>253716</v>
      </c>
      <c r="D239">
        <v>1</v>
      </c>
      <c r="E239" t="s">
        <v>47</v>
      </c>
      <c r="F239" t="s">
        <v>887</v>
      </c>
      <c r="I239" t="s">
        <v>49</v>
      </c>
      <c r="L239" t="s">
        <v>888</v>
      </c>
      <c r="M239" t="s">
        <v>887</v>
      </c>
      <c r="N239">
        <v>33</v>
      </c>
      <c r="O239" t="s">
        <v>889</v>
      </c>
    </row>
    <row r="240" spans="1:15" ht="15.75" customHeight="1">
      <c r="A240" t="s">
        <v>29</v>
      </c>
      <c r="B240">
        <v>254029</v>
      </c>
      <c r="C240">
        <v>254223</v>
      </c>
      <c r="D240">
        <v>1</v>
      </c>
      <c r="E240" t="s">
        <v>47</v>
      </c>
      <c r="F240" t="s">
        <v>890</v>
      </c>
      <c r="I240" t="s">
        <v>49</v>
      </c>
      <c r="L240" t="s">
        <v>891</v>
      </c>
      <c r="M240" t="s">
        <v>890</v>
      </c>
      <c r="N240">
        <v>64</v>
      </c>
      <c r="O240" t="s">
        <v>892</v>
      </c>
    </row>
    <row r="241" spans="1:15" ht="15.75" customHeight="1">
      <c r="A241" t="s">
        <v>29</v>
      </c>
      <c r="B241">
        <v>254287</v>
      </c>
      <c r="C241">
        <v>254736</v>
      </c>
      <c r="D241">
        <v>1</v>
      </c>
      <c r="E241" t="s">
        <v>47</v>
      </c>
      <c r="F241" t="s">
        <v>887</v>
      </c>
      <c r="G241" t="s">
        <v>893</v>
      </c>
      <c r="I241" t="s">
        <v>49</v>
      </c>
      <c r="L241" t="s">
        <v>894</v>
      </c>
      <c r="M241" t="s">
        <v>887</v>
      </c>
      <c r="N241">
        <v>149</v>
      </c>
      <c r="O241" t="s">
        <v>895</v>
      </c>
    </row>
    <row r="242" spans="1:15" ht="15.75" customHeight="1">
      <c r="A242" t="s">
        <v>29</v>
      </c>
      <c r="B242">
        <v>254749</v>
      </c>
      <c r="C242">
        <v>255840</v>
      </c>
      <c r="D242">
        <v>1</v>
      </c>
      <c r="E242" t="s">
        <v>47</v>
      </c>
      <c r="F242" t="s">
        <v>896</v>
      </c>
      <c r="G242" t="s">
        <v>897</v>
      </c>
      <c r="I242" t="s">
        <v>49</v>
      </c>
      <c r="L242" t="s">
        <v>898</v>
      </c>
      <c r="M242" t="s">
        <v>896</v>
      </c>
      <c r="N242">
        <v>363</v>
      </c>
      <c r="O242" t="s">
        <v>899</v>
      </c>
    </row>
    <row r="243" spans="1:15" ht="15.75" customHeight="1">
      <c r="A243" t="s">
        <v>29</v>
      </c>
      <c r="B243">
        <v>256088</v>
      </c>
      <c r="C243">
        <v>256456</v>
      </c>
      <c r="D243">
        <v>1</v>
      </c>
      <c r="E243" t="s">
        <v>47</v>
      </c>
      <c r="F243" t="s">
        <v>900</v>
      </c>
      <c r="I243" t="s">
        <v>49</v>
      </c>
      <c r="L243" t="s">
        <v>901</v>
      </c>
      <c r="M243" t="s">
        <v>900</v>
      </c>
      <c r="N243">
        <v>122</v>
      </c>
      <c r="O243" t="s">
        <v>902</v>
      </c>
    </row>
    <row r="244" spans="1:15" ht="15.75" customHeight="1">
      <c r="A244" t="s">
        <v>29</v>
      </c>
      <c r="B244">
        <v>256453</v>
      </c>
      <c r="C244">
        <v>257460</v>
      </c>
      <c r="D244">
        <v>1</v>
      </c>
      <c r="E244" t="s">
        <v>47</v>
      </c>
      <c r="F244" t="s">
        <v>903</v>
      </c>
      <c r="G244" t="s">
        <v>904</v>
      </c>
      <c r="I244" t="s">
        <v>49</v>
      </c>
      <c r="L244" t="s">
        <v>905</v>
      </c>
      <c r="M244" t="s">
        <v>903</v>
      </c>
      <c r="N244">
        <v>335</v>
      </c>
      <c r="O244" t="s">
        <v>906</v>
      </c>
    </row>
    <row r="245" spans="1:15" ht="15.75" customHeight="1">
      <c r="A245" t="s">
        <v>29</v>
      </c>
      <c r="B245">
        <v>257585</v>
      </c>
      <c r="C245">
        <v>258277</v>
      </c>
      <c r="D245">
        <v>1</v>
      </c>
      <c r="E245" t="s">
        <v>76</v>
      </c>
      <c r="F245" t="s">
        <v>907</v>
      </c>
      <c r="G245" t="s">
        <v>908</v>
      </c>
      <c r="I245" t="s">
        <v>49</v>
      </c>
      <c r="L245" t="s">
        <v>909</v>
      </c>
      <c r="M245" t="s">
        <v>907</v>
      </c>
      <c r="N245">
        <v>230</v>
      </c>
      <c r="O245" t="s">
        <v>910</v>
      </c>
    </row>
    <row r="246" spans="1:15" ht="15.75" customHeight="1">
      <c r="A246" t="s">
        <v>29</v>
      </c>
      <c r="B246">
        <v>258521</v>
      </c>
      <c r="C246">
        <v>259858</v>
      </c>
      <c r="D246">
        <v>1</v>
      </c>
      <c r="E246" t="s">
        <v>76</v>
      </c>
      <c r="F246" t="s">
        <v>911</v>
      </c>
      <c r="I246" t="s">
        <v>49</v>
      </c>
      <c r="L246" t="s">
        <v>912</v>
      </c>
      <c r="M246" t="s">
        <v>911</v>
      </c>
      <c r="N246">
        <v>445</v>
      </c>
      <c r="O246" t="s">
        <v>913</v>
      </c>
    </row>
    <row r="247" spans="1:15" ht="15.75" customHeight="1">
      <c r="A247" t="s">
        <v>29</v>
      </c>
      <c r="B247">
        <v>259868</v>
      </c>
      <c r="C247">
        <v>260134</v>
      </c>
      <c r="D247">
        <v>1</v>
      </c>
      <c r="E247" t="s">
        <v>76</v>
      </c>
      <c r="F247" t="s">
        <v>914</v>
      </c>
      <c r="I247" t="s">
        <v>49</v>
      </c>
      <c r="L247" t="s">
        <v>915</v>
      </c>
      <c r="M247" t="s">
        <v>914</v>
      </c>
      <c r="N247">
        <v>88</v>
      </c>
      <c r="O247" t="s">
        <v>916</v>
      </c>
    </row>
    <row r="248" spans="1:15" ht="15.75" customHeight="1">
      <c r="A248" t="s">
        <v>29</v>
      </c>
      <c r="B248">
        <v>260399</v>
      </c>
      <c r="C248">
        <v>260785</v>
      </c>
      <c r="D248">
        <v>1</v>
      </c>
      <c r="E248" t="s">
        <v>76</v>
      </c>
      <c r="F248" t="s">
        <v>917</v>
      </c>
      <c r="G248" t="s">
        <v>918</v>
      </c>
      <c r="I248" t="s">
        <v>49</v>
      </c>
      <c r="L248" t="s">
        <v>919</v>
      </c>
      <c r="M248" t="s">
        <v>917</v>
      </c>
      <c r="N248">
        <v>128</v>
      </c>
      <c r="O248" t="s">
        <v>920</v>
      </c>
    </row>
    <row r="249" spans="1:15" ht="15.75" customHeight="1">
      <c r="A249" t="s">
        <v>29</v>
      </c>
      <c r="B249">
        <v>260797</v>
      </c>
      <c r="C249">
        <v>261732</v>
      </c>
      <c r="D249">
        <v>1</v>
      </c>
      <c r="E249" t="s">
        <v>76</v>
      </c>
      <c r="F249" t="s">
        <v>921</v>
      </c>
      <c r="G249" t="s">
        <v>922</v>
      </c>
      <c r="I249" t="s">
        <v>49</v>
      </c>
      <c r="L249" t="s">
        <v>923</v>
      </c>
      <c r="M249" t="s">
        <v>921</v>
      </c>
      <c r="N249">
        <v>311</v>
      </c>
      <c r="O249" t="s">
        <v>924</v>
      </c>
    </row>
    <row r="250" spans="1:15" ht="15.75" customHeight="1">
      <c r="A250" t="s">
        <v>29</v>
      </c>
      <c r="B250">
        <v>261775</v>
      </c>
      <c r="C250">
        <v>262158</v>
      </c>
      <c r="D250">
        <v>1</v>
      </c>
      <c r="E250" t="s">
        <v>76</v>
      </c>
      <c r="F250" t="s">
        <v>925</v>
      </c>
      <c r="G250" t="s">
        <v>926</v>
      </c>
      <c r="I250" t="s">
        <v>49</v>
      </c>
      <c r="L250" t="s">
        <v>927</v>
      </c>
      <c r="M250" t="s">
        <v>925</v>
      </c>
      <c r="N250">
        <v>127</v>
      </c>
      <c r="O250" t="s">
        <v>928</v>
      </c>
    </row>
    <row r="251" spans="1:15" ht="15.75" customHeight="1">
      <c r="A251" t="s">
        <v>29</v>
      </c>
      <c r="B251">
        <v>262176</v>
      </c>
      <c r="C251">
        <v>262541</v>
      </c>
      <c r="D251">
        <v>1</v>
      </c>
      <c r="E251" t="s">
        <v>76</v>
      </c>
      <c r="F251" t="s">
        <v>929</v>
      </c>
      <c r="G251" t="s">
        <v>930</v>
      </c>
      <c r="I251" t="s">
        <v>49</v>
      </c>
      <c r="L251" t="s">
        <v>931</v>
      </c>
      <c r="M251" t="s">
        <v>929</v>
      </c>
      <c r="N251">
        <v>121</v>
      </c>
      <c r="O251" t="s">
        <v>932</v>
      </c>
    </row>
    <row r="252" spans="1:15" ht="15.75" customHeight="1">
      <c r="A252" t="s">
        <v>29</v>
      </c>
      <c r="B252">
        <v>262559</v>
      </c>
      <c r="C252">
        <v>262675</v>
      </c>
      <c r="D252">
        <v>1</v>
      </c>
      <c r="E252" t="s">
        <v>76</v>
      </c>
      <c r="F252" t="s">
        <v>933</v>
      </c>
      <c r="G252" t="s">
        <v>934</v>
      </c>
      <c r="I252" t="s">
        <v>49</v>
      </c>
      <c r="L252" t="s">
        <v>935</v>
      </c>
      <c r="M252" t="s">
        <v>933</v>
      </c>
      <c r="N252">
        <v>38</v>
      </c>
      <c r="O252" t="s">
        <v>936</v>
      </c>
    </row>
    <row r="253" spans="1:15" ht="15.75" customHeight="1">
      <c r="A253" t="s">
        <v>29</v>
      </c>
      <c r="B253">
        <v>262700</v>
      </c>
      <c r="C253">
        <v>262918</v>
      </c>
      <c r="D253">
        <v>1</v>
      </c>
      <c r="E253" t="s">
        <v>76</v>
      </c>
      <c r="F253" t="s">
        <v>937</v>
      </c>
      <c r="G253" t="s">
        <v>938</v>
      </c>
      <c r="I253" t="s">
        <v>49</v>
      </c>
      <c r="L253" t="s">
        <v>939</v>
      </c>
      <c r="M253" t="s">
        <v>937</v>
      </c>
      <c r="N253">
        <v>72</v>
      </c>
      <c r="O253" t="s">
        <v>940</v>
      </c>
    </row>
    <row r="254" spans="1:15" ht="15.75" customHeight="1">
      <c r="A254" t="s">
        <v>29</v>
      </c>
      <c r="B254">
        <v>263035</v>
      </c>
      <c r="C254">
        <v>263673</v>
      </c>
      <c r="D254">
        <v>1</v>
      </c>
      <c r="E254" t="s">
        <v>76</v>
      </c>
      <c r="F254" t="s">
        <v>941</v>
      </c>
      <c r="G254" t="s">
        <v>942</v>
      </c>
      <c r="I254" t="s">
        <v>49</v>
      </c>
      <c r="L254" t="s">
        <v>943</v>
      </c>
      <c r="M254" t="s">
        <v>941</v>
      </c>
      <c r="N254">
        <v>212</v>
      </c>
      <c r="O254" t="s">
        <v>944</v>
      </c>
    </row>
    <row r="255" spans="1:15" ht="15.75" customHeight="1">
      <c r="A255" t="s">
        <v>29</v>
      </c>
      <c r="B255">
        <v>263824</v>
      </c>
      <c r="C255">
        <v>265134</v>
      </c>
      <c r="D255">
        <v>1</v>
      </c>
      <c r="E255" t="s">
        <v>76</v>
      </c>
      <c r="F255" t="s">
        <v>945</v>
      </c>
      <c r="G255" t="s">
        <v>946</v>
      </c>
      <c r="I255" t="s">
        <v>49</v>
      </c>
      <c r="L255" t="s">
        <v>947</v>
      </c>
      <c r="M255" t="s">
        <v>945</v>
      </c>
      <c r="N255">
        <v>436</v>
      </c>
      <c r="O255" t="s">
        <v>948</v>
      </c>
    </row>
    <row r="256" spans="1:15" ht="15.75" customHeight="1">
      <c r="A256" t="s">
        <v>29</v>
      </c>
      <c r="B256">
        <v>265147</v>
      </c>
      <c r="C256">
        <v>265587</v>
      </c>
      <c r="D256">
        <v>1</v>
      </c>
      <c r="E256" t="s">
        <v>76</v>
      </c>
      <c r="F256" t="s">
        <v>949</v>
      </c>
      <c r="G256" t="s">
        <v>950</v>
      </c>
      <c r="I256" t="s">
        <v>49</v>
      </c>
      <c r="L256" t="s">
        <v>951</v>
      </c>
      <c r="M256" t="s">
        <v>949</v>
      </c>
      <c r="N256">
        <v>146</v>
      </c>
      <c r="O256" t="s">
        <v>952</v>
      </c>
    </row>
    <row r="257" spans="1:15" ht="15.75" customHeight="1">
      <c r="A257" t="s">
        <v>29</v>
      </c>
      <c r="B257">
        <v>265732</v>
      </c>
      <c r="C257">
        <v>265914</v>
      </c>
      <c r="D257">
        <v>1</v>
      </c>
      <c r="E257" t="s">
        <v>76</v>
      </c>
      <c r="F257" t="s">
        <v>953</v>
      </c>
      <c r="G257" t="s">
        <v>954</v>
      </c>
      <c r="I257" t="s">
        <v>49</v>
      </c>
      <c r="L257" t="s">
        <v>955</v>
      </c>
      <c r="M257" t="s">
        <v>953</v>
      </c>
      <c r="N257">
        <v>60</v>
      </c>
      <c r="O257" t="s">
        <v>956</v>
      </c>
    </row>
    <row r="258" spans="1:15" ht="15.75" customHeight="1">
      <c r="A258" t="s">
        <v>29</v>
      </c>
      <c r="B258">
        <v>265928</v>
      </c>
      <c r="C258">
        <v>266422</v>
      </c>
      <c r="D258">
        <v>1</v>
      </c>
      <c r="E258" t="s">
        <v>76</v>
      </c>
      <c r="F258" t="s">
        <v>957</v>
      </c>
      <c r="G258" t="s">
        <v>958</v>
      </c>
      <c r="I258" t="s">
        <v>49</v>
      </c>
      <c r="L258" t="s">
        <v>959</v>
      </c>
      <c r="M258" t="s">
        <v>957</v>
      </c>
      <c r="N258">
        <v>164</v>
      </c>
      <c r="O258" t="s">
        <v>960</v>
      </c>
    </row>
    <row r="259" spans="1:15" ht="15.75" customHeight="1">
      <c r="A259" t="s">
        <v>29</v>
      </c>
      <c r="B259">
        <v>266440</v>
      </c>
      <c r="C259">
        <v>266796</v>
      </c>
      <c r="D259">
        <v>1</v>
      </c>
      <c r="E259" t="s">
        <v>76</v>
      </c>
      <c r="F259" t="s">
        <v>961</v>
      </c>
      <c r="G259" t="s">
        <v>962</v>
      </c>
      <c r="I259" t="s">
        <v>49</v>
      </c>
      <c r="L259" t="s">
        <v>963</v>
      </c>
      <c r="M259" t="s">
        <v>961</v>
      </c>
      <c r="N259">
        <v>118</v>
      </c>
      <c r="O259" t="s">
        <v>964</v>
      </c>
    </row>
    <row r="260" spans="1:15" ht="15.75" customHeight="1">
      <c r="A260" t="s">
        <v>29</v>
      </c>
      <c r="B260">
        <v>266880</v>
      </c>
      <c r="C260">
        <v>267416</v>
      </c>
      <c r="D260">
        <v>1</v>
      </c>
      <c r="E260" t="s">
        <v>76</v>
      </c>
      <c r="F260" t="s">
        <v>965</v>
      </c>
      <c r="G260" t="s">
        <v>966</v>
      </c>
      <c r="I260" t="s">
        <v>49</v>
      </c>
      <c r="L260" t="s">
        <v>967</v>
      </c>
      <c r="M260" t="s">
        <v>965</v>
      </c>
      <c r="N260">
        <v>178</v>
      </c>
      <c r="O260" t="s">
        <v>968</v>
      </c>
    </row>
    <row r="261" spans="1:15" ht="15.75" customHeight="1">
      <c r="A261" t="s">
        <v>29</v>
      </c>
      <c r="B261">
        <v>267608</v>
      </c>
      <c r="C261">
        <v>268006</v>
      </c>
      <c r="D261">
        <v>1</v>
      </c>
      <c r="E261" t="s">
        <v>76</v>
      </c>
      <c r="F261" t="s">
        <v>969</v>
      </c>
      <c r="G261" t="s">
        <v>970</v>
      </c>
      <c r="I261" t="s">
        <v>49</v>
      </c>
      <c r="L261" t="s">
        <v>971</v>
      </c>
      <c r="M261" t="s">
        <v>969</v>
      </c>
      <c r="N261">
        <v>132</v>
      </c>
      <c r="O261" t="s">
        <v>972</v>
      </c>
    </row>
    <row r="262" spans="1:15" ht="15.75" customHeight="1">
      <c r="A262" t="s">
        <v>29</v>
      </c>
      <c r="B262">
        <v>268291</v>
      </c>
      <c r="C262">
        <v>268560</v>
      </c>
      <c r="D262">
        <v>1</v>
      </c>
      <c r="E262" t="s">
        <v>76</v>
      </c>
      <c r="F262" t="s">
        <v>973</v>
      </c>
      <c r="G262" t="s">
        <v>974</v>
      </c>
      <c r="I262" t="s">
        <v>49</v>
      </c>
      <c r="L262" t="s">
        <v>975</v>
      </c>
      <c r="M262" t="s">
        <v>973</v>
      </c>
      <c r="N262">
        <v>89</v>
      </c>
      <c r="O262" t="s">
        <v>976</v>
      </c>
    </row>
    <row r="263" spans="1:15" ht="15.75" customHeight="1">
      <c r="A263" t="s">
        <v>29</v>
      </c>
      <c r="B263">
        <v>268578</v>
      </c>
      <c r="C263">
        <v>269120</v>
      </c>
      <c r="D263">
        <v>1</v>
      </c>
      <c r="E263" t="s">
        <v>76</v>
      </c>
      <c r="F263" t="s">
        <v>977</v>
      </c>
      <c r="G263" t="s">
        <v>978</v>
      </c>
      <c r="I263" t="s">
        <v>49</v>
      </c>
      <c r="L263" t="s">
        <v>979</v>
      </c>
      <c r="M263" t="s">
        <v>977</v>
      </c>
      <c r="N263">
        <v>180</v>
      </c>
      <c r="O263" t="s">
        <v>980</v>
      </c>
    </row>
    <row r="264" spans="1:15" ht="15.75" customHeight="1">
      <c r="A264" t="s">
        <v>29</v>
      </c>
      <c r="B264">
        <v>269144</v>
      </c>
      <c r="C264">
        <v>269449</v>
      </c>
      <c r="D264">
        <v>1</v>
      </c>
      <c r="E264" t="s">
        <v>76</v>
      </c>
      <c r="F264" t="s">
        <v>981</v>
      </c>
      <c r="G264" t="s">
        <v>982</v>
      </c>
      <c r="I264" t="s">
        <v>49</v>
      </c>
      <c r="L264" t="s">
        <v>983</v>
      </c>
      <c r="M264" t="s">
        <v>981</v>
      </c>
      <c r="N264">
        <v>101</v>
      </c>
      <c r="O264" t="s">
        <v>984</v>
      </c>
    </row>
    <row r="265" spans="1:15" ht="15.75" customHeight="1">
      <c r="A265" t="s">
        <v>29</v>
      </c>
      <c r="B265">
        <v>269527</v>
      </c>
      <c r="C265">
        <v>269895</v>
      </c>
      <c r="D265">
        <v>1</v>
      </c>
      <c r="E265" t="s">
        <v>76</v>
      </c>
      <c r="F265" t="s">
        <v>985</v>
      </c>
      <c r="G265" t="s">
        <v>986</v>
      </c>
      <c r="I265" t="s">
        <v>49</v>
      </c>
      <c r="L265" t="s">
        <v>987</v>
      </c>
      <c r="M265" t="s">
        <v>985</v>
      </c>
      <c r="N265">
        <v>122</v>
      </c>
      <c r="O265" t="s">
        <v>988</v>
      </c>
    </row>
    <row r="266" spans="1:15" ht="15.75" customHeight="1">
      <c r="A266" t="s">
        <v>29</v>
      </c>
      <c r="B266">
        <v>269921</v>
      </c>
      <c r="C266">
        <v>270181</v>
      </c>
      <c r="D266">
        <v>1</v>
      </c>
      <c r="E266" t="s">
        <v>76</v>
      </c>
      <c r="F266" t="s">
        <v>989</v>
      </c>
      <c r="G266" t="s">
        <v>990</v>
      </c>
      <c r="I266" t="s">
        <v>49</v>
      </c>
      <c r="L266" t="s">
        <v>991</v>
      </c>
      <c r="M266" t="s">
        <v>989</v>
      </c>
      <c r="N266">
        <v>86</v>
      </c>
      <c r="O266" t="s">
        <v>992</v>
      </c>
    </row>
    <row r="267" spans="1:15" ht="15.75" customHeight="1">
      <c r="A267" t="s">
        <v>29</v>
      </c>
      <c r="B267">
        <v>270206</v>
      </c>
      <c r="C267">
        <v>270412</v>
      </c>
      <c r="D267">
        <v>1</v>
      </c>
      <c r="E267" t="s">
        <v>76</v>
      </c>
      <c r="F267" t="s">
        <v>993</v>
      </c>
      <c r="G267" t="s">
        <v>994</v>
      </c>
      <c r="I267" t="s">
        <v>49</v>
      </c>
      <c r="L267" t="s">
        <v>995</v>
      </c>
      <c r="M267" t="s">
        <v>993</v>
      </c>
      <c r="N267">
        <v>68</v>
      </c>
      <c r="O267" t="s">
        <v>996</v>
      </c>
    </row>
    <row r="268" spans="1:15" ht="15.75" customHeight="1">
      <c r="A268" t="s">
        <v>29</v>
      </c>
      <c r="B268">
        <v>270422</v>
      </c>
      <c r="C268">
        <v>270835</v>
      </c>
      <c r="D268">
        <v>1</v>
      </c>
      <c r="E268" t="s">
        <v>76</v>
      </c>
      <c r="F268" t="s">
        <v>997</v>
      </c>
      <c r="G268" t="s">
        <v>998</v>
      </c>
      <c r="I268" t="s">
        <v>49</v>
      </c>
      <c r="L268" t="s">
        <v>999</v>
      </c>
      <c r="M268" t="s">
        <v>997</v>
      </c>
      <c r="N268">
        <v>137</v>
      </c>
      <c r="O268" t="s">
        <v>1000</v>
      </c>
    </row>
    <row r="269" spans="1:15" ht="15.75" customHeight="1">
      <c r="A269" t="s">
        <v>29</v>
      </c>
      <c r="B269">
        <v>270839</v>
      </c>
      <c r="C269">
        <v>271492</v>
      </c>
      <c r="D269">
        <v>1</v>
      </c>
      <c r="E269" t="s">
        <v>76</v>
      </c>
      <c r="F269" t="s">
        <v>1001</v>
      </c>
      <c r="G269" t="s">
        <v>1002</v>
      </c>
      <c r="I269" t="s">
        <v>49</v>
      </c>
      <c r="L269" t="s">
        <v>1003</v>
      </c>
      <c r="M269" t="s">
        <v>1001</v>
      </c>
      <c r="N269">
        <v>217</v>
      </c>
      <c r="O269" t="s">
        <v>1004</v>
      </c>
    </row>
    <row r="270" spans="1:15" ht="15.75" customHeight="1">
      <c r="A270" t="s">
        <v>29</v>
      </c>
      <c r="B270">
        <v>271505</v>
      </c>
      <c r="C270">
        <v>271849</v>
      </c>
      <c r="D270">
        <v>1</v>
      </c>
      <c r="E270" t="s">
        <v>76</v>
      </c>
      <c r="F270" t="s">
        <v>1005</v>
      </c>
      <c r="G270" t="s">
        <v>1006</v>
      </c>
      <c r="I270" t="s">
        <v>49</v>
      </c>
      <c r="L270" t="s">
        <v>1007</v>
      </c>
      <c r="M270" t="s">
        <v>1005</v>
      </c>
      <c r="N270">
        <v>114</v>
      </c>
      <c r="O270" t="s">
        <v>1008</v>
      </c>
    </row>
    <row r="271" spans="1:15" ht="15.75" customHeight="1">
      <c r="A271" t="s">
        <v>29</v>
      </c>
      <c r="B271">
        <v>271861</v>
      </c>
      <c r="C271">
        <v>272142</v>
      </c>
      <c r="D271">
        <v>1</v>
      </c>
      <c r="E271" t="s">
        <v>76</v>
      </c>
      <c r="F271" t="s">
        <v>1009</v>
      </c>
      <c r="G271" t="s">
        <v>1010</v>
      </c>
      <c r="I271" t="s">
        <v>49</v>
      </c>
      <c r="L271" t="s">
        <v>1011</v>
      </c>
      <c r="M271" t="s">
        <v>1009</v>
      </c>
      <c r="N271">
        <v>93</v>
      </c>
      <c r="O271" t="s">
        <v>1012</v>
      </c>
    </row>
    <row r="272" spans="1:15" ht="15.75" customHeight="1">
      <c r="A272" t="s">
        <v>29</v>
      </c>
      <c r="B272">
        <v>272246</v>
      </c>
      <c r="C272">
        <v>273079</v>
      </c>
      <c r="D272">
        <v>1</v>
      </c>
      <c r="E272" t="s">
        <v>76</v>
      </c>
      <c r="F272" t="s">
        <v>1013</v>
      </c>
      <c r="G272" t="s">
        <v>1014</v>
      </c>
      <c r="I272" t="s">
        <v>49</v>
      </c>
      <c r="L272" t="s">
        <v>1015</v>
      </c>
      <c r="M272" t="s">
        <v>1013</v>
      </c>
      <c r="N272">
        <v>277</v>
      </c>
      <c r="O272" t="s">
        <v>1016</v>
      </c>
    </row>
    <row r="273" spans="1:15" ht="15.75" customHeight="1">
      <c r="A273" t="s">
        <v>29</v>
      </c>
      <c r="B273">
        <v>273097</v>
      </c>
      <c r="C273">
        <v>273393</v>
      </c>
      <c r="D273">
        <v>1</v>
      </c>
      <c r="E273" t="s">
        <v>76</v>
      </c>
      <c r="F273" t="s">
        <v>1017</v>
      </c>
      <c r="G273" t="s">
        <v>1018</v>
      </c>
      <c r="I273" t="s">
        <v>49</v>
      </c>
      <c r="L273" t="s">
        <v>1019</v>
      </c>
      <c r="M273" t="s">
        <v>1017</v>
      </c>
      <c r="N273">
        <v>98</v>
      </c>
      <c r="O273" t="s">
        <v>1020</v>
      </c>
    </row>
    <row r="274" spans="1:15" ht="15.75" customHeight="1">
      <c r="A274" t="s">
        <v>29</v>
      </c>
      <c r="B274">
        <v>273393</v>
      </c>
      <c r="C274">
        <v>274016</v>
      </c>
      <c r="D274">
        <v>1</v>
      </c>
      <c r="E274" t="s">
        <v>76</v>
      </c>
      <c r="F274" t="s">
        <v>1021</v>
      </c>
      <c r="G274" t="s">
        <v>1022</v>
      </c>
      <c r="I274" t="s">
        <v>49</v>
      </c>
      <c r="L274" t="s">
        <v>1023</v>
      </c>
      <c r="M274" t="s">
        <v>1021</v>
      </c>
      <c r="N274">
        <v>207</v>
      </c>
      <c r="O274" t="s">
        <v>1024</v>
      </c>
    </row>
    <row r="275" spans="1:15" ht="15.75" customHeight="1">
      <c r="A275" t="s">
        <v>29</v>
      </c>
      <c r="B275">
        <v>274041</v>
      </c>
      <c r="C275">
        <v>274667</v>
      </c>
      <c r="D275">
        <v>1</v>
      </c>
      <c r="E275" t="s">
        <v>76</v>
      </c>
      <c r="F275" t="s">
        <v>1025</v>
      </c>
      <c r="G275" t="s">
        <v>1026</v>
      </c>
      <c r="I275" t="s">
        <v>49</v>
      </c>
      <c r="L275" t="s">
        <v>1027</v>
      </c>
      <c r="M275" t="s">
        <v>1025</v>
      </c>
      <c r="N275">
        <v>208</v>
      </c>
      <c r="O275" t="s">
        <v>1028</v>
      </c>
    </row>
    <row r="276" spans="1:15" ht="15.75" customHeight="1">
      <c r="A276" t="s">
        <v>29</v>
      </c>
      <c r="B276">
        <v>274883</v>
      </c>
      <c r="C276">
        <v>275191</v>
      </c>
      <c r="D276">
        <v>1</v>
      </c>
      <c r="E276" t="s">
        <v>76</v>
      </c>
      <c r="F276" t="s">
        <v>1029</v>
      </c>
      <c r="G276" t="s">
        <v>1030</v>
      </c>
      <c r="I276" t="s">
        <v>49</v>
      </c>
      <c r="L276" t="s">
        <v>1031</v>
      </c>
      <c r="M276" t="s">
        <v>1029</v>
      </c>
      <c r="N276">
        <v>102</v>
      </c>
      <c r="O276" t="s">
        <v>1032</v>
      </c>
    </row>
    <row r="277" spans="1:15" ht="15.75" customHeight="1">
      <c r="A277" t="s">
        <v>29</v>
      </c>
      <c r="B277">
        <v>275457</v>
      </c>
      <c r="C277">
        <v>276074</v>
      </c>
      <c r="D277">
        <v>1</v>
      </c>
      <c r="E277" t="s">
        <v>76</v>
      </c>
      <c r="F277" t="s">
        <v>1033</v>
      </c>
      <c r="I277" t="s">
        <v>49</v>
      </c>
      <c r="L277" t="s">
        <v>1034</v>
      </c>
      <c r="M277" t="s">
        <v>1033</v>
      </c>
      <c r="N277">
        <v>205</v>
      </c>
      <c r="O277" t="s">
        <v>1035</v>
      </c>
    </row>
    <row r="278" spans="1:15" ht="15.75" customHeight="1">
      <c r="A278" t="s">
        <v>29</v>
      </c>
      <c r="B278">
        <v>276071</v>
      </c>
      <c r="C278">
        <v>276661</v>
      </c>
      <c r="D278">
        <v>1</v>
      </c>
      <c r="E278" t="s">
        <v>76</v>
      </c>
      <c r="F278" t="s">
        <v>1036</v>
      </c>
      <c r="G278" t="s">
        <v>1037</v>
      </c>
      <c r="I278" t="s">
        <v>49</v>
      </c>
      <c r="L278" t="s">
        <v>1038</v>
      </c>
      <c r="M278" t="s">
        <v>1036</v>
      </c>
      <c r="N278">
        <v>196</v>
      </c>
      <c r="O278" t="s">
        <v>1039</v>
      </c>
    </row>
    <row r="279" spans="1:15" ht="15.75" customHeight="1">
      <c r="A279" t="s">
        <v>29</v>
      </c>
      <c r="B279">
        <v>276654</v>
      </c>
      <c r="C279">
        <v>277160</v>
      </c>
      <c r="D279">
        <v>1</v>
      </c>
      <c r="E279" t="s">
        <v>76</v>
      </c>
      <c r="F279" t="s">
        <v>1040</v>
      </c>
      <c r="I279" t="s">
        <v>49</v>
      </c>
      <c r="L279" t="s">
        <v>1041</v>
      </c>
      <c r="M279" t="s">
        <v>1040</v>
      </c>
      <c r="N279">
        <v>168</v>
      </c>
      <c r="O279" t="s">
        <v>1042</v>
      </c>
    </row>
    <row r="280" spans="1:15" ht="15.75" customHeight="1">
      <c r="A280" t="s">
        <v>29</v>
      </c>
      <c r="B280">
        <v>277356</v>
      </c>
      <c r="C280">
        <v>279563</v>
      </c>
      <c r="D280">
        <v>1</v>
      </c>
      <c r="E280" t="s">
        <v>76</v>
      </c>
      <c r="F280" t="s">
        <v>1043</v>
      </c>
      <c r="G280" t="s">
        <v>1044</v>
      </c>
      <c r="I280" t="s">
        <v>49</v>
      </c>
      <c r="L280" t="s">
        <v>1045</v>
      </c>
      <c r="M280" t="s">
        <v>1043</v>
      </c>
      <c r="N280">
        <v>735</v>
      </c>
      <c r="O280" t="s">
        <v>1046</v>
      </c>
    </row>
    <row r="281" spans="1:15" ht="15.75" customHeight="1">
      <c r="A281" t="s">
        <v>29</v>
      </c>
      <c r="B281">
        <v>279683</v>
      </c>
      <c r="C281">
        <v>281221</v>
      </c>
      <c r="D281">
        <v>1</v>
      </c>
      <c r="E281" t="s">
        <v>76</v>
      </c>
      <c r="F281" t="s">
        <v>1047</v>
      </c>
      <c r="I281" t="s">
        <v>49</v>
      </c>
      <c r="L281" t="s">
        <v>1048</v>
      </c>
      <c r="M281" t="s">
        <v>1047</v>
      </c>
      <c r="N281">
        <v>512</v>
      </c>
      <c r="O281" t="s">
        <v>1049</v>
      </c>
    </row>
    <row r="282" spans="1:15" ht="15.75" customHeight="1">
      <c r="A282" t="s">
        <v>29</v>
      </c>
      <c r="B282">
        <v>281258</v>
      </c>
      <c r="C282">
        <v>281401</v>
      </c>
      <c r="D282">
        <v>1</v>
      </c>
      <c r="E282" t="s">
        <v>76</v>
      </c>
      <c r="F282" t="s">
        <v>176</v>
      </c>
      <c r="I282" t="s">
        <v>49</v>
      </c>
      <c r="L282" t="s">
        <v>1050</v>
      </c>
      <c r="M282" t="s">
        <v>176</v>
      </c>
      <c r="N282">
        <v>47</v>
      </c>
      <c r="O282" t="s">
        <v>1051</v>
      </c>
    </row>
    <row r="283" spans="1:15" ht="15.75" customHeight="1">
      <c r="A283" t="s">
        <v>29</v>
      </c>
      <c r="B283">
        <v>281479</v>
      </c>
      <c r="C283">
        <v>283011</v>
      </c>
      <c r="D283">
        <v>1</v>
      </c>
      <c r="E283" t="s">
        <v>76</v>
      </c>
      <c r="F283" t="s">
        <v>1052</v>
      </c>
      <c r="G283" t="s">
        <v>1053</v>
      </c>
      <c r="I283" t="s">
        <v>49</v>
      </c>
      <c r="L283" t="s">
        <v>1054</v>
      </c>
      <c r="M283" t="s">
        <v>1052</v>
      </c>
      <c r="N283">
        <v>510</v>
      </c>
      <c r="O283" t="s">
        <v>1055</v>
      </c>
    </row>
    <row r="284" spans="1:15" ht="15.75" customHeight="1">
      <c r="A284" t="s">
        <v>29</v>
      </c>
      <c r="B284">
        <v>283157</v>
      </c>
      <c r="C284">
        <v>283615</v>
      </c>
      <c r="D284">
        <v>1</v>
      </c>
      <c r="E284" t="s">
        <v>76</v>
      </c>
      <c r="F284" t="s">
        <v>1056</v>
      </c>
      <c r="I284" t="s">
        <v>49</v>
      </c>
      <c r="L284" t="s">
        <v>1057</v>
      </c>
      <c r="M284" t="s">
        <v>1056</v>
      </c>
      <c r="N284">
        <v>152</v>
      </c>
      <c r="O284" t="s">
        <v>1058</v>
      </c>
    </row>
    <row r="285" spans="1:15" ht="15.75" customHeight="1">
      <c r="A285" t="s">
        <v>29</v>
      </c>
      <c r="B285">
        <v>283699</v>
      </c>
      <c r="C285">
        <v>284949</v>
      </c>
      <c r="D285">
        <v>1</v>
      </c>
      <c r="E285" t="s">
        <v>76</v>
      </c>
      <c r="F285" t="s">
        <v>727</v>
      </c>
      <c r="G285" t="s">
        <v>1059</v>
      </c>
      <c r="I285" t="s">
        <v>49</v>
      </c>
      <c r="L285" t="s">
        <v>1060</v>
      </c>
      <c r="M285" t="s">
        <v>727</v>
      </c>
      <c r="N285">
        <v>416</v>
      </c>
      <c r="O285" t="s">
        <v>1061</v>
      </c>
    </row>
    <row r="286" spans="1:15" ht="15.75" customHeight="1">
      <c r="A286" t="s">
        <v>29</v>
      </c>
      <c r="B286">
        <v>285208</v>
      </c>
      <c r="C286">
        <v>285513</v>
      </c>
      <c r="D286">
        <v>1</v>
      </c>
      <c r="E286" t="s">
        <v>76</v>
      </c>
      <c r="F286" t="s">
        <v>1062</v>
      </c>
      <c r="I286" t="s">
        <v>49</v>
      </c>
      <c r="L286" t="s">
        <v>1063</v>
      </c>
      <c r="M286" t="s">
        <v>1062</v>
      </c>
      <c r="N286">
        <v>101</v>
      </c>
      <c r="O286" t="s">
        <v>1064</v>
      </c>
    </row>
    <row r="287" spans="1:15" ht="15.75" customHeight="1">
      <c r="A287" t="s">
        <v>29</v>
      </c>
      <c r="B287">
        <v>285529</v>
      </c>
      <c r="C287">
        <v>285948</v>
      </c>
      <c r="D287">
        <v>1</v>
      </c>
      <c r="E287" t="s">
        <v>76</v>
      </c>
      <c r="F287" t="s">
        <v>1065</v>
      </c>
      <c r="G287" t="s">
        <v>1066</v>
      </c>
      <c r="I287" t="s">
        <v>49</v>
      </c>
      <c r="L287" t="s">
        <v>1067</v>
      </c>
      <c r="M287" t="s">
        <v>1065</v>
      </c>
      <c r="N287">
        <v>139</v>
      </c>
      <c r="O287" t="s">
        <v>1068</v>
      </c>
    </row>
    <row r="288" spans="1:15" ht="15.75" customHeight="1">
      <c r="A288" t="s">
        <v>29</v>
      </c>
      <c r="B288">
        <v>285952</v>
      </c>
      <c r="C288">
        <v>286218</v>
      </c>
      <c r="D288">
        <v>1</v>
      </c>
      <c r="E288" t="s">
        <v>76</v>
      </c>
      <c r="F288" t="s">
        <v>1069</v>
      </c>
      <c r="I288" t="s">
        <v>49</v>
      </c>
      <c r="L288" t="s">
        <v>1070</v>
      </c>
      <c r="M288" t="s">
        <v>1069</v>
      </c>
      <c r="N288">
        <v>88</v>
      </c>
      <c r="O288" t="s">
        <v>1071</v>
      </c>
    </row>
    <row r="289" spans="1:15" ht="15.75" customHeight="1">
      <c r="A289" t="s">
        <v>29</v>
      </c>
      <c r="B289">
        <v>286305</v>
      </c>
      <c r="C289">
        <v>286874</v>
      </c>
      <c r="D289">
        <v>1</v>
      </c>
      <c r="E289" t="s">
        <v>76</v>
      </c>
      <c r="F289" t="s">
        <v>571</v>
      </c>
      <c r="I289" t="s">
        <v>49</v>
      </c>
      <c r="L289" t="s">
        <v>1072</v>
      </c>
      <c r="M289" t="s">
        <v>571</v>
      </c>
      <c r="N289">
        <v>189</v>
      </c>
      <c r="O289" t="s">
        <v>1073</v>
      </c>
    </row>
    <row r="290" spans="1:15" ht="15.75" customHeight="1">
      <c r="A290" t="s">
        <v>29</v>
      </c>
      <c r="B290">
        <v>286940</v>
      </c>
      <c r="C290">
        <v>287338</v>
      </c>
      <c r="D290">
        <v>1</v>
      </c>
      <c r="E290" t="s">
        <v>76</v>
      </c>
      <c r="F290" t="s">
        <v>1074</v>
      </c>
      <c r="G290" t="s">
        <v>1075</v>
      </c>
      <c r="I290" t="s">
        <v>49</v>
      </c>
      <c r="L290" t="s">
        <v>1076</v>
      </c>
      <c r="M290" t="s">
        <v>1074</v>
      </c>
      <c r="N290">
        <v>132</v>
      </c>
      <c r="O290" t="s">
        <v>1077</v>
      </c>
    </row>
    <row r="291" spans="1:15" ht="15.75" customHeight="1">
      <c r="A291" t="s">
        <v>29</v>
      </c>
      <c r="B291">
        <v>287470</v>
      </c>
      <c r="C291">
        <v>288531</v>
      </c>
      <c r="D291">
        <v>1</v>
      </c>
      <c r="E291" t="s">
        <v>76</v>
      </c>
      <c r="F291" t="s">
        <v>1078</v>
      </c>
      <c r="G291" t="s">
        <v>1079</v>
      </c>
      <c r="I291" t="s">
        <v>49</v>
      </c>
      <c r="L291" t="s">
        <v>1080</v>
      </c>
      <c r="M291" t="s">
        <v>1078</v>
      </c>
      <c r="N291">
        <v>353</v>
      </c>
      <c r="O291" t="s">
        <v>1081</v>
      </c>
    </row>
    <row r="292" spans="1:15" ht="15.75" customHeight="1">
      <c r="A292" t="s">
        <v>29</v>
      </c>
      <c r="B292">
        <v>288524</v>
      </c>
      <c r="C292">
        <v>291355</v>
      </c>
      <c r="D292">
        <v>1</v>
      </c>
      <c r="E292" t="s">
        <v>76</v>
      </c>
      <c r="F292" t="s">
        <v>1082</v>
      </c>
      <c r="G292" t="s">
        <v>1083</v>
      </c>
      <c r="I292" t="s">
        <v>49</v>
      </c>
      <c r="L292" t="s">
        <v>1084</v>
      </c>
      <c r="M292" t="s">
        <v>1082</v>
      </c>
      <c r="N292">
        <v>943</v>
      </c>
      <c r="O292" t="s">
        <v>1085</v>
      </c>
    </row>
    <row r="293" spans="1:15" ht="15.75" customHeight="1">
      <c r="A293" t="s">
        <v>29</v>
      </c>
      <c r="B293">
        <v>291487</v>
      </c>
      <c r="C293">
        <v>291720</v>
      </c>
      <c r="D293">
        <v>1</v>
      </c>
      <c r="E293" t="s">
        <v>47</v>
      </c>
      <c r="F293" t="s">
        <v>1086</v>
      </c>
      <c r="I293" t="s">
        <v>49</v>
      </c>
      <c r="L293" t="s">
        <v>1087</v>
      </c>
      <c r="M293" t="s">
        <v>1086</v>
      </c>
      <c r="N293">
        <v>77</v>
      </c>
      <c r="O293" t="s">
        <v>1088</v>
      </c>
    </row>
    <row r="294" spans="1:15" ht="15.75" customHeight="1">
      <c r="A294" t="s">
        <v>29</v>
      </c>
      <c r="B294">
        <v>291860</v>
      </c>
      <c r="C294">
        <v>292432</v>
      </c>
      <c r="D294">
        <v>1</v>
      </c>
      <c r="E294" t="s">
        <v>47</v>
      </c>
      <c r="F294" t="s">
        <v>1086</v>
      </c>
      <c r="G294" t="s">
        <v>1089</v>
      </c>
      <c r="I294" t="s">
        <v>49</v>
      </c>
      <c r="L294" t="s">
        <v>1090</v>
      </c>
      <c r="M294" t="s">
        <v>1086</v>
      </c>
      <c r="N294">
        <v>190</v>
      </c>
      <c r="O294" t="s">
        <v>1091</v>
      </c>
    </row>
    <row r="295" spans="1:15" ht="15.75" customHeight="1">
      <c r="A295" t="s">
        <v>29</v>
      </c>
      <c r="B295">
        <v>292444</v>
      </c>
      <c r="C295">
        <v>293127</v>
      </c>
      <c r="D295">
        <v>1</v>
      </c>
      <c r="E295" t="s">
        <v>47</v>
      </c>
      <c r="F295" t="s">
        <v>65</v>
      </c>
      <c r="I295" t="s">
        <v>49</v>
      </c>
      <c r="L295" t="s">
        <v>1092</v>
      </c>
      <c r="M295" t="s">
        <v>65</v>
      </c>
      <c r="N295">
        <v>227</v>
      </c>
      <c r="O295" t="s">
        <v>1093</v>
      </c>
    </row>
    <row r="296" spans="1:15" ht="15.75" customHeight="1">
      <c r="A296" t="s">
        <v>29</v>
      </c>
      <c r="B296">
        <v>293382</v>
      </c>
      <c r="C296">
        <v>294413</v>
      </c>
      <c r="D296">
        <v>1</v>
      </c>
      <c r="E296" t="s">
        <v>47</v>
      </c>
      <c r="F296" t="s">
        <v>1094</v>
      </c>
      <c r="I296" t="s">
        <v>49</v>
      </c>
      <c r="L296" t="s">
        <v>1095</v>
      </c>
      <c r="M296" t="s">
        <v>1094</v>
      </c>
      <c r="N296">
        <v>343</v>
      </c>
      <c r="O296" t="s">
        <v>1096</v>
      </c>
    </row>
    <row r="297" spans="1:15" ht="15.75" customHeight="1">
      <c r="A297" t="s">
        <v>29</v>
      </c>
      <c r="B297">
        <v>294550</v>
      </c>
      <c r="C297">
        <v>295227</v>
      </c>
      <c r="D297">
        <v>1</v>
      </c>
      <c r="E297" t="s">
        <v>76</v>
      </c>
      <c r="F297" t="s">
        <v>290</v>
      </c>
      <c r="I297" t="s">
        <v>49</v>
      </c>
      <c r="L297" t="s">
        <v>1097</v>
      </c>
      <c r="M297" t="s">
        <v>290</v>
      </c>
      <c r="N297">
        <v>225</v>
      </c>
      <c r="O297" t="s">
        <v>1098</v>
      </c>
    </row>
    <row r="298" spans="1:15" ht="15.75" customHeight="1">
      <c r="A298" t="s">
        <v>29</v>
      </c>
      <c r="B298">
        <v>295224</v>
      </c>
      <c r="C298">
        <v>295787</v>
      </c>
      <c r="D298">
        <v>1</v>
      </c>
      <c r="E298" t="s">
        <v>76</v>
      </c>
      <c r="F298" t="s">
        <v>1099</v>
      </c>
      <c r="G298" t="s">
        <v>1100</v>
      </c>
      <c r="I298" t="s">
        <v>49</v>
      </c>
      <c r="L298" t="s">
        <v>1101</v>
      </c>
      <c r="M298" t="s">
        <v>1099</v>
      </c>
      <c r="N298">
        <v>187</v>
      </c>
      <c r="O298" t="s">
        <v>1102</v>
      </c>
    </row>
    <row r="299" spans="1:15" ht="15.75" customHeight="1">
      <c r="A299" t="s">
        <v>29</v>
      </c>
      <c r="B299">
        <v>295797</v>
      </c>
      <c r="C299">
        <v>296390</v>
      </c>
      <c r="D299">
        <v>1</v>
      </c>
      <c r="E299" t="s">
        <v>76</v>
      </c>
      <c r="F299" t="s">
        <v>1103</v>
      </c>
      <c r="G299" t="s">
        <v>1104</v>
      </c>
      <c r="I299" t="s">
        <v>49</v>
      </c>
      <c r="L299" t="s">
        <v>1105</v>
      </c>
      <c r="M299" t="s">
        <v>1103</v>
      </c>
      <c r="N299">
        <v>197</v>
      </c>
      <c r="O299" t="s">
        <v>1106</v>
      </c>
    </row>
    <row r="300" spans="1:15" ht="15.75" customHeight="1">
      <c r="A300" t="s">
        <v>29</v>
      </c>
      <c r="B300">
        <v>296795</v>
      </c>
      <c r="C300">
        <v>297895</v>
      </c>
      <c r="D300">
        <v>1</v>
      </c>
      <c r="E300" t="s">
        <v>47</v>
      </c>
      <c r="F300" t="s">
        <v>1107</v>
      </c>
      <c r="G300" t="s">
        <v>1108</v>
      </c>
      <c r="I300" t="s">
        <v>49</v>
      </c>
      <c r="L300" t="s">
        <v>1109</v>
      </c>
      <c r="M300" t="s">
        <v>1107</v>
      </c>
      <c r="N300">
        <v>366</v>
      </c>
      <c r="O300" t="s">
        <v>1110</v>
      </c>
    </row>
    <row r="301" spans="1:15" ht="15.75" customHeight="1">
      <c r="A301" t="s">
        <v>29</v>
      </c>
      <c r="B301">
        <v>297880</v>
      </c>
      <c r="C301">
        <v>298515</v>
      </c>
      <c r="D301">
        <v>1</v>
      </c>
      <c r="E301" t="s">
        <v>47</v>
      </c>
      <c r="F301" t="s">
        <v>1111</v>
      </c>
      <c r="G301" t="s">
        <v>1112</v>
      </c>
      <c r="I301" t="s">
        <v>49</v>
      </c>
      <c r="L301" t="s">
        <v>1113</v>
      </c>
      <c r="M301" t="s">
        <v>1111</v>
      </c>
      <c r="N301">
        <v>211</v>
      </c>
      <c r="O301" t="s">
        <v>1114</v>
      </c>
    </row>
    <row r="302" spans="1:15" ht="15.75" customHeight="1">
      <c r="A302" t="s">
        <v>29</v>
      </c>
      <c r="B302">
        <v>298535</v>
      </c>
      <c r="C302">
        <v>299740</v>
      </c>
      <c r="D302">
        <v>1</v>
      </c>
      <c r="E302" t="s">
        <v>47</v>
      </c>
      <c r="F302" t="s">
        <v>1115</v>
      </c>
      <c r="G302" t="s">
        <v>1116</v>
      </c>
      <c r="I302" t="s">
        <v>49</v>
      </c>
      <c r="L302" t="s">
        <v>1117</v>
      </c>
      <c r="M302" t="s">
        <v>1115</v>
      </c>
      <c r="N302">
        <v>401</v>
      </c>
      <c r="O302" t="s">
        <v>1118</v>
      </c>
    </row>
    <row r="303" spans="1:15" ht="15.75" customHeight="1">
      <c r="A303" t="s">
        <v>29</v>
      </c>
      <c r="B303">
        <v>299741</v>
      </c>
      <c r="C303">
        <v>300208</v>
      </c>
      <c r="D303">
        <v>1</v>
      </c>
      <c r="E303" t="s">
        <v>47</v>
      </c>
      <c r="F303" t="s">
        <v>1119</v>
      </c>
      <c r="G303" t="s">
        <v>1120</v>
      </c>
      <c r="I303" t="s">
        <v>49</v>
      </c>
      <c r="L303" t="s">
        <v>1121</v>
      </c>
      <c r="M303" t="s">
        <v>1119</v>
      </c>
      <c r="N303">
        <v>155</v>
      </c>
      <c r="O303" t="s">
        <v>1122</v>
      </c>
    </row>
    <row r="304" spans="1:15" ht="15.75" customHeight="1">
      <c r="A304" t="s">
        <v>29</v>
      </c>
      <c r="B304">
        <v>300533</v>
      </c>
      <c r="C304">
        <v>302482</v>
      </c>
      <c r="D304">
        <v>1</v>
      </c>
      <c r="E304" t="s">
        <v>76</v>
      </c>
      <c r="F304" t="s">
        <v>1123</v>
      </c>
      <c r="G304" t="s">
        <v>1124</v>
      </c>
      <c r="I304" t="s">
        <v>49</v>
      </c>
      <c r="L304" t="s">
        <v>1125</v>
      </c>
      <c r="M304" t="s">
        <v>1123</v>
      </c>
      <c r="N304">
        <v>649</v>
      </c>
      <c r="O304" t="s">
        <v>1126</v>
      </c>
    </row>
    <row r="305" spans="1:15" ht="15.75" customHeight="1">
      <c r="A305" t="s">
        <v>29</v>
      </c>
      <c r="B305">
        <v>302688</v>
      </c>
      <c r="C305">
        <v>303128</v>
      </c>
      <c r="D305">
        <v>1</v>
      </c>
      <c r="E305" t="s">
        <v>47</v>
      </c>
      <c r="F305" t="s">
        <v>405</v>
      </c>
      <c r="I305" t="s">
        <v>49</v>
      </c>
      <c r="L305" t="s">
        <v>1127</v>
      </c>
      <c r="M305" t="s">
        <v>405</v>
      </c>
      <c r="N305">
        <v>146</v>
      </c>
      <c r="O305" t="s">
        <v>1128</v>
      </c>
    </row>
    <row r="306" spans="1:15" ht="15.75" customHeight="1">
      <c r="A306" t="s">
        <v>29</v>
      </c>
      <c r="B306">
        <v>303125</v>
      </c>
      <c r="C306">
        <v>303583</v>
      </c>
      <c r="D306">
        <v>1</v>
      </c>
      <c r="E306" t="s">
        <v>47</v>
      </c>
      <c r="F306" t="s">
        <v>769</v>
      </c>
      <c r="I306" t="s">
        <v>49</v>
      </c>
      <c r="L306" t="s">
        <v>1129</v>
      </c>
      <c r="M306" t="s">
        <v>769</v>
      </c>
      <c r="N306">
        <v>152</v>
      </c>
      <c r="O306" t="s">
        <v>1130</v>
      </c>
    </row>
    <row r="307" spans="1:15" ht="15.75" customHeight="1">
      <c r="A307" t="s">
        <v>29</v>
      </c>
      <c r="B307">
        <v>303893</v>
      </c>
      <c r="C307">
        <v>305155</v>
      </c>
      <c r="D307">
        <v>1</v>
      </c>
      <c r="E307" t="s">
        <v>47</v>
      </c>
      <c r="F307" t="s">
        <v>1131</v>
      </c>
      <c r="I307" t="s">
        <v>49</v>
      </c>
      <c r="L307" t="s">
        <v>1132</v>
      </c>
      <c r="M307" t="s">
        <v>1131</v>
      </c>
      <c r="N307">
        <v>420</v>
      </c>
      <c r="O307" t="s">
        <v>1133</v>
      </c>
    </row>
    <row r="308" spans="1:15" ht="15.75" customHeight="1">
      <c r="A308" t="s">
        <v>29</v>
      </c>
      <c r="B308">
        <v>305448</v>
      </c>
      <c r="C308">
        <v>305918</v>
      </c>
      <c r="D308">
        <v>1</v>
      </c>
      <c r="E308" t="s">
        <v>76</v>
      </c>
      <c r="F308" t="s">
        <v>1134</v>
      </c>
      <c r="G308" t="s">
        <v>1135</v>
      </c>
      <c r="I308" t="s">
        <v>49</v>
      </c>
      <c r="L308" t="s">
        <v>1136</v>
      </c>
      <c r="M308" t="s">
        <v>1134</v>
      </c>
      <c r="N308">
        <v>156</v>
      </c>
      <c r="O308" t="s">
        <v>1137</v>
      </c>
    </row>
    <row r="309" spans="1:15" ht="15.75" customHeight="1">
      <c r="A309" t="s">
        <v>29</v>
      </c>
      <c r="B309">
        <v>305996</v>
      </c>
      <c r="C309">
        <v>306529</v>
      </c>
      <c r="D309">
        <v>1</v>
      </c>
      <c r="E309" t="s">
        <v>76</v>
      </c>
      <c r="F309" t="s">
        <v>436</v>
      </c>
      <c r="I309" t="s">
        <v>49</v>
      </c>
      <c r="L309" t="s">
        <v>1138</v>
      </c>
      <c r="M309" t="s">
        <v>436</v>
      </c>
      <c r="N309">
        <v>177</v>
      </c>
      <c r="O309" t="s">
        <v>1139</v>
      </c>
    </row>
    <row r="310" spans="1:15" ht="15.75" customHeight="1">
      <c r="A310" t="s">
        <v>29</v>
      </c>
      <c r="B310">
        <v>306581</v>
      </c>
      <c r="C310">
        <v>307867</v>
      </c>
      <c r="D310">
        <v>1</v>
      </c>
      <c r="E310" t="s">
        <v>76</v>
      </c>
      <c r="F310" t="s">
        <v>405</v>
      </c>
      <c r="I310" t="s">
        <v>49</v>
      </c>
      <c r="L310" t="s">
        <v>1140</v>
      </c>
      <c r="M310" t="s">
        <v>405</v>
      </c>
      <c r="N310">
        <v>428</v>
      </c>
      <c r="O310" t="s">
        <v>1141</v>
      </c>
    </row>
    <row r="311" spans="1:15" ht="15.75" customHeight="1">
      <c r="A311" t="s">
        <v>29</v>
      </c>
      <c r="B311">
        <v>307879</v>
      </c>
      <c r="C311">
        <v>309561</v>
      </c>
      <c r="D311">
        <v>1</v>
      </c>
      <c r="E311" t="s">
        <v>76</v>
      </c>
      <c r="F311" t="s">
        <v>1142</v>
      </c>
      <c r="G311" t="s">
        <v>1143</v>
      </c>
      <c r="I311" t="s">
        <v>49</v>
      </c>
      <c r="L311" t="s">
        <v>1144</v>
      </c>
      <c r="M311" t="s">
        <v>1142</v>
      </c>
      <c r="N311">
        <v>560</v>
      </c>
      <c r="O311" t="s">
        <v>1145</v>
      </c>
    </row>
    <row r="312" spans="1:15" ht="15.75" customHeight="1">
      <c r="A312" t="s">
        <v>29</v>
      </c>
      <c r="B312">
        <v>309527</v>
      </c>
      <c r="C312">
        <v>310141</v>
      </c>
      <c r="D312">
        <v>1</v>
      </c>
      <c r="E312" t="s">
        <v>76</v>
      </c>
      <c r="F312" t="s">
        <v>1146</v>
      </c>
      <c r="I312" t="s">
        <v>49</v>
      </c>
      <c r="L312" t="s">
        <v>1147</v>
      </c>
      <c r="M312" t="s">
        <v>1146</v>
      </c>
      <c r="N312">
        <v>204</v>
      </c>
      <c r="O312" t="s">
        <v>1148</v>
      </c>
    </row>
    <row r="313" spans="1:15" ht="15.75" customHeight="1">
      <c r="A313" t="s">
        <v>29</v>
      </c>
      <c r="B313">
        <v>310276</v>
      </c>
      <c r="C313">
        <v>310845</v>
      </c>
      <c r="D313">
        <v>1</v>
      </c>
      <c r="E313" t="s">
        <v>47</v>
      </c>
      <c r="F313" t="s">
        <v>1149</v>
      </c>
      <c r="I313" t="s">
        <v>49</v>
      </c>
      <c r="L313" t="s">
        <v>1150</v>
      </c>
      <c r="M313" t="s">
        <v>1149</v>
      </c>
      <c r="N313">
        <v>189</v>
      </c>
      <c r="O313" t="s">
        <v>1151</v>
      </c>
    </row>
    <row r="314" spans="1:15" ht="15.75" customHeight="1">
      <c r="A314" t="s">
        <v>29</v>
      </c>
      <c r="B314">
        <v>310875</v>
      </c>
      <c r="C314">
        <v>311567</v>
      </c>
      <c r="D314">
        <v>1</v>
      </c>
      <c r="E314" t="s">
        <v>76</v>
      </c>
      <c r="F314" t="s">
        <v>140</v>
      </c>
      <c r="G314" t="s">
        <v>1152</v>
      </c>
      <c r="I314" t="s">
        <v>49</v>
      </c>
      <c r="L314" t="s">
        <v>1153</v>
      </c>
      <c r="M314" t="s">
        <v>140</v>
      </c>
      <c r="N314">
        <v>230</v>
      </c>
      <c r="O314" t="s">
        <v>1154</v>
      </c>
    </row>
    <row r="315" spans="1:15" ht="15.75" customHeight="1">
      <c r="A315" t="s">
        <v>29</v>
      </c>
      <c r="B315">
        <v>311569</v>
      </c>
      <c r="C315">
        <v>312630</v>
      </c>
      <c r="D315">
        <v>1</v>
      </c>
      <c r="E315" t="s">
        <v>76</v>
      </c>
      <c r="F315" t="s">
        <v>218</v>
      </c>
      <c r="G315" t="s">
        <v>1155</v>
      </c>
      <c r="I315" t="s">
        <v>49</v>
      </c>
      <c r="L315" t="s">
        <v>1156</v>
      </c>
      <c r="M315" t="s">
        <v>218</v>
      </c>
      <c r="N315">
        <v>353</v>
      </c>
      <c r="O315" t="s">
        <v>1157</v>
      </c>
    </row>
    <row r="316" spans="1:15" ht="15.75" customHeight="1">
      <c r="A316" t="s">
        <v>29</v>
      </c>
      <c r="B316">
        <v>312623</v>
      </c>
      <c r="C316">
        <v>313996</v>
      </c>
      <c r="D316">
        <v>1</v>
      </c>
      <c r="E316" t="s">
        <v>76</v>
      </c>
      <c r="F316" t="s">
        <v>1158</v>
      </c>
      <c r="G316" t="s">
        <v>1159</v>
      </c>
      <c r="I316" t="s">
        <v>49</v>
      </c>
      <c r="L316" t="s">
        <v>1160</v>
      </c>
      <c r="M316" t="s">
        <v>1158</v>
      </c>
      <c r="N316">
        <v>457</v>
      </c>
      <c r="O316" t="s">
        <v>1161</v>
      </c>
    </row>
    <row r="317" spans="1:15" ht="15.75" customHeight="1">
      <c r="A317" t="s">
        <v>29</v>
      </c>
      <c r="B317">
        <v>314096</v>
      </c>
      <c r="C317">
        <v>314950</v>
      </c>
      <c r="D317">
        <v>1</v>
      </c>
      <c r="E317" t="s">
        <v>76</v>
      </c>
      <c r="F317" t="s">
        <v>1162</v>
      </c>
      <c r="G317" t="s">
        <v>1163</v>
      </c>
      <c r="I317" t="s">
        <v>49</v>
      </c>
      <c r="L317" t="s">
        <v>1164</v>
      </c>
      <c r="M317" t="s">
        <v>1162</v>
      </c>
      <c r="N317">
        <v>284</v>
      </c>
      <c r="O317" t="s">
        <v>1165</v>
      </c>
    </row>
    <row r="318" spans="1:15" ht="15.75" customHeight="1">
      <c r="A318" t="s">
        <v>29</v>
      </c>
      <c r="B318">
        <v>315104</v>
      </c>
      <c r="C318">
        <v>315934</v>
      </c>
      <c r="D318">
        <v>1</v>
      </c>
      <c r="E318" t="s">
        <v>76</v>
      </c>
      <c r="F318" t="s">
        <v>1162</v>
      </c>
      <c r="G318" t="s">
        <v>1166</v>
      </c>
      <c r="I318" t="s">
        <v>49</v>
      </c>
      <c r="L318" t="s">
        <v>1167</v>
      </c>
      <c r="M318" t="s">
        <v>1162</v>
      </c>
      <c r="N318">
        <v>276</v>
      </c>
      <c r="O318" t="s">
        <v>1168</v>
      </c>
    </row>
    <row r="319" spans="1:15" ht="15.75" customHeight="1">
      <c r="A319" t="s">
        <v>29</v>
      </c>
      <c r="B319">
        <v>316038</v>
      </c>
      <c r="C319">
        <v>316652</v>
      </c>
      <c r="D319">
        <v>1</v>
      </c>
      <c r="E319" t="s">
        <v>76</v>
      </c>
      <c r="F319" t="s">
        <v>1169</v>
      </c>
      <c r="G319" t="s">
        <v>1170</v>
      </c>
      <c r="I319" t="s">
        <v>49</v>
      </c>
      <c r="L319" t="s">
        <v>1171</v>
      </c>
      <c r="M319" t="s">
        <v>1169</v>
      </c>
      <c r="N319">
        <v>204</v>
      </c>
      <c r="O319" t="s">
        <v>1172</v>
      </c>
    </row>
    <row r="320" spans="1:15" ht="15.75" customHeight="1">
      <c r="A320" t="s">
        <v>29</v>
      </c>
      <c r="B320">
        <v>317106</v>
      </c>
      <c r="C320">
        <v>318332</v>
      </c>
      <c r="D320">
        <v>1</v>
      </c>
      <c r="E320" t="s">
        <v>76</v>
      </c>
      <c r="F320" t="s">
        <v>1173</v>
      </c>
      <c r="I320" t="s">
        <v>49</v>
      </c>
      <c r="L320" t="s">
        <v>1174</v>
      </c>
      <c r="M320" t="s">
        <v>1173</v>
      </c>
      <c r="N320">
        <v>408</v>
      </c>
      <c r="O320" t="s">
        <v>1175</v>
      </c>
    </row>
    <row r="321" spans="1:15" ht="15.75" customHeight="1">
      <c r="A321" t="s">
        <v>29</v>
      </c>
      <c r="B321">
        <v>318404</v>
      </c>
      <c r="C321">
        <v>319069</v>
      </c>
      <c r="D321">
        <v>1</v>
      </c>
      <c r="E321" t="s">
        <v>76</v>
      </c>
      <c r="F321" t="s">
        <v>1176</v>
      </c>
      <c r="I321" t="s">
        <v>49</v>
      </c>
      <c r="L321" t="s">
        <v>1177</v>
      </c>
      <c r="M321" t="s">
        <v>1176</v>
      </c>
      <c r="N321">
        <v>221</v>
      </c>
      <c r="O321" t="s">
        <v>1178</v>
      </c>
    </row>
    <row r="322" spans="1:15" ht="15.75" customHeight="1">
      <c r="A322" t="s">
        <v>29</v>
      </c>
      <c r="B322">
        <v>319081</v>
      </c>
      <c r="C322">
        <v>319758</v>
      </c>
      <c r="D322">
        <v>1</v>
      </c>
      <c r="E322" t="s">
        <v>76</v>
      </c>
      <c r="F322" t="s">
        <v>1176</v>
      </c>
      <c r="I322" t="s">
        <v>49</v>
      </c>
      <c r="L322" t="s">
        <v>1179</v>
      </c>
      <c r="M322" t="s">
        <v>1176</v>
      </c>
      <c r="N322">
        <v>225</v>
      </c>
      <c r="O322" t="s">
        <v>1180</v>
      </c>
    </row>
    <row r="323" spans="1:15" ht="15.75" customHeight="1">
      <c r="A323" t="s">
        <v>29</v>
      </c>
      <c r="B323">
        <v>319780</v>
      </c>
      <c r="C323">
        <v>320013</v>
      </c>
      <c r="D323">
        <v>1</v>
      </c>
      <c r="E323" t="s">
        <v>76</v>
      </c>
      <c r="F323" t="s">
        <v>176</v>
      </c>
      <c r="I323" t="s">
        <v>49</v>
      </c>
      <c r="L323" t="s">
        <v>1181</v>
      </c>
      <c r="M323" t="s">
        <v>176</v>
      </c>
      <c r="N323">
        <v>77</v>
      </c>
      <c r="O323" t="s">
        <v>1182</v>
      </c>
    </row>
    <row r="324" spans="1:15" ht="15.75" customHeight="1">
      <c r="A324" t="s">
        <v>29</v>
      </c>
      <c r="B324">
        <v>320299</v>
      </c>
      <c r="C324">
        <v>321162</v>
      </c>
      <c r="D324">
        <v>1</v>
      </c>
      <c r="E324" t="s">
        <v>76</v>
      </c>
      <c r="F324" t="s">
        <v>607</v>
      </c>
      <c r="G324" t="s">
        <v>1183</v>
      </c>
      <c r="I324" t="s">
        <v>49</v>
      </c>
      <c r="L324" t="s">
        <v>1184</v>
      </c>
      <c r="M324" t="s">
        <v>607</v>
      </c>
      <c r="N324">
        <v>287</v>
      </c>
      <c r="O324" t="s">
        <v>1185</v>
      </c>
    </row>
    <row r="325" spans="1:15" ht="15.75" customHeight="1">
      <c r="A325" t="s">
        <v>29</v>
      </c>
      <c r="B325">
        <v>321557</v>
      </c>
      <c r="C325">
        <v>322729</v>
      </c>
      <c r="D325">
        <v>1</v>
      </c>
      <c r="E325" t="s">
        <v>76</v>
      </c>
      <c r="F325" t="s">
        <v>516</v>
      </c>
      <c r="G325" t="s">
        <v>1186</v>
      </c>
      <c r="I325" t="s">
        <v>49</v>
      </c>
      <c r="L325" t="s">
        <v>1187</v>
      </c>
      <c r="M325" t="s">
        <v>516</v>
      </c>
      <c r="N325">
        <v>390</v>
      </c>
      <c r="O325" t="s">
        <v>1188</v>
      </c>
    </row>
    <row r="326" spans="1:15" ht="15.75" customHeight="1">
      <c r="A326" t="s">
        <v>29</v>
      </c>
      <c r="B326">
        <v>322742</v>
      </c>
      <c r="C326">
        <v>323491</v>
      </c>
      <c r="D326">
        <v>1</v>
      </c>
      <c r="E326" t="s">
        <v>76</v>
      </c>
      <c r="F326" t="s">
        <v>1189</v>
      </c>
      <c r="I326" t="s">
        <v>49</v>
      </c>
      <c r="L326" t="s">
        <v>1190</v>
      </c>
      <c r="M326" t="s">
        <v>1189</v>
      </c>
      <c r="N326">
        <v>249</v>
      </c>
      <c r="O326" t="s">
        <v>1191</v>
      </c>
    </row>
    <row r="327" spans="1:15" ht="15.75" customHeight="1">
      <c r="A327" t="s">
        <v>29</v>
      </c>
      <c r="B327">
        <v>323503</v>
      </c>
      <c r="C327">
        <v>324102</v>
      </c>
      <c r="D327">
        <v>1</v>
      </c>
      <c r="E327" t="s">
        <v>76</v>
      </c>
      <c r="F327" t="s">
        <v>176</v>
      </c>
      <c r="I327" t="s">
        <v>49</v>
      </c>
      <c r="L327" t="s">
        <v>1192</v>
      </c>
      <c r="M327" t="s">
        <v>176</v>
      </c>
      <c r="N327">
        <v>199</v>
      </c>
      <c r="O327" t="s">
        <v>1193</v>
      </c>
    </row>
    <row r="328" spans="1:15" ht="15.75" customHeight="1">
      <c r="A328" t="s">
        <v>29</v>
      </c>
      <c r="B328">
        <v>324194</v>
      </c>
      <c r="C328">
        <v>324697</v>
      </c>
      <c r="D328">
        <v>1</v>
      </c>
      <c r="E328" t="s">
        <v>76</v>
      </c>
      <c r="F328" t="s">
        <v>1194</v>
      </c>
      <c r="I328" t="s">
        <v>49</v>
      </c>
      <c r="L328" t="s">
        <v>1195</v>
      </c>
      <c r="M328" t="s">
        <v>1194</v>
      </c>
      <c r="N328">
        <v>167</v>
      </c>
      <c r="O328" t="s">
        <v>1196</v>
      </c>
    </row>
    <row r="329" spans="1:15" ht="15.75" customHeight="1">
      <c r="A329" t="s">
        <v>29</v>
      </c>
      <c r="B329">
        <v>324717</v>
      </c>
      <c r="C329">
        <v>325043</v>
      </c>
      <c r="D329">
        <v>1</v>
      </c>
      <c r="E329" t="s">
        <v>76</v>
      </c>
      <c r="F329" t="s">
        <v>176</v>
      </c>
      <c r="I329" t="s">
        <v>49</v>
      </c>
      <c r="L329" t="s">
        <v>1197</v>
      </c>
      <c r="M329" t="s">
        <v>176</v>
      </c>
      <c r="N329">
        <v>108</v>
      </c>
      <c r="O329" t="s">
        <v>1198</v>
      </c>
    </row>
    <row r="330" spans="1:15" ht="15.75" customHeight="1">
      <c r="A330" t="s">
        <v>29</v>
      </c>
      <c r="B330">
        <v>325072</v>
      </c>
      <c r="C330">
        <v>325209</v>
      </c>
      <c r="D330">
        <v>1</v>
      </c>
      <c r="E330" t="s">
        <v>76</v>
      </c>
      <c r="F330" t="s">
        <v>176</v>
      </c>
      <c r="I330" t="s">
        <v>49</v>
      </c>
      <c r="L330" t="s">
        <v>1199</v>
      </c>
      <c r="M330" t="s">
        <v>176</v>
      </c>
      <c r="N330">
        <v>45</v>
      </c>
      <c r="O330" t="s">
        <v>1200</v>
      </c>
    </row>
    <row r="331" spans="1:15" ht="15.75" customHeight="1">
      <c r="A331" t="s">
        <v>29</v>
      </c>
      <c r="B331">
        <v>325682</v>
      </c>
      <c r="C331">
        <v>325915</v>
      </c>
      <c r="D331">
        <v>1</v>
      </c>
      <c r="E331" t="s">
        <v>76</v>
      </c>
      <c r="F331" t="s">
        <v>176</v>
      </c>
      <c r="I331" t="s">
        <v>49</v>
      </c>
      <c r="L331" t="s">
        <v>1201</v>
      </c>
      <c r="M331" t="s">
        <v>176</v>
      </c>
      <c r="N331">
        <v>77</v>
      </c>
      <c r="O331" t="s">
        <v>1202</v>
      </c>
    </row>
    <row r="332" spans="1:15" ht="15.75" customHeight="1">
      <c r="A332" t="s">
        <v>29</v>
      </c>
      <c r="B332">
        <v>325935</v>
      </c>
      <c r="C332">
        <v>327551</v>
      </c>
      <c r="D332">
        <v>1</v>
      </c>
      <c r="E332" t="s">
        <v>76</v>
      </c>
      <c r="F332" t="s">
        <v>218</v>
      </c>
      <c r="G332" t="s">
        <v>1203</v>
      </c>
      <c r="I332" t="s">
        <v>49</v>
      </c>
      <c r="L332" t="s">
        <v>1204</v>
      </c>
      <c r="M332" t="s">
        <v>218</v>
      </c>
      <c r="N332">
        <v>538</v>
      </c>
      <c r="O332" t="s">
        <v>1205</v>
      </c>
    </row>
    <row r="333" spans="1:15" ht="15.75" customHeight="1">
      <c r="A333" t="s">
        <v>29</v>
      </c>
      <c r="B333">
        <v>327654</v>
      </c>
      <c r="C333">
        <v>328514</v>
      </c>
      <c r="D333">
        <v>1</v>
      </c>
      <c r="E333" t="s">
        <v>76</v>
      </c>
      <c r="F333" t="s">
        <v>1206</v>
      </c>
      <c r="G333" t="s">
        <v>1207</v>
      </c>
      <c r="I333" t="s">
        <v>49</v>
      </c>
      <c r="L333" t="s">
        <v>1208</v>
      </c>
      <c r="M333" t="s">
        <v>1206</v>
      </c>
      <c r="N333">
        <v>286</v>
      </c>
      <c r="O333" t="s">
        <v>1209</v>
      </c>
    </row>
    <row r="334" spans="1:15" ht="15.75" customHeight="1">
      <c r="A334" t="s">
        <v>29</v>
      </c>
      <c r="B334">
        <v>328507</v>
      </c>
      <c r="C334">
        <v>328791</v>
      </c>
      <c r="D334">
        <v>1</v>
      </c>
      <c r="E334" t="s">
        <v>76</v>
      </c>
      <c r="F334" t="s">
        <v>1206</v>
      </c>
      <c r="I334" t="s">
        <v>49</v>
      </c>
      <c r="L334" t="s">
        <v>1210</v>
      </c>
      <c r="M334" t="s">
        <v>1206</v>
      </c>
      <c r="N334">
        <v>94</v>
      </c>
      <c r="O334" t="s">
        <v>1211</v>
      </c>
    </row>
    <row r="335" spans="1:15" ht="15.75" customHeight="1">
      <c r="A335" t="s">
        <v>29</v>
      </c>
      <c r="B335">
        <v>329157</v>
      </c>
      <c r="C335">
        <v>329711</v>
      </c>
      <c r="D335">
        <v>1</v>
      </c>
      <c r="E335" t="s">
        <v>76</v>
      </c>
      <c r="F335" t="s">
        <v>1212</v>
      </c>
      <c r="I335" t="s">
        <v>49</v>
      </c>
      <c r="L335" t="s">
        <v>1213</v>
      </c>
      <c r="M335" t="s">
        <v>1212</v>
      </c>
      <c r="N335">
        <v>184</v>
      </c>
      <c r="O335" t="s">
        <v>1214</v>
      </c>
    </row>
    <row r="336" spans="1:15" ht="15.75" customHeight="1">
      <c r="A336" t="s">
        <v>29</v>
      </c>
      <c r="B336">
        <v>330982</v>
      </c>
      <c r="C336">
        <v>331911</v>
      </c>
      <c r="D336">
        <v>1</v>
      </c>
      <c r="E336" t="s">
        <v>47</v>
      </c>
      <c r="F336" t="s">
        <v>1215</v>
      </c>
      <c r="I336" t="s">
        <v>49</v>
      </c>
      <c r="L336" t="s">
        <v>1216</v>
      </c>
      <c r="M336" t="s">
        <v>1215</v>
      </c>
      <c r="N336">
        <v>309</v>
      </c>
      <c r="O336" t="s">
        <v>1217</v>
      </c>
    </row>
    <row r="337" spans="1:15" ht="15.75" customHeight="1">
      <c r="A337" t="s">
        <v>29</v>
      </c>
      <c r="B337">
        <v>331902</v>
      </c>
      <c r="C337">
        <v>332288</v>
      </c>
      <c r="D337">
        <v>1</v>
      </c>
      <c r="E337" t="s">
        <v>47</v>
      </c>
      <c r="F337" t="s">
        <v>483</v>
      </c>
      <c r="I337" t="s">
        <v>49</v>
      </c>
      <c r="L337" t="s">
        <v>1218</v>
      </c>
      <c r="M337" t="s">
        <v>483</v>
      </c>
      <c r="N337">
        <v>128</v>
      </c>
      <c r="O337" t="s">
        <v>1219</v>
      </c>
    </row>
    <row r="338" spans="1:15" ht="15.75" customHeight="1">
      <c r="A338" t="s">
        <v>29</v>
      </c>
      <c r="B338">
        <v>332328</v>
      </c>
      <c r="C338">
        <v>333338</v>
      </c>
      <c r="D338">
        <v>1</v>
      </c>
      <c r="E338" t="s">
        <v>76</v>
      </c>
      <c r="F338" t="s">
        <v>1220</v>
      </c>
      <c r="G338" t="s">
        <v>1221</v>
      </c>
      <c r="I338" t="s">
        <v>49</v>
      </c>
      <c r="L338" t="s">
        <v>1222</v>
      </c>
      <c r="M338" t="s">
        <v>1220</v>
      </c>
      <c r="N338">
        <v>336</v>
      </c>
      <c r="O338" t="s">
        <v>1223</v>
      </c>
    </row>
    <row r="339" spans="1:15" ht="15.75" customHeight="1">
      <c r="A339" t="s">
        <v>29</v>
      </c>
      <c r="B339">
        <v>333328</v>
      </c>
      <c r="C339">
        <v>333765</v>
      </c>
      <c r="D339">
        <v>1</v>
      </c>
      <c r="E339" t="s">
        <v>76</v>
      </c>
      <c r="F339" t="s">
        <v>842</v>
      </c>
      <c r="I339" t="s">
        <v>49</v>
      </c>
      <c r="L339" t="s">
        <v>1224</v>
      </c>
      <c r="M339" t="s">
        <v>842</v>
      </c>
      <c r="N339">
        <v>145</v>
      </c>
      <c r="O339" t="s">
        <v>1225</v>
      </c>
    </row>
    <row r="340" spans="1:15" ht="15.75" customHeight="1">
      <c r="A340" t="s">
        <v>29</v>
      </c>
      <c r="B340">
        <v>333762</v>
      </c>
      <c r="C340">
        <v>334445</v>
      </c>
      <c r="D340">
        <v>1</v>
      </c>
      <c r="E340" t="s">
        <v>76</v>
      </c>
      <c r="F340" t="s">
        <v>1226</v>
      </c>
      <c r="G340" t="s">
        <v>1227</v>
      </c>
      <c r="I340" t="s">
        <v>49</v>
      </c>
      <c r="L340" t="s">
        <v>1228</v>
      </c>
      <c r="M340" t="s">
        <v>1226</v>
      </c>
      <c r="N340">
        <v>227</v>
      </c>
      <c r="O340" t="s">
        <v>1229</v>
      </c>
    </row>
    <row r="341" spans="1:15" ht="15.75" customHeight="1">
      <c r="A341" t="s">
        <v>29</v>
      </c>
      <c r="B341">
        <v>334623</v>
      </c>
      <c r="C341">
        <v>334808</v>
      </c>
      <c r="D341">
        <v>1</v>
      </c>
      <c r="E341" t="s">
        <v>47</v>
      </c>
      <c r="F341" t="s">
        <v>1230</v>
      </c>
      <c r="G341" t="s">
        <v>1231</v>
      </c>
      <c r="I341" t="s">
        <v>49</v>
      </c>
      <c r="L341" t="s">
        <v>1232</v>
      </c>
      <c r="M341" t="s">
        <v>1230</v>
      </c>
      <c r="N341">
        <v>61</v>
      </c>
      <c r="O341" t="s">
        <v>1233</v>
      </c>
    </row>
    <row r="342" spans="1:15" ht="15.75" customHeight="1">
      <c r="A342" t="s">
        <v>29</v>
      </c>
      <c r="B342">
        <v>334810</v>
      </c>
      <c r="C342">
        <v>334962</v>
      </c>
      <c r="D342">
        <v>1</v>
      </c>
      <c r="E342" t="s">
        <v>47</v>
      </c>
      <c r="F342" t="s">
        <v>1234</v>
      </c>
      <c r="I342" t="s">
        <v>49</v>
      </c>
      <c r="L342" t="s">
        <v>1235</v>
      </c>
      <c r="M342" t="s">
        <v>1234</v>
      </c>
      <c r="N342">
        <v>50</v>
      </c>
      <c r="O342" t="s">
        <v>1236</v>
      </c>
    </row>
    <row r="343" spans="1:15" ht="15.75" customHeight="1">
      <c r="A343" t="s">
        <v>29</v>
      </c>
      <c r="B343">
        <v>335381</v>
      </c>
      <c r="C343">
        <v>335488</v>
      </c>
      <c r="D343">
        <v>1</v>
      </c>
      <c r="E343" t="s">
        <v>76</v>
      </c>
      <c r="F343" t="s">
        <v>176</v>
      </c>
      <c r="I343" t="s">
        <v>49</v>
      </c>
      <c r="L343" t="s">
        <v>1237</v>
      </c>
      <c r="M343" t="s">
        <v>176</v>
      </c>
      <c r="N343">
        <v>35</v>
      </c>
      <c r="O343" t="s">
        <v>1238</v>
      </c>
    </row>
    <row r="344" spans="1:15" ht="15.75" customHeight="1">
      <c r="A344" t="s">
        <v>29</v>
      </c>
      <c r="B344">
        <v>335768</v>
      </c>
      <c r="C344">
        <v>336001</v>
      </c>
      <c r="D344">
        <v>1</v>
      </c>
      <c r="E344" t="s">
        <v>47</v>
      </c>
      <c r="F344" t="s">
        <v>607</v>
      </c>
      <c r="I344" t="s">
        <v>49</v>
      </c>
      <c r="L344" t="s">
        <v>1239</v>
      </c>
      <c r="M344" t="s">
        <v>607</v>
      </c>
      <c r="N344">
        <v>77</v>
      </c>
      <c r="O344" t="s">
        <v>1240</v>
      </c>
    </row>
    <row r="345" spans="1:15" ht="15.75" customHeight="1">
      <c r="A345" t="s">
        <v>29</v>
      </c>
      <c r="B345">
        <v>336003</v>
      </c>
      <c r="C345">
        <v>337682</v>
      </c>
      <c r="D345">
        <v>1</v>
      </c>
      <c r="E345" t="s">
        <v>47</v>
      </c>
      <c r="F345" t="s">
        <v>1241</v>
      </c>
      <c r="I345" t="s">
        <v>49</v>
      </c>
      <c r="L345" t="s">
        <v>1242</v>
      </c>
      <c r="M345" t="s">
        <v>1241</v>
      </c>
      <c r="N345">
        <v>559</v>
      </c>
      <c r="O345" t="s">
        <v>1243</v>
      </c>
    </row>
    <row r="346" spans="1:15" ht="15.75" customHeight="1">
      <c r="A346" t="s">
        <v>29</v>
      </c>
      <c r="B346">
        <v>338061</v>
      </c>
      <c r="C346">
        <v>339974</v>
      </c>
      <c r="D346">
        <v>1</v>
      </c>
      <c r="E346" t="s">
        <v>76</v>
      </c>
      <c r="F346" t="s">
        <v>1244</v>
      </c>
      <c r="G346" t="s">
        <v>1245</v>
      </c>
      <c r="I346" t="s">
        <v>49</v>
      </c>
      <c r="L346" t="s">
        <v>1246</v>
      </c>
      <c r="M346" t="s">
        <v>1244</v>
      </c>
      <c r="N346">
        <v>637</v>
      </c>
      <c r="O346" t="s">
        <v>1247</v>
      </c>
    </row>
    <row r="347" spans="1:15" ht="15.75" customHeight="1">
      <c r="A347" t="s">
        <v>29</v>
      </c>
      <c r="B347">
        <v>339984</v>
      </c>
      <c r="C347">
        <v>340439</v>
      </c>
      <c r="D347">
        <v>1</v>
      </c>
      <c r="E347" t="s">
        <v>76</v>
      </c>
      <c r="F347" t="s">
        <v>1248</v>
      </c>
      <c r="I347" t="s">
        <v>49</v>
      </c>
      <c r="L347" t="s">
        <v>1249</v>
      </c>
      <c r="M347" t="s">
        <v>1248</v>
      </c>
      <c r="N347">
        <v>151</v>
      </c>
      <c r="O347" t="s">
        <v>1250</v>
      </c>
    </row>
    <row r="348" spans="1:15" ht="15.75" customHeight="1">
      <c r="A348" t="s">
        <v>29</v>
      </c>
      <c r="B348">
        <v>340580</v>
      </c>
      <c r="C348">
        <v>341701</v>
      </c>
      <c r="D348">
        <v>1</v>
      </c>
      <c r="E348" t="s">
        <v>76</v>
      </c>
      <c r="F348" t="s">
        <v>1251</v>
      </c>
      <c r="G348" t="s">
        <v>1252</v>
      </c>
      <c r="I348" t="s">
        <v>49</v>
      </c>
      <c r="L348" t="s">
        <v>1253</v>
      </c>
      <c r="M348" t="s">
        <v>1251</v>
      </c>
      <c r="N348">
        <v>373</v>
      </c>
      <c r="O348" t="s">
        <v>1254</v>
      </c>
    </row>
    <row r="349" spans="1:15" ht="15.75" customHeight="1">
      <c r="A349" t="s">
        <v>29</v>
      </c>
      <c r="B349">
        <v>342102</v>
      </c>
      <c r="C349">
        <v>343937</v>
      </c>
      <c r="D349">
        <v>1</v>
      </c>
      <c r="E349" t="s">
        <v>76</v>
      </c>
      <c r="F349" t="s">
        <v>1255</v>
      </c>
      <c r="G349" t="s">
        <v>1256</v>
      </c>
      <c r="I349" t="s">
        <v>49</v>
      </c>
      <c r="L349" t="s">
        <v>1257</v>
      </c>
      <c r="M349" t="s">
        <v>1255</v>
      </c>
      <c r="N349">
        <v>611</v>
      </c>
      <c r="O349" t="s">
        <v>1258</v>
      </c>
    </row>
    <row r="350" spans="1:15" ht="15.75" customHeight="1">
      <c r="A350" t="s">
        <v>29</v>
      </c>
      <c r="B350">
        <v>344223</v>
      </c>
      <c r="C350">
        <v>344468</v>
      </c>
      <c r="D350">
        <v>1</v>
      </c>
      <c r="E350" t="s">
        <v>76</v>
      </c>
      <c r="F350" t="s">
        <v>1259</v>
      </c>
      <c r="I350" t="s">
        <v>49</v>
      </c>
      <c r="L350" t="s">
        <v>1260</v>
      </c>
      <c r="M350" t="s">
        <v>1259</v>
      </c>
      <c r="N350">
        <v>81</v>
      </c>
      <c r="O350" t="s">
        <v>1261</v>
      </c>
    </row>
    <row r="351" spans="1:15" ht="15.75" customHeight="1">
      <c r="A351" t="s">
        <v>29</v>
      </c>
      <c r="B351">
        <v>345183</v>
      </c>
      <c r="C351">
        <v>345380</v>
      </c>
      <c r="D351">
        <v>1</v>
      </c>
      <c r="E351" t="s">
        <v>76</v>
      </c>
      <c r="F351" t="s">
        <v>1262</v>
      </c>
      <c r="I351" t="s">
        <v>49</v>
      </c>
      <c r="L351" t="s">
        <v>1263</v>
      </c>
      <c r="M351" t="s">
        <v>1262</v>
      </c>
      <c r="N351">
        <v>65</v>
      </c>
      <c r="O351" t="s">
        <v>1264</v>
      </c>
    </row>
    <row r="352" spans="1:15" ht="15.75" customHeight="1">
      <c r="A352" t="s">
        <v>29</v>
      </c>
      <c r="B352">
        <v>345858</v>
      </c>
      <c r="C352">
        <v>346586</v>
      </c>
      <c r="D352">
        <v>1</v>
      </c>
      <c r="E352" t="s">
        <v>76</v>
      </c>
      <c r="F352" t="s">
        <v>176</v>
      </c>
      <c r="I352" t="s">
        <v>49</v>
      </c>
      <c r="L352" t="s">
        <v>1265</v>
      </c>
      <c r="M352" t="s">
        <v>176</v>
      </c>
      <c r="N352">
        <v>242</v>
      </c>
      <c r="O352" t="s">
        <v>1266</v>
      </c>
    </row>
    <row r="353" spans="1:15" ht="15.75" customHeight="1">
      <c r="A353" t="s">
        <v>29</v>
      </c>
      <c r="B353">
        <v>346583</v>
      </c>
      <c r="C353">
        <v>346936</v>
      </c>
      <c r="D353">
        <v>1</v>
      </c>
      <c r="E353" t="s">
        <v>76</v>
      </c>
      <c r="F353" t="s">
        <v>1267</v>
      </c>
      <c r="I353" t="s">
        <v>49</v>
      </c>
      <c r="L353" t="s">
        <v>1268</v>
      </c>
      <c r="M353" t="s">
        <v>1267</v>
      </c>
      <c r="N353">
        <v>117</v>
      </c>
      <c r="O353" t="s">
        <v>1269</v>
      </c>
    </row>
    <row r="354" spans="1:15" ht="15.75" customHeight="1">
      <c r="A354" t="s">
        <v>29</v>
      </c>
      <c r="B354">
        <v>346992</v>
      </c>
      <c r="C354">
        <v>347894</v>
      </c>
      <c r="D354">
        <v>1</v>
      </c>
      <c r="E354" t="s">
        <v>76</v>
      </c>
      <c r="F354" t="s">
        <v>176</v>
      </c>
      <c r="I354" t="s">
        <v>49</v>
      </c>
      <c r="L354" t="s">
        <v>1270</v>
      </c>
      <c r="M354" t="s">
        <v>176</v>
      </c>
      <c r="N354">
        <v>300</v>
      </c>
      <c r="O354" t="s">
        <v>1271</v>
      </c>
    </row>
    <row r="355" spans="1:15" ht="15.75" customHeight="1">
      <c r="A355" t="s">
        <v>29</v>
      </c>
      <c r="B355">
        <v>348102</v>
      </c>
      <c r="C355">
        <v>348476</v>
      </c>
      <c r="D355">
        <v>1</v>
      </c>
      <c r="E355" t="s">
        <v>76</v>
      </c>
      <c r="F355" t="s">
        <v>1267</v>
      </c>
      <c r="I355" t="s">
        <v>49</v>
      </c>
      <c r="L355" t="s">
        <v>1272</v>
      </c>
      <c r="M355" t="s">
        <v>1267</v>
      </c>
      <c r="N355">
        <v>124</v>
      </c>
      <c r="O355" t="s">
        <v>1273</v>
      </c>
    </row>
    <row r="356" spans="1:15" ht="15.75" customHeight="1">
      <c r="A356" t="s">
        <v>29</v>
      </c>
      <c r="B356">
        <v>349014</v>
      </c>
      <c r="C356">
        <v>349829</v>
      </c>
      <c r="D356">
        <v>1</v>
      </c>
      <c r="E356" t="s">
        <v>76</v>
      </c>
      <c r="F356" t="s">
        <v>1274</v>
      </c>
      <c r="I356" t="s">
        <v>49</v>
      </c>
      <c r="L356" t="s">
        <v>1275</v>
      </c>
      <c r="M356" t="s">
        <v>1274</v>
      </c>
      <c r="N356">
        <v>271</v>
      </c>
      <c r="O356" t="s">
        <v>1276</v>
      </c>
    </row>
    <row r="357" spans="1:15" ht="15.75" customHeight="1">
      <c r="A357" t="s">
        <v>29</v>
      </c>
      <c r="B357">
        <v>350144</v>
      </c>
      <c r="C357">
        <v>351202</v>
      </c>
      <c r="D357">
        <v>1</v>
      </c>
      <c r="E357" t="s">
        <v>76</v>
      </c>
      <c r="F357" t="s">
        <v>176</v>
      </c>
      <c r="I357" t="s">
        <v>49</v>
      </c>
      <c r="L357" t="s">
        <v>1277</v>
      </c>
      <c r="M357" t="s">
        <v>176</v>
      </c>
      <c r="N357">
        <v>352</v>
      </c>
      <c r="O357" t="s">
        <v>1278</v>
      </c>
    </row>
    <row r="358" spans="1:15" ht="15.75" customHeight="1">
      <c r="A358" t="s">
        <v>29</v>
      </c>
      <c r="B358">
        <v>351576</v>
      </c>
      <c r="C358">
        <v>351956</v>
      </c>
      <c r="D358">
        <v>1</v>
      </c>
      <c r="E358" t="s">
        <v>76</v>
      </c>
      <c r="F358" t="s">
        <v>1267</v>
      </c>
      <c r="I358" t="s">
        <v>49</v>
      </c>
      <c r="L358" t="s">
        <v>1279</v>
      </c>
      <c r="M358" t="s">
        <v>1267</v>
      </c>
      <c r="N358">
        <v>126</v>
      </c>
      <c r="O358" t="s">
        <v>1280</v>
      </c>
    </row>
    <row r="359" spans="1:15" ht="15.75" customHeight="1">
      <c r="A359" t="s">
        <v>29</v>
      </c>
      <c r="B359">
        <v>352124</v>
      </c>
      <c r="C359">
        <v>352288</v>
      </c>
      <c r="D359">
        <v>1</v>
      </c>
      <c r="E359" t="s">
        <v>76</v>
      </c>
      <c r="F359" t="s">
        <v>1267</v>
      </c>
      <c r="I359" t="s">
        <v>49</v>
      </c>
      <c r="L359" t="s">
        <v>1281</v>
      </c>
      <c r="M359" t="s">
        <v>1267</v>
      </c>
      <c r="N359">
        <v>54</v>
      </c>
      <c r="O359" t="s">
        <v>1282</v>
      </c>
    </row>
    <row r="360" spans="1:15" ht="15.75" customHeight="1">
      <c r="A360" t="s">
        <v>29</v>
      </c>
      <c r="B360">
        <v>353330</v>
      </c>
      <c r="C360">
        <v>353749</v>
      </c>
      <c r="D360">
        <v>1</v>
      </c>
      <c r="E360" t="s">
        <v>76</v>
      </c>
      <c r="F360" t="s">
        <v>1283</v>
      </c>
      <c r="G360" t="s">
        <v>1284</v>
      </c>
      <c r="I360" t="s">
        <v>49</v>
      </c>
      <c r="L360" t="s">
        <v>1285</v>
      </c>
      <c r="M360" t="s">
        <v>1283</v>
      </c>
      <c r="N360">
        <v>139</v>
      </c>
      <c r="O360" t="s">
        <v>1286</v>
      </c>
    </row>
    <row r="361" spans="1:15" ht="15.75" customHeight="1">
      <c r="A361" t="s">
        <v>29</v>
      </c>
      <c r="B361">
        <v>353766</v>
      </c>
      <c r="C361">
        <v>354572</v>
      </c>
      <c r="D361">
        <v>1</v>
      </c>
      <c r="E361" t="s">
        <v>76</v>
      </c>
      <c r="F361" t="s">
        <v>1287</v>
      </c>
      <c r="G361" t="s">
        <v>1288</v>
      </c>
      <c r="I361" t="s">
        <v>49</v>
      </c>
      <c r="L361" t="s">
        <v>1289</v>
      </c>
      <c r="M361" t="s">
        <v>1287</v>
      </c>
      <c r="N361">
        <v>268</v>
      </c>
      <c r="O361" t="s">
        <v>1290</v>
      </c>
    </row>
    <row r="362" spans="1:15" ht="15.75" customHeight="1">
      <c r="A362" t="s">
        <v>29</v>
      </c>
      <c r="B362">
        <v>354779</v>
      </c>
      <c r="C362">
        <v>355420</v>
      </c>
      <c r="D362">
        <v>1</v>
      </c>
      <c r="E362" t="s">
        <v>76</v>
      </c>
      <c r="F362" t="s">
        <v>218</v>
      </c>
      <c r="G362" t="s">
        <v>1291</v>
      </c>
      <c r="I362" t="s">
        <v>49</v>
      </c>
      <c r="L362" t="s">
        <v>1292</v>
      </c>
      <c r="M362" t="s">
        <v>218</v>
      </c>
      <c r="N362">
        <v>213</v>
      </c>
      <c r="O362" t="s">
        <v>1293</v>
      </c>
    </row>
    <row r="363" spans="1:15" ht="15.75" customHeight="1">
      <c r="A363" t="s">
        <v>29</v>
      </c>
      <c r="B363">
        <v>355417</v>
      </c>
      <c r="C363">
        <v>357525</v>
      </c>
      <c r="D363">
        <v>1</v>
      </c>
      <c r="E363" t="s">
        <v>76</v>
      </c>
      <c r="F363" t="s">
        <v>1294</v>
      </c>
      <c r="I363" t="s">
        <v>49</v>
      </c>
      <c r="L363" t="s">
        <v>1295</v>
      </c>
      <c r="M363" t="s">
        <v>1294</v>
      </c>
      <c r="N363">
        <v>702</v>
      </c>
      <c r="O363" t="s">
        <v>1296</v>
      </c>
    </row>
    <row r="364" spans="1:15" ht="15.75" customHeight="1">
      <c r="A364" t="s">
        <v>29</v>
      </c>
      <c r="B364">
        <v>357580</v>
      </c>
      <c r="C364">
        <v>357864</v>
      </c>
      <c r="D364">
        <v>1</v>
      </c>
      <c r="E364" t="s">
        <v>76</v>
      </c>
      <c r="F364" t="s">
        <v>1297</v>
      </c>
      <c r="I364" t="s">
        <v>49</v>
      </c>
      <c r="L364" t="s">
        <v>1298</v>
      </c>
      <c r="M364" t="s">
        <v>1297</v>
      </c>
      <c r="N364">
        <v>94</v>
      </c>
      <c r="O364" t="s">
        <v>1299</v>
      </c>
    </row>
    <row r="365" spans="1:15" ht="15.75" customHeight="1">
      <c r="A365" t="s">
        <v>29</v>
      </c>
      <c r="B365">
        <v>358661</v>
      </c>
      <c r="C365">
        <v>359233</v>
      </c>
      <c r="D365">
        <v>1</v>
      </c>
      <c r="E365" t="s">
        <v>76</v>
      </c>
      <c r="F365" t="s">
        <v>1300</v>
      </c>
      <c r="G365" t="s">
        <v>1301</v>
      </c>
      <c r="I365" t="s">
        <v>49</v>
      </c>
      <c r="L365" t="s">
        <v>1302</v>
      </c>
      <c r="M365" t="s">
        <v>1300</v>
      </c>
      <c r="N365">
        <v>190</v>
      </c>
      <c r="O365" t="s">
        <v>1303</v>
      </c>
    </row>
    <row r="366" spans="1:15" ht="15.75" customHeight="1">
      <c r="A366" t="s">
        <v>29</v>
      </c>
      <c r="B366">
        <v>359475</v>
      </c>
      <c r="C366">
        <v>360146</v>
      </c>
      <c r="D366">
        <v>1</v>
      </c>
      <c r="E366" t="s">
        <v>47</v>
      </c>
      <c r="F366" t="s">
        <v>1304</v>
      </c>
      <c r="G366" t="s">
        <v>1305</v>
      </c>
      <c r="I366" t="s">
        <v>49</v>
      </c>
      <c r="L366" t="s">
        <v>1306</v>
      </c>
      <c r="M366" t="s">
        <v>1304</v>
      </c>
      <c r="N366">
        <v>223</v>
      </c>
      <c r="O366" t="s">
        <v>1307</v>
      </c>
    </row>
    <row r="367" spans="1:15" ht="15.75" customHeight="1">
      <c r="A367" t="s">
        <v>29</v>
      </c>
      <c r="B367">
        <v>360155</v>
      </c>
      <c r="C367">
        <v>361027</v>
      </c>
      <c r="D367">
        <v>1</v>
      </c>
      <c r="E367" t="s">
        <v>47</v>
      </c>
      <c r="F367" t="s">
        <v>1308</v>
      </c>
      <c r="G367" t="s">
        <v>1309</v>
      </c>
      <c r="I367" t="s">
        <v>49</v>
      </c>
      <c r="L367" t="s">
        <v>1310</v>
      </c>
      <c r="M367" t="s">
        <v>1308</v>
      </c>
      <c r="N367">
        <v>290</v>
      </c>
      <c r="O367" t="s">
        <v>1311</v>
      </c>
    </row>
    <row r="368" spans="1:15" ht="15.75" customHeight="1">
      <c r="A368" t="s">
        <v>29</v>
      </c>
      <c r="B368">
        <v>361049</v>
      </c>
      <c r="C368">
        <v>361681</v>
      </c>
      <c r="D368">
        <v>1</v>
      </c>
      <c r="E368" t="s">
        <v>47</v>
      </c>
      <c r="F368" t="s">
        <v>128</v>
      </c>
      <c r="I368" t="s">
        <v>49</v>
      </c>
      <c r="L368" t="s">
        <v>1312</v>
      </c>
      <c r="M368" t="s">
        <v>128</v>
      </c>
      <c r="N368">
        <v>210</v>
      </c>
      <c r="O368" t="s">
        <v>1313</v>
      </c>
    </row>
    <row r="369" spans="1:15" ht="15.75" customHeight="1">
      <c r="A369" t="s">
        <v>29</v>
      </c>
      <c r="B369">
        <v>361984</v>
      </c>
      <c r="C369">
        <v>363834</v>
      </c>
      <c r="D369">
        <v>1</v>
      </c>
      <c r="E369" t="s">
        <v>76</v>
      </c>
      <c r="F369" t="s">
        <v>1314</v>
      </c>
      <c r="G369" t="s">
        <v>1315</v>
      </c>
      <c r="I369" t="s">
        <v>49</v>
      </c>
      <c r="L369" t="s">
        <v>1316</v>
      </c>
      <c r="M369" t="s">
        <v>1314</v>
      </c>
      <c r="N369">
        <v>616</v>
      </c>
      <c r="O369" t="s">
        <v>1317</v>
      </c>
    </row>
    <row r="370" spans="1:15" ht="15.75" customHeight="1">
      <c r="A370" t="s">
        <v>29</v>
      </c>
      <c r="B370">
        <v>363902</v>
      </c>
      <c r="C370">
        <v>364948</v>
      </c>
      <c r="D370">
        <v>1</v>
      </c>
      <c r="E370" t="s">
        <v>76</v>
      </c>
      <c r="F370" t="s">
        <v>255</v>
      </c>
      <c r="G370" t="s">
        <v>1318</v>
      </c>
      <c r="I370" t="s">
        <v>49</v>
      </c>
      <c r="L370" t="s">
        <v>1319</v>
      </c>
      <c r="M370" t="s">
        <v>255</v>
      </c>
      <c r="N370">
        <v>348</v>
      </c>
      <c r="O370" t="s">
        <v>1320</v>
      </c>
    </row>
    <row r="371" spans="1:15" ht="15.75" customHeight="1">
      <c r="A371" t="s">
        <v>29</v>
      </c>
      <c r="B371">
        <v>365099</v>
      </c>
      <c r="C371">
        <v>366265</v>
      </c>
      <c r="D371">
        <v>1</v>
      </c>
      <c r="E371" t="s">
        <v>47</v>
      </c>
      <c r="F371" t="s">
        <v>1321</v>
      </c>
      <c r="G371" t="s">
        <v>1322</v>
      </c>
      <c r="I371" t="s">
        <v>49</v>
      </c>
      <c r="L371" t="s">
        <v>1323</v>
      </c>
      <c r="M371" t="s">
        <v>1321</v>
      </c>
      <c r="N371">
        <v>388</v>
      </c>
      <c r="O371" t="s">
        <v>1324</v>
      </c>
    </row>
    <row r="372" spans="1:15" ht="15.75" customHeight="1">
      <c r="A372" t="s">
        <v>29</v>
      </c>
      <c r="B372">
        <v>366404</v>
      </c>
      <c r="C372">
        <v>366730</v>
      </c>
      <c r="D372">
        <v>1</v>
      </c>
      <c r="E372" t="s">
        <v>47</v>
      </c>
      <c r="F372" t="s">
        <v>607</v>
      </c>
      <c r="I372" t="s">
        <v>49</v>
      </c>
      <c r="L372" t="s">
        <v>1325</v>
      </c>
      <c r="M372" t="s">
        <v>607</v>
      </c>
      <c r="N372">
        <v>108</v>
      </c>
      <c r="O372" t="s">
        <v>1326</v>
      </c>
    </row>
    <row r="373" spans="1:15" ht="15.75" customHeight="1">
      <c r="A373" t="s">
        <v>29</v>
      </c>
      <c r="B373">
        <v>366717</v>
      </c>
      <c r="C373">
        <v>367310</v>
      </c>
      <c r="D373">
        <v>1</v>
      </c>
      <c r="E373" t="s">
        <v>47</v>
      </c>
      <c r="F373" t="s">
        <v>65</v>
      </c>
      <c r="I373" t="s">
        <v>49</v>
      </c>
      <c r="L373" t="s">
        <v>1327</v>
      </c>
      <c r="M373" t="s">
        <v>65</v>
      </c>
      <c r="N373">
        <v>197</v>
      </c>
      <c r="O373" t="s">
        <v>1328</v>
      </c>
    </row>
    <row r="374" spans="1:15" ht="15.75" customHeight="1">
      <c r="A374" t="s">
        <v>29</v>
      </c>
      <c r="B374">
        <v>367303</v>
      </c>
      <c r="C374">
        <v>368214</v>
      </c>
      <c r="D374">
        <v>1</v>
      </c>
      <c r="E374" t="s">
        <v>47</v>
      </c>
      <c r="F374" t="s">
        <v>176</v>
      </c>
      <c r="I374" t="s">
        <v>49</v>
      </c>
      <c r="L374" t="s">
        <v>1329</v>
      </c>
      <c r="M374" t="s">
        <v>176</v>
      </c>
      <c r="N374">
        <v>303</v>
      </c>
      <c r="O374" t="s">
        <v>1330</v>
      </c>
    </row>
    <row r="375" spans="1:15" ht="15.75" customHeight="1">
      <c r="A375" t="s">
        <v>29</v>
      </c>
      <c r="B375">
        <v>368277</v>
      </c>
      <c r="C375">
        <v>369341</v>
      </c>
      <c r="D375">
        <v>1</v>
      </c>
      <c r="E375" t="s">
        <v>47</v>
      </c>
      <c r="F375" t="s">
        <v>176</v>
      </c>
      <c r="I375" t="s">
        <v>49</v>
      </c>
      <c r="L375" t="s">
        <v>1331</v>
      </c>
      <c r="M375" t="s">
        <v>176</v>
      </c>
      <c r="N375">
        <v>354</v>
      </c>
      <c r="O375" t="s">
        <v>1332</v>
      </c>
    </row>
    <row r="376" spans="1:15" ht="15.75" customHeight="1">
      <c r="A376" t="s">
        <v>29</v>
      </c>
      <c r="B376">
        <v>369518</v>
      </c>
      <c r="C376">
        <v>370378</v>
      </c>
      <c r="D376">
        <v>1</v>
      </c>
      <c r="E376" t="s">
        <v>76</v>
      </c>
      <c r="F376" t="s">
        <v>176</v>
      </c>
      <c r="I376" t="s">
        <v>49</v>
      </c>
      <c r="L376" t="s">
        <v>1333</v>
      </c>
      <c r="M376" t="s">
        <v>176</v>
      </c>
      <c r="N376">
        <v>286</v>
      </c>
      <c r="O376" t="s">
        <v>1334</v>
      </c>
    </row>
    <row r="377" spans="1:15" ht="15.75" customHeight="1">
      <c r="A377" t="s">
        <v>29</v>
      </c>
      <c r="B377">
        <v>370500</v>
      </c>
      <c r="C377">
        <v>371486</v>
      </c>
      <c r="D377">
        <v>1</v>
      </c>
      <c r="E377" t="s">
        <v>76</v>
      </c>
      <c r="F377" t="s">
        <v>1335</v>
      </c>
      <c r="I377" t="s">
        <v>49</v>
      </c>
      <c r="L377" t="s">
        <v>1336</v>
      </c>
      <c r="M377" t="s">
        <v>1335</v>
      </c>
      <c r="N377">
        <v>328</v>
      </c>
      <c r="O377" t="s">
        <v>1337</v>
      </c>
    </row>
    <row r="378" spans="1:15" ht="15.75" customHeight="1">
      <c r="A378" t="s">
        <v>29</v>
      </c>
      <c r="B378">
        <v>371758</v>
      </c>
      <c r="C378">
        <v>373233</v>
      </c>
      <c r="D378">
        <v>1</v>
      </c>
      <c r="E378" t="s">
        <v>76</v>
      </c>
      <c r="F378" t="s">
        <v>1338</v>
      </c>
      <c r="I378" t="s">
        <v>49</v>
      </c>
      <c r="L378" t="s">
        <v>1339</v>
      </c>
      <c r="M378" t="s">
        <v>1338</v>
      </c>
      <c r="N378">
        <v>491</v>
      </c>
      <c r="O378" t="s">
        <v>1340</v>
      </c>
    </row>
    <row r="379" spans="1:15" ht="15.75" customHeight="1">
      <c r="A379" t="s">
        <v>29</v>
      </c>
      <c r="B379">
        <v>373317</v>
      </c>
      <c r="C379">
        <v>374240</v>
      </c>
      <c r="D379">
        <v>1</v>
      </c>
      <c r="E379" t="s">
        <v>76</v>
      </c>
      <c r="F379" t="s">
        <v>140</v>
      </c>
      <c r="G379" t="s">
        <v>1341</v>
      </c>
      <c r="I379" t="s">
        <v>49</v>
      </c>
      <c r="L379" t="s">
        <v>1342</v>
      </c>
      <c r="M379" t="s">
        <v>140</v>
      </c>
      <c r="N379">
        <v>307</v>
      </c>
      <c r="O379" t="s">
        <v>1343</v>
      </c>
    </row>
    <row r="380" spans="1:15" ht="15.75" customHeight="1">
      <c r="A380" t="s">
        <v>29</v>
      </c>
      <c r="B380">
        <v>374254</v>
      </c>
      <c r="C380">
        <v>375183</v>
      </c>
      <c r="D380">
        <v>1</v>
      </c>
      <c r="E380" t="s">
        <v>76</v>
      </c>
      <c r="F380" t="s">
        <v>140</v>
      </c>
      <c r="G380" t="s">
        <v>1344</v>
      </c>
      <c r="I380" t="s">
        <v>49</v>
      </c>
      <c r="L380" t="s">
        <v>1345</v>
      </c>
      <c r="M380" t="s">
        <v>140</v>
      </c>
      <c r="N380">
        <v>309</v>
      </c>
      <c r="O380" t="s">
        <v>1346</v>
      </c>
    </row>
    <row r="381" spans="1:15" ht="15.75" customHeight="1">
      <c r="A381" t="s">
        <v>29</v>
      </c>
      <c r="B381">
        <v>375502</v>
      </c>
      <c r="C381">
        <v>375852</v>
      </c>
      <c r="D381">
        <v>1</v>
      </c>
      <c r="E381" t="s">
        <v>76</v>
      </c>
      <c r="F381" t="s">
        <v>1347</v>
      </c>
      <c r="I381" t="s">
        <v>49</v>
      </c>
      <c r="L381" t="s">
        <v>1348</v>
      </c>
      <c r="M381" t="s">
        <v>1347</v>
      </c>
      <c r="N381">
        <v>116</v>
      </c>
      <c r="O381" t="s">
        <v>1349</v>
      </c>
    </row>
    <row r="382" spans="1:15" ht="15.75" customHeight="1">
      <c r="A382" t="s">
        <v>29</v>
      </c>
      <c r="B382">
        <v>376514</v>
      </c>
      <c r="C382">
        <v>377125</v>
      </c>
      <c r="D382">
        <v>1</v>
      </c>
      <c r="E382" t="s">
        <v>76</v>
      </c>
      <c r="F382" t="s">
        <v>1350</v>
      </c>
      <c r="G382" t="s">
        <v>1351</v>
      </c>
      <c r="I382" t="s">
        <v>49</v>
      </c>
      <c r="L382" t="s">
        <v>1352</v>
      </c>
      <c r="M382" t="s">
        <v>1350</v>
      </c>
      <c r="N382">
        <v>203</v>
      </c>
      <c r="O382" t="s">
        <v>1353</v>
      </c>
    </row>
    <row r="383" spans="1:15" ht="15.75" customHeight="1">
      <c r="A383" t="s">
        <v>29</v>
      </c>
      <c r="B383">
        <v>377320</v>
      </c>
      <c r="C383">
        <v>378372</v>
      </c>
      <c r="D383">
        <v>1</v>
      </c>
      <c r="E383" t="s">
        <v>76</v>
      </c>
      <c r="F383" t="s">
        <v>409</v>
      </c>
      <c r="G383" t="s">
        <v>1354</v>
      </c>
      <c r="I383" t="s">
        <v>49</v>
      </c>
      <c r="L383" t="s">
        <v>1355</v>
      </c>
      <c r="M383" t="s">
        <v>409</v>
      </c>
      <c r="N383">
        <v>350</v>
      </c>
      <c r="O383" t="s">
        <v>1356</v>
      </c>
    </row>
    <row r="384" spans="1:15" ht="15.75" customHeight="1">
      <c r="A384" t="s">
        <v>29</v>
      </c>
      <c r="B384">
        <v>378369</v>
      </c>
      <c r="C384">
        <v>379067</v>
      </c>
      <c r="D384">
        <v>1</v>
      </c>
      <c r="E384" t="s">
        <v>76</v>
      </c>
      <c r="F384" t="s">
        <v>405</v>
      </c>
      <c r="G384" t="s">
        <v>1357</v>
      </c>
      <c r="I384" t="s">
        <v>49</v>
      </c>
      <c r="L384" t="s">
        <v>1358</v>
      </c>
      <c r="M384" t="s">
        <v>405</v>
      </c>
      <c r="N384">
        <v>232</v>
      </c>
      <c r="O384" t="s">
        <v>1359</v>
      </c>
    </row>
    <row r="385" spans="1:15" ht="15.75" customHeight="1">
      <c r="A385" t="s">
        <v>29</v>
      </c>
      <c r="B385">
        <v>379234</v>
      </c>
      <c r="C385">
        <v>382719</v>
      </c>
      <c r="D385">
        <v>1</v>
      </c>
      <c r="E385" t="s">
        <v>76</v>
      </c>
      <c r="F385" t="s">
        <v>1360</v>
      </c>
      <c r="I385" t="s">
        <v>49</v>
      </c>
      <c r="L385" t="s">
        <v>1361</v>
      </c>
      <c r="M385" t="s">
        <v>1360</v>
      </c>
      <c r="N385">
        <v>1161</v>
      </c>
      <c r="O385" t="s">
        <v>1362</v>
      </c>
    </row>
    <row r="386" spans="1:15" ht="15.75" customHeight="1">
      <c r="A386" t="s">
        <v>29</v>
      </c>
      <c r="B386">
        <v>382835</v>
      </c>
      <c r="C386">
        <v>383245</v>
      </c>
      <c r="D386">
        <v>1</v>
      </c>
      <c r="E386" t="s">
        <v>76</v>
      </c>
      <c r="F386" t="s">
        <v>1363</v>
      </c>
      <c r="I386" t="s">
        <v>49</v>
      </c>
      <c r="L386" t="s">
        <v>1364</v>
      </c>
      <c r="M386" t="s">
        <v>1363</v>
      </c>
      <c r="N386">
        <v>136</v>
      </c>
      <c r="O386" t="s">
        <v>1365</v>
      </c>
    </row>
    <row r="387" spans="1:15" ht="15.75" customHeight="1">
      <c r="A387" t="s">
        <v>29</v>
      </c>
      <c r="B387">
        <v>383312</v>
      </c>
      <c r="C387">
        <v>383851</v>
      </c>
      <c r="D387">
        <v>1</v>
      </c>
      <c r="E387" t="s">
        <v>76</v>
      </c>
      <c r="F387" t="s">
        <v>1363</v>
      </c>
      <c r="G387" t="s">
        <v>1366</v>
      </c>
      <c r="I387" t="s">
        <v>49</v>
      </c>
      <c r="L387" t="s">
        <v>1367</v>
      </c>
      <c r="M387" t="s">
        <v>1363</v>
      </c>
      <c r="N387">
        <v>179</v>
      </c>
      <c r="O387" t="s">
        <v>1368</v>
      </c>
    </row>
    <row r="388" spans="1:15" ht="15.75" customHeight="1">
      <c r="A388" t="s">
        <v>29</v>
      </c>
      <c r="B388">
        <v>383913</v>
      </c>
      <c r="C388">
        <v>384071</v>
      </c>
      <c r="D388">
        <v>1</v>
      </c>
      <c r="E388" t="s">
        <v>76</v>
      </c>
      <c r="F388" t="s">
        <v>1369</v>
      </c>
      <c r="I388" t="s">
        <v>49</v>
      </c>
      <c r="L388" t="s">
        <v>1370</v>
      </c>
      <c r="M388" t="s">
        <v>1369</v>
      </c>
      <c r="N388">
        <v>52</v>
      </c>
      <c r="O388" t="s">
        <v>1371</v>
      </c>
    </row>
    <row r="389" spans="1:15" ht="15.75" customHeight="1">
      <c r="A389" t="s">
        <v>29</v>
      </c>
      <c r="B389">
        <v>384206</v>
      </c>
      <c r="C389">
        <v>384871</v>
      </c>
      <c r="D389">
        <v>1</v>
      </c>
      <c r="E389" t="s">
        <v>76</v>
      </c>
      <c r="F389" t="s">
        <v>1372</v>
      </c>
      <c r="G389" t="s">
        <v>1373</v>
      </c>
      <c r="I389" t="s">
        <v>49</v>
      </c>
      <c r="L389" t="s">
        <v>1374</v>
      </c>
      <c r="M389" t="s">
        <v>1372</v>
      </c>
      <c r="N389">
        <v>221</v>
      </c>
      <c r="O389" t="s">
        <v>1375</v>
      </c>
    </row>
    <row r="390" spans="1:15" ht="15.75" customHeight="1">
      <c r="A390" t="s">
        <v>29</v>
      </c>
      <c r="B390">
        <v>384885</v>
      </c>
      <c r="C390">
        <v>386264</v>
      </c>
      <c r="D390">
        <v>1</v>
      </c>
      <c r="E390" t="s">
        <v>76</v>
      </c>
      <c r="F390" t="s">
        <v>1376</v>
      </c>
      <c r="G390" t="s">
        <v>1377</v>
      </c>
      <c r="I390" t="s">
        <v>49</v>
      </c>
      <c r="L390" t="s">
        <v>1378</v>
      </c>
      <c r="M390" t="s">
        <v>1376</v>
      </c>
      <c r="N390">
        <v>459</v>
      </c>
      <c r="O390" t="s">
        <v>1379</v>
      </c>
    </row>
    <row r="391" spans="1:15" ht="15.75" customHeight="1">
      <c r="A391" t="s">
        <v>29</v>
      </c>
      <c r="B391">
        <v>386874</v>
      </c>
      <c r="C391">
        <v>387638</v>
      </c>
      <c r="D391">
        <v>1</v>
      </c>
      <c r="E391" t="s">
        <v>76</v>
      </c>
      <c r="F391" t="s">
        <v>1380</v>
      </c>
      <c r="G391" t="s">
        <v>1381</v>
      </c>
      <c r="I391" t="s">
        <v>49</v>
      </c>
      <c r="L391" t="s">
        <v>1382</v>
      </c>
      <c r="M391" t="s">
        <v>1380</v>
      </c>
      <c r="N391">
        <v>254</v>
      </c>
      <c r="O391" t="s">
        <v>1383</v>
      </c>
    </row>
    <row r="392" spans="1:15" ht="15.75" customHeight="1">
      <c r="A392" t="s">
        <v>29</v>
      </c>
      <c r="B392">
        <v>387859</v>
      </c>
      <c r="C392">
        <v>388155</v>
      </c>
      <c r="D392">
        <v>1</v>
      </c>
      <c r="E392" t="s">
        <v>47</v>
      </c>
      <c r="F392" t="s">
        <v>1384</v>
      </c>
      <c r="G392" t="s">
        <v>1385</v>
      </c>
      <c r="I392" t="s">
        <v>49</v>
      </c>
      <c r="L392" t="s">
        <v>1386</v>
      </c>
      <c r="M392" t="s">
        <v>1384</v>
      </c>
      <c r="N392">
        <v>98</v>
      </c>
      <c r="O392" t="s">
        <v>1387</v>
      </c>
    </row>
    <row r="393" spans="1:15" ht="15.75" customHeight="1">
      <c r="A393" t="s">
        <v>29</v>
      </c>
      <c r="B393">
        <v>388209</v>
      </c>
      <c r="C393">
        <v>388571</v>
      </c>
      <c r="D393">
        <v>1</v>
      </c>
      <c r="E393" t="s">
        <v>47</v>
      </c>
      <c r="F393" t="s">
        <v>1369</v>
      </c>
      <c r="I393" t="s">
        <v>49</v>
      </c>
      <c r="L393" t="s">
        <v>1388</v>
      </c>
      <c r="M393" t="s">
        <v>1369</v>
      </c>
      <c r="N393">
        <v>120</v>
      </c>
      <c r="O393" t="s">
        <v>1389</v>
      </c>
    </row>
    <row r="394" spans="1:15" ht="15.75" customHeight="1">
      <c r="A394" t="s">
        <v>29</v>
      </c>
      <c r="B394">
        <v>388613</v>
      </c>
      <c r="C394">
        <v>388870</v>
      </c>
      <c r="D394">
        <v>1</v>
      </c>
      <c r="E394" t="s">
        <v>76</v>
      </c>
      <c r="F394" t="s">
        <v>1390</v>
      </c>
      <c r="G394" t="s">
        <v>1391</v>
      </c>
      <c r="I394" t="s">
        <v>49</v>
      </c>
      <c r="L394" t="s">
        <v>1392</v>
      </c>
      <c r="M394" t="s">
        <v>1390</v>
      </c>
      <c r="N394">
        <v>85</v>
      </c>
      <c r="O394" t="s">
        <v>1393</v>
      </c>
    </row>
    <row r="395" spans="1:15" ht="15.75" customHeight="1">
      <c r="A395" t="s">
        <v>29</v>
      </c>
      <c r="B395">
        <v>389020</v>
      </c>
      <c r="C395">
        <v>389874</v>
      </c>
      <c r="D395">
        <v>1</v>
      </c>
      <c r="E395" t="s">
        <v>76</v>
      </c>
      <c r="F395" t="s">
        <v>1394</v>
      </c>
      <c r="G395" t="s">
        <v>1395</v>
      </c>
      <c r="I395" t="s">
        <v>49</v>
      </c>
      <c r="L395" t="s">
        <v>1396</v>
      </c>
      <c r="M395" t="s">
        <v>1394</v>
      </c>
      <c r="N395">
        <v>284</v>
      </c>
      <c r="O395" t="s">
        <v>1397</v>
      </c>
    </row>
    <row r="396" spans="1:15" ht="15.75" customHeight="1">
      <c r="A396" t="s">
        <v>29</v>
      </c>
      <c r="B396">
        <v>390082</v>
      </c>
      <c r="C396">
        <v>391119</v>
      </c>
      <c r="D396">
        <v>1</v>
      </c>
      <c r="E396" t="s">
        <v>76</v>
      </c>
      <c r="F396" t="s">
        <v>1398</v>
      </c>
      <c r="G396" t="s">
        <v>1399</v>
      </c>
      <c r="I396" t="s">
        <v>49</v>
      </c>
      <c r="L396" t="s">
        <v>1400</v>
      </c>
      <c r="M396" t="s">
        <v>1398</v>
      </c>
      <c r="N396">
        <v>345</v>
      </c>
      <c r="O396" t="s">
        <v>1401</v>
      </c>
    </row>
    <row r="397" spans="1:15" ht="15.75" customHeight="1">
      <c r="A397" t="s">
        <v>29</v>
      </c>
      <c r="B397">
        <v>391235</v>
      </c>
      <c r="C397">
        <v>392401</v>
      </c>
      <c r="D397">
        <v>1</v>
      </c>
      <c r="E397" t="s">
        <v>76</v>
      </c>
      <c r="F397" t="s">
        <v>1402</v>
      </c>
      <c r="G397" t="s">
        <v>1403</v>
      </c>
      <c r="I397" t="s">
        <v>49</v>
      </c>
      <c r="L397" t="s">
        <v>1404</v>
      </c>
      <c r="M397" t="s">
        <v>1402</v>
      </c>
      <c r="N397">
        <v>388</v>
      </c>
      <c r="O397" t="s">
        <v>1405</v>
      </c>
    </row>
    <row r="398" spans="1:15" ht="15.75" customHeight="1">
      <c r="A398" t="s">
        <v>29</v>
      </c>
      <c r="B398">
        <v>392700</v>
      </c>
      <c r="C398">
        <v>393038</v>
      </c>
      <c r="D398">
        <v>1</v>
      </c>
      <c r="E398" t="s">
        <v>76</v>
      </c>
      <c r="F398" t="s">
        <v>1406</v>
      </c>
      <c r="G398" t="s">
        <v>1407</v>
      </c>
      <c r="I398" t="s">
        <v>49</v>
      </c>
      <c r="L398" t="s">
        <v>1408</v>
      </c>
      <c r="M398" t="s">
        <v>1406</v>
      </c>
      <c r="N398">
        <v>112</v>
      </c>
      <c r="O398" t="s">
        <v>1409</v>
      </c>
    </row>
    <row r="399" spans="1:15" ht="15.75" customHeight="1">
      <c r="A399" t="s">
        <v>29</v>
      </c>
      <c r="B399">
        <v>393111</v>
      </c>
      <c r="C399">
        <v>393926</v>
      </c>
      <c r="D399">
        <v>1</v>
      </c>
      <c r="E399" t="s">
        <v>76</v>
      </c>
      <c r="F399" t="s">
        <v>626</v>
      </c>
      <c r="G399" t="s">
        <v>1410</v>
      </c>
      <c r="I399" t="s">
        <v>49</v>
      </c>
      <c r="L399" t="s">
        <v>1411</v>
      </c>
      <c r="M399" t="s">
        <v>626</v>
      </c>
      <c r="N399">
        <v>271</v>
      </c>
      <c r="O399" t="s">
        <v>1412</v>
      </c>
    </row>
    <row r="400" spans="1:15" ht="15.75" customHeight="1">
      <c r="A400" t="s">
        <v>29</v>
      </c>
      <c r="B400">
        <v>393913</v>
      </c>
      <c r="C400">
        <v>394818</v>
      </c>
      <c r="D400">
        <v>1</v>
      </c>
      <c r="E400" t="s">
        <v>76</v>
      </c>
      <c r="F400" t="s">
        <v>1413</v>
      </c>
      <c r="G400" t="s">
        <v>1414</v>
      </c>
      <c r="I400" t="s">
        <v>49</v>
      </c>
      <c r="L400" t="s">
        <v>1415</v>
      </c>
      <c r="M400" t="s">
        <v>1413</v>
      </c>
      <c r="N400">
        <v>301</v>
      </c>
      <c r="O400" t="s">
        <v>1416</v>
      </c>
    </row>
    <row r="401" spans="1:15" ht="15.75" customHeight="1">
      <c r="A401" t="s">
        <v>29</v>
      </c>
      <c r="B401">
        <v>394846</v>
      </c>
      <c r="C401">
        <v>395322</v>
      </c>
      <c r="D401">
        <v>1</v>
      </c>
      <c r="E401" t="s">
        <v>76</v>
      </c>
      <c r="F401" t="s">
        <v>1417</v>
      </c>
      <c r="G401" t="s">
        <v>1418</v>
      </c>
      <c r="I401" t="s">
        <v>49</v>
      </c>
      <c r="L401" t="s">
        <v>1419</v>
      </c>
      <c r="M401" t="s">
        <v>1417</v>
      </c>
      <c r="N401">
        <v>158</v>
      </c>
      <c r="O401" t="s">
        <v>1420</v>
      </c>
    </row>
    <row r="402" spans="1:15" ht="15.75" customHeight="1">
      <c r="A402" t="s">
        <v>29</v>
      </c>
      <c r="B402">
        <v>395319</v>
      </c>
      <c r="C402">
        <v>397106</v>
      </c>
      <c r="D402">
        <v>1</v>
      </c>
      <c r="E402" t="s">
        <v>76</v>
      </c>
      <c r="F402" t="s">
        <v>1421</v>
      </c>
      <c r="G402" t="s">
        <v>1422</v>
      </c>
      <c r="I402" t="s">
        <v>49</v>
      </c>
      <c r="L402" t="s">
        <v>1423</v>
      </c>
      <c r="M402" t="s">
        <v>1421</v>
      </c>
      <c r="N402">
        <v>595</v>
      </c>
      <c r="O402" t="s">
        <v>1424</v>
      </c>
    </row>
    <row r="403" spans="1:15" ht="15.75" customHeight="1">
      <c r="A403" t="s">
        <v>29</v>
      </c>
      <c r="B403">
        <v>397454</v>
      </c>
      <c r="C403">
        <v>398170</v>
      </c>
      <c r="D403">
        <v>1</v>
      </c>
      <c r="E403" t="s">
        <v>47</v>
      </c>
      <c r="F403" t="s">
        <v>1425</v>
      </c>
      <c r="G403" t="s">
        <v>1426</v>
      </c>
      <c r="I403" t="s">
        <v>49</v>
      </c>
      <c r="L403" t="s">
        <v>1427</v>
      </c>
      <c r="M403" t="s">
        <v>1425</v>
      </c>
      <c r="N403">
        <v>238</v>
      </c>
      <c r="O403" t="s">
        <v>1428</v>
      </c>
    </row>
    <row r="404" spans="1:15" ht="15.75" customHeight="1">
      <c r="A404" t="s">
        <v>29</v>
      </c>
      <c r="B404">
        <v>398486</v>
      </c>
      <c r="C404">
        <v>402421</v>
      </c>
      <c r="D404">
        <v>1</v>
      </c>
      <c r="E404" t="s">
        <v>47</v>
      </c>
      <c r="F404" t="s">
        <v>1429</v>
      </c>
      <c r="G404" t="s">
        <v>1430</v>
      </c>
      <c r="I404" t="s">
        <v>49</v>
      </c>
      <c r="L404" t="s">
        <v>1431</v>
      </c>
      <c r="M404" t="s">
        <v>1429</v>
      </c>
      <c r="N404">
        <v>1311</v>
      </c>
      <c r="O404" t="s">
        <v>1432</v>
      </c>
    </row>
    <row r="405" spans="1:15" ht="15.75" customHeight="1">
      <c r="A405" t="s">
        <v>29</v>
      </c>
      <c r="B405">
        <v>402476</v>
      </c>
      <c r="C405">
        <v>403774</v>
      </c>
      <c r="D405">
        <v>1</v>
      </c>
      <c r="E405" t="s">
        <v>76</v>
      </c>
      <c r="F405" t="s">
        <v>1433</v>
      </c>
      <c r="G405" t="s">
        <v>1434</v>
      </c>
      <c r="I405" t="s">
        <v>49</v>
      </c>
      <c r="L405" t="s">
        <v>1435</v>
      </c>
      <c r="M405" t="s">
        <v>1433</v>
      </c>
      <c r="N405">
        <v>432</v>
      </c>
      <c r="O405" t="s">
        <v>1436</v>
      </c>
    </row>
    <row r="406" spans="1:15" ht="15.75" customHeight="1">
      <c r="A406" t="s">
        <v>29</v>
      </c>
      <c r="B406">
        <v>403837</v>
      </c>
      <c r="C406">
        <v>404064</v>
      </c>
      <c r="D406">
        <v>1</v>
      </c>
      <c r="E406" t="s">
        <v>76</v>
      </c>
      <c r="F406" t="s">
        <v>1437</v>
      </c>
      <c r="I406" t="s">
        <v>49</v>
      </c>
      <c r="L406" t="s">
        <v>1438</v>
      </c>
      <c r="M406" t="s">
        <v>1437</v>
      </c>
      <c r="N406">
        <v>75</v>
      </c>
      <c r="O406" t="s">
        <v>1439</v>
      </c>
    </row>
    <row r="407" spans="1:15" ht="15.75" customHeight="1">
      <c r="A407" t="s">
        <v>29</v>
      </c>
      <c r="B407">
        <v>404074</v>
      </c>
      <c r="C407">
        <v>405165</v>
      </c>
      <c r="D407">
        <v>1</v>
      </c>
      <c r="E407" t="s">
        <v>76</v>
      </c>
      <c r="F407" t="s">
        <v>1437</v>
      </c>
      <c r="G407" t="s">
        <v>1440</v>
      </c>
      <c r="I407" t="s">
        <v>49</v>
      </c>
      <c r="L407" t="s">
        <v>1441</v>
      </c>
      <c r="M407" t="s">
        <v>1437</v>
      </c>
      <c r="N407">
        <v>363</v>
      </c>
      <c r="O407" t="s">
        <v>1442</v>
      </c>
    </row>
    <row r="408" spans="1:15" ht="15.75" customHeight="1">
      <c r="A408" t="s">
        <v>29</v>
      </c>
      <c r="B408">
        <v>405152</v>
      </c>
      <c r="C408">
        <v>405640</v>
      </c>
      <c r="D408">
        <v>1</v>
      </c>
      <c r="E408" t="s">
        <v>76</v>
      </c>
      <c r="F408" t="s">
        <v>1443</v>
      </c>
      <c r="G408" t="s">
        <v>1444</v>
      </c>
      <c r="I408" t="s">
        <v>49</v>
      </c>
      <c r="L408" t="s">
        <v>1445</v>
      </c>
      <c r="M408" t="s">
        <v>1443</v>
      </c>
      <c r="N408">
        <v>162</v>
      </c>
      <c r="O408" t="s">
        <v>1446</v>
      </c>
    </row>
    <row r="409" spans="1:15" ht="15.75" customHeight="1">
      <c r="A409" t="s">
        <v>29</v>
      </c>
      <c r="B409">
        <v>406043</v>
      </c>
      <c r="C409">
        <v>407305</v>
      </c>
      <c r="D409">
        <v>1</v>
      </c>
      <c r="E409" t="s">
        <v>76</v>
      </c>
      <c r="F409" t="s">
        <v>1447</v>
      </c>
      <c r="G409" t="s">
        <v>1448</v>
      </c>
      <c r="I409" t="s">
        <v>49</v>
      </c>
      <c r="L409" t="s">
        <v>1449</v>
      </c>
      <c r="M409" t="s">
        <v>1447</v>
      </c>
      <c r="N409">
        <v>420</v>
      </c>
      <c r="O409" t="s">
        <v>1450</v>
      </c>
    </row>
    <row r="410" spans="1:15" ht="15.75" customHeight="1">
      <c r="A410" t="s">
        <v>29</v>
      </c>
      <c r="B410">
        <v>407427</v>
      </c>
      <c r="C410">
        <v>408974</v>
      </c>
      <c r="D410">
        <v>1</v>
      </c>
      <c r="E410" t="s">
        <v>76</v>
      </c>
      <c r="F410" t="s">
        <v>1451</v>
      </c>
      <c r="G410" t="s">
        <v>1452</v>
      </c>
      <c r="I410" t="s">
        <v>49</v>
      </c>
      <c r="L410" t="s">
        <v>1453</v>
      </c>
      <c r="M410" t="s">
        <v>1451</v>
      </c>
      <c r="N410">
        <v>515</v>
      </c>
      <c r="O410" t="s">
        <v>1454</v>
      </c>
    </row>
    <row r="411" spans="1:15" ht="15.75" customHeight="1">
      <c r="A411" t="s">
        <v>29</v>
      </c>
      <c r="B411">
        <v>408999</v>
      </c>
      <c r="C411">
        <v>409508</v>
      </c>
      <c r="D411">
        <v>1</v>
      </c>
      <c r="E411" t="s">
        <v>76</v>
      </c>
      <c r="F411" t="s">
        <v>1455</v>
      </c>
      <c r="I411" t="s">
        <v>49</v>
      </c>
      <c r="L411" t="s">
        <v>1456</v>
      </c>
      <c r="M411" t="s">
        <v>1455</v>
      </c>
      <c r="N411">
        <v>169</v>
      </c>
      <c r="O411" t="s">
        <v>1457</v>
      </c>
    </row>
    <row r="412" spans="1:15" ht="15.75" customHeight="1">
      <c r="A412" t="s">
        <v>29</v>
      </c>
      <c r="B412">
        <v>409592</v>
      </c>
      <c r="C412">
        <v>410137</v>
      </c>
      <c r="D412">
        <v>1</v>
      </c>
      <c r="E412" t="s">
        <v>76</v>
      </c>
      <c r="F412" t="s">
        <v>1458</v>
      </c>
      <c r="G412" t="s">
        <v>1459</v>
      </c>
      <c r="I412" t="s">
        <v>49</v>
      </c>
      <c r="L412" t="s">
        <v>1460</v>
      </c>
      <c r="M412" t="s">
        <v>1458</v>
      </c>
      <c r="N412">
        <v>181</v>
      </c>
      <c r="O412" t="s">
        <v>1461</v>
      </c>
    </row>
    <row r="413" spans="1:15" ht="15.75" customHeight="1">
      <c r="A413" t="s">
        <v>29</v>
      </c>
      <c r="B413">
        <v>410134</v>
      </c>
      <c r="C413">
        <v>411156</v>
      </c>
      <c r="D413">
        <v>1</v>
      </c>
      <c r="E413" t="s">
        <v>76</v>
      </c>
      <c r="F413" t="s">
        <v>1462</v>
      </c>
      <c r="G413" t="s">
        <v>1463</v>
      </c>
      <c r="I413" t="s">
        <v>49</v>
      </c>
      <c r="L413" t="s">
        <v>1464</v>
      </c>
      <c r="M413" t="s">
        <v>1462</v>
      </c>
      <c r="N413">
        <v>340</v>
      </c>
      <c r="O413" t="s">
        <v>1465</v>
      </c>
    </row>
    <row r="414" spans="1:15" ht="15.75" customHeight="1">
      <c r="A414" t="s">
        <v>29</v>
      </c>
      <c r="B414">
        <v>411193</v>
      </c>
      <c r="C414">
        <v>412635</v>
      </c>
      <c r="D414">
        <v>1</v>
      </c>
      <c r="E414" t="s">
        <v>76</v>
      </c>
      <c r="F414" t="s">
        <v>1466</v>
      </c>
      <c r="G414" t="s">
        <v>1467</v>
      </c>
      <c r="I414" t="s">
        <v>49</v>
      </c>
      <c r="L414" t="s">
        <v>1468</v>
      </c>
      <c r="M414" t="s">
        <v>1466</v>
      </c>
      <c r="N414">
        <v>480</v>
      </c>
      <c r="O414" t="s">
        <v>1469</v>
      </c>
    </row>
    <row r="415" spans="1:15" ht="15.75" customHeight="1">
      <c r="A415" t="s">
        <v>29</v>
      </c>
      <c r="B415">
        <v>412728</v>
      </c>
      <c r="C415">
        <v>416453</v>
      </c>
      <c r="D415">
        <v>1</v>
      </c>
      <c r="E415" t="s">
        <v>76</v>
      </c>
      <c r="F415" t="s">
        <v>1470</v>
      </c>
      <c r="G415" t="s">
        <v>1471</v>
      </c>
      <c r="I415" t="s">
        <v>49</v>
      </c>
      <c r="L415" t="s">
        <v>1472</v>
      </c>
      <c r="M415" t="s">
        <v>1470</v>
      </c>
      <c r="N415">
        <v>1241</v>
      </c>
      <c r="O415" t="s">
        <v>1473</v>
      </c>
    </row>
    <row r="416" spans="1:15" ht="15.75" customHeight="1">
      <c r="A416" t="s">
        <v>29</v>
      </c>
      <c r="B416">
        <v>416655</v>
      </c>
      <c r="C416">
        <v>417362</v>
      </c>
      <c r="D416">
        <v>1</v>
      </c>
      <c r="E416" t="s">
        <v>76</v>
      </c>
      <c r="F416" t="s">
        <v>1474</v>
      </c>
      <c r="G416" t="s">
        <v>1475</v>
      </c>
      <c r="I416" t="s">
        <v>49</v>
      </c>
      <c r="L416" t="s">
        <v>1476</v>
      </c>
      <c r="M416" t="s">
        <v>1474</v>
      </c>
      <c r="N416">
        <v>235</v>
      </c>
      <c r="O416" t="s">
        <v>1477</v>
      </c>
    </row>
    <row r="417" spans="1:15" ht="15.75" customHeight="1">
      <c r="A417" t="s">
        <v>29</v>
      </c>
      <c r="B417">
        <v>417532</v>
      </c>
      <c r="C417">
        <v>418881</v>
      </c>
      <c r="D417">
        <v>1</v>
      </c>
      <c r="E417" t="s">
        <v>76</v>
      </c>
      <c r="F417" t="s">
        <v>1478</v>
      </c>
      <c r="G417" t="s">
        <v>1479</v>
      </c>
      <c r="I417" t="s">
        <v>49</v>
      </c>
      <c r="L417" t="s">
        <v>1480</v>
      </c>
      <c r="M417" t="s">
        <v>1478</v>
      </c>
      <c r="N417">
        <v>449</v>
      </c>
      <c r="O417" t="s">
        <v>1481</v>
      </c>
    </row>
    <row r="418" spans="1:15" ht="15.75" customHeight="1">
      <c r="A418" t="s">
        <v>29</v>
      </c>
      <c r="B418">
        <v>418894</v>
      </c>
      <c r="C418">
        <v>421047</v>
      </c>
      <c r="D418">
        <v>1</v>
      </c>
      <c r="E418" t="s">
        <v>76</v>
      </c>
      <c r="F418" t="s">
        <v>1482</v>
      </c>
      <c r="G418" t="s">
        <v>1483</v>
      </c>
      <c r="I418" t="s">
        <v>49</v>
      </c>
      <c r="L418" t="s">
        <v>1484</v>
      </c>
      <c r="M418" t="s">
        <v>1482</v>
      </c>
      <c r="N418">
        <v>717</v>
      </c>
      <c r="O418" t="s">
        <v>1485</v>
      </c>
    </row>
    <row r="419" spans="1:15" ht="15.75" customHeight="1">
      <c r="A419" t="s">
        <v>29</v>
      </c>
      <c r="B419">
        <v>421760</v>
      </c>
      <c r="C419">
        <v>421990</v>
      </c>
      <c r="D419">
        <v>1</v>
      </c>
      <c r="E419" t="s">
        <v>76</v>
      </c>
      <c r="F419" t="s">
        <v>1486</v>
      </c>
      <c r="G419" t="s">
        <v>1487</v>
      </c>
      <c r="I419" t="s">
        <v>49</v>
      </c>
      <c r="L419" t="s">
        <v>1488</v>
      </c>
      <c r="M419" t="s">
        <v>1486</v>
      </c>
      <c r="N419">
        <v>76</v>
      </c>
      <c r="O419" t="s">
        <v>1489</v>
      </c>
    </row>
    <row r="420" spans="1:15" ht="15.75" customHeight="1">
      <c r="A420" t="s">
        <v>29</v>
      </c>
      <c r="B420">
        <v>422193</v>
      </c>
      <c r="C420">
        <v>422486</v>
      </c>
      <c r="D420">
        <v>1</v>
      </c>
      <c r="E420" t="s">
        <v>76</v>
      </c>
      <c r="F420" t="s">
        <v>1490</v>
      </c>
      <c r="I420" t="s">
        <v>49</v>
      </c>
      <c r="L420" t="s">
        <v>1491</v>
      </c>
      <c r="M420" t="s">
        <v>1490</v>
      </c>
      <c r="N420">
        <v>97</v>
      </c>
      <c r="O420" t="s">
        <v>1492</v>
      </c>
    </row>
    <row r="421" spans="1:15" ht="15.75" customHeight="1">
      <c r="A421" t="s">
        <v>29</v>
      </c>
      <c r="B421">
        <v>422529</v>
      </c>
      <c r="C421">
        <v>422762</v>
      </c>
      <c r="D421">
        <v>1</v>
      </c>
      <c r="E421" t="s">
        <v>76</v>
      </c>
      <c r="F421" t="s">
        <v>330</v>
      </c>
      <c r="G421" t="s">
        <v>1493</v>
      </c>
      <c r="I421" t="s">
        <v>49</v>
      </c>
      <c r="L421" t="s">
        <v>1494</v>
      </c>
      <c r="M421" t="s">
        <v>330</v>
      </c>
      <c r="N421">
        <v>77</v>
      </c>
      <c r="O421" t="s">
        <v>1495</v>
      </c>
    </row>
    <row r="422" spans="1:15" ht="15.75" customHeight="1">
      <c r="A422" t="s">
        <v>29</v>
      </c>
      <c r="B422">
        <v>422768</v>
      </c>
      <c r="C422">
        <v>423760</v>
      </c>
      <c r="D422">
        <v>1</v>
      </c>
      <c r="E422" t="s">
        <v>76</v>
      </c>
      <c r="F422" t="s">
        <v>1496</v>
      </c>
      <c r="G422" t="s">
        <v>1497</v>
      </c>
      <c r="I422" t="s">
        <v>49</v>
      </c>
      <c r="L422" t="s">
        <v>1498</v>
      </c>
      <c r="M422" t="s">
        <v>1496</v>
      </c>
      <c r="N422">
        <v>330</v>
      </c>
      <c r="O422" t="s">
        <v>1499</v>
      </c>
    </row>
    <row r="423" spans="1:15" ht="15.75" customHeight="1">
      <c r="A423" t="s">
        <v>29</v>
      </c>
      <c r="B423">
        <v>423757</v>
      </c>
      <c r="C423">
        <v>424527</v>
      </c>
      <c r="D423">
        <v>1</v>
      </c>
      <c r="E423" t="s">
        <v>76</v>
      </c>
      <c r="F423" t="s">
        <v>1500</v>
      </c>
      <c r="G423" t="s">
        <v>1501</v>
      </c>
      <c r="I423" t="s">
        <v>49</v>
      </c>
      <c r="L423" t="s">
        <v>1502</v>
      </c>
      <c r="M423" t="s">
        <v>1500</v>
      </c>
      <c r="N423">
        <v>256</v>
      </c>
      <c r="O423" t="s">
        <v>1503</v>
      </c>
    </row>
    <row r="424" spans="1:15" ht="15.75" customHeight="1">
      <c r="A424" t="s">
        <v>29</v>
      </c>
      <c r="B424">
        <v>424524</v>
      </c>
      <c r="C424">
        <v>425693</v>
      </c>
      <c r="D424">
        <v>1</v>
      </c>
      <c r="E424" t="s">
        <v>76</v>
      </c>
      <c r="F424" t="s">
        <v>1504</v>
      </c>
      <c r="G424" t="s">
        <v>1505</v>
      </c>
      <c r="I424" t="s">
        <v>49</v>
      </c>
      <c r="L424" t="s">
        <v>1506</v>
      </c>
      <c r="M424" t="s">
        <v>1504</v>
      </c>
      <c r="N424">
        <v>389</v>
      </c>
      <c r="O424" t="s">
        <v>1507</v>
      </c>
    </row>
    <row r="425" spans="1:15" ht="15.75" customHeight="1">
      <c r="A425" t="s">
        <v>29</v>
      </c>
      <c r="B425">
        <v>425842</v>
      </c>
      <c r="C425">
        <v>426852</v>
      </c>
      <c r="D425">
        <v>1</v>
      </c>
      <c r="E425" t="s">
        <v>47</v>
      </c>
      <c r="F425" t="s">
        <v>65</v>
      </c>
      <c r="G425" t="s">
        <v>1508</v>
      </c>
      <c r="I425" t="s">
        <v>49</v>
      </c>
      <c r="L425" t="s">
        <v>1509</v>
      </c>
      <c r="M425" t="s">
        <v>65</v>
      </c>
      <c r="N425">
        <v>336</v>
      </c>
      <c r="O425" t="s">
        <v>1510</v>
      </c>
    </row>
    <row r="426" spans="1:15" ht="15.75" customHeight="1">
      <c r="A426" t="s">
        <v>29</v>
      </c>
      <c r="B426">
        <v>426881</v>
      </c>
      <c r="C426">
        <v>427174</v>
      </c>
      <c r="D426">
        <v>1</v>
      </c>
      <c r="E426" t="s">
        <v>76</v>
      </c>
      <c r="F426" t="s">
        <v>1369</v>
      </c>
      <c r="I426" t="s">
        <v>49</v>
      </c>
      <c r="L426" t="s">
        <v>1511</v>
      </c>
      <c r="M426" t="s">
        <v>1369</v>
      </c>
      <c r="N426">
        <v>97</v>
      </c>
      <c r="O426" t="s">
        <v>1512</v>
      </c>
    </row>
    <row r="427" spans="1:15" ht="15.75" customHeight="1">
      <c r="A427" t="s">
        <v>29</v>
      </c>
      <c r="B427">
        <v>427215</v>
      </c>
      <c r="C427">
        <v>427652</v>
      </c>
      <c r="D427">
        <v>1</v>
      </c>
      <c r="E427" t="s">
        <v>76</v>
      </c>
      <c r="F427" t="s">
        <v>1513</v>
      </c>
      <c r="G427" t="s">
        <v>1514</v>
      </c>
      <c r="I427" t="s">
        <v>49</v>
      </c>
      <c r="L427" t="s">
        <v>1515</v>
      </c>
      <c r="M427" t="s">
        <v>1513</v>
      </c>
      <c r="N427">
        <v>145</v>
      </c>
      <c r="O427" t="s">
        <v>1516</v>
      </c>
    </row>
    <row r="428" spans="1:15" ht="15.75" customHeight="1">
      <c r="A428" t="s">
        <v>29</v>
      </c>
      <c r="B428">
        <v>427737</v>
      </c>
      <c r="C428">
        <v>430406</v>
      </c>
      <c r="D428">
        <v>1</v>
      </c>
      <c r="E428" t="s">
        <v>76</v>
      </c>
      <c r="F428" t="s">
        <v>1517</v>
      </c>
      <c r="G428" t="s">
        <v>1518</v>
      </c>
      <c r="I428" t="s">
        <v>49</v>
      </c>
      <c r="L428" t="s">
        <v>1519</v>
      </c>
      <c r="M428" t="s">
        <v>1517</v>
      </c>
      <c r="N428">
        <v>889</v>
      </c>
      <c r="O428" t="s">
        <v>1520</v>
      </c>
    </row>
    <row r="429" spans="1:15" ht="15.75" customHeight="1">
      <c r="A429" t="s">
        <v>29</v>
      </c>
      <c r="B429">
        <v>430719</v>
      </c>
      <c r="C429">
        <v>430976</v>
      </c>
      <c r="D429">
        <v>1</v>
      </c>
      <c r="E429" t="s">
        <v>47</v>
      </c>
      <c r="F429" t="s">
        <v>1521</v>
      </c>
      <c r="I429" t="s">
        <v>49</v>
      </c>
      <c r="L429" t="s">
        <v>1522</v>
      </c>
      <c r="M429" t="s">
        <v>1521</v>
      </c>
      <c r="N429">
        <v>85</v>
      </c>
      <c r="O429" t="s">
        <v>1523</v>
      </c>
    </row>
    <row r="430" spans="1:15" ht="15.75" customHeight="1">
      <c r="A430" t="s">
        <v>29</v>
      </c>
      <c r="B430">
        <v>431300</v>
      </c>
      <c r="C430">
        <v>431533</v>
      </c>
      <c r="D430">
        <v>1</v>
      </c>
      <c r="E430" t="s">
        <v>47</v>
      </c>
      <c r="F430" t="s">
        <v>1433</v>
      </c>
      <c r="I430" t="s">
        <v>49</v>
      </c>
      <c r="L430" t="s">
        <v>1524</v>
      </c>
      <c r="M430" t="s">
        <v>1433</v>
      </c>
      <c r="N430">
        <v>77</v>
      </c>
      <c r="O430" t="s">
        <v>1525</v>
      </c>
    </row>
    <row r="431" spans="1:15" ht="15.75" customHeight="1">
      <c r="A431" t="s">
        <v>29</v>
      </c>
      <c r="B431">
        <v>431660</v>
      </c>
      <c r="C431">
        <v>432139</v>
      </c>
      <c r="D431">
        <v>1</v>
      </c>
      <c r="E431" t="s">
        <v>47</v>
      </c>
      <c r="F431" t="s">
        <v>1526</v>
      </c>
      <c r="I431" t="s">
        <v>49</v>
      </c>
      <c r="L431" t="s">
        <v>1527</v>
      </c>
      <c r="M431" t="s">
        <v>1526</v>
      </c>
      <c r="N431">
        <v>159</v>
      </c>
      <c r="O431" t="s">
        <v>1528</v>
      </c>
    </row>
    <row r="432" spans="1:15" ht="15.75" customHeight="1">
      <c r="A432" t="s">
        <v>29</v>
      </c>
      <c r="B432">
        <v>432075</v>
      </c>
      <c r="C432">
        <v>433043</v>
      </c>
      <c r="D432">
        <v>1</v>
      </c>
      <c r="E432" t="s">
        <v>76</v>
      </c>
      <c r="F432" t="s">
        <v>1529</v>
      </c>
      <c r="G432" t="s">
        <v>1530</v>
      </c>
      <c r="I432" t="s">
        <v>49</v>
      </c>
      <c r="L432" t="s">
        <v>1531</v>
      </c>
      <c r="M432" t="s">
        <v>1529</v>
      </c>
      <c r="N432">
        <v>322</v>
      </c>
      <c r="O432" t="s">
        <v>1532</v>
      </c>
    </row>
    <row r="433" spans="1:15" ht="15.75" customHeight="1">
      <c r="A433" t="s">
        <v>29</v>
      </c>
      <c r="B433">
        <v>433188</v>
      </c>
      <c r="C433">
        <v>433772</v>
      </c>
      <c r="D433">
        <v>1</v>
      </c>
      <c r="E433" t="s">
        <v>76</v>
      </c>
      <c r="F433" t="s">
        <v>1533</v>
      </c>
      <c r="I433" t="s">
        <v>49</v>
      </c>
      <c r="L433" t="s">
        <v>1534</v>
      </c>
      <c r="M433" t="s">
        <v>1533</v>
      </c>
      <c r="N433">
        <v>194</v>
      </c>
      <c r="O433" t="s">
        <v>1535</v>
      </c>
    </row>
    <row r="434" spans="1:15" ht="15.75" customHeight="1">
      <c r="A434" t="s">
        <v>29</v>
      </c>
      <c r="B434">
        <v>434012</v>
      </c>
      <c r="C434">
        <v>434509</v>
      </c>
      <c r="D434">
        <v>1</v>
      </c>
      <c r="E434" t="s">
        <v>76</v>
      </c>
      <c r="F434" t="s">
        <v>1536</v>
      </c>
      <c r="I434" t="s">
        <v>49</v>
      </c>
      <c r="L434" t="s">
        <v>1537</v>
      </c>
      <c r="M434" t="s">
        <v>1536</v>
      </c>
      <c r="N434">
        <v>165</v>
      </c>
      <c r="O434" t="s">
        <v>1538</v>
      </c>
    </row>
    <row r="435" spans="1:15" ht="15.75" customHeight="1">
      <c r="A435" t="s">
        <v>29</v>
      </c>
      <c r="B435">
        <v>434582</v>
      </c>
      <c r="C435">
        <v>435844</v>
      </c>
      <c r="D435">
        <v>1</v>
      </c>
      <c r="E435" t="s">
        <v>76</v>
      </c>
      <c r="F435" t="s">
        <v>1539</v>
      </c>
      <c r="G435" t="s">
        <v>1540</v>
      </c>
      <c r="I435" t="s">
        <v>49</v>
      </c>
      <c r="L435" t="s">
        <v>1541</v>
      </c>
      <c r="M435" t="s">
        <v>1539</v>
      </c>
      <c r="N435">
        <v>420</v>
      </c>
      <c r="O435" t="s">
        <v>1542</v>
      </c>
    </row>
    <row r="436" spans="1:15" ht="15.75" customHeight="1">
      <c r="A436" t="s">
        <v>29</v>
      </c>
      <c r="B436">
        <v>435957</v>
      </c>
      <c r="C436">
        <v>436514</v>
      </c>
      <c r="D436">
        <v>1</v>
      </c>
      <c r="E436" t="s">
        <v>76</v>
      </c>
      <c r="F436" t="s">
        <v>907</v>
      </c>
      <c r="I436" t="s">
        <v>49</v>
      </c>
      <c r="L436" t="s">
        <v>1543</v>
      </c>
      <c r="M436" t="s">
        <v>907</v>
      </c>
      <c r="N436">
        <v>185</v>
      </c>
      <c r="O436" t="s">
        <v>1544</v>
      </c>
    </row>
    <row r="437" spans="1:15" ht="15.75" customHeight="1">
      <c r="A437" t="s">
        <v>29</v>
      </c>
      <c r="B437">
        <v>436474</v>
      </c>
      <c r="C437">
        <v>436917</v>
      </c>
      <c r="D437">
        <v>1</v>
      </c>
      <c r="E437" t="s">
        <v>76</v>
      </c>
      <c r="F437" t="s">
        <v>1545</v>
      </c>
      <c r="G437" t="s">
        <v>1546</v>
      </c>
      <c r="I437" t="s">
        <v>49</v>
      </c>
      <c r="L437" t="s">
        <v>1547</v>
      </c>
      <c r="M437" t="s">
        <v>1545</v>
      </c>
      <c r="N437">
        <v>147</v>
      </c>
      <c r="O437" t="s">
        <v>1548</v>
      </c>
    </row>
    <row r="438" spans="1:15" ht="15.75" customHeight="1">
      <c r="A438" t="s">
        <v>29</v>
      </c>
      <c r="B438">
        <v>437104</v>
      </c>
      <c r="C438">
        <v>437571</v>
      </c>
      <c r="D438">
        <v>1</v>
      </c>
      <c r="E438" t="s">
        <v>76</v>
      </c>
      <c r="F438" t="s">
        <v>1549</v>
      </c>
      <c r="G438" t="s">
        <v>1550</v>
      </c>
      <c r="I438" t="s">
        <v>49</v>
      </c>
      <c r="L438" t="s">
        <v>1551</v>
      </c>
      <c r="M438" t="s">
        <v>1549</v>
      </c>
      <c r="N438">
        <v>155</v>
      </c>
      <c r="O438" t="s">
        <v>1552</v>
      </c>
    </row>
    <row r="439" spans="1:15" ht="15.75" customHeight="1">
      <c r="A439" t="s">
        <v>29</v>
      </c>
      <c r="B439">
        <v>437847</v>
      </c>
      <c r="C439">
        <v>438002</v>
      </c>
      <c r="D439">
        <v>1</v>
      </c>
      <c r="E439" t="s">
        <v>47</v>
      </c>
      <c r="F439" t="s">
        <v>176</v>
      </c>
      <c r="I439" t="s">
        <v>49</v>
      </c>
      <c r="L439" t="s">
        <v>1553</v>
      </c>
      <c r="M439" t="s">
        <v>176</v>
      </c>
      <c r="N439">
        <v>51</v>
      </c>
      <c r="O439" t="s">
        <v>1554</v>
      </c>
    </row>
    <row r="440" spans="1:15" ht="15.75" customHeight="1">
      <c r="A440" t="s">
        <v>29</v>
      </c>
      <c r="B440">
        <v>438144</v>
      </c>
      <c r="C440">
        <v>438323</v>
      </c>
      <c r="D440">
        <v>1</v>
      </c>
      <c r="E440" t="s">
        <v>47</v>
      </c>
      <c r="F440" t="s">
        <v>1555</v>
      </c>
      <c r="I440" t="s">
        <v>49</v>
      </c>
      <c r="L440" t="s">
        <v>1556</v>
      </c>
      <c r="M440" t="s">
        <v>1555</v>
      </c>
      <c r="N440">
        <v>59</v>
      </c>
      <c r="O440" t="s">
        <v>1557</v>
      </c>
    </row>
    <row r="441" spans="1:15" ht="15.75" customHeight="1">
      <c r="A441" t="s">
        <v>29</v>
      </c>
      <c r="B441">
        <v>438593</v>
      </c>
      <c r="C441">
        <v>439549</v>
      </c>
      <c r="D441">
        <v>1</v>
      </c>
      <c r="E441" t="s">
        <v>76</v>
      </c>
      <c r="F441" t="s">
        <v>1558</v>
      </c>
      <c r="G441" t="s">
        <v>1559</v>
      </c>
      <c r="I441" t="s">
        <v>49</v>
      </c>
      <c r="L441" t="s">
        <v>1560</v>
      </c>
      <c r="M441" t="s">
        <v>1558</v>
      </c>
      <c r="N441">
        <v>318</v>
      </c>
      <c r="O441" t="s">
        <v>1561</v>
      </c>
    </row>
    <row r="442" spans="1:15" ht="15.75" customHeight="1">
      <c r="A442" t="s">
        <v>29</v>
      </c>
      <c r="B442">
        <v>439549</v>
      </c>
      <c r="C442">
        <v>439884</v>
      </c>
      <c r="D442">
        <v>1</v>
      </c>
      <c r="E442" t="s">
        <v>76</v>
      </c>
      <c r="F442" t="s">
        <v>1562</v>
      </c>
      <c r="I442" t="s">
        <v>49</v>
      </c>
      <c r="L442" t="s">
        <v>1563</v>
      </c>
      <c r="M442" t="s">
        <v>1562</v>
      </c>
      <c r="N442">
        <v>111</v>
      </c>
      <c r="O442" t="s">
        <v>1564</v>
      </c>
    </row>
    <row r="443" spans="1:15" ht="15.75" customHeight="1">
      <c r="A443" t="s">
        <v>29</v>
      </c>
      <c r="B443">
        <v>439888</v>
      </c>
      <c r="C443">
        <v>440304</v>
      </c>
      <c r="D443">
        <v>1</v>
      </c>
      <c r="E443" t="s">
        <v>76</v>
      </c>
      <c r="F443" t="s">
        <v>1565</v>
      </c>
      <c r="I443" t="s">
        <v>49</v>
      </c>
      <c r="L443" t="s">
        <v>1566</v>
      </c>
      <c r="M443" t="s">
        <v>1565</v>
      </c>
      <c r="N443">
        <v>138</v>
      </c>
      <c r="O443" t="s">
        <v>1567</v>
      </c>
    </row>
    <row r="444" spans="1:15" ht="15.75" customHeight="1">
      <c r="A444" t="s">
        <v>29</v>
      </c>
      <c r="B444">
        <v>440314</v>
      </c>
      <c r="C444">
        <v>440664</v>
      </c>
      <c r="D444">
        <v>1</v>
      </c>
      <c r="E444" t="s">
        <v>76</v>
      </c>
      <c r="F444" t="s">
        <v>1568</v>
      </c>
      <c r="I444" t="s">
        <v>49</v>
      </c>
      <c r="L444" t="s">
        <v>1569</v>
      </c>
      <c r="M444" t="s">
        <v>1568</v>
      </c>
      <c r="N444">
        <v>116</v>
      </c>
      <c r="O444" t="s">
        <v>1570</v>
      </c>
    </row>
    <row r="445" spans="1:15" ht="15.75" customHeight="1">
      <c r="A445" t="s">
        <v>29</v>
      </c>
      <c r="B445">
        <v>440667</v>
      </c>
      <c r="C445">
        <v>440870</v>
      </c>
      <c r="D445">
        <v>1</v>
      </c>
      <c r="E445" t="s">
        <v>76</v>
      </c>
      <c r="F445" t="s">
        <v>1568</v>
      </c>
      <c r="I445" t="s">
        <v>49</v>
      </c>
      <c r="L445" t="s">
        <v>1571</v>
      </c>
      <c r="M445" t="s">
        <v>1568</v>
      </c>
      <c r="N445">
        <v>67</v>
      </c>
      <c r="O445" t="s">
        <v>1572</v>
      </c>
    </row>
    <row r="446" spans="1:15" ht="15.75" customHeight="1">
      <c r="A446" t="s">
        <v>29</v>
      </c>
      <c r="B446">
        <v>440851</v>
      </c>
      <c r="C446">
        <v>440967</v>
      </c>
      <c r="D446">
        <v>1</v>
      </c>
      <c r="E446" t="s">
        <v>76</v>
      </c>
      <c r="F446" t="s">
        <v>1568</v>
      </c>
      <c r="I446" t="s">
        <v>49</v>
      </c>
      <c r="L446" t="s">
        <v>1573</v>
      </c>
      <c r="M446" t="s">
        <v>1568</v>
      </c>
      <c r="N446">
        <v>38</v>
      </c>
      <c r="O446" t="s">
        <v>1574</v>
      </c>
    </row>
    <row r="447" spans="1:15" ht="15.75" customHeight="1">
      <c r="A447" t="s">
        <v>29</v>
      </c>
      <c r="B447">
        <v>440964</v>
      </c>
      <c r="C447">
        <v>444134</v>
      </c>
      <c r="D447">
        <v>1</v>
      </c>
      <c r="E447" t="s">
        <v>76</v>
      </c>
      <c r="F447" t="s">
        <v>1575</v>
      </c>
      <c r="I447" t="s">
        <v>49</v>
      </c>
      <c r="L447" t="s">
        <v>1576</v>
      </c>
      <c r="M447" t="s">
        <v>1575</v>
      </c>
      <c r="N447">
        <v>1056</v>
      </c>
      <c r="O447" t="s">
        <v>1577</v>
      </c>
    </row>
    <row r="448" spans="1:15" ht="15.75" customHeight="1">
      <c r="A448" t="s">
        <v>29</v>
      </c>
      <c r="B448">
        <v>444228</v>
      </c>
      <c r="C448">
        <v>447449</v>
      </c>
      <c r="D448">
        <v>1</v>
      </c>
      <c r="E448" t="s">
        <v>76</v>
      </c>
      <c r="F448" t="s">
        <v>1578</v>
      </c>
      <c r="G448" t="s">
        <v>1579</v>
      </c>
      <c r="I448" t="s">
        <v>49</v>
      </c>
      <c r="L448" t="s">
        <v>1580</v>
      </c>
      <c r="M448" t="s">
        <v>1578</v>
      </c>
      <c r="N448">
        <v>1073</v>
      </c>
      <c r="O448" t="s">
        <v>1581</v>
      </c>
    </row>
    <row r="449" spans="1:15" ht="15.75" customHeight="1">
      <c r="A449" t="s">
        <v>29</v>
      </c>
      <c r="B449">
        <v>447450</v>
      </c>
      <c r="C449">
        <v>448172</v>
      </c>
      <c r="D449">
        <v>1</v>
      </c>
      <c r="E449" t="s">
        <v>76</v>
      </c>
      <c r="F449" t="s">
        <v>1568</v>
      </c>
      <c r="I449" t="s">
        <v>49</v>
      </c>
      <c r="L449" t="s">
        <v>1582</v>
      </c>
      <c r="M449" t="s">
        <v>1568</v>
      </c>
      <c r="N449">
        <v>240</v>
      </c>
      <c r="O449" t="s">
        <v>1583</v>
      </c>
    </row>
    <row r="450" spans="1:15" ht="15.75" customHeight="1">
      <c r="A450" t="s">
        <v>29</v>
      </c>
      <c r="B450">
        <v>448169</v>
      </c>
      <c r="C450">
        <v>450928</v>
      </c>
      <c r="D450">
        <v>1</v>
      </c>
      <c r="E450" t="s">
        <v>76</v>
      </c>
      <c r="F450" t="s">
        <v>1584</v>
      </c>
      <c r="G450" t="s">
        <v>1585</v>
      </c>
      <c r="I450" t="s">
        <v>49</v>
      </c>
      <c r="L450" t="s">
        <v>1586</v>
      </c>
      <c r="M450" t="s">
        <v>1584</v>
      </c>
      <c r="N450">
        <v>919</v>
      </c>
      <c r="O450" t="s">
        <v>1587</v>
      </c>
    </row>
    <row r="451" spans="1:15" ht="15.75" customHeight="1">
      <c r="A451" t="s">
        <v>29</v>
      </c>
      <c r="B451">
        <v>451206</v>
      </c>
      <c r="C451">
        <v>451625</v>
      </c>
      <c r="D451">
        <v>1</v>
      </c>
      <c r="E451" t="s">
        <v>76</v>
      </c>
      <c r="F451" t="s">
        <v>1588</v>
      </c>
      <c r="I451" t="s">
        <v>49</v>
      </c>
      <c r="L451" t="s">
        <v>1589</v>
      </c>
      <c r="M451" t="s">
        <v>1588</v>
      </c>
      <c r="N451">
        <v>139</v>
      </c>
      <c r="O451" t="s">
        <v>1590</v>
      </c>
    </row>
    <row r="452" spans="1:15" ht="15.75" customHeight="1">
      <c r="A452" t="s">
        <v>29</v>
      </c>
      <c r="B452">
        <v>451637</v>
      </c>
      <c r="C452">
        <v>452215</v>
      </c>
      <c r="D452">
        <v>1</v>
      </c>
      <c r="E452" t="s">
        <v>76</v>
      </c>
      <c r="F452" t="s">
        <v>1591</v>
      </c>
      <c r="I452" t="s">
        <v>49</v>
      </c>
      <c r="L452" t="s">
        <v>1592</v>
      </c>
      <c r="M452" t="s">
        <v>1591</v>
      </c>
      <c r="N452">
        <v>192</v>
      </c>
      <c r="O452" t="s">
        <v>1593</v>
      </c>
    </row>
    <row r="453" spans="1:15" ht="15.75" customHeight="1">
      <c r="A453" t="s">
        <v>29</v>
      </c>
      <c r="B453">
        <v>452227</v>
      </c>
      <c r="C453">
        <v>452550</v>
      </c>
      <c r="D453">
        <v>1</v>
      </c>
      <c r="E453" t="s">
        <v>76</v>
      </c>
      <c r="F453" t="s">
        <v>1594</v>
      </c>
      <c r="I453" t="s">
        <v>49</v>
      </c>
      <c r="L453" t="s">
        <v>1595</v>
      </c>
      <c r="M453" t="s">
        <v>1594</v>
      </c>
      <c r="N453">
        <v>107</v>
      </c>
      <c r="O453" t="s">
        <v>1596</v>
      </c>
    </row>
    <row r="454" spans="1:15" ht="15.75" customHeight="1">
      <c r="A454" t="s">
        <v>29</v>
      </c>
      <c r="B454">
        <v>452547</v>
      </c>
      <c r="C454">
        <v>452894</v>
      </c>
      <c r="D454">
        <v>1</v>
      </c>
      <c r="E454" t="s">
        <v>76</v>
      </c>
      <c r="F454" t="s">
        <v>1597</v>
      </c>
      <c r="I454" t="s">
        <v>49</v>
      </c>
      <c r="L454" t="s">
        <v>1598</v>
      </c>
      <c r="M454" t="s">
        <v>1597</v>
      </c>
      <c r="N454">
        <v>115</v>
      </c>
      <c r="O454" t="s">
        <v>1599</v>
      </c>
    </row>
    <row r="455" spans="1:15" ht="15.75" customHeight="1">
      <c r="A455" t="s">
        <v>29</v>
      </c>
      <c r="B455">
        <v>452891</v>
      </c>
      <c r="C455">
        <v>453190</v>
      </c>
      <c r="D455">
        <v>1</v>
      </c>
      <c r="E455" t="s">
        <v>76</v>
      </c>
      <c r="F455" t="s">
        <v>1600</v>
      </c>
      <c r="I455" t="s">
        <v>49</v>
      </c>
      <c r="L455" t="s">
        <v>1601</v>
      </c>
      <c r="M455" t="s">
        <v>1600</v>
      </c>
      <c r="N455">
        <v>99</v>
      </c>
      <c r="O455" t="s">
        <v>1602</v>
      </c>
    </row>
    <row r="456" spans="1:15" ht="15.75" customHeight="1">
      <c r="A456" t="s">
        <v>29</v>
      </c>
      <c r="B456">
        <v>453177</v>
      </c>
      <c r="C456">
        <v>453458</v>
      </c>
      <c r="D456">
        <v>1</v>
      </c>
      <c r="E456" t="s">
        <v>76</v>
      </c>
      <c r="F456" t="s">
        <v>1603</v>
      </c>
      <c r="I456" t="s">
        <v>49</v>
      </c>
      <c r="L456" t="s">
        <v>1604</v>
      </c>
      <c r="M456" t="s">
        <v>1603</v>
      </c>
      <c r="N456">
        <v>93</v>
      </c>
      <c r="O456" t="s">
        <v>1605</v>
      </c>
    </row>
    <row r="457" spans="1:15" ht="15.75" customHeight="1">
      <c r="A457" t="s">
        <v>29</v>
      </c>
      <c r="B457">
        <v>453461</v>
      </c>
      <c r="C457">
        <v>453751</v>
      </c>
      <c r="D457">
        <v>1</v>
      </c>
      <c r="E457" t="s">
        <v>76</v>
      </c>
      <c r="F457" t="s">
        <v>1568</v>
      </c>
      <c r="I457" t="s">
        <v>49</v>
      </c>
      <c r="L457" t="s">
        <v>1606</v>
      </c>
      <c r="M457" t="s">
        <v>1568</v>
      </c>
      <c r="N457">
        <v>96</v>
      </c>
      <c r="O457" t="s">
        <v>1607</v>
      </c>
    </row>
    <row r="458" spans="1:15" ht="15.75" customHeight="1">
      <c r="A458" t="s">
        <v>29</v>
      </c>
      <c r="B458">
        <v>453763</v>
      </c>
      <c r="C458">
        <v>454935</v>
      </c>
      <c r="D458">
        <v>1</v>
      </c>
      <c r="E458" t="s">
        <v>76</v>
      </c>
      <c r="F458" t="s">
        <v>1608</v>
      </c>
      <c r="I458" t="s">
        <v>49</v>
      </c>
      <c r="L458" t="s">
        <v>1609</v>
      </c>
      <c r="M458" t="s">
        <v>1608</v>
      </c>
      <c r="N458">
        <v>390</v>
      </c>
      <c r="O458" t="s">
        <v>1610</v>
      </c>
    </row>
    <row r="459" spans="1:15" ht="15.75" customHeight="1">
      <c r="A459" t="s">
        <v>29</v>
      </c>
      <c r="B459">
        <v>454932</v>
      </c>
      <c r="C459">
        <v>455507</v>
      </c>
      <c r="D459">
        <v>1</v>
      </c>
      <c r="E459" t="s">
        <v>76</v>
      </c>
      <c r="F459" t="s">
        <v>1611</v>
      </c>
      <c r="I459" t="s">
        <v>49</v>
      </c>
      <c r="L459" t="s">
        <v>1612</v>
      </c>
      <c r="M459" t="s">
        <v>1611</v>
      </c>
      <c r="N459">
        <v>191</v>
      </c>
      <c r="O459" t="s">
        <v>1613</v>
      </c>
    </row>
    <row r="460" spans="1:15" ht="15.75" customHeight="1">
      <c r="A460" t="s">
        <v>29</v>
      </c>
      <c r="B460">
        <v>455491</v>
      </c>
      <c r="C460">
        <v>456693</v>
      </c>
      <c r="D460">
        <v>1</v>
      </c>
      <c r="E460" t="s">
        <v>76</v>
      </c>
      <c r="F460" t="s">
        <v>1614</v>
      </c>
      <c r="I460" t="s">
        <v>49</v>
      </c>
      <c r="L460" t="s">
        <v>1615</v>
      </c>
      <c r="M460" t="s">
        <v>1614</v>
      </c>
      <c r="N460">
        <v>400</v>
      </c>
      <c r="O460" t="s">
        <v>1616</v>
      </c>
    </row>
    <row r="461" spans="1:15" ht="15.75" customHeight="1">
      <c r="A461" t="s">
        <v>29</v>
      </c>
      <c r="B461">
        <v>456711</v>
      </c>
      <c r="C461">
        <v>456929</v>
      </c>
      <c r="D461">
        <v>1</v>
      </c>
      <c r="E461" t="s">
        <v>76</v>
      </c>
      <c r="F461" t="s">
        <v>1568</v>
      </c>
      <c r="I461" t="s">
        <v>49</v>
      </c>
      <c r="L461" t="s">
        <v>1617</v>
      </c>
      <c r="M461" t="s">
        <v>1568</v>
      </c>
      <c r="N461">
        <v>72</v>
      </c>
      <c r="O461" t="s">
        <v>1618</v>
      </c>
    </row>
    <row r="462" spans="1:15" ht="15.75" customHeight="1">
      <c r="A462" t="s">
        <v>29</v>
      </c>
      <c r="B462">
        <v>456937</v>
      </c>
      <c r="C462">
        <v>458667</v>
      </c>
      <c r="D462">
        <v>1</v>
      </c>
      <c r="E462" t="s">
        <v>76</v>
      </c>
      <c r="F462" t="s">
        <v>1619</v>
      </c>
      <c r="I462" t="s">
        <v>49</v>
      </c>
      <c r="L462" t="s">
        <v>1620</v>
      </c>
      <c r="M462" t="s">
        <v>1619</v>
      </c>
      <c r="N462">
        <v>576</v>
      </c>
      <c r="O462" t="s">
        <v>1621</v>
      </c>
    </row>
    <row r="463" spans="1:15" ht="15.75" customHeight="1">
      <c r="A463" t="s">
        <v>29</v>
      </c>
      <c r="B463">
        <v>458660</v>
      </c>
      <c r="C463">
        <v>459052</v>
      </c>
      <c r="D463">
        <v>1</v>
      </c>
      <c r="E463" t="s">
        <v>76</v>
      </c>
      <c r="F463" t="s">
        <v>1622</v>
      </c>
      <c r="I463" t="s">
        <v>49</v>
      </c>
      <c r="L463" t="s">
        <v>1623</v>
      </c>
      <c r="M463" t="s">
        <v>1622</v>
      </c>
      <c r="N463">
        <v>130</v>
      </c>
      <c r="O463" t="s">
        <v>1624</v>
      </c>
    </row>
    <row r="464" spans="1:15" ht="15.75" customHeight="1">
      <c r="A464" t="s">
        <v>29</v>
      </c>
      <c r="B464">
        <v>459197</v>
      </c>
      <c r="C464">
        <v>459502</v>
      </c>
      <c r="D464">
        <v>1</v>
      </c>
      <c r="E464" t="s">
        <v>76</v>
      </c>
      <c r="F464" t="s">
        <v>1625</v>
      </c>
      <c r="I464" t="s">
        <v>49</v>
      </c>
      <c r="L464" t="s">
        <v>1626</v>
      </c>
      <c r="M464" t="s">
        <v>1625</v>
      </c>
      <c r="N464">
        <v>101</v>
      </c>
      <c r="O464" t="s">
        <v>1627</v>
      </c>
    </row>
    <row r="465" spans="1:15" ht="15.75" customHeight="1">
      <c r="A465" t="s">
        <v>29</v>
      </c>
      <c r="B465">
        <v>459622</v>
      </c>
      <c r="C465">
        <v>459813</v>
      </c>
      <c r="D465">
        <v>1</v>
      </c>
      <c r="E465" t="s">
        <v>76</v>
      </c>
      <c r="F465" t="s">
        <v>176</v>
      </c>
      <c r="I465" t="s">
        <v>49</v>
      </c>
      <c r="L465" t="s">
        <v>1628</v>
      </c>
      <c r="M465" t="s">
        <v>176</v>
      </c>
      <c r="N465">
        <v>63</v>
      </c>
      <c r="O465" t="s">
        <v>1629</v>
      </c>
    </row>
    <row r="466" spans="1:15" ht="15.75" customHeight="1">
      <c r="A466" t="s">
        <v>29</v>
      </c>
      <c r="B466">
        <v>459977</v>
      </c>
      <c r="C466">
        <v>460567</v>
      </c>
      <c r="D466">
        <v>1</v>
      </c>
      <c r="E466" t="s">
        <v>76</v>
      </c>
      <c r="F466" t="s">
        <v>1630</v>
      </c>
      <c r="I466" t="s">
        <v>49</v>
      </c>
      <c r="L466" t="s">
        <v>1631</v>
      </c>
      <c r="M466" t="s">
        <v>1630</v>
      </c>
      <c r="N466">
        <v>196</v>
      </c>
      <c r="O466" t="s">
        <v>1632</v>
      </c>
    </row>
    <row r="467" spans="1:15" ht="15.75" customHeight="1">
      <c r="A467" t="s">
        <v>29</v>
      </c>
      <c r="B467">
        <v>460708</v>
      </c>
      <c r="C467">
        <v>461109</v>
      </c>
      <c r="D467">
        <v>1</v>
      </c>
      <c r="E467" t="s">
        <v>76</v>
      </c>
      <c r="F467" t="s">
        <v>1633</v>
      </c>
      <c r="I467" t="s">
        <v>49</v>
      </c>
      <c r="L467" t="s">
        <v>1634</v>
      </c>
      <c r="M467" t="s">
        <v>1633</v>
      </c>
      <c r="N467">
        <v>133</v>
      </c>
      <c r="O467" t="s">
        <v>1635</v>
      </c>
    </row>
    <row r="468" spans="1:15" ht="15.75" customHeight="1">
      <c r="A468" t="s">
        <v>29</v>
      </c>
      <c r="B468">
        <v>461340</v>
      </c>
      <c r="C468">
        <v>461483</v>
      </c>
      <c r="D468">
        <v>1</v>
      </c>
      <c r="E468" t="s">
        <v>76</v>
      </c>
      <c r="F468" t="s">
        <v>176</v>
      </c>
      <c r="I468" t="s">
        <v>49</v>
      </c>
      <c r="L468" t="s">
        <v>1636</v>
      </c>
      <c r="M468" t="s">
        <v>176</v>
      </c>
      <c r="N468">
        <v>47</v>
      </c>
      <c r="O468" t="s">
        <v>1637</v>
      </c>
    </row>
    <row r="469" spans="1:15" ht="15.75" customHeight="1">
      <c r="A469" t="s">
        <v>29</v>
      </c>
      <c r="B469">
        <v>461476</v>
      </c>
      <c r="C469">
        <v>461712</v>
      </c>
      <c r="D469">
        <v>1</v>
      </c>
      <c r="E469" t="s">
        <v>76</v>
      </c>
      <c r="F469" t="s">
        <v>1638</v>
      </c>
      <c r="I469" t="s">
        <v>49</v>
      </c>
      <c r="L469" t="s">
        <v>1639</v>
      </c>
      <c r="M469" t="s">
        <v>1638</v>
      </c>
      <c r="N469">
        <v>78</v>
      </c>
      <c r="O469" t="s">
        <v>1640</v>
      </c>
    </row>
    <row r="470" spans="1:15" ht="15.75" customHeight="1">
      <c r="A470" t="s">
        <v>29</v>
      </c>
      <c r="B470">
        <v>461712</v>
      </c>
      <c r="C470">
        <v>462101</v>
      </c>
      <c r="D470">
        <v>1</v>
      </c>
      <c r="E470" t="s">
        <v>76</v>
      </c>
      <c r="F470" t="s">
        <v>1568</v>
      </c>
      <c r="I470" t="s">
        <v>49</v>
      </c>
      <c r="L470" t="s">
        <v>1641</v>
      </c>
      <c r="M470" t="s">
        <v>1568</v>
      </c>
      <c r="N470">
        <v>129</v>
      </c>
      <c r="O470" t="s">
        <v>1642</v>
      </c>
    </row>
    <row r="471" spans="1:15" ht="15.75" customHeight="1">
      <c r="A471" t="s">
        <v>29</v>
      </c>
      <c r="B471">
        <v>462098</v>
      </c>
      <c r="C471">
        <v>462451</v>
      </c>
      <c r="D471">
        <v>1</v>
      </c>
      <c r="E471" t="s">
        <v>76</v>
      </c>
      <c r="F471" t="s">
        <v>1643</v>
      </c>
      <c r="I471" t="s">
        <v>49</v>
      </c>
      <c r="L471" t="s">
        <v>1644</v>
      </c>
      <c r="M471" t="s">
        <v>1643</v>
      </c>
      <c r="N471">
        <v>117</v>
      </c>
      <c r="O471" t="s">
        <v>1645</v>
      </c>
    </row>
    <row r="472" spans="1:15" ht="15.75" customHeight="1">
      <c r="A472" t="s">
        <v>29</v>
      </c>
      <c r="B472">
        <v>462487</v>
      </c>
      <c r="C472">
        <v>462612</v>
      </c>
      <c r="D472">
        <v>1</v>
      </c>
      <c r="E472" t="s">
        <v>76</v>
      </c>
      <c r="F472" t="s">
        <v>1643</v>
      </c>
      <c r="I472" t="s">
        <v>49</v>
      </c>
      <c r="L472" t="s">
        <v>1646</v>
      </c>
      <c r="M472" t="s">
        <v>1643</v>
      </c>
      <c r="N472">
        <v>41</v>
      </c>
      <c r="O472" t="s">
        <v>1647</v>
      </c>
    </row>
    <row r="473" spans="1:15" ht="15.75" customHeight="1">
      <c r="A473" t="s">
        <v>29</v>
      </c>
      <c r="B473">
        <v>462612</v>
      </c>
      <c r="C473">
        <v>463037</v>
      </c>
      <c r="D473">
        <v>1</v>
      </c>
      <c r="E473" t="s">
        <v>76</v>
      </c>
      <c r="F473" t="s">
        <v>1568</v>
      </c>
      <c r="I473" t="s">
        <v>49</v>
      </c>
      <c r="L473" t="s">
        <v>1648</v>
      </c>
      <c r="M473" t="s">
        <v>1568</v>
      </c>
      <c r="N473">
        <v>141</v>
      </c>
      <c r="O473" t="s">
        <v>1649</v>
      </c>
    </row>
    <row r="474" spans="1:15" ht="15.75" customHeight="1">
      <c r="A474" t="s">
        <v>29</v>
      </c>
      <c r="B474">
        <v>463027</v>
      </c>
      <c r="C474">
        <v>463353</v>
      </c>
      <c r="D474">
        <v>1</v>
      </c>
      <c r="E474" t="s">
        <v>76</v>
      </c>
      <c r="F474" t="s">
        <v>1650</v>
      </c>
      <c r="I474" t="s">
        <v>49</v>
      </c>
      <c r="L474" t="s">
        <v>1651</v>
      </c>
      <c r="M474" t="s">
        <v>1650</v>
      </c>
      <c r="N474">
        <v>108</v>
      </c>
      <c r="O474" t="s">
        <v>1652</v>
      </c>
    </row>
    <row r="475" spans="1:15" ht="15.75" customHeight="1">
      <c r="A475" t="s">
        <v>29</v>
      </c>
      <c r="B475">
        <v>463524</v>
      </c>
      <c r="C475">
        <v>463691</v>
      </c>
      <c r="D475">
        <v>1</v>
      </c>
      <c r="E475" t="s">
        <v>76</v>
      </c>
      <c r="F475" t="s">
        <v>1568</v>
      </c>
      <c r="I475" t="s">
        <v>49</v>
      </c>
      <c r="L475" t="s">
        <v>1653</v>
      </c>
      <c r="M475" t="s">
        <v>1568</v>
      </c>
      <c r="N475">
        <v>55</v>
      </c>
      <c r="O475" t="s">
        <v>1654</v>
      </c>
    </row>
    <row r="476" spans="1:15" ht="15.75" customHeight="1">
      <c r="A476" t="s">
        <v>29</v>
      </c>
      <c r="B476">
        <v>463721</v>
      </c>
      <c r="C476">
        <v>463825</v>
      </c>
      <c r="D476">
        <v>1</v>
      </c>
      <c r="E476" t="s">
        <v>76</v>
      </c>
      <c r="F476" t="s">
        <v>1568</v>
      </c>
      <c r="I476" t="s">
        <v>49</v>
      </c>
      <c r="L476" t="s">
        <v>1655</v>
      </c>
      <c r="M476" t="s">
        <v>1568</v>
      </c>
      <c r="N476">
        <v>34</v>
      </c>
      <c r="O476" t="s">
        <v>1656</v>
      </c>
    </row>
    <row r="477" spans="1:15" ht="15.75" customHeight="1">
      <c r="A477" t="s">
        <v>29</v>
      </c>
      <c r="B477">
        <v>463818</v>
      </c>
      <c r="C477">
        <v>464045</v>
      </c>
      <c r="D477">
        <v>1</v>
      </c>
      <c r="E477" t="s">
        <v>76</v>
      </c>
      <c r="F477" t="s">
        <v>1568</v>
      </c>
      <c r="I477" t="s">
        <v>49</v>
      </c>
      <c r="L477" t="s">
        <v>1657</v>
      </c>
      <c r="M477" t="s">
        <v>1568</v>
      </c>
      <c r="N477">
        <v>75</v>
      </c>
      <c r="O477" t="s">
        <v>1658</v>
      </c>
    </row>
    <row r="478" spans="1:15" ht="15.75" customHeight="1">
      <c r="A478" t="s">
        <v>29</v>
      </c>
      <c r="B478">
        <v>464045</v>
      </c>
      <c r="C478">
        <v>464239</v>
      </c>
      <c r="D478">
        <v>1</v>
      </c>
      <c r="E478" t="s">
        <v>76</v>
      </c>
      <c r="F478" t="s">
        <v>176</v>
      </c>
      <c r="I478" t="s">
        <v>49</v>
      </c>
      <c r="L478" t="s">
        <v>1659</v>
      </c>
      <c r="M478" t="s">
        <v>176</v>
      </c>
      <c r="N478">
        <v>64</v>
      </c>
      <c r="O478" t="s">
        <v>1660</v>
      </c>
    </row>
    <row r="479" spans="1:15" ht="15.75" customHeight="1">
      <c r="A479" t="s">
        <v>29</v>
      </c>
      <c r="B479">
        <v>464254</v>
      </c>
      <c r="C479">
        <v>465024</v>
      </c>
      <c r="D479">
        <v>1</v>
      </c>
      <c r="E479" t="s">
        <v>76</v>
      </c>
      <c r="F479" t="s">
        <v>1661</v>
      </c>
      <c r="G479" t="s">
        <v>1662</v>
      </c>
      <c r="I479" t="s">
        <v>49</v>
      </c>
      <c r="L479" t="s">
        <v>1663</v>
      </c>
      <c r="M479" t="s">
        <v>1661</v>
      </c>
      <c r="N479">
        <v>256</v>
      </c>
      <c r="O479" t="s">
        <v>1664</v>
      </c>
    </row>
    <row r="480" spans="1:15" ht="15.75" customHeight="1">
      <c r="A480" t="s">
        <v>29</v>
      </c>
      <c r="B480">
        <v>465018</v>
      </c>
      <c r="C480">
        <v>465176</v>
      </c>
      <c r="D480">
        <v>1</v>
      </c>
      <c r="E480" t="s">
        <v>76</v>
      </c>
      <c r="F480" t="s">
        <v>1568</v>
      </c>
      <c r="I480" t="s">
        <v>49</v>
      </c>
      <c r="L480" t="s">
        <v>1665</v>
      </c>
      <c r="M480" t="s">
        <v>1568</v>
      </c>
      <c r="N480">
        <v>52</v>
      </c>
      <c r="O480" t="s">
        <v>1666</v>
      </c>
    </row>
    <row r="481" spans="1:15" ht="15.75" customHeight="1">
      <c r="A481" t="s">
        <v>29</v>
      </c>
      <c r="B481">
        <v>465164</v>
      </c>
      <c r="C481">
        <v>466021</v>
      </c>
      <c r="D481">
        <v>1</v>
      </c>
      <c r="E481" t="s">
        <v>76</v>
      </c>
      <c r="F481" t="s">
        <v>1667</v>
      </c>
      <c r="I481" t="s">
        <v>49</v>
      </c>
      <c r="L481" t="s">
        <v>1668</v>
      </c>
      <c r="M481" t="s">
        <v>1667</v>
      </c>
      <c r="N481">
        <v>285</v>
      </c>
      <c r="O481" t="s">
        <v>1669</v>
      </c>
    </row>
    <row r="482" spans="1:15" ht="15.75" customHeight="1">
      <c r="A482" t="s">
        <v>29</v>
      </c>
      <c r="B482">
        <v>465984</v>
      </c>
      <c r="C482">
        <v>466280</v>
      </c>
      <c r="D482">
        <v>1</v>
      </c>
      <c r="E482" t="s">
        <v>76</v>
      </c>
      <c r="F482" t="s">
        <v>1670</v>
      </c>
      <c r="I482" t="s">
        <v>49</v>
      </c>
      <c r="L482" t="s">
        <v>1671</v>
      </c>
      <c r="M482" t="s">
        <v>1670</v>
      </c>
      <c r="N482">
        <v>98</v>
      </c>
      <c r="O482" t="s">
        <v>1672</v>
      </c>
    </row>
    <row r="483" spans="1:15" ht="15.75" customHeight="1">
      <c r="A483" t="s">
        <v>29</v>
      </c>
      <c r="B483">
        <v>466296</v>
      </c>
      <c r="C483">
        <v>466616</v>
      </c>
      <c r="D483">
        <v>1</v>
      </c>
      <c r="E483" t="s">
        <v>76</v>
      </c>
      <c r="F483" t="s">
        <v>1673</v>
      </c>
      <c r="I483" t="s">
        <v>49</v>
      </c>
      <c r="L483" t="s">
        <v>1674</v>
      </c>
      <c r="M483" t="s">
        <v>1673</v>
      </c>
      <c r="N483">
        <v>106</v>
      </c>
      <c r="O483" t="s">
        <v>1675</v>
      </c>
    </row>
    <row r="484" spans="1:15" ht="15.75" customHeight="1">
      <c r="A484" t="s">
        <v>29</v>
      </c>
      <c r="B484">
        <v>466702</v>
      </c>
      <c r="C484">
        <v>466959</v>
      </c>
      <c r="D484">
        <v>1</v>
      </c>
      <c r="E484" t="s">
        <v>76</v>
      </c>
      <c r="F484" t="s">
        <v>1568</v>
      </c>
      <c r="I484" t="s">
        <v>49</v>
      </c>
      <c r="L484" t="s">
        <v>1676</v>
      </c>
      <c r="M484" t="s">
        <v>1568</v>
      </c>
      <c r="N484">
        <v>85</v>
      </c>
      <c r="O484" t="s">
        <v>1677</v>
      </c>
    </row>
    <row r="485" spans="1:15" ht="15.75" customHeight="1">
      <c r="A485" t="s">
        <v>29</v>
      </c>
      <c r="B485">
        <v>466972</v>
      </c>
      <c r="C485">
        <v>467685</v>
      </c>
      <c r="D485">
        <v>1</v>
      </c>
      <c r="E485" t="s">
        <v>76</v>
      </c>
      <c r="F485" t="s">
        <v>1678</v>
      </c>
      <c r="I485" t="s">
        <v>49</v>
      </c>
      <c r="L485" t="s">
        <v>1679</v>
      </c>
      <c r="M485" t="s">
        <v>1678</v>
      </c>
      <c r="N485">
        <v>237</v>
      </c>
      <c r="O485" t="s">
        <v>1680</v>
      </c>
    </row>
    <row r="486" spans="1:15" ht="15.75" customHeight="1">
      <c r="A486" t="s">
        <v>29</v>
      </c>
      <c r="B486">
        <v>467739</v>
      </c>
      <c r="C486">
        <v>468164</v>
      </c>
      <c r="D486">
        <v>1</v>
      </c>
      <c r="E486" t="s">
        <v>47</v>
      </c>
      <c r="F486" t="s">
        <v>1681</v>
      </c>
      <c r="I486" t="s">
        <v>49</v>
      </c>
      <c r="L486" t="s">
        <v>1682</v>
      </c>
      <c r="M486" t="s">
        <v>1681</v>
      </c>
      <c r="N486">
        <v>141</v>
      </c>
      <c r="O486" t="s">
        <v>1683</v>
      </c>
    </row>
    <row r="487" spans="1:15" ht="15.75" customHeight="1">
      <c r="A487" t="s">
        <v>29</v>
      </c>
      <c r="B487">
        <v>468159</v>
      </c>
      <c r="C487">
        <v>468320</v>
      </c>
      <c r="D487">
        <v>1</v>
      </c>
      <c r="E487" t="s">
        <v>76</v>
      </c>
      <c r="F487" t="s">
        <v>1684</v>
      </c>
      <c r="I487" t="s">
        <v>49</v>
      </c>
      <c r="L487" t="s">
        <v>1685</v>
      </c>
      <c r="M487" t="s">
        <v>1684</v>
      </c>
      <c r="N487">
        <v>53</v>
      </c>
      <c r="O487" t="s">
        <v>1686</v>
      </c>
    </row>
    <row r="488" spans="1:15" ht="15.75" customHeight="1">
      <c r="A488" t="s">
        <v>29</v>
      </c>
      <c r="B488">
        <v>468331</v>
      </c>
      <c r="C488">
        <v>468528</v>
      </c>
      <c r="D488">
        <v>1</v>
      </c>
      <c r="E488" t="s">
        <v>76</v>
      </c>
      <c r="F488" t="s">
        <v>1687</v>
      </c>
      <c r="I488" t="s">
        <v>49</v>
      </c>
      <c r="L488" t="s">
        <v>1688</v>
      </c>
      <c r="M488" t="s">
        <v>1687</v>
      </c>
      <c r="N488">
        <v>65</v>
      </c>
      <c r="O488" t="s">
        <v>1689</v>
      </c>
    </row>
    <row r="489" spans="1:15" ht="15.75" customHeight="1">
      <c r="A489" t="s">
        <v>29</v>
      </c>
      <c r="B489">
        <v>468545</v>
      </c>
      <c r="C489">
        <v>468748</v>
      </c>
      <c r="D489">
        <v>1</v>
      </c>
      <c r="E489" t="s">
        <v>76</v>
      </c>
      <c r="F489" t="s">
        <v>1690</v>
      </c>
      <c r="I489" t="s">
        <v>49</v>
      </c>
      <c r="L489" t="s">
        <v>1691</v>
      </c>
      <c r="M489" t="s">
        <v>1690</v>
      </c>
      <c r="N489">
        <v>67</v>
      </c>
      <c r="O489" t="s">
        <v>1692</v>
      </c>
    </row>
    <row r="490" spans="1:15" ht="15.75" customHeight="1">
      <c r="A490" t="s">
        <v>29</v>
      </c>
      <c r="B490">
        <v>468741</v>
      </c>
      <c r="C490">
        <v>469115</v>
      </c>
      <c r="D490">
        <v>1</v>
      </c>
      <c r="E490" t="s">
        <v>76</v>
      </c>
      <c r="F490" t="s">
        <v>176</v>
      </c>
      <c r="I490" t="s">
        <v>49</v>
      </c>
      <c r="L490" t="s">
        <v>1693</v>
      </c>
      <c r="M490" t="s">
        <v>176</v>
      </c>
      <c r="N490">
        <v>124</v>
      </c>
      <c r="O490" t="s">
        <v>1694</v>
      </c>
    </row>
    <row r="491" spans="1:15" ht="15.75" customHeight="1">
      <c r="A491" t="s">
        <v>29</v>
      </c>
      <c r="B491">
        <v>469159</v>
      </c>
      <c r="C491">
        <v>469305</v>
      </c>
      <c r="D491">
        <v>1</v>
      </c>
      <c r="E491" t="s">
        <v>76</v>
      </c>
      <c r="F491" t="s">
        <v>176</v>
      </c>
      <c r="I491" t="s">
        <v>49</v>
      </c>
      <c r="L491" t="s">
        <v>1695</v>
      </c>
      <c r="M491" t="s">
        <v>176</v>
      </c>
      <c r="N491">
        <v>48</v>
      </c>
      <c r="O491" t="s">
        <v>1696</v>
      </c>
    </row>
    <row r="492" spans="1:15" ht="15.75" customHeight="1">
      <c r="A492" t="s">
        <v>29</v>
      </c>
      <c r="B492">
        <v>469590</v>
      </c>
      <c r="C492">
        <v>469958</v>
      </c>
      <c r="D492">
        <v>1</v>
      </c>
      <c r="E492" t="s">
        <v>47</v>
      </c>
      <c r="F492" t="s">
        <v>1697</v>
      </c>
      <c r="I492" t="s">
        <v>49</v>
      </c>
      <c r="L492" t="s">
        <v>1698</v>
      </c>
      <c r="M492" t="s">
        <v>1697</v>
      </c>
      <c r="N492">
        <v>122</v>
      </c>
      <c r="O492" t="s">
        <v>1699</v>
      </c>
    </row>
    <row r="493" spans="1:15" ht="15.75" customHeight="1">
      <c r="A493" t="s">
        <v>29</v>
      </c>
      <c r="B493">
        <v>469958</v>
      </c>
      <c r="C493">
        <v>470191</v>
      </c>
      <c r="D493">
        <v>1</v>
      </c>
      <c r="E493" t="s">
        <v>47</v>
      </c>
      <c r="F493" t="s">
        <v>176</v>
      </c>
      <c r="I493" t="s">
        <v>49</v>
      </c>
      <c r="L493" t="s">
        <v>1700</v>
      </c>
      <c r="M493" t="s">
        <v>176</v>
      </c>
      <c r="N493">
        <v>77</v>
      </c>
      <c r="O493" t="s">
        <v>1701</v>
      </c>
    </row>
    <row r="494" spans="1:15" ht="15.75" customHeight="1">
      <c r="A494" t="s">
        <v>29</v>
      </c>
      <c r="B494">
        <v>470191</v>
      </c>
      <c r="C494">
        <v>470454</v>
      </c>
      <c r="D494">
        <v>1</v>
      </c>
      <c r="E494" t="s">
        <v>47</v>
      </c>
      <c r="F494" t="s">
        <v>1702</v>
      </c>
      <c r="G494" t="s">
        <v>1703</v>
      </c>
      <c r="I494" t="s">
        <v>49</v>
      </c>
      <c r="L494" t="s">
        <v>1704</v>
      </c>
      <c r="M494" t="s">
        <v>1702</v>
      </c>
      <c r="N494">
        <v>87</v>
      </c>
      <c r="O494" t="s">
        <v>1705</v>
      </c>
    </row>
    <row r="495" spans="1:15" ht="15.75" customHeight="1">
      <c r="A495" t="s">
        <v>29</v>
      </c>
      <c r="B495">
        <v>470467</v>
      </c>
      <c r="C495">
        <v>470625</v>
      </c>
      <c r="D495">
        <v>1</v>
      </c>
      <c r="E495" t="s">
        <v>47</v>
      </c>
      <c r="F495" t="s">
        <v>1706</v>
      </c>
      <c r="I495" t="s">
        <v>49</v>
      </c>
      <c r="L495" t="s">
        <v>1707</v>
      </c>
      <c r="M495" t="s">
        <v>1706</v>
      </c>
      <c r="N495">
        <v>52</v>
      </c>
      <c r="O495" t="s">
        <v>1708</v>
      </c>
    </row>
    <row r="496" spans="1:15" ht="15.75" customHeight="1">
      <c r="A496" t="s">
        <v>29</v>
      </c>
      <c r="B496">
        <v>470885</v>
      </c>
      <c r="C496">
        <v>471697</v>
      </c>
      <c r="D496">
        <v>1</v>
      </c>
      <c r="E496" t="s">
        <v>47</v>
      </c>
      <c r="F496" t="s">
        <v>1568</v>
      </c>
      <c r="I496" t="s">
        <v>49</v>
      </c>
      <c r="L496" t="s">
        <v>1709</v>
      </c>
      <c r="M496" t="s">
        <v>1568</v>
      </c>
      <c r="N496">
        <v>270</v>
      </c>
      <c r="O496" t="s">
        <v>1710</v>
      </c>
    </row>
    <row r="497" spans="1:15" ht="15.75" customHeight="1">
      <c r="A497" t="s">
        <v>29</v>
      </c>
      <c r="B497">
        <v>471872</v>
      </c>
      <c r="C497">
        <v>473020</v>
      </c>
      <c r="D497">
        <v>1</v>
      </c>
      <c r="E497" t="s">
        <v>47</v>
      </c>
      <c r="F497" t="s">
        <v>393</v>
      </c>
      <c r="G497" t="s">
        <v>1711</v>
      </c>
      <c r="I497" t="s">
        <v>49</v>
      </c>
      <c r="L497" t="s">
        <v>1712</v>
      </c>
      <c r="M497" t="s">
        <v>393</v>
      </c>
      <c r="N497">
        <v>382</v>
      </c>
      <c r="O497" t="s">
        <v>1713</v>
      </c>
    </row>
    <row r="498" spans="1:15" ht="15.75" customHeight="1">
      <c r="A498" t="s">
        <v>29</v>
      </c>
      <c r="B498">
        <v>473252</v>
      </c>
      <c r="C498">
        <v>474580</v>
      </c>
      <c r="D498">
        <v>1</v>
      </c>
      <c r="E498" t="s">
        <v>76</v>
      </c>
      <c r="F498" t="s">
        <v>1714</v>
      </c>
      <c r="G498" t="s">
        <v>1715</v>
      </c>
      <c r="I498" t="s">
        <v>49</v>
      </c>
      <c r="L498" t="s">
        <v>1716</v>
      </c>
      <c r="M498" t="s">
        <v>1714</v>
      </c>
      <c r="N498">
        <v>442</v>
      </c>
      <c r="O498" t="s">
        <v>1717</v>
      </c>
    </row>
    <row r="499" spans="1:15" ht="15.75" customHeight="1">
      <c r="A499" t="s">
        <v>29</v>
      </c>
      <c r="B499">
        <v>474769</v>
      </c>
      <c r="C499">
        <v>475005</v>
      </c>
      <c r="D499">
        <v>1</v>
      </c>
      <c r="E499" t="s">
        <v>76</v>
      </c>
      <c r="F499" t="s">
        <v>1718</v>
      </c>
      <c r="I499" t="s">
        <v>49</v>
      </c>
      <c r="L499" t="s">
        <v>1719</v>
      </c>
      <c r="M499" t="s">
        <v>1718</v>
      </c>
      <c r="N499">
        <v>78</v>
      </c>
      <c r="O499" t="s">
        <v>1720</v>
      </c>
    </row>
    <row r="500" spans="1:15" ht="15.75" customHeight="1">
      <c r="A500" t="s">
        <v>29</v>
      </c>
      <c r="B500">
        <v>476619</v>
      </c>
      <c r="C500">
        <v>476948</v>
      </c>
      <c r="D500">
        <v>1</v>
      </c>
      <c r="E500" t="s">
        <v>76</v>
      </c>
      <c r="F500" t="s">
        <v>559</v>
      </c>
      <c r="I500" t="s">
        <v>49</v>
      </c>
      <c r="L500" t="s">
        <v>1721</v>
      </c>
      <c r="M500" t="s">
        <v>559</v>
      </c>
      <c r="N500">
        <v>109</v>
      </c>
      <c r="O500" t="s">
        <v>1722</v>
      </c>
    </row>
    <row r="501" spans="1:15" ht="15.75" customHeight="1">
      <c r="A501" t="s">
        <v>29</v>
      </c>
      <c r="B501">
        <v>477056</v>
      </c>
      <c r="C501">
        <v>477129</v>
      </c>
      <c r="D501">
        <v>1</v>
      </c>
      <c r="E501" t="s">
        <v>76</v>
      </c>
      <c r="F501" t="s">
        <v>1723</v>
      </c>
      <c r="I501" t="s">
        <v>1724</v>
      </c>
      <c r="O501" t="s">
        <v>1725</v>
      </c>
    </row>
    <row r="502" spans="1:15" ht="15.75" customHeight="1">
      <c r="A502" t="s">
        <v>29</v>
      </c>
      <c r="B502">
        <v>480352</v>
      </c>
      <c r="C502">
        <v>480426</v>
      </c>
      <c r="D502">
        <v>1</v>
      </c>
      <c r="E502" t="s">
        <v>76</v>
      </c>
      <c r="F502" t="s">
        <v>1726</v>
      </c>
      <c r="I502" t="s">
        <v>1724</v>
      </c>
      <c r="O502" t="s">
        <v>1727</v>
      </c>
    </row>
    <row r="503" spans="1:15" ht="15.75" customHeight="1">
      <c r="A503" t="s">
        <v>29</v>
      </c>
      <c r="B503">
        <v>482275</v>
      </c>
      <c r="C503">
        <v>482346</v>
      </c>
      <c r="D503">
        <v>1</v>
      </c>
      <c r="E503" t="s">
        <v>76</v>
      </c>
      <c r="F503" t="s">
        <v>1728</v>
      </c>
      <c r="I503" t="s">
        <v>1724</v>
      </c>
      <c r="O503" t="s">
        <v>1729</v>
      </c>
    </row>
    <row r="504" spans="1:15" ht="15.75" customHeight="1">
      <c r="A504" t="s">
        <v>29</v>
      </c>
      <c r="B504">
        <v>482441</v>
      </c>
      <c r="C504">
        <v>482920</v>
      </c>
      <c r="D504">
        <v>1</v>
      </c>
      <c r="E504" t="s">
        <v>76</v>
      </c>
      <c r="F504" t="s">
        <v>1730</v>
      </c>
      <c r="I504" t="s">
        <v>49</v>
      </c>
      <c r="L504" t="s">
        <v>1731</v>
      </c>
      <c r="M504" t="s">
        <v>1730</v>
      </c>
      <c r="N504">
        <v>159</v>
      </c>
      <c r="O504" t="s">
        <v>1732</v>
      </c>
    </row>
    <row r="505" spans="1:15" ht="15.75" customHeight="1">
      <c r="A505" t="s">
        <v>29</v>
      </c>
      <c r="B505">
        <v>483042</v>
      </c>
      <c r="C505">
        <v>485000</v>
      </c>
      <c r="D505">
        <v>1</v>
      </c>
      <c r="E505" t="s">
        <v>76</v>
      </c>
      <c r="F505" t="s">
        <v>1733</v>
      </c>
      <c r="G505" t="s">
        <v>1734</v>
      </c>
      <c r="I505" t="s">
        <v>49</v>
      </c>
      <c r="L505" t="s">
        <v>1735</v>
      </c>
      <c r="M505" t="s">
        <v>1733</v>
      </c>
      <c r="N505">
        <v>652</v>
      </c>
      <c r="O505" t="s">
        <v>1736</v>
      </c>
    </row>
    <row r="506" spans="1:15" ht="15.75" customHeight="1">
      <c r="A506" t="s">
        <v>29</v>
      </c>
      <c r="B506">
        <v>485016</v>
      </c>
      <c r="C506">
        <v>485558</v>
      </c>
      <c r="D506">
        <v>1</v>
      </c>
      <c r="E506" t="s">
        <v>76</v>
      </c>
      <c r="F506" t="s">
        <v>1737</v>
      </c>
      <c r="G506" t="s">
        <v>1738</v>
      </c>
      <c r="I506" t="s">
        <v>49</v>
      </c>
      <c r="L506" t="s">
        <v>1739</v>
      </c>
      <c r="M506" t="s">
        <v>1737</v>
      </c>
      <c r="N506">
        <v>180</v>
      </c>
      <c r="O506" t="s">
        <v>1740</v>
      </c>
    </row>
    <row r="507" spans="1:15" ht="15.75" customHeight="1">
      <c r="A507" t="s">
        <v>29</v>
      </c>
      <c r="B507">
        <v>485562</v>
      </c>
      <c r="C507">
        <v>486839</v>
      </c>
      <c r="D507">
        <v>1</v>
      </c>
      <c r="E507" t="s">
        <v>76</v>
      </c>
      <c r="F507" t="s">
        <v>1741</v>
      </c>
      <c r="G507" t="s">
        <v>1742</v>
      </c>
      <c r="I507" t="s">
        <v>49</v>
      </c>
      <c r="L507" t="s">
        <v>1743</v>
      </c>
      <c r="M507" t="s">
        <v>1741</v>
      </c>
      <c r="N507">
        <v>425</v>
      </c>
      <c r="O507" t="s">
        <v>1744</v>
      </c>
    </row>
    <row r="508" spans="1:15" ht="15.75" customHeight="1">
      <c r="A508" t="s">
        <v>29</v>
      </c>
      <c r="B508">
        <v>486836</v>
      </c>
      <c r="C508">
        <v>488104</v>
      </c>
      <c r="D508">
        <v>1</v>
      </c>
      <c r="E508" t="s">
        <v>76</v>
      </c>
      <c r="F508" t="s">
        <v>1745</v>
      </c>
      <c r="I508" t="s">
        <v>49</v>
      </c>
      <c r="L508" t="s">
        <v>1746</v>
      </c>
      <c r="M508" t="s">
        <v>1745</v>
      </c>
      <c r="N508">
        <v>422</v>
      </c>
      <c r="O508" t="s">
        <v>1747</v>
      </c>
    </row>
    <row r="509" spans="1:15" ht="15.75" customHeight="1">
      <c r="A509" t="s">
        <v>29</v>
      </c>
      <c r="B509">
        <v>488097</v>
      </c>
      <c r="C509">
        <v>488219</v>
      </c>
      <c r="D509">
        <v>1</v>
      </c>
      <c r="E509" t="s">
        <v>76</v>
      </c>
      <c r="F509" t="s">
        <v>1748</v>
      </c>
      <c r="I509" t="s">
        <v>49</v>
      </c>
      <c r="L509" t="s">
        <v>1749</v>
      </c>
      <c r="M509" t="s">
        <v>1748</v>
      </c>
      <c r="N509">
        <v>40</v>
      </c>
      <c r="O509" t="s">
        <v>1750</v>
      </c>
    </row>
    <row r="510" spans="1:15" ht="15.75" customHeight="1">
      <c r="A510" t="s">
        <v>29</v>
      </c>
      <c r="B510">
        <v>488224</v>
      </c>
      <c r="C510">
        <v>488592</v>
      </c>
      <c r="D510">
        <v>1</v>
      </c>
      <c r="E510" t="s">
        <v>76</v>
      </c>
      <c r="F510" t="s">
        <v>1751</v>
      </c>
      <c r="I510" t="s">
        <v>49</v>
      </c>
      <c r="L510" t="s">
        <v>1752</v>
      </c>
      <c r="M510" t="s">
        <v>1751</v>
      </c>
      <c r="N510">
        <v>122</v>
      </c>
      <c r="O510" t="s">
        <v>1753</v>
      </c>
    </row>
    <row r="511" spans="1:15" ht="15.75" customHeight="1">
      <c r="A511" t="s">
        <v>29</v>
      </c>
      <c r="B511">
        <v>488585</v>
      </c>
      <c r="C511">
        <v>488851</v>
      </c>
      <c r="D511">
        <v>1</v>
      </c>
      <c r="E511" t="s">
        <v>76</v>
      </c>
      <c r="F511" t="s">
        <v>1754</v>
      </c>
      <c r="G511" t="s">
        <v>1755</v>
      </c>
      <c r="I511" t="s">
        <v>49</v>
      </c>
      <c r="L511" t="s">
        <v>1756</v>
      </c>
      <c r="M511" t="s">
        <v>1754</v>
      </c>
      <c r="N511">
        <v>88</v>
      </c>
      <c r="O511" t="s">
        <v>1757</v>
      </c>
    </row>
    <row r="512" spans="1:15" ht="15.75" customHeight="1">
      <c r="A512" t="s">
        <v>29</v>
      </c>
      <c r="B512">
        <v>488909</v>
      </c>
      <c r="C512">
        <v>492418</v>
      </c>
      <c r="D512">
        <v>1</v>
      </c>
      <c r="E512" t="s">
        <v>76</v>
      </c>
      <c r="F512" t="s">
        <v>1758</v>
      </c>
      <c r="G512" t="s">
        <v>1759</v>
      </c>
      <c r="I512" t="s">
        <v>49</v>
      </c>
      <c r="L512" t="s">
        <v>1760</v>
      </c>
      <c r="M512" t="s">
        <v>1758</v>
      </c>
      <c r="N512">
        <v>1169</v>
      </c>
      <c r="O512" t="s">
        <v>1761</v>
      </c>
    </row>
    <row r="513" spans="1:15" ht="15.75" customHeight="1">
      <c r="A513" t="s">
        <v>29</v>
      </c>
      <c r="B513">
        <v>492419</v>
      </c>
      <c r="C513">
        <v>492988</v>
      </c>
      <c r="D513">
        <v>1</v>
      </c>
      <c r="E513" t="s">
        <v>76</v>
      </c>
      <c r="F513" t="s">
        <v>1762</v>
      </c>
      <c r="G513" t="s">
        <v>1763</v>
      </c>
      <c r="I513" t="s">
        <v>49</v>
      </c>
      <c r="L513" t="s">
        <v>1764</v>
      </c>
      <c r="M513" t="s">
        <v>1762</v>
      </c>
      <c r="N513">
        <v>189</v>
      </c>
      <c r="O513" t="s">
        <v>1765</v>
      </c>
    </row>
    <row r="514" spans="1:15" ht="15.75" customHeight="1">
      <c r="A514" t="s">
        <v>29</v>
      </c>
      <c r="B514">
        <v>493059</v>
      </c>
      <c r="C514">
        <v>494174</v>
      </c>
      <c r="D514">
        <v>1</v>
      </c>
      <c r="E514" t="s">
        <v>76</v>
      </c>
      <c r="F514" t="s">
        <v>1766</v>
      </c>
      <c r="G514" t="s">
        <v>1767</v>
      </c>
      <c r="I514" t="s">
        <v>49</v>
      </c>
      <c r="L514" t="s">
        <v>1768</v>
      </c>
      <c r="M514" t="s">
        <v>1766</v>
      </c>
      <c r="N514">
        <v>371</v>
      </c>
      <c r="O514" t="s">
        <v>1769</v>
      </c>
    </row>
    <row r="515" spans="1:15" ht="15.75" customHeight="1">
      <c r="A515" t="s">
        <v>29</v>
      </c>
      <c r="B515">
        <v>494258</v>
      </c>
      <c r="C515">
        <v>494452</v>
      </c>
      <c r="D515">
        <v>1</v>
      </c>
      <c r="E515" t="s">
        <v>76</v>
      </c>
      <c r="F515" t="s">
        <v>1770</v>
      </c>
      <c r="I515" t="s">
        <v>49</v>
      </c>
      <c r="L515" t="s">
        <v>1771</v>
      </c>
      <c r="M515" t="s">
        <v>1770</v>
      </c>
      <c r="N515">
        <v>64</v>
      </c>
      <c r="O515" t="s">
        <v>1772</v>
      </c>
    </row>
    <row r="516" spans="1:15" ht="15.75" customHeight="1">
      <c r="A516" t="s">
        <v>29</v>
      </c>
      <c r="B516">
        <v>494517</v>
      </c>
      <c r="C516">
        <v>495653</v>
      </c>
      <c r="D516">
        <v>1</v>
      </c>
      <c r="E516" t="s">
        <v>76</v>
      </c>
      <c r="F516" t="s">
        <v>1773</v>
      </c>
      <c r="G516" t="s">
        <v>1774</v>
      </c>
      <c r="I516" t="s">
        <v>49</v>
      </c>
      <c r="L516" t="s">
        <v>1775</v>
      </c>
      <c r="M516" t="s">
        <v>1773</v>
      </c>
      <c r="N516">
        <v>378</v>
      </c>
      <c r="O516" t="s">
        <v>1776</v>
      </c>
    </row>
    <row r="517" spans="1:15" ht="15.75" customHeight="1">
      <c r="A517" t="s">
        <v>29</v>
      </c>
      <c r="B517">
        <v>495812</v>
      </c>
      <c r="C517">
        <v>497173</v>
      </c>
      <c r="D517">
        <v>1</v>
      </c>
      <c r="E517" t="s">
        <v>76</v>
      </c>
      <c r="F517" t="s">
        <v>1777</v>
      </c>
      <c r="G517" t="s">
        <v>1778</v>
      </c>
      <c r="I517" t="s">
        <v>49</v>
      </c>
      <c r="L517" t="s">
        <v>1779</v>
      </c>
      <c r="M517" t="s">
        <v>1777</v>
      </c>
      <c r="N517">
        <v>453</v>
      </c>
      <c r="O517" t="s">
        <v>1780</v>
      </c>
    </row>
    <row r="518" spans="1:15" ht="15.75" customHeight="1">
      <c r="A518" t="s">
        <v>29</v>
      </c>
      <c r="B518">
        <v>497386</v>
      </c>
      <c r="C518">
        <v>498129</v>
      </c>
      <c r="D518">
        <v>1</v>
      </c>
      <c r="E518" t="s">
        <v>76</v>
      </c>
      <c r="F518" t="s">
        <v>1781</v>
      </c>
      <c r="G518" t="s">
        <v>1782</v>
      </c>
      <c r="I518" t="s">
        <v>49</v>
      </c>
      <c r="L518" t="s">
        <v>1783</v>
      </c>
      <c r="M518" t="s">
        <v>1781</v>
      </c>
      <c r="N518">
        <v>247</v>
      </c>
      <c r="O518" t="s">
        <v>1784</v>
      </c>
    </row>
    <row r="519" spans="1:15" ht="15.75" customHeight="1">
      <c r="A519" t="s">
        <v>29</v>
      </c>
      <c r="B519">
        <v>498202</v>
      </c>
      <c r="C519">
        <v>499383</v>
      </c>
      <c r="D519">
        <v>1</v>
      </c>
      <c r="E519" t="s">
        <v>76</v>
      </c>
      <c r="F519" t="s">
        <v>1785</v>
      </c>
      <c r="G519" t="s">
        <v>1786</v>
      </c>
      <c r="I519" t="s">
        <v>49</v>
      </c>
      <c r="L519" t="s">
        <v>1787</v>
      </c>
      <c r="M519" t="s">
        <v>1785</v>
      </c>
      <c r="N519">
        <v>393</v>
      </c>
      <c r="O519" t="s">
        <v>1788</v>
      </c>
    </row>
    <row r="520" spans="1:15" ht="15.75" customHeight="1">
      <c r="A520" t="s">
        <v>29</v>
      </c>
      <c r="B520">
        <v>499566</v>
      </c>
      <c r="C520">
        <v>500045</v>
      </c>
      <c r="D520">
        <v>1</v>
      </c>
      <c r="E520" t="s">
        <v>47</v>
      </c>
      <c r="F520" t="s">
        <v>1789</v>
      </c>
      <c r="G520" t="s">
        <v>1790</v>
      </c>
      <c r="I520" t="s">
        <v>49</v>
      </c>
      <c r="L520" t="s">
        <v>1791</v>
      </c>
      <c r="M520" t="s">
        <v>1789</v>
      </c>
      <c r="N520">
        <v>159</v>
      </c>
      <c r="O520" t="s">
        <v>1792</v>
      </c>
    </row>
    <row r="521" spans="1:15" ht="15.75" customHeight="1">
      <c r="A521" t="s">
        <v>29</v>
      </c>
      <c r="B521">
        <v>500089</v>
      </c>
      <c r="C521">
        <v>500162</v>
      </c>
      <c r="D521">
        <v>1</v>
      </c>
      <c r="E521" t="s">
        <v>47</v>
      </c>
      <c r="F521" t="s">
        <v>1793</v>
      </c>
      <c r="I521" t="s">
        <v>1724</v>
      </c>
      <c r="O521" t="s">
        <v>1794</v>
      </c>
    </row>
    <row r="522" spans="1:15" ht="15.75" customHeight="1">
      <c r="A522" t="s">
        <v>29</v>
      </c>
      <c r="B522">
        <v>500327</v>
      </c>
      <c r="C522">
        <v>500452</v>
      </c>
      <c r="D522">
        <v>1</v>
      </c>
      <c r="E522" t="s">
        <v>47</v>
      </c>
      <c r="F522" t="s">
        <v>1795</v>
      </c>
      <c r="G522" t="s">
        <v>1796</v>
      </c>
      <c r="I522" t="s">
        <v>49</v>
      </c>
      <c r="L522" t="s">
        <v>1797</v>
      </c>
      <c r="M522" t="s">
        <v>1795</v>
      </c>
      <c r="N522">
        <v>41</v>
      </c>
      <c r="O522" t="s">
        <v>1798</v>
      </c>
    </row>
    <row r="523" spans="1:15" ht="15.75" customHeight="1">
      <c r="A523" t="s">
        <v>29</v>
      </c>
      <c r="B523">
        <v>500473</v>
      </c>
      <c r="C523">
        <v>501798</v>
      </c>
      <c r="D523">
        <v>1</v>
      </c>
      <c r="E523" t="s">
        <v>47</v>
      </c>
      <c r="F523" t="s">
        <v>1142</v>
      </c>
      <c r="I523" t="s">
        <v>49</v>
      </c>
      <c r="L523" t="s">
        <v>1799</v>
      </c>
      <c r="M523" t="s">
        <v>1142</v>
      </c>
      <c r="N523">
        <v>441</v>
      </c>
      <c r="O523" t="s">
        <v>1800</v>
      </c>
    </row>
    <row r="524" spans="1:15" ht="15.75" customHeight="1">
      <c r="A524" t="s">
        <v>29</v>
      </c>
      <c r="B524">
        <v>501795</v>
      </c>
      <c r="C524">
        <v>502547</v>
      </c>
      <c r="D524">
        <v>1</v>
      </c>
      <c r="E524" t="s">
        <v>47</v>
      </c>
      <c r="F524" t="s">
        <v>405</v>
      </c>
      <c r="G524" t="s">
        <v>1801</v>
      </c>
      <c r="I524" t="s">
        <v>49</v>
      </c>
      <c r="L524" t="s">
        <v>1802</v>
      </c>
      <c r="M524" t="s">
        <v>405</v>
      </c>
      <c r="N524">
        <v>250</v>
      </c>
      <c r="O524" t="s">
        <v>1803</v>
      </c>
    </row>
    <row r="525" spans="1:15" ht="15.75" customHeight="1">
      <c r="A525" t="s">
        <v>29</v>
      </c>
      <c r="B525">
        <v>502599</v>
      </c>
      <c r="C525">
        <v>502670</v>
      </c>
      <c r="D525">
        <v>1</v>
      </c>
      <c r="E525" t="s">
        <v>47</v>
      </c>
      <c r="F525" t="s">
        <v>1728</v>
      </c>
      <c r="I525" t="s">
        <v>1724</v>
      </c>
      <c r="O525" t="s">
        <v>1804</v>
      </c>
    </row>
    <row r="526" spans="1:15" ht="15.75" customHeight="1">
      <c r="A526" t="s">
        <v>29</v>
      </c>
      <c r="B526">
        <v>502676</v>
      </c>
      <c r="C526">
        <v>502749</v>
      </c>
      <c r="D526">
        <v>1</v>
      </c>
      <c r="E526" t="s">
        <v>47</v>
      </c>
      <c r="F526" t="s">
        <v>1723</v>
      </c>
      <c r="I526" t="s">
        <v>1724</v>
      </c>
      <c r="O526" t="s">
        <v>1805</v>
      </c>
    </row>
    <row r="527" spans="1:15" ht="15.75" customHeight="1">
      <c r="A527" t="s">
        <v>29</v>
      </c>
      <c r="B527">
        <v>502790</v>
      </c>
      <c r="C527">
        <v>503332</v>
      </c>
      <c r="D527">
        <v>1</v>
      </c>
      <c r="E527" t="s">
        <v>76</v>
      </c>
      <c r="F527" t="s">
        <v>1806</v>
      </c>
      <c r="I527" t="s">
        <v>49</v>
      </c>
      <c r="L527" t="s">
        <v>1807</v>
      </c>
      <c r="M527" t="s">
        <v>1806</v>
      </c>
      <c r="N527">
        <v>180</v>
      </c>
      <c r="O527" t="s">
        <v>1808</v>
      </c>
    </row>
    <row r="528" spans="1:15" ht="15.75" customHeight="1">
      <c r="A528" t="s">
        <v>29</v>
      </c>
      <c r="B528">
        <v>503511</v>
      </c>
      <c r="C528">
        <v>504278</v>
      </c>
      <c r="D528">
        <v>1</v>
      </c>
      <c r="E528" t="s">
        <v>47</v>
      </c>
      <c r="F528" t="s">
        <v>769</v>
      </c>
      <c r="I528" t="s">
        <v>49</v>
      </c>
      <c r="L528" t="s">
        <v>1809</v>
      </c>
      <c r="M528" t="s">
        <v>769</v>
      </c>
      <c r="N528">
        <v>255</v>
      </c>
      <c r="O528" t="s">
        <v>1810</v>
      </c>
    </row>
    <row r="529" spans="1:15" ht="15.75" customHeight="1">
      <c r="A529" t="s">
        <v>29</v>
      </c>
      <c r="B529">
        <v>504363</v>
      </c>
      <c r="C529">
        <v>504701</v>
      </c>
      <c r="D529">
        <v>1</v>
      </c>
      <c r="E529" t="s">
        <v>47</v>
      </c>
      <c r="F529" t="s">
        <v>1811</v>
      </c>
      <c r="I529" t="s">
        <v>49</v>
      </c>
      <c r="L529" t="s">
        <v>1812</v>
      </c>
      <c r="M529" t="s">
        <v>1811</v>
      </c>
      <c r="N529">
        <v>112</v>
      </c>
      <c r="O529" t="s">
        <v>1813</v>
      </c>
    </row>
    <row r="530" spans="1:15" ht="15.75" customHeight="1">
      <c r="A530" t="s">
        <v>29</v>
      </c>
      <c r="B530">
        <v>505144</v>
      </c>
      <c r="C530">
        <v>507696</v>
      </c>
      <c r="D530">
        <v>1</v>
      </c>
      <c r="E530" t="s">
        <v>76</v>
      </c>
      <c r="F530" t="s">
        <v>1814</v>
      </c>
      <c r="I530" t="s">
        <v>49</v>
      </c>
      <c r="L530" t="s">
        <v>1815</v>
      </c>
      <c r="M530" t="s">
        <v>1814</v>
      </c>
      <c r="N530">
        <v>850</v>
      </c>
      <c r="O530" t="s">
        <v>1816</v>
      </c>
    </row>
    <row r="531" spans="1:15" ht="15.75" customHeight="1">
      <c r="A531" t="s">
        <v>29</v>
      </c>
      <c r="B531">
        <v>507758</v>
      </c>
      <c r="C531">
        <v>509380</v>
      </c>
      <c r="D531">
        <v>1</v>
      </c>
      <c r="E531" t="s">
        <v>76</v>
      </c>
      <c r="F531" t="s">
        <v>1817</v>
      </c>
      <c r="G531" t="s">
        <v>1818</v>
      </c>
      <c r="I531" t="s">
        <v>49</v>
      </c>
      <c r="L531" t="s">
        <v>1819</v>
      </c>
      <c r="M531" t="s">
        <v>1817</v>
      </c>
      <c r="N531">
        <v>540</v>
      </c>
      <c r="O531" t="s">
        <v>1820</v>
      </c>
    </row>
    <row r="532" spans="1:15" ht="15.75" customHeight="1">
      <c r="A532" t="s">
        <v>29</v>
      </c>
      <c r="B532">
        <v>509586</v>
      </c>
      <c r="C532">
        <v>510611</v>
      </c>
      <c r="D532">
        <v>1</v>
      </c>
      <c r="E532" t="s">
        <v>47</v>
      </c>
      <c r="F532" t="s">
        <v>1821</v>
      </c>
      <c r="G532" t="s">
        <v>1822</v>
      </c>
      <c r="I532" t="s">
        <v>49</v>
      </c>
      <c r="L532" t="s">
        <v>1823</v>
      </c>
      <c r="M532" t="s">
        <v>1821</v>
      </c>
      <c r="N532">
        <v>341</v>
      </c>
      <c r="O532" t="s">
        <v>1824</v>
      </c>
    </row>
    <row r="533" spans="1:15" ht="15.75" customHeight="1">
      <c r="A533" t="s">
        <v>29</v>
      </c>
      <c r="B533">
        <v>510763</v>
      </c>
      <c r="C533">
        <v>512241</v>
      </c>
      <c r="D533">
        <v>1</v>
      </c>
      <c r="E533" t="s">
        <v>47</v>
      </c>
      <c r="F533" t="s">
        <v>1825</v>
      </c>
      <c r="G533" t="s">
        <v>1826</v>
      </c>
      <c r="I533" t="s">
        <v>49</v>
      </c>
      <c r="L533" t="s">
        <v>1827</v>
      </c>
      <c r="M533" t="s">
        <v>1825</v>
      </c>
      <c r="N533">
        <v>492</v>
      </c>
      <c r="O533" t="s">
        <v>1828</v>
      </c>
    </row>
    <row r="534" spans="1:15" ht="15.75" customHeight="1">
      <c r="A534" t="s">
        <v>29</v>
      </c>
      <c r="B534">
        <v>512292</v>
      </c>
      <c r="C534">
        <v>513389</v>
      </c>
      <c r="D534">
        <v>1</v>
      </c>
      <c r="E534" t="s">
        <v>76</v>
      </c>
      <c r="F534" t="s">
        <v>1829</v>
      </c>
      <c r="G534" t="s">
        <v>1830</v>
      </c>
      <c r="I534" t="s">
        <v>49</v>
      </c>
      <c r="L534" t="s">
        <v>1831</v>
      </c>
      <c r="M534" t="s">
        <v>1829</v>
      </c>
      <c r="N534">
        <v>365</v>
      </c>
      <c r="O534" t="s">
        <v>1832</v>
      </c>
    </row>
    <row r="535" spans="1:15" ht="15.75" customHeight="1">
      <c r="A535" t="s">
        <v>29</v>
      </c>
      <c r="B535">
        <v>513392</v>
      </c>
      <c r="C535">
        <v>513760</v>
      </c>
      <c r="D535">
        <v>1</v>
      </c>
      <c r="E535" t="s">
        <v>76</v>
      </c>
      <c r="F535" t="s">
        <v>1833</v>
      </c>
      <c r="I535" t="s">
        <v>49</v>
      </c>
      <c r="L535" t="s">
        <v>1834</v>
      </c>
      <c r="M535" t="s">
        <v>1833</v>
      </c>
      <c r="N535">
        <v>122</v>
      </c>
      <c r="O535" t="s">
        <v>1835</v>
      </c>
    </row>
    <row r="536" spans="1:15" ht="15.75" customHeight="1">
      <c r="A536" t="s">
        <v>29</v>
      </c>
      <c r="B536">
        <v>513919</v>
      </c>
      <c r="C536">
        <v>515169</v>
      </c>
      <c r="D536">
        <v>1</v>
      </c>
      <c r="E536" t="s">
        <v>47</v>
      </c>
      <c r="F536" t="s">
        <v>1836</v>
      </c>
      <c r="I536" t="s">
        <v>49</v>
      </c>
      <c r="L536" t="s">
        <v>1837</v>
      </c>
      <c r="M536" t="s">
        <v>1836</v>
      </c>
      <c r="N536">
        <v>416</v>
      </c>
      <c r="O536" t="s">
        <v>1838</v>
      </c>
    </row>
    <row r="537" spans="1:15" ht="15.75" customHeight="1">
      <c r="A537" t="s">
        <v>29</v>
      </c>
      <c r="B537">
        <v>515166</v>
      </c>
      <c r="C537">
        <v>516449</v>
      </c>
      <c r="D537">
        <v>1</v>
      </c>
      <c r="E537" t="s">
        <v>47</v>
      </c>
      <c r="F537" t="s">
        <v>1836</v>
      </c>
      <c r="I537" t="s">
        <v>49</v>
      </c>
      <c r="L537" t="s">
        <v>1839</v>
      </c>
      <c r="M537" t="s">
        <v>1836</v>
      </c>
      <c r="N537">
        <v>427</v>
      </c>
      <c r="O537" t="s">
        <v>1840</v>
      </c>
    </row>
    <row r="538" spans="1:15" ht="15.75" customHeight="1">
      <c r="A538" t="s">
        <v>29</v>
      </c>
      <c r="B538">
        <v>516491</v>
      </c>
      <c r="C538">
        <v>517312</v>
      </c>
      <c r="D538">
        <v>1</v>
      </c>
      <c r="E538" t="s">
        <v>47</v>
      </c>
      <c r="F538" t="s">
        <v>1841</v>
      </c>
      <c r="I538" t="s">
        <v>49</v>
      </c>
      <c r="L538" t="s">
        <v>1842</v>
      </c>
      <c r="M538" t="s">
        <v>1841</v>
      </c>
      <c r="N538">
        <v>273</v>
      </c>
      <c r="O538" t="s">
        <v>1843</v>
      </c>
    </row>
    <row r="539" spans="1:15" ht="15.75" customHeight="1">
      <c r="A539" t="s">
        <v>29</v>
      </c>
      <c r="B539">
        <v>517323</v>
      </c>
      <c r="C539">
        <v>517868</v>
      </c>
      <c r="D539">
        <v>1</v>
      </c>
      <c r="E539" t="s">
        <v>47</v>
      </c>
      <c r="F539" t="s">
        <v>1844</v>
      </c>
      <c r="G539" t="s">
        <v>1845</v>
      </c>
      <c r="I539" t="s">
        <v>49</v>
      </c>
      <c r="L539" t="s">
        <v>1846</v>
      </c>
      <c r="M539" t="s">
        <v>1844</v>
      </c>
      <c r="N539">
        <v>181</v>
      </c>
      <c r="O539" t="s">
        <v>1847</v>
      </c>
    </row>
    <row r="540" spans="1:15" ht="15.75" customHeight="1">
      <c r="A540" t="s">
        <v>29</v>
      </c>
      <c r="B540">
        <v>517865</v>
      </c>
      <c r="C540">
        <v>518692</v>
      </c>
      <c r="D540">
        <v>1</v>
      </c>
      <c r="E540" t="s">
        <v>47</v>
      </c>
      <c r="F540" t="s">
        <v>1848</v>
      </c>
      <c r="G540" t="s">
        <v>1849</v>
      </c>
      <c r="I540" t="s">
        <v>49</v>
      </c>
      <c r="L540" t="s">
        <v>1850</v>
      </c>
      <c r="M540" t="s">
        <v>1848</v>
      </c>
      <c r="N540">
        <v>275</v>
      </c>
      <c r="O540" t="s">
        <v>1851</v>
      </c>
    </row>
    <row r="541" spans="1:15" ht="15.75" customHeight="1">
      <c r="A541" t="s">
        <v>29</v>
      </c>
      <c r="B541">
        <v>518677</v>
      </c>
      <c r="C541">
        <v>519516</v>
      </c>
      <c r="D541">
        <v>1</v>
      </c>
      <c r="E541" t="s">
        <v>47</v>
      </c>
      <c r="F541" t="s">
        <v>144</v>
      </c>
      <c r="G541" t="s">
        <v>1852</v>
      </c>
      <c r="I541" t="s">
        <v>49</v>
      </c>
      <c r="L541" t="s">
        <v>1853</v>
      </c>
      <c r="M541" t="s">
        <v>144</v>
      </c>
      <c r="N541">
        <v>279</v>
      </c>
      <c r="O541" t="s">
        <v>1854</v>
      </c>
    </row>
    <row r="542" spans="1:15" ht="15.75" customHeight="1">
      <c r="A542" t="s">
        <v>29</v>
      </c>
      <c r="B542">
        <v>519509</v>
      </c>
      <c r="C542">
        <v>520303</v>
      </c>
      <c r="D542">
        <v>1</v>
      </c>
      <c r="E542" t="s">
        <v>47</v>
      </c>
      <c r="F542" t="s">
        <v>1855</v>
      </c>
      <c r="G542" t="s">
        <v>1856</v>
      </c>
      <c r="I542" t="s">
        <v>49</v>
      </c>
      <c r="L542" t="s">
        <v>1857</v>
      </c>
      <c r="M542" t="s">
        <v>1855</v>
      </c>
      <c r="N542">
        <v>264</v>
      </c>
      <c r="O542" t="s">
        <v>1858</v>
      </c>
    </row>
    <row r="543" spans="1:15" ht="15.75" customHeight="1">
      <c r="A543" t="s">
        <v>29</v>
      </c>
      <c r="B543">
        <v>520362</v>
      </c>
      <c r="C543">
        <v>521180</v>
      </c>
      <c r="D543">
        <v>1</v>
      </c>
      <c r="E543" t="s">
        <v>47</v>
      </c>
      <c r="F543" t="s">
        <v>1859</v>
      </c>
      <c r="G543" t="s">
        <v>1860</v>
      </c>
      <c r="I543" t="s">
        <v>49</v>
      </c>
      <c r="L543" t="s">
        <v>1861</v>
      </c>
      <c r="M543" t="s">
        <v>1859</v>
      </c>
      <c r="N543">
        <v>272</v>
      </c>
      <c r="O543" t="s">
        <v>1862</v>
      </c>
    </row>
    <row r="544" spans="1:15" ht="15.75" customHeight="1">
      <c r="A544" t="s">
        <v>29</v>
      </c>
      <c r="B544">
        <v>521180</v>
      </c>
      <c r="C544">
        <v>521674</v>
      </c>
      <c r="D544">
        <v>1</v>
      </c>
      <c r="E544" t="s">
        <v>47</v>
      </c>
      <c r="F544" t="s">
        <v>1863</v>
      </c>
      <c r="G544" t="s">
        <v>1864</v>
      </c>
      <c r="I544" t="s">
        <v>49</v>
      </c>
      <c r="L544" t="s">
        <v>1865</v>
      </c>
      <c r="M544" t="s">
        <v>1863</v>
      </c>
      <c r="N544">
        <v>164</v>
      </c>
      <c r="O544" t="s">
        <v>1866</v>
      </c>
    </row>
    <row r="545" spans="1:15" ht="15.75" customHeight="1">
      <c r="A545" t="s">
        <v>29</v>
      </c>
      <c r="B545">
        <v>521768</v>
      </c>
      <c r="C545">
        <v>522946</v>
      </c>
      <c r="D545">
        <v>1</v>
      </c>
      <c r="E545" t="s">
        <v>47</v>
      </c>
      <c r="F545" t="s">
        <v>1867</v>
      </c>
      <c r="I545" t="s">
        <v>49</v>
      </c>
      <c r="L545" t="s">
        <v>1868</v>
      </c>
      <c r="M545" t="s">
        <v>1867</v>
      </c>
      <c r="N545">
        <v>392</v>
      </c>
      <c r="O545" t="s">
        <v>1869</v>
      </c>
    </row>
    <row r="546" spans="1:15" ht="15.75" customHeight="1">
      <c r="A546" t="s">
        <v>29</v>
      </c>
      <c r="B546">
        <v>523170</v>
      </c>
      <c r="C546">
        <v>523949</v>
      </c>
      <c r="D546">
        <v>1</v>
      </c>
      <c r="E546" t="s">
        <v>47</v>
      </c>
      <c r="F546" t="s">
        <v>1870</v>
      </c>
      <c r="G546" t="s">
        <v>1871</v>
      </c>
      <c r="I546" t="s">
        <v>49</v>
      </c>
      <c r="L546" t="s">
        <v>1872</v>
      </c>
      <c r="M546" t="s">
        <v>1870</v>
      </c>
      <c r="N546">
        <v>259</v>
      </c>
      <c r="O546" t="s">
        <v>1873</v>
      </c>
    </row>
    <row r="547" spans="1:15" ht="15.75" customHeight="1">
      <c r="A547" t="s">
        <v>29</v>
      </c>
      <c r="B547">
        <v>524028</v>
      </c>
      <c r="C547">
        <v>525068</v>
      </c>
      <c r="D547">
        <v>1</v>
      </c>
      <c r="E547" t="s">
        <v>47</v>
      </c>
      <c r="F547" t="s">
        <v>1874</v>
      </c>
      <c r="G547" t="s">
        <v>1875</v>
      </c>
      <c r="I547" t="s">
        <v>49</v>
      </c>
      <c r="L547" t="s">
        <v>1876</v>
      </c>
      <c r="M547" t="s">
        <v>1874</v>
      </c>
      <c r="N547">
        <v>346</v>
      </c>
      <c r="O547" t="s">
        <v>1877</v>
      </c>
    </row>
    <row r="548" spans="1:15" ht="15.75" customHeight="1">
      <c r="A548" t="s">
        <v>29</v>
      </c>
      <c r="B548">
        <v>525314</v>
      </c>
      <c r="C548">
        <v>525601</v>
      </c>
      <c r="D548">
        <v>1</v>
      </c>
      <c r="E548" t="s">
        <v>47</v>
      </c>
      <c r="F548" t="s">
        <v>1878</v>
      </c>
      <c r="I548" t="s">
        <v>49</v>
      </c>
      <c r="L548" t="s">
        <v>1879</v>
      </c>
      <c r="M548" t="s">
        <v>1878</v>
      </c>
      <c r="N548">
        <v>95</v>
      </c>
      <c r="O548" t="s">
        <v>1880</v>
      </c>
    </row>
    <row r="549" spans="1:15" ht="15.75" customHeight="1">
      <c r="A549" t="s">
        <v>29</v>
      </c>
      <c r="B549">
        <v>526186</v>
      </c>
      <c r="C549">
        <v>526455</v>
      </c>
      <c r="D549">
        <v>1</v>
      </c>
      <c r="E549" t="s">
        <v>47</v>
      </c>
      <c r="F549" t="s">
        <v>1881</v>
      </c>
      <c r="I549" t="s">
        <v>49</v>
      </c>
      <c r="L549" t="s">
        <v>1882</v>
      </c>
      <c r="M549" t="s">
        <v>1881</v>
      </c>
      <c r="N549">
        <v>89</v>
      </c>
      <c r="O549" t="s">
        <v>1883</v>
      </c>
    </row>
    <row r="550" spans="1:15" ht="15.75" customHeight="1">
      <c r="A550" t="s">
        <v>29</v>
      </c>
      <c r="B550">
        <v>526652</v>
      </c>
      <c r="C550">
        <v>527572</v>
      </c>
      <c r="D550">
        <v>1</v>
      </c>
      <c r="E550" t="s">
        <v>76</v>
      </c>
      <c r="F550" t="s">
        <v>1884</v>
      </c>
      <c r="G550" t="s">
        <v>1885</v>
      </c>
      <c r="I550" t="s">
        <v>49</v>
      </c>
      <c r="L550" t="s">
        <v>1886</v>
      </c>
      <c r="M550" t="s">
        <v>1884</v>
      </c>
      <c r="N550">
        <v>306</v>
      </c>
      <c r="O550" t="s">
        <v>1887</v>
      </c>
    </row>
    <row r="551" spans="1:15" ht="15.75" customHeight="1">
      <c r="A551" t="s">
        <v>29</v>
      </c>
      <c r="B551">
        <v>527857</v>
      </c>
      <c r="C551">
        <v>528492</v>
      </c>
      <c r="D551">
        <v>1</v>
      </c>
      <c r="E551" t="s">
        <v>76</v>
      </c>
      <c r="F551" t="s">
        <v>1888</v>
      </c>
      <c r="G551" t="s">
        <v>1889</v>
      </c>
      <c r="I551" t="s">
        <v>49</v>
      </c>
      <c r="L551" t="s">
        <v>1890</v>
      </c>
      <c r="M551" t="s">
        <v>1888</v>
      </c>
      <c r="N551">
        <v>211</v>
      </c>
      <c r="O551" t="s">
        <v>1891</v>
      </c>
    </row>
    <row r="552" spans="1:15" ht="15.75" customHeight="1">
      <c r="A552" t="s">
        <v>29</v>
      </c>
      <c r="B552">
        <v>528548</v>
      </c>
      <c r="C552">
        <v>529846</v>
      </c>
      <c r="D552">
        <v>1</v>
      </c>
      <c r="E552" t="s">
        <v>47</v>
      </c>
      <c r="F552" t="s">
        <v>1892</v>
      </c>
      <c r="G552" t="s">
        <v>1893</v>
      </c>
      <c r="I552" t="s">
        <v>49</v>
      </c>
      <c r="L552" t="s">
        <v>1894</v>
      </c>
      <c r="M552" t="s">
        <v>1892</v>
      </c>
      <c r="N552">
        <v>432</v>
      </c>
      <c r="O552" t="s">
        <v>1895</v>
      </c>
    </row>
    <row r="553" spans="1:15" ht="15.75" customHeight="1">
      <c r="A553" t="s">
        <v>29</v>
      </c>
      <c r="B553">
        <v>529843</v>
      </c>
      <c r="C553">
        <v>530505</v>
      </c>
      <c r="D553">
        <v>1</v>
      </c>
      <c r="E553" t="s">
        <v>47</v>
      </c>
      <c r="F553" t="s">
        <v>1896</v>
      </c>
      <c r="I553" t="s">
        <v>49</v>
      </c>
      <c r="L553" t="s">
        <v>1897</v>
      </c>
      <c r="M553" t="s">
        <v>1896</v>
      </c>
      <c r="N553">
        <v>220</v>
      </c>
      <c r="O553" t="s">
        <v>1898</v>
      </c>
    </row>
    <row r="554" spans="1:15" ht="15.75" customHeight="1">
      <c r="A554" t="s">
        <v>29</v>
      </c>
      <c r="B554">
        <v>530585</v>
      </c>
      <c r="C554">
        <v>531133</v>
      </c>
      <c r="D554">
        <v>1</v>
      </c>
      <c r="E554" t="s">
        <v>47</v>
      </c>
      <c r="F554" t="s">
        <v>1899</v>
      </c>
      <c r="I554" t="s">
        <v>49</v>
      </c>
      <c r="L554" t="s">
        <v>1900</v>
      </c>
      <c r="M554" t="s">
        <v>1899</v>
      </c>
      <c r="N554">
        <v>182</v>
      </c>
      <c r="O554" t="s">
        <v>1901</v>
      </c>
    </row>
    <row r="555" spans="1:15" ht="15.75" customHeight="1">
      <c r="A555" t="s">
        <v>29</v>
      </c>
      <c r="B555">
        <v>531269</v>
      </c>
      <c r="C555">
        <v>533242</v>
      </c>
      <c r="D555">
        <v>1</v>
      </c>
      <c r="E555" t="s">
        <v>47</v>
      </c>
      <c r="F555" t="s">
        <v>1902</v>
      </c>
      <c r="I555" t="s">
        <v>49</v>
      </c>
      <c r="L555" t="s">
        <v>1903</v>
      </c>
      <c r="M555" t="s">
        <v>1902</v>
      </c>
      <c r="N555">
        <v>657</v>
      </c>
      <c r="O555" t="s">
        <v>1904</v>
      </c>
    </row>
    <row r="556" spans="1:15" ht="15.75" customHeight="1">
      <c r="A556" t="s">
        <v>29</v>
      </c>
      <c r="B556">
        <v>533239</v>
      </c>
      <c r="C556">
        <v>533691</v>
      </c>
      <c r="D556">
        <v>1</v>
      </c>
      <c r="E556" t="s">
        <v>47</v>
      </c>
      <c r="F556" t="s">
        <v>1905</v>
      </c>
      <c r="G556" t="s">
        <v>1906</v>
      </c>
      <c r="I556" t="s">
        <v>49</v>
      </c>
      <c r="L556" t="s">
        <v>1907</v>
      </c>
      <c r="M556" t="s">
        <v>1905</v>
      </c>
      <c r="N556">
        <v>150</v>
      </c>
      <c r="O556" t="s">
        <v>1908</v>
      </c>
    </row>
    <row r="557" spans="1:15" ht="15.75" customHeight="1">
      <c r="A557" t="s">
        <v>29</v>
      </c>
      <c r="B557">
        <v>533735</v>
      </c>
      <c r="C557">
        <v>535087</v>
      </c>
      <c r="D557">
        <v>1</v>
      </c>
      <c r="E557" t="s">
        <v>47</v>
      </c>
      <c r="F557" t="s">
        <v>1909</v>
      </c>
      <c r="G557" t="s">
        <v>1910</v>
      </c>
      <c r="I557" t="s">
        <v>49</v>
      </c>
      <c r="L557" t="s">
        <v>1911</v>
      </c>
      <c r="M557" t="s">
        <v>1909</v>
      </c>
      <c r="N557">
        <v>450</v>
      </c>
      <c r="O557" t="s">
        <v>1912</v>
      </c>
    </row>
    <row r="558" spans="1:15" ht="15.75" customHeight="1">
      <c r="A558" t="s">
        <v>29</v>
      </c>
      <c r="B558">
        <v>535089</v>
      </c>
      <c r="C558">
        <v>535355</v>
      </c>
      <c r="D558">
        <v>1</v>
      </c>
      <c r="E558" t="s">
        <v>47</v>
      </c>
      <c r="F558" t="s">
        <v>1913</v>
      </c>
      <c r="I558" t="s">
        <v>49</v>
      </c>
      <c r="L558" t="s">
        <v>1914</v>
      </c>
      <c r="M558" t="s">
        <v>1913</v>
      </c>
      <c r="N558">
        <v>88</v>
      </c>
      <c r="O558" t="s">
        <v>1915</v>
      </c>
    </row>
    <row r="559" spans="1:15" ht="15.75" customHeight="1">
      <c r="A559" t="s">
        <v>29</v>
      </c>
      <c r="B559">
        <v>535444</v>
      </c>
      <c r="C559">
        <v>536790</v>
      </c>
      <c r="D559">
        <v>1</v>
      </c>
      <c r="E559" t="s">
        <v>47</v>
      </c>
      <c r="F559" t="s">
        <v>1916</v>
      </c>
      <c r="G559" t="s">
        <v>1917</v>
      </c>
      <c r="I559" t="s">
        <v>49</v>
      </c>
      <c r="L559" t="s">
        <v>1918</v>
      </c>
      <c r="M559" t="s">
        <v>1916</v>
      </c>
      <c r="N559">
        <v>448</v>
      </c>
      <c r="O559" t="s">
        <v>1919</v>
      </c>
    </row>
    <row r="560" spans="1:15" ht="15.75" customHeight="1">
      <c r="A560" t="s">
        <v>29</v>
      </c>
      <c r="B560">
        <v>537046</v>
      </c>
      <c r="C560">
        <v>537336</v>
      </c>
      <c r="D560">
        <v>1</v>
      </c>
      <c r="E560" t="s">
        <v>47</v>
      </c>
      <c r="F560" t="s">
        <v>1920</v>
      </c>
      <c r="I560" t="s">
        <v>49</v>
      </c>
      <c r="L560" t="s">
        <v>1921</v>
      </c>
      <c r="M560" t="s">
        <v>1920</v>
      </c>
      <c r="N560">
        <v>96</v>
      </c>
      <c r="O560" t="s">
        <v>1922</v>
      </c>
    </row>
    <row r="561" spans="1:15" ht="15.75" customHeight="1">
      <c r="A561" t="s">
        <v>29</v>
      </c>
      <c r="B561">
        <v>537299</v>
      </c>
      <c r="C561">
        <v>538057</v>
      </c>
      <c r="D561">
        <v>1</v>
      </c>
      <c r="E561" t="s">
        <v>47</v>
      </c>
      <c r="F561" t="s">
        <v>1923</v>
      </c>
      <c r="G561" t="s">
        <v>1924</v>
      </c>
      <c r="I561" t="s">
        <v>49</v>
      </c>
      <c r="L561" t="s">
        <v>1925</v>
      </c>
      <c r="M561" t="s">
        <v>1923</v>
      </c>
      <c r="N561">
        <v>252</v>
      </c>
      <c r="O561" t="s">
        <v>1926</v>
      </c>
    </row>
    <row r="562" spans="1:15" ht="15.75" customHeight="1">
      <c r="A562" t="s">
        <v>29</v>
      </c>
      <c r="B562">
        <v>538095</v>
      </c>
      <c r="C562">
        <v>539102</v>
      </c>
      <c r="D562">
        <v>1</v>
      </c>
      <c r="E562" t="s">
        <v>47</v>
      </c>
      <c r="F562" t="s">
        <v>1927</v>
      </c>
      <c r="G562" t="s">
        <v>1928</v>
      </c>
      <c r="I562" t="s">
        <v>49</v>
      </c>
      <c r="L562" t="s">
        <v>1929</v>
      </c>
      <c r="M562" t="s">
        <v>1927</v>
      </c>
      <c r="N562">
        <v>335</v>
      </c>
      <c r="O562" t="s">
        <v>1930</v>
      </c>
    </row>
    <row r="563" spans="1:15" ht="15.75" customHeight="1">
      <c r="A563" t="s">
        <v>29</v>
      </c>
      <c r="B563">
        <v>539102</v>
      </c>
      <c r="C563">
        <v>539830</v>
      </c>
      <c r="D563">
        <v>1</v>
      </c>
      <c r="E563" t="s">
        <v>47</v>
      </c>
      <c r="F563" t="s">
        <v>1931</v>
      </c>
      <c r="G563" t="s">
        <v>1932</v>
      </c>
      <c r="I563" t="s">
        <v>49</v>
      </c>
      <c r="L563" t="s">
        <v>1933</v>
      </c>
      <c r="M563" t="s">
        <v>1931</v>
      </c>
      <c r="N563">
        <v>242</v>
      </c>
      <c r="O563" t="s">
        <v>1934</v>
      </c>
    </row>
    <row r="564" spans="1:15" ht="15.75" customHeight="1">
      <c r="A564" t="s">
        <v>29</v>
      </c>
      <c r="B564">
        <v>539949</v>
      </c>
      <c r="C564">
        <v>540407</v>
      </c>
      <c r="D564">
        <v>1</v>
      </c>
      <c r="E564" t="s">
        <v>47</v>
      </c>
      <c r="F564" t="s">
        <v>1935</v>
      </c>
      <c r="G564" t="s">
        <v>1936</v>
      </c>
      <c r="I564" t="s">
        <v>49</v>
      </c>
      <c r="L564" t="s">
        <v>1937</v>
      </c>
      <c r="M564" t="s">
        <v>1935</v>
      </c>
      <c r="N564">
        <v>152</v>
      </c>
      <c r="O564" t="s">
        <v>1938</v>
      </c>
    </row>
    <row r="565" spans="1:15" ht="15.75" customHeight="1">
      <c r="A565" t="s">
        <v>29</v>
      </c>
      <c r="B565">
        <v>540409</v>
      </c>
      <c r="C565">
        <v>542841</v>
      </c>
      <c r="D565">
        <v>1</v>
      </c>
      <c r="E565" t="s">
        <v>47</v>
      </c>
      <c r="F565" t="s">
        <v>1939</v>
      </c>
      <c r="G565" t="s">
        <v>1940</v>
      </c>
      <c r="I565" t="s">
        <v>49</v>
      </c>
      <c r="L565" t="s">
        <v>1941</v>
      </c>
      <c r="M565" t="s">
        <v>1939</v>
      </c>
      <c r="N565">
        <v>810</v>
      </c>
      <c r="O565" t="s">
        <v>1942</v>
      </c>
    </row>
    <row r="566" spans="1:15" ht="15.75" customHeight="1">
      <c r="A566" t="s">
        <v>29</v>
      </c>
      <c r="B566">
        <v>543483</v>
      </c>
      <c r="C566">
        <v>544136</v>
      </c>
      <c r="D566">
        <v>1</v>
      </c>
      <c r="E566" t="s">
        <v>47</v>
      </c>
      <c r="F566" t="s">
        <v>1943</v>
      </c>
      <c r="G566" t="s">
        <v>1944</v>
      </c>
      <c r="I566" t="s">
        <v>49</v>
      </c>
      <c r="L566" t="s">
        <v>1945</v>
      </c>
      <c r="M566" t="s">
        <v>1943</v>
      </c>
      <c r="N566">
        <v>217</v>
      </c>
      <c r="O566" t="s">
        <v>1946</v>
      </c>
    </row>
    <row r="567" spans="1:15" ht="15.75" customHeight="1">
      <c r="A567" t="s">
        <v>29</v>
      </c>
      <c r="B567">
        <v>544133</v>
      </c>
      <c r="C567">
        <v>545464</v>
      </c>
      <c r="D567">
        <v>1</v>
      </c>
      <c r="E567" t="s">
        <v>47</v>
      </c>
      <c r="F567" t="s">
        <v>1947</v>
      </c>
      <c r="G567" t="s">
        <v>1948</v>
      </c>
      <c r="I567" t="s">
        <v>49</v>
      </c>
      <c r="L567" t="s">
        <v>1949</v>
      </c>
      <c r="M567" t="s">
        <v>1947</v>
      </c>
      <c r="N567">
        <v>443</v>
      </c>
      <c r="O567" t="s">
        <v>1950</v>
      </c>
    </row>
    <row r="568" spans="1:15" ht="15.75" customHeight="1">
      <c r="A568" t="s">
        <v>29</v>
      </c>
      <c r="B568">
        <v>545547</v>
      </c>
      <c r="C568">
        <v>546074</v>
      </c>
      <c r="D568">
        <v>1</v>
      </c>
      <c r="E568" t="s">
        <v>47</v>
      </c>
      <c r="F568" t="s">
        <v>65</v>
      </c>
      <c r="I568" t="s">
        <v>49</v>
      </c>
      <c r="L568" t="s">
        <v>1951</v>
      </c>
      <c r="M568" t="s">
        <v>65</v>
      </c>
      <c r="N568">
        <v>175</v>
      </c>
      <c r="O568" t="s">
        <v>1952</v>
      </c>
    </row>
    <row r="569" spans="1:15" ht="15.75" customHeight="1">
      <c r="A569" t="s">
        <v>29</v>
      </c>
      <c r="B569">
        <v>546153</v>
      </c>
      <c r="C569">
        <v>547724</v>
      </c>
      <c r="D569">
        <v>1</v>
      </c>
      <c r="E569" t="s">
        <v>47</v>
      </c>
      <c r="F569" t="s">
        <v>1953</v>
      </c>
      <c r="G569" t="s">
        <v>1954</v>
      </c>
      <c r="I569" t="s">
        <v>49</v>
      </c>
      <c r="L569" t="s">
        <v>1955</v>
      </c>
      <c r="M569" t="s">
        <v>1953</v>
      </c>
      <c r="N569">
        <v>523</v>
      </c>
      <c r="O569" t="s">
        <v>1956</v>
      </c>
    </row>
    <row r="570" spans="1:15" ht="15.75" customHeight="1">
      <c r="A570" t="s">
        <v>29</v>
      </c>
      <c r="B570">
        <v>547954</v>
      </c>
      <c r="C570">
        <v>548934</v>
      </c>
      <c r="D570">
        <v>1</v>
      </c>
      <c r="E570" t="s">
        <v>76</v>
      </c>
      <c r="F570" t="s">
        <v>1957</v>
      </c>
      <c r="G570" t="s">
        <v>1958</v>
      </c>
      <c r="I570" t="s">
        <v>49</v>
      </c>
      <c r="L570" t="s">
        <v>1959</v>
      </c>
      <c r="M570" t="s">
        <v>1957</v>
      </c>
      <c r="N570">
        <v>326</v>
      </c>
      <c r="O570" t="s">
        <v>1960</v>
      </c>
    </row>
    <row r="571" spans="1:15" ht="15.75" customHeight="1">
      <c r="A571" t="s">
        <v>29</v>
      </c>
      <c r="B571">
        <v>548921</v>
      </c>
      <c r="C571">
        <v>549793</v>
      </c>
      <c r="D571">
        <v>1</v>
      </c>
      <c r="E571" t="s">
        <v>76</v>
      </c>
      <c r="F571" t="s">
        <v>1961</v>
      </c>
      <c r="G571" t="s">
        <v>1962</v>
      </c>
      <c r="I571" t="s">
        <v>49</v>
      </c>
      <c r="L571" t="s">
        <v>1963</v>
      </c>
      <c r="M571" t="s">
        <v>1961</v>
      </c>
      <c r="N571">
        <v>290</v>
      </c>
      <c r="O571" t="s">
        <v>1964</v>
      </c>
    </row>
    <row r="572" spans="1:15" ht="15.75" customHeight="1">
      <c r="A572" t="s">
        <v>29</v>
      </c>
      <c r="B572">
        <v>549976</v>
      </c>
      <c r="C572">
        <v>551385</v>
      </c>
      <c r="D572">
        <v>1</v>
      </c>
      <c r="E572" t="s">
        <v>47</v>
      </c>
      <c r="F572" t="s">
        <v>1965</v>
      </c>
      <c r="I572" t="s">
        <v>49</v>
      </c>
      <c r="L572" t="s">
        <v>1966</v>
      </c>
      <c r="M572" t="s">
        <v>1965</v>
      </c>
      <c r="N572">
        <v>469</v>
      </c>
      <c r="O572" t="s">
        <v>1967</v>
      </c>
    </row>
    <row r="573" spans="1:15" ht="15.75" customHeight="1">
      <c r="A573" t="s">
        <v>29</v>
      </c>
      <c r="B573">
        <v>551544</v>
      </c>
      <c r="C573">
        <v>553052</v>
      </c>
      <c r="D573">
        <v>1</v>
      </c>
      <c r="E573" t="s">
        <v>47</v>
      </c>
      <c r="F573" t="s">
        <v>1968</v>
      </c>
      <c r="G573" t="s">
        <v>1969</v>
      </c>
      <c r="I573" t="s">
        <v>49</v>
      </c>
      <c r="L573" t="s">
        <v>1970</v>
      </c>
      <c r="M573" t="s">
        <v>1968</v>
      </c>
      <c r="N573">
        <v>502</v>
      </c>
      <c r="O573" t="s">
        <v>1971</v>
      </c>
    </row>
    <row r="574" spans="1:15" ht="15.75" customHeight="1">
      <c r="A574" t="s">
        <v>29</v>
      </c>
      <c r="B574">
        <v>553094</v>
      </c>
      <c r="C574">
        <v>554920</v>
      </c>
      <c r="D574">
        <v>1</v>
      </c>
      <c r="E574" t="s">
        <v>47</v>
      </c>
      <c r="F574" t="s">
        <v>1972</v>
      </c>
      <c r="G574" t="s">
        <v>1973</v>
      </c>
      <c r="I574" t="s">
        <v>49</v>
      </c>
      <c r="L574" t="s">
        <v>1974</v>
      </c>
      <c r="M574" t="s">
        <v>1972</v>
      </c>
      <c r="N574">
        <v>608</v>
      </c>
      <c r="O574" t="s">
        <v>1975</v>
      </c>
    </row>
    <row r="575" spans="1:15" ht="15.75" customHeight="1">
      <c r="A575" t="s">
        <v>29</v>
      </c>
      <c r="B575">
        <v>554990</v>
      </c>
      <c r="C575">
        <v>555694</v>
      </c>
      <c r="D575">
        <v>1</v>
      </c>
      <c r="E575" t="s">
        <v>47</v>
      </c>
      <c r="F575" t="s">
        <v>1976</v>
      </c>
      <c r="G575" t="s">
        <v>1977</v>
      </c>
      <c r="I575" t="s">
        <v>49</v>
      </c>
      <c r="L575" t="s">
        <v>1978</v>
      </c>
      <c r="M575" t="s">
        <v>1976</v>
      </c>
      <c r="N575">
        <v>234</v>
      </c>
      <c r="O575" t="s">
        <v>1979</v>
      </c>
    </row>
    <row r="576" spans="1:15" ht="15.75" customHeight="1">
      <c r="A576" t="s">
        <v>29</v>
      </c>
      <c r="B576">
        <v>556182</v>
      </c>
      <c r="C576">
        <v>556841</v>
      </c>
      <c r="D576">
        <v>1</v>
      </c>
      <c r="E576" t="s">
        <v>76</v>
      </c>
      <c r="F576" t="s">
        <v>176</v>
      </c>
      <c r="I576" t="s">
        <v>49</v>
      </c>
      <c r="L576" t="s">
        <v>1980</v>
      </c>
      <c r="M576" t="s">
        <v>176</v>
      </c>
      <c r="N576">
        <v>219</v>
      </c>
      <c r="O576" t="s">
        <v>1981</v>
      </c>
    </row>
    <row r="577" spans="1:15" ht="15.75" customHeight="1">
      <c r="A577" t="s">
        <v>29</v>
      </c>
      <c r="B577">
        <v>557881</v>
      </c>
      <c r="C577">
        <v>559158</v>
      </c>
      <c r="D577">
        <v>1</v>
      </c>
      <c r="E577" t="s">
        <v>47</v>
      </c>
      <c r="F577" t="s">
        <v>1982</v>
      </c>
      <c r="G577" t="s">
        <v>1983</v>
      </c>
      <c r="I577" t="s">
        <v>49</v>
      </c>
      <c r="L577" t="s">
        <v>1984</v>
      </c>
      <c r="M577" t="s">
        <v>1982</v>
      </c>
      <c r="N577">
        <v>425</v>
      </c>
      <c r="O577" t="s">
        <v>1985</v>
      </c>
    </row>
    <row r="578" spans="1:15" ht="15.75" customHeight="1">
      <c r="A578" t="s">
        <v>29</v>
      </c>
      <c r="B578">
        <v>559615</v>
      </c>
      <c r="C578">
        <v>560793</v>
      </c>
      <c r="D578">
        <v>1</v>
      </c>
      <c r="E578" t="s">
        <v>47</v>
      </c>
      <c r="F578" t="s">
        <v>1986</v>
      </c>
      <c r="I578" t="s">
        <v>49</v>
      </c>
      <c r="L578" t="s">
        <v>1987</v>
      </c>
      <c r="M578" t="s">
        <v>1986</v>
      </c>
      <c r="N578">
        <v>392</v>
      </c>
      <c r="O578" t="s">
        <v>1988</v>
      </c>
    </row>
    <row r="579" spans="1:15" ht="15.75" customHeight="1">
      <c r="A579" t="s">
        <v>29</v>
      </c>
      <c r="B579">
        <v>561259</v>
      </c>
      <c r="C579">
        <v>562809</v>
      </c>
      <c r="D579">
        <v>1</v>
      </c>
      <c r="E579" t="s">
        <v>47</v>
      </c>
      <c r="F579" t="s">
        <v>1989</v>
      </c>
      <c r="G579" t="s">
        <v>1990</v>
      </c>
      <c r="I579" t="s">
        <v>49</v>
      </c>
      <c r="L579" t="s">
        <v>1991</v>
      </c>
      <c r="M579" t="s">
        <v>1989</v>
      </c>
      <c r="N579">
        <v>516</v>
      </c>
      <c r="O579" t="s">
        <v>1992</v>
      </c>
    </row>
    <row r="580" spans="1:15" ht="15.75" customHeight="1">
      <c r="A580" t="s">
        <v>29</v>
      </c>
      <c r="B580">
        <v>562806</v>
      </c>
      <c r="C580">
        <v>564050</v>
      </c>
      <c r="D580">
        <v>1</v>
      </c>
      <c r="E580" t="s">
        <v>47</v>
      </c>
      <c r="F580" t="s">
        <v>1993</v>
      </c>
      <c r="G580" t="s">
        <v>1994</v>
      </c>
      <c r="I580" t="s">
        <v>49</v>
      </c>
      <c r="L580" t="s">
        <v>1995</v>
      </c>
      <c r="M580" t="s">
        <v>1993</v>
      </c>
      <c r="N580">
        <v>414</v>
      </c>
      <c r="O580" t="s">
        <v>1996</v>
      </c>
    </row>
    <row r="581" spans="1:15" ht="15.75" customHeight="1">
      <c r="A581" t="s">
        <v>29</v>
      </c>
      <c r="B581">
        <v>564064</v>
      </c>
      <c r="C581">
        <v>564303</v>
      </c>
      <c r="D581">
        <v>1</v>
      </c>
      <c r="E581" t="s">
        <v>47</v>
      </c>
      <c r="F581" t="s">
        <v>1997</v>
      </c>
      <c r="G581" t="s">
        <v>1998</v>
      </c>
      <c r="I581" t="s">
        <v>49</v>
      </c>
      <c r="L581" t="s">
        <v>1999</v>
      </c>
      <c r="M581" t="s">
        <v>1997</v>
      </c>
      <c r="N581">
        <v>79</v>
      </c>
      <c r="O581" t="s">
        <v>2000</v>
      </c>
    </row>
    <row r="582" spans="1:15" ht="15.75" customHeight="1">
      <c r="A582" t="s">
        <v>29</v>
      </c>
      <c r="B582">
        <v>564296</v>
      </c>
      <c r="C582">
        <v>565564</v>
      </c>
      <c r="D582">
        <v>1</v>
      </c>
      <c r="E582" t="s">
        <v>47</v>
      </c>
      <c r="F582" t="s">
        <v>2001</v>
      </c>
      <c r="G582" t="s">
        <v>2002</v>
      </c>
      <c r="I582" t="s">
        <v>49</v>
      </c>
      <c r="L582" t="s">
        <v>2003</v>
      </c>
      <c r="M582" t="s">
        <v>2001</v>
      </c>
      <c r="N582">
        <v>422</v>
      </c>
      <c r="O582" t="s">
        <v>2004</v>
      </c>
    </row>
    <row r="583" spans="1:15" ht="15.75" customHeight="1">
      <c r="A583" t="s">
        <v>29</v>
      </c>
      <c r="B583">
        <v>565719</v>
      </c>
      <c r="C583">
        <v>566159</v>
      </c>
      <c r="D583">
        <v>1</v>
      </c>
      <c r="E583" t="s">
        <v>47</v>
      </c>
      <c r="F583" t="s">
        <v>2005</v>
      </c>
      <c r="G583" t="s">
        <v>2006</v>
      </c>
      <c r="I583" t="s">
        <v>49</v>
      </c>
      <c r="L583" t="s">
        <v>2007</v>
      </c>
      <c r="M583" t="s">
        <v>2005</v>
      </c>
      <c r="N583">
        <v>146</v>
      </c>
      <c r="O583" t="s">
        <v>2008</v>
      </c>
    </row>
    <row r="584" spans="1:15" ht="15.75" customHeight="1">
      <c r="A584" t="s">
        <v>29</v>
      </c>
      <c r="B584">
        <v>566159</v>
      </c>
      <c r="C584">
        <v>566863</v>
      </c>
      <c r="D584">
        <v>1</v>
      </c>
      <c r="E584" t="s">
        <v>47</v>
      </c>
      <c r="F584" t="s">
        <v>2009</v>
      </c>
      <c r="G584" t="s">
        <v>2010</v>
      </c>
      <c r="I584" t="s">
        <v>49</v>
      </c>
      <c r="L584" t="s">
        <v>2011</v>
      </c>
      <c r="M584" t="s">
        <v>2009</v>
      </c>
      <c r="N584">
        <v>234</v>
      </c>
      <c r="O584" t="s">
        <v>2012</v>
      </c>
    </row>
    <row r="585" spans="1:15" ht="15.75" customHeight="1">
      <c r="A585" t="s">
        <v>29</v>
      </c>
      <c r="B585">
        <v>566856</v>
      </c>
      <c r="C585">
        <v>567662</v>
      </c>
      <c r="D585">
        <v>1</v>
      </c>
      <c r="E585" t="s">
        <v>47</v>
      </c>
      <c r="F585" t="s">
        <v>2013</v>
      </c>
      <c r="G585" t="s">
        <v>2014</v>
      </c>
      <c r="I585" t="s">
        <v>49</v>
      </c>
      <c r="L585" t="s">
        <v>2015</v>
      </c>
      <c r="M585" t="s">
        <v>2013</v>
      </c>
      <c r="N585">
        <v>268</v>
      </c>
      <c r="O585" t="s">
        <v>2016</v>
      </c>
    </row>
    <row r="586" spans="1:15" ht="15.75" customHeight="1">
      <c r="A586" t="s">
        <v>29</v>
      </c>
      <c r="B586">
        <v>567672</v>
      </c>
      <c r="C586">
        <v>569177</v>
      </c>
      <c r="D586">
        <v>1</v>
      </c>
      <c r="E586" t="s">
        <v>47</v>
      </c>
      <c r="F586" t="s">
        <v>2017</v>
      </c>
      <c r="G586" t="s">
        <v>2018</v>
      </c>
      <c r="I586" t="s">
        <v>49</v>
      </c>
      <c r="L586" t="s">
        <v>2019</v>
      </c>
      <c r="M586" t="s">
        <v>2017</v>
      </c>
      <c r="N586">
        <v>501</v>
      </c>
      <c r="O586" t="s">
        <v>2020</v>
      </c>
    </row>
    <row r="587" spans="1:15" ht="15.75" customHeight="1">
      <c r="A587" t="s">
        <v>29</v>
      </c>
      <c r="B587">
        <v>570297</v>
      </c>
      <c r="C587">
        <v>571070</v>
      </c>
      <c r="D587">
        <v>1</v>
      </c>
      <c r="E587" t="s">
        <v>76</v>
      </c>
      <c r="F587" t="s">
        <v>2021</v>
      </c>
      <c r="G587" t="s">
        <v>2022</v>
      </c>
      <c r="I587" t="s">
        <v>49</v>
      </c>
      <c r="L587" t="s">
        <v>2023</v>
      </c>
      <c r="M587" t="s">
        <v>2021</v>
      </c>
      <c r="N587">
        <v>257</v>
      </c>
      <c r="O587" t="s">
        <v>2024</v>
      </c>
    </row>
    <row r="588" spans="1:15" ht="15.75" customHeight="1">
      <c r="A588" t="s">
        <v>29</v>
      </c>
      <c r="B588">
        <v>571246</v>
      </c>
      <c r="C588">
        <v>572649</v>
      </c>
      <c r="D588">
        <v>1</v>
      </c>
      <c r="E588" t="s">
        <v>47</v>
      </c>
      <c r="F588" t="s">
        <v>2025</v>
      </c>
      <c r="G588" t="s">
        <v>2026</v>
      </c>
      <c r="I588" t="s">
        <v>49</v>
      </c>
      <c r="L588" t="s">
        <v>2027</v>
      </c>
      <c r="M588" t="s">
        <v>2025</v>
      </c>
      <c r="N588">
        <v>467</v>
      </c>
      <c r="O588" t="s">
        <v>2028</v>
      </c>
    </row>
    <row r="589" spans="1:15" ht="15.75" customHeight="1">
      <c r="A589" t="s">
        <v>29</v>
      </c>
      <c r="B589">
        <v>572678</v>
      </c>
      <c r="C589">
        <v>573970</v>
      </c>
      <c r="D589">
        <v>1</v>
      </c>
      <c r="E589" t="s">
        <v>47</v>
      </c>
      <c r="F589" t="s">
        <v>2029</v>
      </c>
      <c r="G589" t="s">
        <v>2030</v>
      </c>
      <c r="I589" t="s">
        <v>49</v>
      </c>
      <c r="L589" t="s">
        <v>2031</v>
      </c>
      <c r="M589" t="s">
        <v>2029</v>
      </c>
      <c r="N589">
        <v>430</v>
      </c>
      <c r="O589" t="s">
        <v>2032</v>
      </c>
    </row>
    <row r="590" spans="1:15" ht="15.75" customHeight="1">
      <c r="A590" t="s">
        <v>29</v>
      </c>
      <c r="B590">
        <v>574057</v>
      </c>
      <c r="C590">
        <v>574986</v>
      </c>
      <c r="D590">
        <v>1</v>
      </c>
      <c r="E590" t="s">
        <v>47</v>
      </c>
      <c r="F590" t="s">
        <v>2033</v>
      </c>
      <c r="G590" t="s">
        <v>2034</v>
      </c>
      <c r="I590" t="s">
        <v>49</v>
      </c>
      <c r="L590" t="s">
        <v>2035</v>
      </c>
      <c r="M590" t="s">
        <v>2033</v>
      </c>
      <c r="N590">
        <v>309</v>
      </c>
      <c r="O590" t="s">
        <v>2036</v>
      </c>
    </row>
    <row r="591" spans="1:15" ht="15.75" customHeight="1">
      <c r="A591" t="s">
        <v>29</v>
      </c>
      <c r="B591">
        <v>574989</v>
      </c>
      <c r="C591">
        <v>575828</v>
      </c>
      <c r="D591">
        <v>1</v>
      </c>
      <c r="E591" t="s">
        <v>47</v>
      </c>
      <c r="F591" t="s">
        <v>2033</v>
      </c>
      <c r="G591" t="s">
        <v>2037</v>
      </c>
      <c r="I591" t="s">
        <v>49</v>
      </c>
      <c r="L591" t="s">
        <v>2038</v>
      </c>
      <c r="M591" t="s">
        <v>2033</v>
      </c>
      <c r="N591">
        <v>279</v>
      </c>
      <c r="O591" t="s">
        <v>2039</v>
      </c>
    </row>
    <row r="592" spans="1:15" ht="15.75" customHeight="1">
      <c r="A592" t="s">
        <v>29</v>
      </c>
      <c r="B592">
        <v>575825</v>
      </c>
      <c r="C592">
        <v>577144</v>
      </c>
      <c r="D592">
        <v>1</v>
      </c>
      <c r="E592" t="s">
        <v>47</v>
      </c>
      <c r="F592" t="s">
        <v>2040</v>
      </c>
      <c r="I592" t="s">
        <v>49</v>
      </c>
      <c r="L592" t="s">
        <v>2041</v>
      </c>
      <c r="M592" t="s">
        <v>2040</v>
      </c>
      <c r="N592">
        <v>439</v>
      </c>
      <c r="O592" t="s">
        <v>2042</v>
      </c>
    </row>
    <row r="593" spans="1:15" ht="15.75" customHeight="1">
      <c r="A593" t="s">
        <v>29</v>
      </c>
      <c r="B593">
        <v>577150</v>
      </c>
      <c r="C593">
        <v>579021</v>
      </c>
      <c r="D593">
        <v>1</v>
      </c>
      <c r="E593" t="s">
        <v>47</v>
      </c>
      <c r="F593" t="s">
        <v>2043</v>
      </c>
      <c r="I593" t="s">
        <v>49</v>
      </c>
      <c r="L593" t="s">
        <v>2044</v>
      </c>
      <c r="M593" t="s">
        <v>2043</v>
      </c>
      <c r="N593">
        <v>623</v>
      </c>
      <c r="O593" t="s">
        <v>2045</v>
      </c>
    </row>
    <row r="594" spans="1:15" ht="15.75" customHeight="1">
      <c r="A594" t="s">
        <v>29</v>
      </c>
      <c r="B594">
        <v>579043</v>
      </c>
      <c r="C594">
        <v>581259</v>
      </c>
      <c r="D594">
        <v>1</v>
      </c>
      <c r="E594" t="s">
        <v>47</v>
      </c>
      <c r="F594" t="s">
        <v>2046</v>
      </c>
      <c r="G594" t="s">
        <v>2047</v>
      </c>
      <c r="I594" t="s">
        <v>49</v>
      </c>
      <c r="L594" t="s">
        <v>2048</v>
      </c>
      <c r="M594" t="s">
        <v>2046</v>
      </c>
      <c r="N594">
        <v>738</v>
      </c>
      <c r="O594" t="s">
        <v>2049</v>
      </c>
    </row>
    <row r="595" spans="1:15" ht="15.75" customHeight="1">
      <c r="A595" t="s">
        <v>29</v>
      </c>
      <c r="B595">
        <v>581270</v>
      </c>
      <c r="C595">
        <v>584287</v>
      </c>
      <c r="D595">
        <v>1</v>
      </c>
      <c r="E595" t="s">
        <v>47</v>
      </c>
      <c r="F595" t="s">
        <v>2050</v>
      </c>
      <c r="G595" t="s">
        <v>2051</v>
      </c>
      <c r="I595" t="s">
        <v>49</v>
      </c>
      <c r="L595" t="s">
        <v>2052</v>
      </c>
      <c r="M595" t="s">
        <v>2050</v>
      </c>
      <c r="N595">
        <v>1005</v>
      </c>
      <c r="O595" t="s">
        <v>2053</v>
      </c>
    </row>
    <row r="596" spans="1:15" ht="15.75" customHeight="1">
      <c r="A596" t="s">
        <v>29</v>
      </c>
      <c r="B596">
        <v>584302</v>
      </c>
      <c r="C596">
        <v>585030</v>
      </c>
      <c r="D596">
        <v>1</v>
      </c>
      <c r="E596" t="s">
        <v>47</v>
      </c>
      <c r="F596" t="s">
        <v>2054</v>
      </c>
      <c r="G596" t="s">
        <v>2055</v>
      </c>
      <c r="I596" t="s">
        <v>49</v>
      </c>
      <c r="L596" t="s">
        <v>2056</v>
      </c>
      <c r="M596" t="s">
        <v>2054</v>
      </c>
      <c r="N596">
        <v>242</v>
      </c>
      <c r="O596" t="s">
        <v>2057</v>
      </c>
    </row>
    <row r="597" spans="1:15" ht="15.75" customHeight="1">
      <c r="A597" t="s">
        <v>29</v>
      </c>
      <c r="B597">
        <v>585043</v>
      </c>
      <c r="C597">
        <v>586809</v>
      </c>
      <c r="D597">
        <v>1</v>
      </c>
      <c r="E597" t="s">
        <v>47</v>
      </c>
      <c r="F597" t="s">
        <v>2058</v>
      </c>
      <c r="G597" t="s">
        <v>2059</v>
      </c>
      <c r="I597" t="s">
        <v>49</v>
      </c>
      <c r="L597" t="s">
        <v>2060</v>
      </c>
      <c r="M597" t="s">
        <v>2058</v>
      </c>
      <c r="N597">
        <v>588</v>
      </c>
      <c r="O597" t="s">
        <v>2061</v>
      </c>
    </row>
    <row r="598" spans="1:15" ht="15.75" customHeight="1">
      <c r="A598" t="s">
        <v>29</v>
      </c>
      <c r="B598">
        <v>586955</v>
      </c>
      <c r="C598">
        <v>588106</v>
      </c>
      <c r="D598">
        <v>1</v>
      </c>
      <c r="E598" t="s">
        <v>47</v>
      </c>
      <c r="F598" t="s">
        <v>745</v>
      </c>
      <c r="G598" t="s">
        <v>2062</v>
      </c>
      <c r="I598" t="s">
        <v>49</v>
      </c>
      <c r="L598" t="s">
        <v>2063</v>
      </c>
      <c r="M598" t="s">
        <v>745</v>
      </c>
      <c r="N598">
        <v>383</v>
      </c>
      <c r="O598" t="s">
        <v>2064</v>
      </c>
    </row>
    <row r="599" spans="1:15" ht="15.75" customHeight="1">
      <c r="A599" t="s">
        <v>29</v>
      </c>
      <c r="B599">
        <v>588236</v>
      </c>
      <c r="C599">
        <v>589135</v>
      </c>
      <c r="D599">
        <v>1</v>
      </c>
      <c r="E599" t="s">
        <v>47</v>
      </c>
      <c r="F599" t="s">
        <v>2065</v>
      </c>
      <c r="G599" t="s">
        <v>2066</v>
      </c>
      <c r="I599" t="s">
        <v>49</v>
      </c>
      <c r="L599" t="s">
        <v>2067</v>
      </c>
      <c r="M599" t="s">
        <v>2065</v>
      </c>
      <c r="N599">
        <v>299</v>
      </c>
      <c r="O599" t="s">
        <v>2068</v>
      </c>
    </row>
    <row r="600" spans="1:15" ht="15.75" customHeight="1">
      <c r="A600" t="s">
        <v>29</v>
      </c>
      <c r="B600">
        <v>589172</v>
      </c>
      <c r="C600">
        <v>589510</v>
      </c>
      <c r="D600">
        <v>1</v>
      </c>
      <c r="E600" t="s">
        <v>76</v>
      </c>
      <c r="F600" t="s">
        <v>2069</v>
      </c>
      <c r="I600" t="s">
        <v>49</v>
      </c>
      <c r="L600" t="s">
        <v>2070</v>
      </c>
      <c r="M600" t="s">
        <v>2069</v>
      </c>
      <c r="N600">
        <v>112</v>
      </c>
      <c r="O600" t="s">
        <v>2071</v>
      </c>
    </row>
    <row r="601" spans="1:15" ht="15.75" customHeight="1">
      <c r="A601" t="s">
        <v>29</v>
      </c>
      <c r="B601">
        <v>589714</v>
      </c>
      <c r="C601">
        <v>589965</v>
      </c>
      <c r="D601">
        <v>1</v>
      </c>
      <c r="E601" t="s">
        <v>47</v>
      </c>
      <c r="F601" t="s">
        <v>2072</v>
      </c>
      <c r="G601" t="s">
        <v>2073</v>
      </c>
      <c r="I601" t="s">
        <v>49</v>
      </c>
      <c r="L601" t="s">
        <v>2074</v>
      </c>
      <c r="M601" t="s">
        <v>2072</v>
      </c>
      <c r="N601">
        <v>83</v>
      </c>
      <c r="O601" t="s">
        <v>2075</v>
      </c>
    </row>
    <row r="602" spans="1:15" ht="15.75" customHeight="1">
      <c r="A602" t="s">
        <v>29</v>
      </c>
      <c r="B602">
        <v>589953</v>
      </c>
      <c r="C602">
        <v>590168</v>
      </c>
      <c r="D602">
        <v>1</v>
      </c>
      <c r="E602" t="s">
        <v>47</v>
      </c>
      <c r="F602" t="s">
        <v>2076</v>
      </c>
      <c r="I602" t="s">
        <v>49</v>
      </c>
      <c r="L602" t="s">
        <v>2077</v>
      </c>
      <c r="M602" t="s">
        <v>2076</v>
      </c>
      <c r="N602">
        <v>71</v>
      </c>
      <c r="O602" t="s">
        <v>2078</v>
      </c>
    </row>
    <row r="603" spans="1:15" ht="15.75" customHeight="1">
      <c r="A603" t="s">
        <v>29</v>
      </c>
      <c r="B603">
        <v>590648</v>
      </c>
      <c r="C603">
        <v>591979</v>
      </c>
      <c r="D603">
        <v>1</v>
      </c>
      <c r="E603" t="s">
        <v>76</v>
      </c>
      <c r="F603" t="s">
        <v>2079</v>
      </c>
      <c r="I603" t="s">
        <v>49</v>
      </c>
      <c r="L603" t="s">
        <v>2080</v>
      </c>
      <c r="M603" t="s">
        <v>2079</v>
      </c>
      <c r="N603">
        <v>443</v>
      </c>
      <c r="O603" t="s">
        <v>2081</v>
      </c>
    </row>
    <row r="604" spans="1:15" ht="15.75" customHeight="1">
      <c r="A604" t="s">
        <v>29</v>
      </c>
      <c r="B604">
        <v>592001</v>
      </c>
      <c r="C604">
        <v>593512</v>
      </c>
      <c r="D604">
        <v>1</v>
      </c>
      <c r="E604" t="s">
        <v>76</v>
      </c>
      <c r="F604" t="s">
        <v>2082</v>
      </c>
      <c r="I604" t="s">
        <v>49</v>
      </c>
      <c r="L604" t="s">
        <v>2083</v>
      </c>
      <c r="M604" t="s">
        <v>2082</v>
      </c>
      <c r="N604">
        <v>503</v>
      </c>
      <c r="O604" t="s">
        <v>2084</v>
      </c>
    </row>
    <row r="605" spans="1:15" ht="15.75" customHeight="1">
      <c r="A605" t="s">
        <v>29</v>
      </c>
      <c r="B605">
        <v>593723</v>
      </c>
      <c r="C605">
        <v>594670</v>
      </c>
      <c r="D605">
        <v>1</v>
      </c>
      <c r="E605" t="s">
        <v>76</v>
      </c>
      <c r="F605" t="s">
        <v>2085</v>
      </c>
      <c r="G605" t="s">
        <v>2086</v>
      </c>
      <c r="I605" t="s">
        <v>49</v>
      </c>
      <c r="L605" t="s">
        <v>2087</v>
      </c>
      <c r="M605" t="s">
        <v>2085</v>
      </c>
      <c r="N605">
        <v>315</v>
      </c>
      <c r="O605" t="s">
        <v>2088</v>
      </c>
    </row>
    <row r="606" spans="1:15" ht="15.75" customHeight="1">
      <c r="A606" t="s">
        <v>29</v>
      </c>
      <c r="B606">
        <v>594835</v>
      </c>
      <c r="C606">
        <v>595851</v>
      </c>
      <c r="D606">
        <v>1</v>
      </c>
      <c r="E606" t="s">
        <v>76</v>
      </c>
      <c r="F606" t="s">
        <v>2089</v>
      </c>
      <c r="G606" t="s">
        <v>2090</v>
      </c>
      <c r="I606" t="s">
        <v>49</v>
      </c>
      <c r="L606" t="s">
        <v>2091</v>
      </c>
      <c r="M606" t="s">
        <v>2089</v>
      </c>
      <c r="N606">
        <v>338</v>
      </c>
      <c r="O606" t="s">
        <v>2092</v>
      </c>
    </row>
    <row r="607" spans="1:15" ht="15.75" customHeight="1">
      <c r="A607" t="s">
        <v>29</v>
      </c>
      <c r="B607">
        <v>595909</v>
      </c>
      <c r="C607">
        <v>597138</v>
      </c>
      <c r="D607">
        <v>1</v>
      </c>
      <c r="E607" t="s">
        <v>76</v>
      </c>
      <c r="F607" t="s">
        <v>2093</v>
      </c>
      <c r="G607" t="s">
        <v>2094</v>
      </c>
      <c r="I607" t="s">
        <v>49</v>
      </c>
      <c r="L607" t="s">
        <v>2095</v>
      </c>
      <c r="M607" t="s">
        <v>2093</v>
      </c>
      <c r="N607">
        <v>409</v>
      </c>
      <c r="O607" t="s">
        <v>2096</v>
      </c>
    </row>
    <row r="608" spans="1:15" ht="15.75" customHeight="1">
      <c r="A608" t="s">
        <v>29</v>
      </c>
      <c r="B608">
        <v>597893</v>
      </c>
      <c r="C608">
        <v>599572</v>
      </c>
      <c r="D608">
        <v>1</v>
      </c>
      <c r="E608" t="s">
        <v>47</v>
      </c>
      <c r="F608" t="s">
        <v>2097</v>
      </c>
      <c r="I608" t="s">
        <v>49</v>
      </c>
      <c r="L608" t="s">
        <v>2098</v>
      </c>
      <c r="M608" t="s">
        <v>2097</v>
      </c>
      <c r="N608">
        <v>559</v>
      </c>
      <c r="O608" t="s">
        <v>2099</v>
      </c>
    </row>
    <row r="609" spans="1:15" ht="15.75" customHeight="1">
      <c r="A609" t="s">
        <v>29</v>
      </c>
      <c r="B609">
        <v>599612</v>
      </c>
      <c r="C609">
        <v>601696</v>
      </c>
      <c r="D609">
        <v>1</v>
      </c>
      <c r="E609" t="s">
        <v>76</v>
      </c>
      <c r="F609" t="s">
        <v>2100</v>
      </c>
      <c r="I609" t="s">
        <v>49</v>
      </c>
      <c r="L609" t="s">
        <v>2101</v>
      </c>
      <c r="M609" t="s">
        <v>2100</v>
      </c>
      <c r="N609">
        <v>694</v>
      </c>
      <c r="O609" t="s">
        <v>2102</v>
      </c>
    </row>
    <row r="610" spans="1:15" ht="15.75" customHeight="1">
      <c r="A610" t="s">
        <v>29</v>
      </c>
      <c r="B610">
        <v>601867</v>
      </c>
      <c r="C610">
        <v>603147</v>
      </c>
      <c r="D610">
        <v>1</v>
      </c>
      <c r="E610" t="s">
        <v>47</v>
      </c>
      <c r="F610" t="s">
        <v>2103</v>
      </c>
      <c r="I610" t="s">
        <v>49</v>
      </c>
      <c r="L610" t="s">
        <v>2104</v>
      </c>
      <c r="M610" t="s">
        <v>2103</v>
      </c>
      <c r="N610">
        <v>426</v>
      </c>
      <c r="O610" t="s">
        <v>2105</v>
      </c>
    </row>
    <row r="611" spans="1:15" ht="15.75" customHeight="1">
      <c r="A611" t="s">
        <v>29</v>
      </c>
      <c r="B611">
        <v>603238</v>
      </c>
      <c r="C611">
        <v>605883</v>
      </c>
      <c r="D611">
        <v>1</v>
      </c>
      <c r="E611" t="s">
        <v>47</v>
      </c>
      <c r="F611" t="s">
        <v>2106</v>
      </c>
      <c r="G611" t="s">
        <v>2107</v>
      </c>
      <c r="I611" t="s">
        <v>49</v>
      </c>
      <c r="L611" t="s">
        <v>2108</v>
      </c>
      <c r="M611" t="s">
        <v>2106</v>
      </c>
      <c r="N611">
        <v>881</v>
      </c>
      <c r="O611" t="s">
        <v>2109</v>
      </c>
    </row>
    <row r="612" spans="1:15" ht="15.75" customHeight="1">
      <c r="A612" t="s">
        <v>29</v>
      </c>
      <c r="B612">
        <v>605955</v>
      </c>
      <c r="C612">
        <v>606836</v>
      </c>
      <c r="D612">
        <v>1</v>
      </c>
      <c r="E612" t="s">
        <v>47</v>
      </c>
      <c r="F612" t="s">
        <v>183</v>
      </c>
      <c r="G612" t="s">
        <v>2110</v>
      </c>
      <c r="I612" t="s">
        <v>49</v>
      </c>
      <c r="L612" t="s">
        <v>2111</v>
      </c>
      <c r="M612" t="s">
        <v>183</v>
      </c>
      <c r="N612">
        <v>293</v>
      </c>
      <c r="O612" t="s">
        <v>2112</v>
      </c>
    </row>
    <row r="613" spans="1:15" ht="15.75" customHeight="1">
      <c r="A613" t="s">
        <v>29</v>
      </c>
      <c r="B613">
        <v>606830</v>
      </c>
      <c r="C613">
        <v>608710</v>
      </c>
      <c r="D613">
        <v>1</v>
      </c>
      <c r="E613" t="s">
        <v>47</v>
      </c>
      <c r="F613" t="s">
        <v>2113</v>
      </c>
      <c r="I613" t="s">
        <v>49</v>
      </c>
      <c r="L613" t="s">
        <v>2114</v>
      </c>
      <c r="M613" t="s">
        <v>2113</v>
      </c>
      <c r="N613">
        <v>626</v>
      </c>
      <c r="O613" t="s">
        <v>2115</v>
      </c>
    </row>
    <row r="614" spans="1:15" ht="15.75" customHeight="1">
      <c r="A614" t="s">
        <v>29</v>
      </c>
      <c r="B614">
        <v>609132</v>
      </c>
      <c r="C614">
        <v>609281</v>
      </c>
      <c r="D614">
        <v>1</v>
      </c>
      <c r="E614" t="s">
        <v>76</v>
      </c>
      <c r="F614" t="s">
        <v>2116</v>
      </c>
      <c r="G614" t="s">
        <v>2117</v>
      </c>
      <c r="I614" t="s">
        <v>49</v>
      </c>
      <c r="L614" t="s">
        <v>2118</v>
      </c>
      <c r="M614" t="s">
        <v>2116</v>
      </c>
      <c r="N614">
        <v>49</v>
      </c>
      <c r="O614" t="s">
        <v>2119</v>
      </c>
    </row>
    <row r="615" spans="1:15" ht="15.75" customHeight="1">
      <c r="A615" t="s">
        <v>29</v>
      </c>
      <c r="B615">
        <v>609297</v>
      </c>
      <c r="C615">
        <v>609479</v>
      </c>
      <c r="D615">
        <v>1</v>
      </c>
      <c r="E615" t="s">
        <v>76</v>
      </c>
      <c r="F615" t="s">
        <v>2120</v>
      </c>
      <c r="G615" t="s">
        <v>2121</v>
      </c>
      <c r="I615" t="s">
        <v>49</v>
      </c>
      <c r="L615" t="s">
        <v>2122</v>
      </c>
      <c r="M615" t="s">
        <v>2120</v>
      </c>
      <c r="N615">
        <v>60</v>
      </c>
      <c r="O615" t="s">
        <v>2123</v>
      </c>
    </row>
    <row r="616" spans="1:15" ht="15.75" customHeight="1">
      <c r="A616" t="s">
        <v>29</v>
      </c>
      <c r="B616">
        <v>609631</v>
      </c>
      <c r="C616">
        <v>609831</v>
      </c>
      <c r="D616">
        <v>1</v>
      </c>
      <c r="E616" t="s">
        <v>76</v>
      </c>
      <c r="F616" t="s">
        <v>176</v>
      </c>
      <c r="I616" t="s">
        <v>49</v>
      </c>
      <c r="L616" t="s">
        <v>2124</v>
      </c>
      <c r="M616" t="s">
        <v>176</v>
      </c>
      <c r="N616">
        <v>66</v>
      </c>
      <c r="O616" t="s">
        <v>2125</v>
      </c>
    </row>
    <row r="617" spans="1:15" ht="15.75" customHeight="1">
      <c r="A617" t="s">
        <v>29</v>
      </c>
      <c r="B617">
        <v>609834</v>
      </c>
      <c r="C617">
        <v>610841</v>
      </c>
      <c r="D617">
        <v>1</v>
      </c>
      <c r="E617" t="s">
        <v>76</v>
      </c>
      <c r="F617" t="s">
        <v>769</v>
      </c>
      <c r="I617" t="s">
        <v>49</v>
      </c>
      <c r="L617" t="s">
        <v>2126</v>
      </c>
      <c r="M617" t="s">
        <v>769</v>
      </c>
      <c r="N617">
        <v>335</v>
      </c>
      <c r="O617" t="s">
        <v>2127</v>
      </c>
    </row>
    <row r="618" spans="1:15" ht="15.75" customHeight="1">
      <c r="A618" t="s">
        <v>29</v>
      </c>
      <c r="B618">
        <v>611032</v>
      </c>
      <c r="C618">
        <v>613062</v>
      </c>
      <c r="D618">
        <v>1</v>
      </c>
      <c r="E618" t="s">
        <v>47</v>
      </c>
      <c r="F618" t="s">
        <v>2128</v>
      </c>
      <c r="G618" t="s">
        <v>2129</v>
      </c>
      <c r="I618" t="s">
        <v>49</v>
      </c>
      <c r="L618" t="s">
        <v>2130</v>
      </c>
      <c r="M618" t="s">
        <v>2128</v>
      </c>
      <c r="N618">
        <v>676</v>
      </c>
      <c r="O618" t="s">
        <v>2131</v>
      </c>
    </row>
    <row r="619" spans="1:15" ht="15.75" customHeight="1">
      <c r="A619" t="s">
        <v>29</v>
      </c>
      <c r="B619">
        <v>613066</v>
      </c>
      <c r="C619">
        <v>613350</v>
      </c>
      <c r="D619">
        <v>1</v>
      </c>
      <c r="E619" t="s">
        <v>47</v>
      </c>
      <c r="F619" t="s">
        <v>2132</v>
      </c>
      <c r="I619" t="s">
        <v>49</v>
      </c>
      <c r="L619" t="s">
        <v>2133</v>
      </c>
      <c r="M619" t="s">
        <v>2132</v>
      </c>
      <c r="N619">
        <v>94</v>
      </c>
      <c r="O619" t="s">
        <v>2134</v>
      </c>
    </row>
    <row r="620" spans="1:15" ht="15.75" customHeight="1">
      <c r="A620" t="s">
        <v>29</v>
      </c>
      <c r="B620">
        <v>613363</v>
      </c>
      <c r="C620">
        <v>614709</v>
      </c>
      <c r="D620">
        <v>1</v>
      </c>
      <c r="E620" t="s">
        <v>47</v>
      </c>
      <c r="F620" t="s">
        <v>1413</v>
      </c>
      <c r="G620" t="s">
        <v>2135</v>
      </c>
      <c r="I620" t="s">
        <v>49</v>
      </c>
      <c r="L620" t="s">
        <v>2136</v>
      </c>
      <c r="M620" t="s">
        <v>1413</v>
      </c>
      <c r="N620">
        <v>448</v>
      </c>
      <c r="O620" t="s">
        <v>2137</v>
      </c>
    </row>
    <row r="621" spans="1:15" ht="15.75" customHeight="1">
      <c r="A621" t="s">
        <v>29</v>
      </c>
      <c r="B621">
        <v>614713</v>
      </c>
      <c r="C621">
        <v>615570</v>
      </c>
      <c r="D621">
        <v>1</v>
      </c>
      <c r="E621" t="s">
        <v>47</v>
      </c>
      <c r="F621" t="s">
        <v>2138</v>
      </c>
      <c r="G621" t="s">
        <v>2139</v>
      </c>
      <c r="I621" t="s">
        <v>49</v>
      </c>
      <c r="L621" t="s">
        <v>2140</v>
      </c>
      <c r="M621" t="s">
        <v>2138</v>
      </c>
      <c r="N621">
        <v>285</v>
      </c>
      <c r="O621" t="s">
        <v>2141</v>
      </c>
    </row>
    <row r="622" spans="1:15" ht="15.75" customHeight="1">
      <c r="A622" t="s">
        <v>29</v>
      </c>
      <c r="B622">
        <v>615567</v>
      </c>
      <c r="C622">
        <v>616499</v>
      </c>
      <c r="D622">
        <v>1</v>
      </c>
      <c r="E622" t="s">
        <v>47</v>
      </c>
      <c r="F622" t="s">
        <v>2142</v>
      </c>
      <c r="G622" t="s">
        <v>2143</v>
      </c>
      <c r="I622" t="s">
        <v>49</v>
      </c>
      <c r="L622" t="s">
        <v>2144</v>
      </c>
      <c r="M622" t="s">
        <v>2142</v>
      </c>
      <c r="N622">
        <v>310</v>
      </c>
      <c r="O622" t="s">
        <v>2145</v>
      </c>
    </row>
    <row r="623" spans="1:15" ht="15.75" customHeight="1">
      <c r="A623" t="s">
        <v>29</v>
      </c>
      <c r="B623">
        <v>616732</v>
      </c>
      <c r="C623">
        <v>618435</v>
      </c>
      <c r="D623">
        <v>1</v>
      </c>
      <c r="E623" t="s">
        <v>47</v>
      </c>
      <c r="F623" t="s">
        <v>2146</v>
      </c>
      <c r="G623" t="s">
        <v>2147</v>
      </c>
      <c r="I623" t="s">
        <v>49</v>
      </c>
      <c r="L623" t="s">
        <v>2148</v>
      </c>
      <c r="M623" t="s">
        <v>2146</v>
      </c>
      <c r="N623">
        <v>567</v>
      </c>
      <c r="O623" t="s">
        <v>2149</v>
      </c>
    </row>
    <row r="624" spans="1:15" ht="15.75" customHeight="1">
      <c r="A624" t="s">
        <v>29</v>
      </c>
      <c r="B624">
        <v>618461</v>
      </c>
      <c r="C624">
        <v>619255</v>
      </c>
      <c r="D624">
        <v>1</v>
      </c>
      <c r="E624" t="s">
        <v>76</v>
      </c>
      <c r="F624" t="s">
        <v>2150</v>
      </c>
      <c r="I624" t="s">
        <v>49</v>
      </c>
      <c r="L624" t="s">
        <v>2151</v>
      </c>
      <c r="M624" t="s">
        <v>2150</v>
      </c>
      <c r="N624">
        <v>264</v>
      </c>
      <c r="O624" t="s">
        <v>2152</v>
      </c>
    </row>
    <row r="625" spans="1:15" ht="15.75" customHeight="1">
      <c r="A625" t="s">
        <v>29</v>
      </c>
      <c r="B625">
        <v>619319</v>
      </c>
      <c r="C625">
        <v>619660</v>
      </c>
      <c r="D625">
        <v>1</v>
      </c>
      <c r="E625" t="s">
        <v>76</v>
      </c>
      <c r="F625" t="s">
        <v>2153</v>
      </c>
      <c r="I625" t="s">
        <v>49</v>
      </c>
      <c r="L625" t="s">
        <v>2154</v>
      </c>
      <c r="M625" t="s">
        <v>2153</v>
      </c>
      <c r="N625">
        <v>113</v>
      </c>
      <c r="O625" t="s">
        <v>2155</v>
      </c>
    </row>
    <row r="626" spans="1:15" ht="15.75" customHeight="1">
      <c r="A626" t="s">
        <v>29</v>
      </c>
      <c r="B626">
        <v>619784</v>
      </c>
      <c r="C626">
        <v>620635</v>
      </c>
      <c r="D626">
        <v>1</v>
      </c>
      <c r="E626" t="s">
        <v>47</v>
      </c>
      <c r="F626" t="s">
        <v>2156</v>
      </c>
      <c r="G626" t="s">
        <v>2157</v>
      </c>
      <c r="I626" t="s">
        <v>49</v>
      </c>
      <c r="L626" t="s">
        <v>2158</v>
      </c>
      <c r="M626" t="s">
        <v>2156</v>
      </c>
      <c r="N626">
        <v>283</v>
      </c>
      <c r="O626" t="s">
        <v>2159</v>
      </c>
    </row>
    <row r="627" spans="1:15" ht="15.75" customHeight="1">
      <c r="A627" t="s">
        <v>29</v>
      </c>
      <c r="B627">
        <v>620828</v>
      </c>
      <c r="C627">
        <v>622057</v>
      </c>
      <c r="D627">
        <v>1</v>
      </c>
      <c r="E627" t="s">
        <v>47</v>
      </c>
      <c r="F627" t="s">
        <v>436</v>
      </c>
      <c r="I627" t="s">
        <v>49</v>
      </c>
      <c r="L627" t="s">
        <v>2160</v>
      </c>
      <c r="M627" t="s">
        <v>436</v>
      </c>
      <c r="N627">
        <v>409</v>
      </c>
      <c r="O627" t="s">
        <v>2161</v>
      </c>
    </row>
    <row r="628" spans="1:15" ht="15.75" customHeight="1">
      <c r="A628" t="s">
        <v>29</v>
      </c>
      <c r="B628">
        <v>622154</v>
      </c>
      <c r="C628">
        <v>623443</v>
      </c>
      <c r="D628">
        <v>1</v>
      </c>
      <c r="E628" t="s">
        <v>47</v>
      </c>
      <c r="F628" t="s">
        <v>2162</v>
      </c>
      <c r="G628" t="s">
        <v>2163</v>
      </c>
      <c r="I628" t="s">
        <v>49</v>
      </c>
      <c r="L628" t="s">
        <v>2164</v>
      </c>
      <c r="M628" t="s">
        <v>2162</v>
      </c>
      <c r="N628">
        <v>429</v>
      </c>
      <c r="O628" t="s">
        <v>2165</v>
      </c>
    </row>
    <row r="629" spans="1:15" ht="15.75" customHeight="1">
      <c r="A629" t="s">
        <v>29</v>
      </c>
      <c r="B629">
        <v>623698</v>
      </c>
      <c r="C629">
        <v>624012</v>
      </c>
      <c r="D629">
        <v>1</v>
      </c>
      <c r="E629" t="s">
        <v>47</v>
      </c>
      <c r="F629" t="s">
        <v>2166</v>
      </c>
      <c r="I629" t="s">
        <v>49</v>
      </c>
      <c r="L629" t="s">
        <v>2167</v>
      </c>
      <c r="M629" t="s">
        <v>2166</v>
      </c>
      <c r="N629">
        <v>104</v>
      </c>
      <c r="O629" t="s">
        <v>2168</v>
      </c>
    </row>
    <row r="630" spans="1:15" ht="15.75" customHeight="1">
      <c r="A630" t="s">
        <v>29</v>
      </c>
      <c r="B630">
        <v>624013</v>
      </c>
      <c r="C630">
        <v>624228</v>
      </c>
      <c r="D630">
        <v>1</v>
      </c>
      <c r="E630" t="s">
        <v>47</v>
      </c>
      <c r="F630" t="s">
        <v>607</v>
      </c>
      <c r="I630" t="s">
        <v>49</v>
      </c>
      <c r="L630" t="s">
        <v>2169</v>
      </c>
      <c r="M630" t="s">
        <v>607</v>
      </c>
      <c r="N630">
        <v>71</v>
      </c>
      <c r="O630" t="s">
        <v>2170</v>
      </c>
    </row>
    <row r="631" spans="1:15" ht="15.75" customHeight="1">
      <c r="A631" t="s">
        <v>29</v>
      </c>
      <c r="B631">
        <v>624228</v>
      </c>
      <c r="C631">
        <v>624425</v>
      </c>
      <c r="D631">
        <v>1</v>
      </c>
      <c r="E631" t="s">
        <v>47</v>
      </c>
      <c r="F631" t="s">
        <v>176</v>
      </c>
      <c r="I631" t="s">
        <v>49</v>
      </c>
      <c r="L631" t="s">
        <v>2171</v>
      </c>
      <c r="M631" t="s">
        <v>176</v>
      </c>
      <c r="N631">
        <v>65</v>
      </c>
      <c r="O631" t="s">
        <v>2172</v>
      </c>
    </row>
    <row r="632" spans="1:15" ht="15.75" customHeight="1">
      <c r="A632" t="s">
        <v>29</v>
      </c>
      <c r="B632">
        <v>624428</v>
      </c>
      <c r="C632">
        <v>625162</v>
      </c>
      <c r="D632">
        <v>1</v>
      </c>
      <c r="E632" t="s">
        <v>47</v>
      </c>
      <c r="F632" t="s">
        <v>2173</v>
      </c>
      <c r="I632" t="s">
        <v>49</v>
      </c>
      <c r="L632" t="s">
        <v>2174</v>
      </c>
      <c r="M632" t="s">
        <v>2173</v>
      </c>
      <c r="N632">
        <v>244</v>
      </c>
      <c r="O632" t="s">
        <v>2175</v>
      </c>
    </row>
    <row r="633" spans="1:15" ht="15.75" customHeight="1">
      <c r="A633" t="s">
        <v>29</v>
      </c>
      <c r="B633">
        <v>625174</v>
      </c>
      <c r="C633">
        <v>625815</v>
      </c>
      <c r="D633">
        <v>1</v>
      </c>
      <c r="E633" t="s">
        <v>47</v>
      </c>
      <c r="F633" t="s">
        <v>290</v>
      </c>
      <c r="I633" t="s">
        <v>49</v>
      </c>
      <c r="L633" t="s">
        <v>2176</v>
      </c>
      <c r="M633" t="s">
        <v>290</v>
      </c>
      <c r="N633">
        <v>213</v>
      </c>
      <c r="O633" t="s">
        <v>2177</v>
      </c>
    </row>
    <row r="634" spans="1:15" ht="15.75" customHeight="1">
      <c r="A634" t="s">
        <v>29</v>
      </c>
      <c r="B634">
        <v>625833</v>
      </c>
      <c r="C634">
        <v>626063</v>
      </c>
      <c r="D634">
        <v>1</v>
      </c>
      <c r="E634" t="s">
        <v>47</v>
      </c>
      <c r="F634" t="s">
        <v>1230</v>
      </c>
      <c r="I634" t="s">
        <v>49</v>
      </c>
      <c r="L634" t="s">
        <v>2178</v>
      </c>
      <c r="M634" t="s">
        <v>1230</v>
      </c>
      <c r="N634">
        <v>76</v>
      </c>
      <c r="O634" t="s">
        <v>2179</v>
      </c>
    </row>
    <row r="635" spans="1:15" ht="15.75" customHeight="1">
      <c r="A635" t="s">
        <v>29</v>
      </c>
      <c r="B635">
        <v>626105</v>
      </c>
      <c r="C635">
        <v>626296</v>
      </c>
      <c r="D635">
        <v>1</v>
      </c>
      <c r="E635" t="s">
        <v>47</v>
      </c>
      <c r="F635" t="s">
        <v>148</v>
      </c>
      <c r="I635" t="s">
        <v>49</v>
      </c>
      <c r="L635" t="s">
        <v>2180</v>
      </c>
      <c r="M635" t="s">
        <v>148</v>
      </c>
      <c r="N635">
        <v>63</v>
      </c>
      <c r="O635" t="s">
        <v>2181</v>
      </c>
    </row>
    <row r="636" spans="1:15" ht="15.75" customHeight="1">
      <c r="A636" t="s">
        <v>29</v>
      </c>
      <c r="B636">
        <v>626415</v>
      </c>
      <c r="C636">
        <v>628178</v>
      </c>
      <c r="D636">
        <v>1</v>
      </c>
      <c r="E636" t="s">
        <v>47</v>
      </c>
      <c r="F636" t="s">
        <v>2182</v>
      </c>
      <c r="G636" t="s">
        <v>2183</v>
      </c>
      <c r="I636" t="s">
        <v>49</v>
      </c>
      <c r="L636" t="s">
        <v>2184</v>
      </c>
      <c r="M636" t="s">
        <v>2182</v>
      </c>
      <c r="N636">
        <v>587</v>
      </c>
      <c r="O636" t="s">
        <v>2185</v>
      </c>
    </row>
    <row r="637" spans="1:15" ht="15.75" customHeight="1">
      <c r="A637" t="s">
        <v>29</v>
      </c>
      <c r="B637">
        <v>628156</v>
      </c>
      <c r="C637">
        <v>629097</v>
      </c>
      <c r="D637">
        <v>1</v>
      </c>
      <c r="E637" t="s">
        <v>47</v>
      </c>
      <c r="F637" t="s">
        <v>2186</v>
      </c>
      <c r="I637" t="s">
        <v>49</v>
      </c>
      <c r="L637" t="s">
        <v>2187</v>
      </c>
      <c r="M637" t="s">
        <v>2186</v>
      </c>
      <c r="N637">
        <v>313</v>
      </c>
      <c r="O637" t="s">
        <v>2188</v>
      </c>
    </row>
    <row r="638" spans="1:15" ht="15.75" customHeight="1">
      <c r="A638" t="s">
        <v>29</v>
      </c>
      <c r="B638">
        <v>629101</v>
      </c>
      <c r="C638">
        <v>629457</v>
      </c>
      <c r="D638">
        <v>1</v>
      </c>
      <c r="E638" t="s">
        <v>76</v>
      </c>
      <c r="F638" t="s">
        <v>1369</v>
      </c>
      <c r="I638" t="s">
        <v>49</v>
      </c>
      <c r="L638" t="s">
        <v>2189</v>
      </c>
      <c r="M638" t="s">
        <v>1369</v>
      </c>
      <c r="N638">
        <v>118</v>
      </c>
      <c r="O638" t="s">
        <v>2190</v>
      </c>
    </row>
    <row r="639" spans="1:15" ht="15.75" customHeight="1">
      <c r="A639" t="s">
        <v>29</v>
      </c>
      <c r="B639">
        <v>629524</v>
      </c>
      <c r="C639">
        <v>630510</v>
      </c>
      <c r="D639">
        <v>1</v>
      </c>
      <c r="E639" t="s">
        <v>76</v>
      </c>
      <c r="F639" t="s">
        <v>2191</v>
      </c>
      <c r="G639" t="s">
        <v>2192</v>
      </c>
      <c r="I639" t="s">
        <v>49</v>
      </c>
      <c r="L639" t="s">
        <v>2193</v>
      </c>
      <c r="M639" t="s">
        <v>2191</v>
      </c>
      <c r="N639">
        <v>328</v>
      </c>
      <c r="O639" t="s">
        <v>2194</v>
      </c>
    </row>
    <row r="640" spans="1:15" ht="15.75" customHeight="1">
      <c r="A640" t="s">
        <v>29</v>
      </c>
      <c r="B640">
        <v>630520</v>
      </c>
      <c r="C640">
        <v>631320</v>
      </c>
      <c r="D640">
        <v>1</v>
      </c>
      <c r="E640" t="s">
        <v>76</v>
      </c>
      <c r="F640" t="s">
        <v>2195</v>
      </c>
      <c r="G640" t="s">
        <v>2196</v>
      </c>
      <c r="I640" t="s">
        <v>49</v>
      </c>
      <c r="L640" t="s">
        <v>2197</v>
      </c>
      <c r="M640" t="s">
        <v>2195</v>
      </c>
      <c r="N640">
        <v>266</v>
      </c>
      <c r="O640" t="s">
        <v>2198</v>
      </c>
    </row>
    <row r="641" spans="1:15" ht="15.75" customHeight="1">
      <c r="A641" t="s">
        <v>29</v>
      </c>
      <c r="B641">
        <v>631581</v>
      </c>
      <c r="C641">
        <v>632423</v>
      </c>
      <c r="D641">
        <v>1</v>
      </c>
      <c r="E641" t="s">
        <v>76</v>
      </c>
      <c r="F641" t="s">
        <v>2199</v>
      </c>
      <c r="G641" t="s">
        <v>2200</v>
      </c>
      <c r="I641" t="s">
        <v>49</v>
      </c>
      <c r="L641" t="s">
        <v>2201</v>
      </c>
      <c r="M641" t="s">
        <v>2199</v>
      </c>
      <c r="N641">
        <v>280</v>
      </c>
      <c r="O641" t="s">
        <v>2202</v>
      </c>
    </row>
    <row r="642" spans="1:15" ht="15.75" customHeight="1">
      <c r="A642" t="s">
        <v>29</v>
      </c>
      <c r="B642">
        <v>632425</v>
      </c>
      <c r="C642">
        <v>633717</v>
      </c>
      <c r="D642">
        <v>1</v>
      </c>
      <c r="E642" t="s">
        <v>76</v>
      </c>
      <c r="F642" t="s">
        <v>2199</v>
      </c>
      <c r="G642" t="s">
        <v>2203</v>
      </c>
      <c r="I642" t="s">
        <v>49</v>
      </c>
      <c r="L642" t="s">
        <v>2204</v>
      </c>
      <c r="M642" t="s">
        <v>2199</v>
      </c>
      <c r="N642">
        <v>430</v>
      </c>
      <c r="O642" t="s">
        <v>2205</v>
      </c>
    </row>
    <row r="643" spans="1:15" ht="15.75" customHeight="1">
      <c r="A643" t="s">
        <v>29</v>
      </c>
      <c r="B643">
        <v>633828</v>
      </c>
      <c r="C643">
        <v>635150</v>
      </c>
      <c r="D643">
        <v>1</v>
      </c>
      <c r="E643" t="s">
        <v>76</v>
      </c>
      <c r="F643" t="s">
        <v>2206</v>
      </c>
      <c r="G643" t="s">
        <v>2207</v>
      </c>
      <c r="I643" t="s">
        <v>49</v>
      </c>
      <c r="L643" t="s">
        <v>2208</v>
      </c>
      <c r="M643" t="s">
        <v>2206</v>
      </c>
      <c r="N643">
        <v>440</v>
      </c>
      <c r="O643" t="s">
        <v>2209</v>
      </c>
    </row>
    <row r="644" spans="1:15" ht="15.75" customHeight="1">
      <c r="A644" t="s">
        <v>29</v>
      </c>
      <c r="B644">
        <v>635619</v>
      </c>
      <c r="C644">
        <v>637136</v>
      </c>
      <c r="D644">
        <v>1</v>
      </c>
      <c r="E644" t="s">
        <v>47</v>
      </c>
      <c r="F644" t="s">
        <v>2210</v>
      </c>
      <c r="G644" t="s">
        <v>2211</v>
      </c>
      <c r="I644" t="s">
        <v>49</v>
      </c>
      <c r="L644" t="s">
        <v>2212</v>
      </c>
      <c r="M644" t="s">
        <v>2210</v>
      </c>
      <c r="N644">
        <v>505</v>
      </c>
      <c r="O644" t="s">
        <v>2213</v>
      </c>
    </row>
    <row r="645" spans="1:15" ht="15.75" customHeight="1">
      <c r="A645" t="s">
        <v>29</v>
      </c>
      <c r="B645">
        <v>637162</v>
      </c>
      <c r="C645">
        <v>639420</v>
      </c>
      <c r="D645">
        <v>1</v>
      </c>
      <c r="E645" t="s">
        <v>47</v>
      </c>
      <c r="F645" t="s">
        <v>2214</v>
      </c>
      <c r="G645" t="s">
        <v>2215</v>
      </c>
      <c r="I645" t="s">
        <v>49</v>
      </c>
      <c r="L645" t="s">
        <v>2216</v>
      </c>
      <c r="M645" t="s">
        <v>2214</v>
      </c>
      <c r="N645">
        <v>752</v>
      </c>
      <c r="O645" t="s">
        <v>2217</v>
      </c>
    </row>
    <row r="646" spans="1:15" ht="15.75" customHeight="1">
      <c r="A646" t="s">
        <v>29</v>
      </c>
      <c r="B646">
        <v>639777</v>
      </c>
      <c r="C646">
        <v>639923</v>
      </c>
      <c r="D646">
        <v>1</v>
      </c>
      <c r="E646" t="s">
        <v>47</v>
      </c>
      <c r="F646" t="s">
        <v>176</v>
      </c>
      <c r="I646" t="s">
        <v>49</v>
      </c>
      <c r="L646" t="s">
        <v>2218</v>
      </c>
      <c r="M646" t="s">
        <v>176</v>
      </c>
      <c r="N646">
        <v>48</v>
      </c>
      <c r="O646" t="s">
        <v>2219</v>
      </c>
    </row>
    <row r="647" spans="1:15" ht="15.75" customHeight="1">
      <c r="A647" t="s">
        <v>29</v>
      </c>
      <c r="B647">
        <v>640464</v>
      </c>
      <c r="C647">
        <v>641036</v>
      </c>
      <c r="D647">
        <v>1</v>
      </c>
      <c r="E647" t="s">
        <v>76</v>
      </c>
      <c r="F647" t="s">
        <v>65</v>
      </c>
      <c r="I647" t="s">
        <v>49</v>
      </c>
      <c r="L647" t="s">
        <v>2220</v>
      </c>
      <c r="M647" t="s">
        <v>65</v>
      </c>
      <c r="N647">
        <v>190</v>
      </c>
      <c r="O647" t="s">
        <v>2221</v>
      </c>
    </row>
    <row r="648" spans="1:15" ht="15.75" customHeight="1">
      <c r="A648" t="s">
        <v>29</v>
      </c>
      <c r="B648">
        <v>641835</v>
      </c>
      <c r="C648">
        <v>642683</v>
      </c>
      <c r="D648">
        <v>1</v>
      </c>
      <c r="E648" t="s">
        <v>76</v>
      </c>
      <c r="F648" t="s">
        <v>2222</v>
      </c>
      <c r="G648" t="s">
        <v>2223</v>
      </c>
      <c r="I648" t="s">
        <v>49</v>
      </c>
      <c r="L648" t="s">
        <v>2224</v>
      </c>
      <c r="M648" t="s">
        <v>2222</v>
      </c>
      <c r="N648">
        <v>282</v>
      </c>
      <c r="O648" t="s">
        <v>2225</v>
      </c>
    </row>
    <row r="649" spans="1:15" ht="15.75" customHeight="1">
      <c r="A649" t="s">
        <v>29</v>
      </c>
      <c r="B649">
        <v>642835</v>
      </c>
      <c r="C649">
        <v>643113</v>
      </c>
      <c r="D649">
        <v>1</v>
      </c>
      <c r="E649" t="s">
        <v>47</v>
      </c>
      <c r="F649" t="s">
        <v>176</v>
      </c>
      <c r="I649" t="s">
        <v>49</v>
      </c>
      <c r="L649" t="s">
        <v>2226</v>
      </c>
      <c r="M649" t="s">
        <v>176</v>
      </c>
      <c r="N649">
        <v>92</v>
      </c>
      <c r="O649" t="s">
        <v>2227</v>
      </c>
    </row>
    <row r="650" spans="1:15" ht="15.75" customHeight="1">
      <c r="A650" t="s">
        <v>29</v>
      </c>
      <c r="B650">
        <v>643115</v>
      </c>
      <c r="C650">
        <v>645178</v>
      </c>
      <c r="D650">
        <v>1</v>
      </c>
      <c r="E650" t="s">
        <v>47</v>
      </c>
      <c r="F650" t="s">
        <v>2228</v>
      </c>
      <c r="G650" t="s">
        <v>2229</v>
      </c>
      <c r="I650" t="s">
        <v>49</v>
      </c>
      <c r="L650" t="s">
        <v>2230</v>
      </c>
      <c r="M650" t="s">
        <v>2228</v>
      </c>
      <c r="N650">
        <v>687</v>
      </c>
      <c r="O650" t="s">
        <v>2231</v>
      </c>
    </row>
    <row r="651" spans="1:15" ht="15.75" customHeight="1">
      <c r="A651" t="s">
        <v>29</v>
      </c>
      <c r="B651">
        <v>645256</v>
      </c>
      <c r="C651">
        <v>646512</v>
      </c>
      <c r="D651">
        <v>1</v>
      </c>
      <c r="E651" t="s">
        <v>76</v>
      </c>
      <c r="F651" t="s">
        <v>2232</v>
      </c>
      <c r="G651" t="s">
        <v>2233</v>
      </c>
      <c r="I651" t="s">
        <v>49</v>
      </c>
      <c r="L651" t="s">
        <v>2234</v>
      </c>
      <c r="M651" t="s">
        <v>2232</v>
      </c>
      <c r="N651">
        <v>418</v>
      </c>
      <c r="O651" t="s">
        <v>2235</v>
      </c>
    </row>
    <row r="652" spans="1:15" ht="15.75" customHeight="1">
      <c r="A652" t="s">
        <v>29</v>
      </c>
      <c r="B652">
        <v>646654</v>
      </c>
      <c r="C652">
        <v>649119</v>
      </c>
      <c r="D652">
        <v>1</v>
      </c>
      <c r="E652" t="s">
        <v>47</v>
      </c>
      <c r="F652" t="s">
        <v>2236</v>
      </c>
      <c r="G652" t="s">
        <v>2237</v>
      </c>
      <c r="I652" t="s">
        <v>49</v>
      </c>
      <c r="L652" t="s">
        <v>2238</v>
      </c>
      <c r="M652" t="s">
        <v>2236</v>
      </c>
      <c r="N652">
        <v>821</v>
      </c>
      <c r="O652" t="s">
        <v>2239</v>
      </c>
    </row>
    <row r="653" spans="1:15" ht="15.75" customHeight="1">
      <c r="A653" t="s">
        <v>29</v>
      </c>
      <c r="B653">
        <v>649184</v>
      </c>
      <c r="C653">
        <v>650095</v>
      </c>
      <c r="D653">
        <v>1</v>
      </c>
      <c r="E653" t="s">
        <v>47</v>
      </c>
      <c r="F653" t="s">
        <v>2240</v>
      </c>
      <c r="G653" t="s">
        <v>2241</v>
      </c>
      <c r="I653" t="s">
        <v>49</v>
      </c>
      <c r="L653" t="s">
        <v>2242</v>
      </c>
      <c r="M653" t="s">
        <v>2240</v>
      </c>
      <c r="N653">
        <v>303</v>
      </c>
      <c r="O653" t="s">
        <v>2243</v>
      </c>
    </row>
    <row r="654" spans="1:15" ht="15.75" customHeight="1">
      <c r="A654" t="s">
        <v>29</v>
      </c>
      <c r="B654">
        <v>650325</v>
      </c>
      <c r="C654">
        <v>651023</v>
      </c>
      <c r="D654">
        <v>1</v>
      </c>
      <c r="E654" t="s">
        <v>47</v>
      </c>
      <c r="F654" t="s">
        <v>2244</v>
      </c>
      <c r="G654" t="s">
        <v>2245</v>
      </c>
      <c r="I654" t="s">
        <v>49</v>
      </c>
      <c r="L654" t="s">
        <v>2246</v>
      </c>
      <c r="M654" t="s">
        <v>2244</v>
      </c>
      <c r="N654">
        <v>232</v>
      </c>
      <c r="O654" t="s">
        <v>2247</v>
      </c>
    </row>
    <row r="655" spans="1:15" ht="15.75" customHeight="1">
      <c r="A655" t="s">
        <v>29</v>
      </c>
      <c r="B655">
        <v>651091</v>
      </c>
      <c r="C655">
        <v>652221</v>
      </c>
      <c r="D655">
        <v>1</v>
      </c>
      <c r="E655" t="s">
        <v>47</v>
      </c>
      <c r="F655" t="s">
        <v>2248</v>
      </c>
      <c r="G655" t="s">
        <v>2249</v>
      </c>
      <c r="I655" t="s">
        <v>49</v>
      </c>
      <c r="L655" t="s">
        <v>2250</v>
      </c>
      <c r="M655" t="s">
        <v>2248</v>
      </c>
      <c r="N655">
        <v>376</v>
      </c>
      <c r="O655" t="s">
        <v>2251</v>
      </c>
    </row>
    <row r="656" spans="1:15" ht="15.75" customHeight="1">
      <c r="A656" t="s">
        <v>29</v>
      </c>
      <c r="B656">
        <v>652233</v>
      </c>
      <c r="C656">
        <v>652772</v>
      </c>
      <c r="D656">
        <v>1</v>
      </c>
      <c r="E656" t="s">
        <v>47</v>
      </c>
      <c r="F656" t="s">
        <v>2252</v>
      </c>
      <c r="G656" t="s">
        <v>2253</v>
      </c>
      <c r="I656" t="s">
        <v>49</v>
      </c>
      <c r="L656" t="s">
        <v>2254</v>
      </c>
      <c r="M656" t="s">
        <v>2252</v>
      </c>
      <c r="N656">
        <v>179</v>
      </c>
      <c r="O656" t="s">
        <v>2255</v>
      </c>
    </row>
    <row r="657" spans="1:15" ht="15.75" customHeight="1">
      <c r="A657" t="s">
        <v>29</v>
      </c>
      <c r="B657">
        <v>652756</v>
      </c>
      <c r="C657">
        <v>653433</v>
      </c>
      <c r="D657">
        <v>1</v>
      </c>
      <c r="E657" t="s">
        <v>47</v>
      </c>
      <c r="F657" t="s">
        <v>2256</v>
      </c>
      <c r="G657" t="s">
        <v>2257</v>
      </c>
      <c r="I657" t="s">
        <v>49</v>
      </c>
      <c r="L657" t="s">
        <v>2258</v>
      </c>
      <c r="M657" t="s">
        <v>2256</v>
      </c>
      <c r="N657">
        <v>225</v>
      </c>
      <c r="O657" t="s">
        <v>2259</v>
      </c>
    </row>
    <row r="658" spans="1:15" ht="15.75" customHeight="1">
      <c r="A658" t="s">
        <v>29</v>
      </c>
      <c r="B658">
        <v>653447</v>
      </c>
      <c r="C658">
        <v>653632</v>
      </c>
      <c r="D658">
        <v>1</v>
      </c>
      <c r="E658" t="s">
        <v>47</v>
      </c>
      <c r="F658" t="s">
        <v>148</v>
      </c>
      <c r="I658" t="s">
        <v>49</v>
      </c>
      <c r="L658" t="s">
        <v>2260</v>
      </c>
      <c r="M658" t="s">
        <v>148</v>
      </c>
      <c r="N658">
        <v>61</v>
      </c>
      <c r="O658" t="s">
        <v>2261</v>
      </c>
    </row>
    <row r="659" spans="1:15" ht="15.75" customHeight="1">
      <c r="A659" t="s">
        <v>29</v>
      </c>
      <c r="B659">
        <v>653734</v>
      </c>
      <c r="C659">
        <v>654663</v>
      </c>
      <c r="D659">
        <v>1</v>
      </c>
      <c r="E659" t="s">
        <v>76</v>
      </c>
      <c r="F659" t="s">
        <v>176</v>
      </c>
      <c r="I659" t="s">
        <v>49</v>
      </c>
      <c r="L659" t="s">
        <v>2262</v>
      </c>
      <c r="M659" t="s">
        <v>176</v>
      </c>
      <c r="N659">
        <v>309</v>
      </c>
      <c r="O659" t="s">
        <v>2263</v>
      </c>
    </row>
    <row r="660" spans="1:15" ht="15.75" customHeight="1">
      <c r="A660" t="s">
        <v>29</v>
      </c>
      <c r="B660">
        <v>655081</v>
      </c>
      <c r="C660">
        <v>655980</v>
      </c>
      <c r="D660">
        <v>1</v>
      </c>
      <c r="E660" t="s">
        <v>76</v>
      </c>
      <c r="F660" t="s">
        <v>2264</v>
      </c>
      <c r="G660" t="s">
        <v>2265</v>
      </c>
      <c r="I660" t="s">
        <v>49</v>
      </c>
      <c r="L660" t="s">
        <v>2266</v>
      </c>
      <c r="M660" t="s">
        <v>2264</v>
      </c>
      <c r="N660">
        <v>299</v>
      </c>
      <c r="O660" t="s">
        <v>2267</v>
      </c>
    </row>
    <row r="661" spans="1:15" ht="15.75" customHeight="1">
      <c r="A661" t="s">
        <v>29</v>
      </c>
      <c r="B661">
        <v>656002</v>
      </c>
      <c r="C661">
        <v>657018</v>
      </c>
      <c r="D661">
        <v>1</v>
      </c>
      <c r="E661" t="s">
        <v>76</v>
      </c>
      <c r="F661" t="s">
        <v>2268</v>
      </c>
      <c r="G661" t="s">
        <v>2269</v>
      </c>
      <c r="I661" t="s">
        <v>49</v>
      </c>
      <c r="L661" t="s">
        <v>2270</v>
      </c>
      <c r="M661" t="s">
        <v>2268</v>
      </c>
      <c r="N661">
        <v>338</v>
      </c>
      <c r="O661" t="s">
        <v>2271</v>
      </c>
    </row>
    <row r="662" spans="1:15" ht="15.75" customHeight="1">
      <c r="A662" t="s">
        <v>29</v>
      </c>
      <c r="B662">
        <v>657230</v>
      </c>
      <c r="C662">
        <v>657610</v>
      </c>
      <c r="D662">
        <v>1</v>
      </c>
      <c r="E662" t="s">
        <v>47</v>
      </c>
      <c r="F662" t="s">
        <v>607</v>
      </c>
      <c r="I662" t="s">
        <v>49</v>
      </c>
      <c r="L662" t="s">
        <v>2272</v>
      </c>
      <c r="M662" t="s">
        <v>607</v>
      </c>
      <c r="N662">
        <v>126</v>
      </c>
      <c r="O662" t="s">
        <v>2273</v>
      </c>
    </row>
    <row r="663" spans="1:15" ht="15.75" customHeight="1">
      <c r="A663" t="s">
        <v>29</v>
      </c>
      <c r="B663">
        <v>657784</v>
      </c>
      <c r="C663">
        <v>658209</v>
      </c>
      <c r="D663">
        <v>1</v>
      </c>
      <c r="E663" t="s">
        <v>76</v>
      </c>
      <c r="F663" t="s">
        <v>2274</v>
      </c>
      <c r="I663" t="s">
        <v>49</v>
      </c>
      <c r="L663" t="s">
        <v>2275</v>
      </c>
      <c r="M663" t="s">
        <v>2274</v>
      </c>
      <c r="N663">
        <v>141</v>
      </c>
      <c r="O663" t="s">
        <v>2276</v>
      </c>
    </row>
    <row r="664" spans="1:15" ht="15.75" customHeight="1">
      <c r="A664" t="s">
        <v>29</v>
      </c>
      <c r="B664">
        <v>658277</v>
      </c>
      <c r="C664">
        <v>658927</v>
      </c>
      <c r="D664">
        <v>1</v>
      </c>
      <c r="E664" t="s">
        <v>76</v>
      </c>
      <c r="F664" t="s">
        <v>2277</v>
      </c>
      <c r="G664" t="s">
        <v>2278</v>
      </c>
      <c r="I664" t="s">
        <v>49</v>
      </c>
      <c r="L664" t="s">
        <v>2279</v>
      </c>
      <c r="M664" t="s">
        <v>2277</v>
      </c>
      <c r="N664">
        <v>216</v>
      </c>
      <c r="O664" t="s">
        <v>2280</v>
      </c>
    </row>
    <row r="665" spans="1:15" ht="15.75" customHeight="1">
      <c r="A665" t="s">
        <v>29</v>
      </c>
      <c r="B665">
        <v>658942</v>
      </c>
      <c r="C665">
        <v>659694</v>
      </c>
      <c r="D665">
        <v>1</v>
      </c>
      <c r="E665" t="s">
        <v>76</v>
      </c>
      <c r="F665" t="s">
        <v>2281</v>
      </c>
      <c r="G665" t="s">
        <v>2282</v>
      </c>
      <c r="I665" t="s">
        <v>49</v>
      </c>
      <c r="L665" t="s">
        <v>2283</v>
      </c>
      <c r="M665" t="s">
        <v>2281</v>
      </c>
      <c r="N665">
        <v>250</v>
      </c>
      <c r="O665" t="s">
        <v>2284</v>
      </c>
    </row>
    <row r="666" spans="1:15" ht="15.75" customHeight="1">
      <c r="A666" t="s">
        <v>29</v>
      </c>
      <c r="B666">
        <v>659696</v>
      </c>
      <c r="C666">
        <v>660511</v>
      </c>
      <c r="D666">
        <v>1</v>
      </c>
      <c r="E666" t="s">
        <v>76</v>
      </c>
      <c r="F666" t="s">
        <v>2285</v>
      </c>
      <c r="G666" t="s">
        <v>2286</v>
      </c>
      <c r="I666" t="s">
        <v>49</v>
      </c>
      <c r="L666" t="s">
        <v>2287</v>
      </c>
      <c r="M666" t="s">
        <v>2285</v>
      </c>
      <c r="N666">
        <v>271</v>
      </c>
      <c r="O666" t="s">
        <v>2288</v>
      </c>
    </row>
    <row r="667" spans="1:15" ht="15.75" customHeight="1">
      <c r="A667" t="s">
        <v>29</v>
      </c>
      <c r="B667">
        <v>660504</v>
      </c>
      <c r="C667">
        <v>661367</v>
      </c>
      <c r="D667">
        <v>1</v>
      </c>
      <c r="E667" t="s">
        <v>76</v>
      </c>
      <c r="F667" t="s">
        <v>2289</v>
      </c>
      <c r="G667" t="s">
        <v>2290</v>
      </c>
      <c r="I667" t="s">
        <v>49</v>
      </c>
      <c r="L667" t="s">
        <v>2291</v>
      </c>
      <c r="M667" t="s">
        <v>2289</v>
      </c>
      <c r="N667">
        <v>287</v>
      </c>
      <c r="O667" t="s">
        <v>2292</v>
      </c>
    </row>
    <row r="668" spans="1:15" ht="15.75" customHeight="1">
      <c r="A668" t="s">
        <v>29</v>
      </c>
      <c r="B668">
        <v>661485</v>
      </c>
      <c r="C668">
        <v>662360</v>
      </c>
      <c r="D668">
        <v>1</v>
      </c>
      <c r="E668" t="s">
        <v>76</v>
      </c>
      <c r="F668" t="s">
        <v>2293</v>
      </c>
      <c r="G668" t="s">
        <v>2294</v>
      </c>
      <c r="I668" t="s">
        <v>49</v>
      </c>
      <c r="L668" t="s">
        <v>2295</v>
      </c>
      <c r="M668" t="s">
        <v>2293</v>
      </c>
      <c r="N668">
        <v>291</v>
      </c>
      <c r="O668" t="s">
        <v>2296</v>
      </c>
    </row>
    <row r="669" spans="1:15" ht="15.75" customHeight="1">
      <c r="A669" t="s">
        <v>29</v>
      </c>
      <c r="B669">
        <v>662527</v>
      </c>
      <c r="C669">
        <v>663858</v>
      </c>
      <c r="D669">
        <v>1</v>
      </c>
      <c r="E669" t="s">
        <v>76</v>
      </c>
      <c r="F669" t="s">
        <v>2297</v>
      </c>
      <c r="G669" t="s">
        <v>2298</v>
      </c>
      <c r="I669" t="s">
        <v>49</v>
      </c>
      <c r="L669" t="s">
        <v>2299</v>
      </c>
      <c r="M669" t="s">
        <v>2297</v>
      </c>
      <c r="N669">
        <v>443</v>
      </c>
      <c r="O669" t="s">
        <v>2300</v>
      </c>
    </row>
    <row r="670" spans="1:15" ht="15.75" customHeight="1">
      <c r="A670" t="s">
        <v>29</v>
      </c>
      <c r="B670">
        <v>663859</v>
      </c>
      <c r="C670">
        <v>664566</v>
      </c>
      <c r="D670">
        <v>1</v>
      </c>
      <c r="E670" t="s">
        <v>76</v>
      </c>
      <c r="F670" t="s">
        <v>405</v>
      </c>
      <c r="G670" t="s">
        <v>2301</v>
      </c>
      <c r="I670" t="s">
        <v>49</v>
      </c>
      <c r="L670" t="s">
        <v>2302</v>
      </c>
      <c r="M670" t="s">
        <v>405</v>
      </c>
      <c r="N670">
        <v>235</v>
      </c>
      <c r="O670" t="s">
        <v>2303</v>
      </c>
    </row>
    <row r="671" spans="1:15" ht="15.75" customHeight="1">
      <c r="A671" t="s">
        <v>29</v>
      </c>
      <c r="B671">
        <v>664650</v>
      </c>
      <c r="C671">
        <v>664952</v>
      </c>
      <c r="D671">
        <v>1</v>
      </c>
      <c r="E671" t="s">
        <v>76</v>
      </c>
      <c r="F671" t="s">
        <v>1920</v>
      </c>
      <c r="I671" t="s">
        <v>49</v>
      </c>
      <c r="L671" t="s">
        <v>2304</v>
      </c>
      <c r="M671" t="s">
        <v>1920</v>
      </c>
      <c r="N671">
        <v>100</v>
      </c>
      <c r="O671" t="s">
        <v>2305</v>
      </c>
    </row>
    <row r="672" spans="1:15" ht="15.75" customHeight="1">
      <c r="A672" t="s">
        <v>29</v>
      </c>
      <c r="B672">
        <v>665290</v>
      </c>
      <c r="C672">
        <v>665679</v>
      </c>
      <c r="D672">
        <v>1</v>
      </c>
      <c r="E672" t="s">
        <v>47</v>
      </c>
      <c r="F672" t="s">
        <v>483</v>
      </c>
      <c r="I672" t="s">
        <v>49</v>
      </c>
      <c r="L672" t="s">
        <v>2306</v>
      </c>
      <c r="M672" t="s">
        <v>483</v>
      </c>
      <c r="N672">
        <v>129</v>
      </c>
      <c r="O672" t="s">
        <v>2307</v>
      </c>
    </row>
    <row r="673" spans="1:15" ht="15.75" customHeight="1">
      <c r="A673" t="s">
        <v>29</v>
      </c>
      <c r="B673">
        <v>665994</v>
      </c>
      <c r="C673">
        <v>667685</v>
      </c>
      <c r="D673">
        <v>1</v>
      </c>
      <c r="E673" t="s">
        <v>76</v>
      </c>
      <c r="F673" t="s">
        <v>2308</v>
      </c>
      <c r="G673" t="s">
        <v>2309</v>
      </c>
      <c r="I673" t="s">
        <v>49</v>
      </c>
      <c r="L673" t="s">
        <v>2310</v>
      </c>
      <c r="M673" t="s">
        <v>2308</v>
      </c>
      <c r="N673">
        <v>563</v>
      </c>
      <c r="O673" t="s">
        <v>2311</v>
      </c>
    </row>
    <row r="674" spans="1:15" ht="15.75" customHeight="1">
      <c r="A674" t="s">
        <v>29</v>
      </c>
      <c r="B674">
        <v>667821</v>
      </c>
      <c r="C674">
        <v>668267</v>
      </c>
      <c r="D674">
        <v>1</v>
      </c>
      <c r="E674" t="s">
        <v>47</v>
      </c>
      <c r="F674" t="s">
        <v>2312</v>
      </c>
      <c r="G674" t="s">
        <v>2313</v>
      </c>
      <c r="I674" t="s">
        <v>49</v>
      </c>
      <c r="L674" t="s">
        <v>2314</v>
      </c>
      <c r="M674" t="s">
        <v>2312</v>
      </c>
      <c r="N674">
        <v>148</v>
      </c>
      <c r="O674" t="s">
        <v>2315</v>
      </c>
    </row>
    <row r="675" spans="1:15" ht="15.75" customHeight="1">
      <c r="A675" t="s">
        <v>29</v>
      </c>
      <c r="B675">
        <v>668318</v>
      </c>
      <c r="C675">
        <v>670852</v>
      </c>
      <c r="D675">
        <v>1</v>
      </c>
      <c r="E675" t="s">
        <v>47</v>
      </c>
      <c r="F675" t="s">
        <v>2316</v>
      </c>
      <c r="G675" t="s">
        <v>2317</v>
      </c>
      <c r="I675" t="s">
        <v>49</v>
      </c>
      <c r="L675" t="s">
        <v>2318</v>
      </c>
      <c r="M675" t="s">
        <v>2316</v>
      </c>
      <c r="N675">
        <v>844</v>
      </c>
      <c r="O675" t="s">
        <v>2319</v>
      </c>
    </row>
    <row r="676" spans="1:15" ht="15.75" customHeight="1">
      <c r="A676" t="s">
        <v>29</v>
      </c>
      <c r="B676">
        <v>670999</v>
      </c>
      <c r="C676">
        <v>672693</v>
      </c>
      <c r="D676">
        <v>1</v>
      </c>
      <c r="E676" t="s">
        <v>47</v>
      </c>
      <c r="F676" t="s">
        <v>2320</v>
      </c>
      <c r="G676" t="s">
        <v>2321</v>
      </c>
      <c r="I676" t="s">
        <v>49</v>
      </c>
      <c r="L676" t="s">
        <v>2322</v>
      </c>
      <c r="M676" t="s">
        <v>2320</v>
      </c>
      <c r="N676">
        <v>564</v>
      </c>
      <c r="O676" t="s">
        <v>2323</v>
      </c>
    </row>
    <row r="677" spans="1:15" ht="15.75" customHeight="1">
      <c r="A677" t="s">
        <v>29</v>
      </c>
      <c r="B677">
        <v>673343</v>
      </c>
      <c r="C677">
        <v>675109</v>
      </c>
      <c r="D677">
        <v>1</v>
      </c>
      <c r="E677" t="s">
        <v>47</v>
      </c>
      <c r="F677" t="s">
        <v>2320</v>
      </c>
      <c r="G677" t="s">
        <v>2324</v>
      </c>
      <c r="I677" t="s">
        <v>49</v>
      </c>
      <c r="L677" t="s">
        <v>2325</v>
      </c>
      <c r="M677" t="s">
        <v>2320</v>
      </c>
      <c r="N677">
        <v>588</v>
      </c>
      <c r="O677" t="s">
        <v>2326</v>
      </c>
    </row>
    <row r="678" spans="1:15" ht="15.75" customHeight="1">
      <c r="A678" t="s">
        <v>29</v>
      </c>
      <c r="B678">
        <v>675248</v>
      </c>
      <c r="C678">
        <v>675937</v>
      </c>
      <c r="D678">
        <v>1</v>
      </c>
      <c r="E678" t="s">
        <v>47</v>
      </c>
      <c r="F678" t="s">
        <v>2327</v>
      </c>
      <c r="G678" t="s">
        <v>2328</v>
      </c>
      <c r="I678" t="s">
        <v>49</v>
      </c>
      <c r="L678" t="s">
        <v>2329</v>
      </c>
      <c r="M678" t="s">
        <v>2327</v>
      </c>
      <c r="N678">
        <v>229</v>
      </c>
      <c r="O678" t="s">
        <v>2330</v>
      </c>
    </row>
    <row r="679" spans="1:15" ht="15.75" customHeight="1">
      <c r="A679" t="s">
        <v>29</v>
      </c>
      <c r="B679">
        <v>676107</v>
      </c>
      <c r="C679">
        <v>677456</v>
      </c>
      <c r="D679">
        <v>1</v>
      </c>
      <c r="E679" t="s">
        <v>47</v>
      </c>
      <c r="F679" t="s">
        <v>2331</v>
      </c>
      <c r="G679" t="s">
        <v>2332</v>
      </c>
      <c r="I679" t="s">
        <v>49</v>
      </c>
      <c r="L679" t="s">
        <v>2333</v>
      </c>
      <c r="M679" t="s">
        <v>2331</v>
      </c>
      <c r="N679">
        <v>449</v>
      </c>
      <c r="O679" t="s">
        <v>2334</v>
      </c>
    </row>
    <row r="680" spans="1:15" ht="15.75" customHeight="1">
      <c r="A680" t="s">
        <v>29</v>
      </c>
      <c r="B680">
        <v>677580</v>
      </c>
      <c r="C680">
        <v>679040</v>
      </c>
      <c r="D680">
        <v>1</v>
      </c>
      <c r="E680" t="s">
        <v>47</v>
      </c>
      <c r="F680" t="s">
        <v>2335</v>
      </c>
      <c r="G680" t="s">
        <v>2336</v>
      </c>
      <c r="I680" t="s">
        <v>49</v>
      </c>
      <c r="L680" t="s">
        <v>2337</v>
      </c>
      <c r="M680" t="s">
        <v>2335</v>
      </c>
      <c r="N680">
        <v>486</v>
      </c>
      <c r="O680" t="s">
        <v>2338</v>
      </c>
    </row>
    <row r="681" spans="1:15" ht="15.75" customHeight="1">
      <c r="A681" t="s">
        <v>29</v>
      </c>
      <c r="B681">
        <v>679054</v>
      </c>
      <c r="C681">
        <v>679488</v>
      </c>
      <c r="D681">
        <v>1</v>
      </c>
      <c r="E681" t="s">
        <v>47</v>
      </c>
      <c r="F681" t="s">
        <v>1549</v>
      </c>
      <c r="G681" t="s">
        <v>2339</v>
      </c>
      <c r="I681" t="s">
        <v>49</v>
      </c>
      <c r="L681" t="s">
        <v>2340</v>
      </c>
      <c r="M681" t="s">
        <v>1549</v>
      </c>
      <c r="N681">
        <v>144</v>
      </c>
      <c r="O681" t="s">
        <v>2341</v>
      </c>
    </row>
    <row r="682" spans="1:15" ht="15.75" customHeight="1">
      <c r="A682" t="s">
        <v>29</v>
      </c>
      <c r="B682">
        <v>679610</v>
      </c>
      <c r="C682">
        <v>679681</v>
      </c>
      <c r="D682">
        <v>1</v>
      </c>
      <c r="E682" t="s">
        <v>47</v>
      </c>
      <c r="F682" t="s">
        <v>1728</v>
      </c>
      <c r="I682" t="s">
        <v>1724</v>
      </c>
      <c r="O682" t="s">
        <v>2342</v>
      </c>
    </row>
    <row r="683" spans="1:15" ht="15.75" customHeight="1">
      <c r="A683" t="s">
        <v>29</v>
      </c>
      <c r="B683">
        <v>681530</v>
      </c>
      <c r="C683">
        <v>681604</v>
      </c>
      <c r="D683">
        <v>1</v>
      </c>
      <c r="E683" t="s">
        <v>47</v>
      </c>
      <c r="F683" t="s">
        <v>1726</v>
      </c>
      <c r="I683" t="s">
        <v>1724</v>
      </c>
      <c r="O683" t="s">
        <v>2343</v>
      </c>
    </row>
    <row r="684" spans="1:15" ht="15.75" customHeight="1">
      <c r="A684" t="s">
        <v>29</v>
      </c>
      <c r="B684">
        <v>684826</v>
      </c>
      <c r="C684">
        <v>684898</v>
      </c>
      <c r="D684">
        <v>1</v>
      </c>
      <c r="E684" t="s">
        <v>47</v>
      </c>
      <c r="F684" t="s">
        <v>2344</v>
      </c>
      <c r="I684" t="s">
        <v>1724</v>
      </c>
      <c r="O684" t="s">
        <v>2345</v>
      </c>
    </row>
    <row r="685" spans="1:15" ht="15.75" customHeight="1">
      <c r="A685" t="s">
        <v>29</v>
      </c>
      <c r="B685">
        <v>684903</v>
      </c>
      <c r="C685">
        <v>684975</v>
      </c>
      <c r="D685">
        <v>1</v>
      </c>
      <c r="E685" t="s">
        <v>47</v>
      </c>
      <c r="F685" t="s">
        <v>2346</v>
      </c>
      <c r="I685" t="s">
        <v>1724</v>
      </c>
      <c r="O685" t="s">
        <v>2347</v>
      </c>
    </row>
    <row r="686" spans="1:15" ht="15.75" customHeight="1">
      <c r="A686" t="s">
        <v>29</v>
      </c>
      <c r="B686">
        <v>685008</v>
      </c>
      <c r="C686">
        <v>685083</v>
      </c>
      <c r="D686">
        <v>1</v>
      </c>
      <c r="E686" t="s">
        <v>47</v>
      </c>
      <c r="F686" t="s">
        <v>2348</v>
      </c>
      <c r="I686" t="s">
        <v>1724</v>
      </c>
      <c r="O686" t="s">
        <v>2349</v>
      </c>
    </row>
    <row r="687" spans="1:15" ht="15.75" customHeight="1">
      <c r="A687" t="s">
        <v>29</v>
      </c>
      <c r="B687">
        <v>685165</v>
      </c>
      <c r="C687">
        <v>685254</v>
      </c>
      <c r="D687">
        <v>1</v>
      </c>
      <c r="E687" t="s">
        <v>47</v>
      </c>
      <c r="F687" t="s">
        <v>2350</v>
      </c>
      <c r="I687" t="s">
        <v>1724</v>
      </c>
      <c r="O687" t="s">
        <v>2351</v>
      </c>
    </row>
    <row r="688" spans="1:15" ht="15.75" customHeight="1">
      <c r="A688" t="s">
        <v>29</v>
      </c>
      <c r="B688">
        <v>685268</v>
      </c>
      <c r="C688">
        <v>685341</v>
      </c>
      <c r="D688">
        <v>1</v>
      </c>
      <c r="E688" t="s">
        <v>47</v>
      </c>
      <c r="F688" t="s">
        <v>2352</v>
      </c>
      <c r="I688" t="s">
        <v>1724</v>
      </c>
      <c r="O688" t="s">
        <v>2353</v>
      </c>
    </row>
    <row r="689" spans="1:15" ht="15.75" customHeight="1">
      <c r="A689" t="s">
        <v>29</v>
      </c>
      <c r="B689">
        <v>685345</v>
      </c>
      <c r="C689">
        <v>685417</v>
      </c>
      <c r="D689">
        <v>1</v>
      </c>
      <c r="E689" t="s">
        <v>47</v>
      </c>
      <c r="F689" t="s">
        <v>2354</v>
      </c>
      <c r="I689" t="s">
        <v>1724</v>
      </c>
      <c r="O689" t="s">
        <v>2355</v>
      </c>
    </row>
    <row r="690" spans="1:15" ht="15.75" customHeight="1">
      <c r="A690" t="s">
        <v>29</v>
      </c>
      <c r="B690">
        <v>685429</v>
      </c>
      <c r="C690">
        <v>685511</v>
      </c>
      <c r="D690">
        <v>1</v>
      </c>
      <c r="E690" t="s">
        <v>47</v>
      </c>
      <c r="F690" t="s">
        <v>2356</v>
      </c>
      <c r="I690" t="s">
        <v>1724</v>
      </c>
      <c r="O690" t="s">
        <v>2357</v>
      </c>
    </row>
    <row r="691" spans="1:15" ht="15.75" customHeight="1">
      <c r="A691" t="s">
        <v>29</v>
      </c>
      <c r="B691">
        <v>685514</v>
      </c>
      <c r="C691">
        <v>685586</v>
      </c>
      <c r="D691">
        <v>1</v>
      </c>
      <c r="E691" t="s">
        <v>47</v>
      </c>
      <c r="F691" t="s">
        <v>2358</v>
      </c>
      <c r="I691" t="s">
        <v>1724</v>
      </c>
      <c r="O691" t="s">
        <v>2359</v>
      </c>
    </row>
    <row r="692" spans="1:15" ht="15.75" customHeight="1">
      <c r="A692" t="s">
        <v>29</v>
      </c>
      <c r="B692">
        <v>685599</v>
      </c>
      <c r="C692">
        <v>685673</v>
      </c>
      <c r="D692">
        <v>1</v>
      </c>
      <c r="E692" t="s">
        <v>47</v>
      </c>
      <c r="F692" t="s">
        <v>2360</v>
      </c>
      <c r="I692" t="s">
        <v>1724</v>
      </c>
      <c r="O692" t="s">
        <v>2361</v>
      </c>
    </row>
    <row r="693" spans="1:15" ht="15.75" customHeight="1">
      <c r="A693" t="s">
        <v>29</v>
      </c>
      <c r="B693">
        <v>685685</v>
      </c>
      <c r="C693">
        <v>685758</v>
      </c>
      <c r="D693">
        <v>1</v>
      </c>
      <c r="E693" t="s">
        <v>47</v>
      </c>
      <c r="F693" t="s">
        <v>2362</v>
      </c>
      <c r="I693" t="s">
        <v>1724</v>
      </c>
      <c r="O693" t="s">
        <v>2363</v>
      </c>
    </row>
    <row r="694" spans="1:15" ht="15.75" customHeight="1">
      <c r="A694" t="s">
        <v>29</v>
      </c>
      <c r="B694">
        <v>685766</v>
      </c>
      <c r="C694">
        <v>685851</v>
      </c>
      <c r="D694">
        <v>1</v>
      </c>
      <c r="E694" t="s">
        <v>47</v>
      </c>
      <c r="F694" t="s">
        <v>2364</v>
      </c>
      <c r="I694" t="s">
        <v>1724</v>
      </c>
      <c r="O694" t="s">
        <v>2365</v>
      </c>
    </row>
    <row r="695" spans="1:15" ht="15.75" customHeight="1">
      <c r="A695" t="s">
        <v>29</v>
      </c>
      <c r="B695">
        <v>685957</v>
      </c>
      <c r="C695">
        <v>687234</v>
      </c>
      <c r="D695">
        <v>1</v>
      </c>
      <c r="E695" t="s">
        <v>47</v>
      </c>
      <c r="F695" t="s">
        <v>2366</v>
      </c>
      <c r="I695" t="s">
        <v>49</v>
      </c>
      <c r="L695" t="s">
        <v>2367</v>
      </c>
      <c r="M695" t="s">
        <v>2366</v>
      </c>
      <c r="N695">
        <v>425</v>
      </c>
      <c r="O695" t="s">
        <v>2368</v>
      </c>
    </row>
    <row r="696" spans="1:15" ht="15.75" customHeight="1">
      <c r="A696" t="s">
        <v>29</v>
      </c>
      <c r="B696">
        <v>687310</v>
      </c>
      <c r="C696">
        <v>688794</v>
      </c>
      <c r="D696">
        <v>1</v>
      </c>
      <c r="E696" t="s">
        <v>47</v>
      </c>
      <c r="F696" t="s">
        <v>2369</v>
      </c>
      <c r="G696" t="s">
        <v>2370</v>
      </c>
      <c r="I696" t="s">
        <v>49</v>
      </c>
      <c r="L696" t="s">
        <v>2371</v>
      </c>
      <c r="M696" t="s">
        <v>2369</v>
      </c>
      <c r="N696">
        <v>494</v>
      </c>
      <c r="O696" t="s">
        <v>2372</v>
      </c>
    </row>
    <row r="697" spans="1:15" ht="15.75" customHeight="1">
      <c r="A697" t="s">
        <v>29</v>
      </c>
      <c r="B697">
        <v>688855</v>
      </c>
      <c r="C697">
        <v>690135</v>
      </c>
      <c r="D697">
        <v>1</v>
      </c>
      <c r="E697" t="s">
        <v>47</v>
      </c>
      <c r="F697" t="s">
        <v>2373</v>
      </c>
      <c r="I697" t="s">
        <v>49</v>
      </c>
      <c r="L697" t="s">
        <v>2374</v>
      </c>
      <c r="M697" t="s">
        <v>2373</v>
      </c>
      <c r="N697">
        <v>426</v>
      </c>
      <c r="O697" t="s">
        <v>2375</v>
      </c>
    </row>
    <row r="698" spans="1:15" ht="15.75" customHeight="1">
      <c r="A698" t="s">
        <v>29</v>
      </c>
      <c r="B698">
        <v>690139</v>
      </c>
      <c r="C698">
        <v>690759</v>
      </c>
      <c r="D698">
        <v>1</v>
      </c>
      <c r="E698" t="s">
        <v>47</v>
      </c>
      <c r="F698" t="s">
        <v>2376</v>
      </c>
      <c r="I698" t="s">
        <v>49</v>
      </c>
      <c r="L698" t="s">
        <v>2377</v>
      </c>
      <c r="M698" t="s">
        <v>2376</v>
      </c>
      <c r="N698">
        <v>206</v>
      </c>
      <c r="O698" t="s">
        <v>2378</v>
      </c>
    </row>
    <row r="699" spans="1:15" ht="15.75" customHeight="1">
      <c r="A699" t="s">
        <v>29</v>
      </c>
      <c r="B699">
        <v>690925</v>
      </c>
      <c r="C699">
        <v>692067</v>
      </c>
      <c r="D699">
        <v>1</v>
      </c>
      <c r="E699" t="s">
        <v>47</v>
      </c>
      <c r="F699" t="s">
        <v>2379</v>
      </c>
      <c r="I699" t="s">
        <v>49</v>
      </c>
      <c r="L699" t="s">
        <v>2380</v>
      </c>
      <c r="M699" t="s">
        <v>2379</v>
      </c>
      <c r="N699">
        <v>380</v>
      </c>
      <c r="O699" t="s">
        <v>2381</v>
      </c>
    </row>
    <row r="700" spans="1:15" ht="15.75" customHeight="1">
      <c r="A700" t="s">
        <v>29</v>
      </c>
      <c r="B700">
        <v>692492</v>
      </c>
      <c r="C700">
        <v>692917</v>
      </c>
      <c r="D700">
        <v>1</v>
      </c>
      <c r="E700" t="s">
        <v>47</v>
      </c>
      <c r="F700" t="s">
        <v>2382</v>
      </c>
      <c r="G700" t="s">
        <v>2383</v>
      </c>
      <c r="I700" t="s">
        <v>49</v>
      </c>
      <c r="L700" t="s">
        <v>2384</v>
      </c>
      <c r="M700" t="s">
        <v>2382</v>
      </c>
      <c r="N700">
        <v>141</v>
      </c>
      <c r="O700" t="s">
        <v>2385</v>
      </c>
    </row>
    <row r="701" spans="1:15" ht="15.75" customHeight="1">
      <c r="A701" t="s">
        <v>29</v>
      </c>
      <c r="B701">
        <v>692928</v>
      </c>
      <c r="C701">
        <v>693296</v>
      </c>
      <c r="D701">
        <v>1</v>
      </c>
      <c r="E701" t="s">
        <v>47</v>
      </c>
      <c r="F701" t="s">
        <v>769</v>
      </c>
      <c r="I701" t="s">
        <v>49</v>
      </c>
      <c r="L701" t="s">
        <v>2386</v>
      </c>
      <c r="M701" t="s">
        <v>769</v>
      </c>
      <c r="N701">
        <v>122</v>
      </c>
      <c r="O701" t="s">
        <v>2387</v>
      </c>
    </row>
    <row r="702" spans="1:15" ht="15.75" customHeight="1">
      <c r="A702" t="s">
        <v>29</v>
      </c>
      <c r="B702">
        <v>693403</v>
      </c>
      <c r="C702">
        <v>694047</v>
      </c>
      <c r="D702">
        <v>1</v>
      </c>
      <c r="E702" t="s">
        <v>47</v>
      </c>
      <c r="F702" t="s">
        <v>2388</v>
      </c>
      <c r="G702" t="s">
        <v>2389</v>
      </c>
      <c r="I702" t="s">
        <v>49</v>
      </c>
      <c r="L702" t="s">
        <v>2390</v>
      </c>
      <c r="M702" t="s">
        <v>2388</v>
      </c>
      <c r="N702">
        <v>214</v>
      </c>
      <c r="O702" t="s">
        <v>2391</v>
      </c>
    </row>
    <row r="703" spans="1:15" ht="15.75" customHeight="1">
      <c r="A703" t="s">
        <v>29</v>
      </c>
      <c r="B703">
        <v>694075</v>
      </c>
      <c r="C703">
        <v>694932</v>
      </c>
      <c r="D703">
        <v>1</v>
      </c>
      <c r="E703" t="s">
        <v>76</v>
      </c>
      <c r="F703" t="s">
        <v>1146</v>
      </c>
      <c r="I703" t="s">
        <v>49</v>
      </c>
      <c r="L703" t="s">
        <v>2392</v>
      </c>
      <c r="M703" t="s">
        <v>1146</v>
      </c>
      <c r="N703">
        <v>285</v>
      </c>
      <c r="O703" t="s">
        <v>2393</v>
      </c>
    </row>
    <row r="704" spans="1:15" ht="15.75" customHeight="1">
      <c r="A704" t="s">
        <v>29</v>
      </c>
      <c r="B704">
        <v>695062</v>
      </c>
      <c r="C704">
        <v>696204</v>
      </c>
      <c r="D704">
        <v>1</v>
      </c>
      <c r="E704" t="s">
        <v>47</v>
      </c>
      <c r="F704" t="s">
        <v>2394</v>
      </c>
      <c r="G704" t="s">
        <v>2395</v>
      </c>
      <c r="I704" t="s">
        <v>49</v>
      </c>
      <c r="L704" t="s">
        <v>2396</v>
      </c>
      <c r="M704" t="s">
        <v>2394</v>
      </c>
      <c r="N704">
        <v>380</v>
      </c>
      <c r="O704" t="s">
        <v>2397</v>
      </c>
    </row>
    <row r="705" spans="1:15" ht="15.75" customHeight="1">
      <c r="A705" t="s">
        <v>29</v>
      </c>
      <c r="B705">
        <v>696305</v>
      </c>
      <c r="C705">
        <v>698122</v>
      </c>
      <c r="D705">
        <v>1</v>
      </c>
      <c r="E705" t="s">
        <v>47</v>
      </c>
      <c r="F705" t="s">
        <v>2398</v>
      </c>
      <c r="G705" t="s">
        <v>2399</v>
      </c>
      <c r="I705" t="s">
        <v>49</v>
      </c>
      <c r="L705" t="s">
        <v>2400</v>
      </c>
      <c r="M705" t="s">
        <v>2398</v>
      </c>
      <c r="N705">
        <v>605</v>
      </c>
      <c r="O705" t="s">
        <v>2401</v>
      </c>
    </row>
    <row r="706" spans="1:15" ht="15.75" customHeight="1">
      <c r="A706" t="s">
        <v>29</v>
      </c>
      <c r="B706">
        <v>698275</v>
      </c>
      <c r="C706">
        <v>699426</v>
      </c>
      <c r="D706">
        <v>1</v>
      </c>
      <c r="E706" t="s">
        <v>47</v>
      </c>
      <c r="F706" t="s">
        <v>2402</v>
      </c>
      <c r="G706" t="s">
        <v>2403</v>
      </c>
      <c r="I706" t="s">
        <v>49</v>
      </c>
      <c r="L706" t="s">
        <v>2404</v>
      </c>
      <c r="M706" t="s">
        <v>2402</v>
      </c>
      <c r="N706">
        <v>383</v>
      </c>
      <c r="O706" t="s">
        <v>2405</v>
      </c>
    </row>
    <row r="707" spans="1:15" ht="15.75" customHeight="1">
      <c r="A707" t="s">
        <v>29</v>
      </c>
      <c r="B707">
        <v>699589</v>
      </c>
      <c r="C707">
        <v>700647</v>
      </c>
      <c r="D707">
        <v>1</v>
      </c>
      <c r="E707" t="s">
        <v>47</v>
      </c>
      <c r="F707" t="s">
        <v>745</v>
      </c>
      <c r="G707" t="s">
        <v>2406</v>
      </c>
      <c r="I707" t="s">
        <v>49</v>
      </c>
      <c r="L707" t="s">
        <v>2407</v>
      </c>
      <c r="M707" t="s">
        <v>745</v>
      </c>
      <c r="N707">
        <v>352</v>
      </c>
      <c r="O707" t="s">
        <v>2408</v>
      </c>
    </row>
    <row r="708" spans="1:15" ht="15.75" customHeight="1">
      <c r="A708" t="s">
        <v>29</v>
      </c>
      <c r="B708">
        <v>700798</v>
      </c>
      <c r="C708">
        <v>701163</v>
      </c>
      <c r="D708">
        <v>1</v>
      </c>
      <c r="E708" t="s">
        <v>47</v>
      </c>
      <c r="F708" t="s">
        <v>2409</v>
      </c>
      <c r="I708" t="s">
        <v>49</v>
      </c>
      <c r="L708" t="s">
        <v>2410</v>
      </c>
      <c r="M708" t="s">
        <v>2409</v>
      </c>
      <c r="N708">
        <v>121</v>
      </c>
      <c r="O708" t="s">
        <v>2411</v>
      </c>
    </row>
    <row r="709" spans="1:15" ht="15.75" customHeight="1">
      <c r="A709" t="s">
        <v>29</v>
      </c>
      <c r="B709">
        <v>701239</v>
      </c>
      <c r="C709">
        <v>702180</v>
      </c>
      <c r="D709">
        <v>1</v>
      </c>
      <c r="E709" t="s">
        <v>47</v>
      </c>
      <c r="F709" t="s">
        <v>2412</v>
      </c>
      <c r="G709" t="s">
        <v>2413</v>
      </c>
      <c r="I709" t="s">
        <v>49</v>
      </c>
      <c r="L709" t="s">
        <v>2414</v>
      </c>
      <c r="M709" t="s">
        <v>2412</v>
      </c>
      <c r="N709">
        <v>313</v>
      </c>
      <c r="O709" t="s">
        <v>2415</v>
      </c>
    </row>
    <row r="710" spans="1:15" ht="15.75" customHeight="1">
      <c r="A710" t="s">
        <v>29</v>
      </c>
      <c r="B710">
        <v>702272</v>
      </c>
      <c r="C710">
        <v>703144</v>
      </c>
      <c r="D710">
        <v>1</v>
      </c>
      <c r="E710" t="s">
        <v>47</v>
      </c>
      <c r="F710" t="s">
        <v>2412</v>
      </c>
      <c r="G710" t="s">
        <v>2416</v>
      </c>
      <c r="I710" t="s">
        <v>49</v>
      </c>
      <c r="L710" t="s">
        <v>2417</v>
      </c>
      <c r="M710" t="s">
        <v>2412</v>
      </c>
      <c r="N710">
        <v>290</v>
      </c>
      <c r="O710" t="s">
        <v>2418</v>
      </c>
    </row>
    <row r="711" spans="1:15" ht="15.75" customHeight="1">
      <c r="A711" t="s">
        <v>29</v>
      </c>
      <c r="B711">
        <v>703146</v>
      </c>
      <c r="C711">
        <v>703472</v>
      </c>
      <c r="D711">
        <v>1</v>
      </c>
      <c r="E711" t="s">
        <v>47</v>
      </c>
      <c r="F711" t="s">
        <v>2419</v>
      </c>
      <c r="I711" t="s">
        <v>49</v>
      </c>
      <c r="L711" t="s">
        <v>2420</v>
      </c>
      <c r="M711" t="s">
        <v>2419</v>
      </c>
      <c r="N711">
        <v>108</v>
      </c>
      <c r="O711" t="s">
        <v>2421</v>
      </c>
    </row>
    <row r="712" spans="1:15" ht="15.75" customHeight="1">
      <c r="A712" t="s">
        <v>29</v>
      </c>
      <c r="B712">
        <v>703465</v>
      </c>
      <c r="C712">
        <v>703869</v>
      </c>
      <c r="D712">
        <v>1</v>
      </c>
      <c r="E712" t="s">
        <v>47</v>
      </c>
      <c r="F712" t="s">
        <v>2422</v>
      </c>
      <c r="G712" t="s">
        <v>2423</v>
      </c>
      <c r="I712" t="s">
        <v>49</v>
      </c>
      <c r="L712" t="s">
        <v>2424</v>
      </c>
      <c r="M712" t="s">
        <v>2422</v>
      </c>
      <c r="N712">
        <v>134</v>
      </c>
      <c r="O712" t="s">
        <v>2425</v>
      </c>
    </row>
    <row r="713" spans="1:15" ht="15.75" customHeight="1">
      <c r="A713" t="s">
        <v>29</v>
      </c>
      <c r="B713">
        <v>703832</v>
      </c>
      <c r="C713">
        <v>704134</v>
      </c>
      <c r="D713">
        <v>1</v>
      </c>
      <c r="E713" t="s">
        <v>47</v>
      </c>
      <c r="F713" t="s">
        <v>2426</v>
      </c>
      <c r="I713" t="s">
        <v>49</v>
      </c>
      <c r="L713" t="s">
        <v>2427</v>
      </c>
      <c r="M713" t="s">
        <v>2426</v>
      </c>
      <c r="N713">
        <v>100</v>
      </c>
      <c r="O713" t="s">
        <v>2428</v>
      </c>
    </row>
    <row r="714" spans="1:15" ht="15.75" customHeight="1">
      <c r="A714" t="s">
        <v>29</v>
      </c>
      <c r="B714">
        <v>704097</v>
      </c>
      <c r="C714">
        <v>704558</v>
      </c>
      <c r="D714">
        <v>1</v>
      </c>
      <c r="E714" t="s">
        <v>47</v>
      </c>
      <c r="F714" t="s">
        <v>2429</v>
      </c>
      <c r="I714" t="s">
        <v>49</v>
      </c>
      <c r="L714" t="s">
        <v>2430</v>
      </c>
      <c r="M714" t="s">
        <v>2429</v>
      </c>
      <c r="N714">
        <v>153</v>
      </c>
      <c r="O714" t="s">
        <v>2431</v>
      </c>
    </row>
    <row r="715" spans="1:15" ht="15.75" customHeight="1">
      <c r="A715" t="s">
        <v>29</v>
      </c>
      <c r="B715">
        <v>704536</v>
      </c>
      <c r="C715">
        <v>704949</v>
      </c>
      <c r="D715">
        <v>1</v>
      </c>
      <c r="E715" t="s">
        <v>47</v>
      </c>
      <c r="F715" t="s">
        <v>2432</v>
      </c>
      <c r="I715" t="s">
        <v>49</v>
      </c>
      <c r="L715" t="s">
        <v>2433</v>
      </c>
      <c r="M715" t="s">
        <v>2432</v>
      </c>
      <c r="N715">
        <v>137</v>
      </c>
      <c r="O715" t="s">
        <v>2434</v>
      </c>
    </row>
    <row r="716" spans="1:15" ht="15.75" customHeight="1">
      <c r="A716" t="s">
        <v>29</v>
      </c>
      <c r="B716">
        <v>705086</v>
      </c>
      <c r="C716">
        <v>705268</v>
      </c>
      <c r="D716">
        <v>1</v>
      </c>
      <c r="E716" t="s">
        <v>47</v>
      </c>
      <c r="F716" t="s">
        <v>2435</v>
      </c>
      <c r="I716" t="s">
        <v>49</v>
      </c>
      <c r="L716" t="s">
        <v>2436</v>
      </c>
      <c r="M716" t="s">
        <v>2435</v>
      </c>
      <c r="N716">
        <v>60</v>
      </c>
      <c r="O716" t="s">
        <v>2437</v>
      </c>
    </row>
    <row r="717" spans="1:15" ht="15.75" customHeight="1">
      <c r="A717" t="s">
        <v>29</v>
      </c>
      <c r="B717">
        <v>705741</v>
      </c>
      <c r="C717">
        <v>706694</v>
      </c>
      <c r="D717">
        <v>1</v>
      </c>
      <c r="E717" t="s">
        <v>47</v>
      </c>
      <c r="F717" t="s">
        <v>2438</v>
      </c>
      <c r="I717" t="s">
        <v>49</v>
      </c>
      <c r="L717" t="s">
        <v>2439</v>
      </c>
      <c r="M717" t="s">
        <v>2438</v>
      </c>
      <c r="N717">
        <v>317</v>
      </c>
      <c r="O717" t="s">
        <v>2440</v>
      </c>
    </row>
    <row r="718" spans="1:15" ht="15.75" customHeight="1">
      <c r="A718" t="s">
        <v>29</v>
      </c>
      <c r="B718">
        <v>706745</v>
      </c>
      <c r="C718">
        <v>707935</v>
      </c>
      <c r="D718">
        <v>1</v>
      </c>
      <c r="E718" t="s">
        <v>47</v>
      </c>
      <c r="F718" t="s">
        <v>2441</v>
      </c>
      <c r="G718" t="s">
        <v>2442</v>
      </c>
      <c r="I718" t="s">
        <v>49</v>
      </c>
      <c r="L718" t="s">
        <v>2443</v>
      </c>
      <c r="M718" t="s">
        <v>2441</v>
      </c>
      <c r="N718">
        <v>396</v>
      </c>
      <c r="O718" t="s">
        <v>2444</v>
      </c>
    </row>
    <row r="719" spans="1:15" ht="15.75" customHeight="1">
      <c r="A719" t="s">
        <v>29</v>
      </c>
      <c r="B719">
        <v>708084</v>
      </c>
      <c r="C719">
        <v>708455</v>
      </c>
      <c r="D719">
        <v>1</v>
      </c>
      <c r="E719" t="s">
        <v>47</v>
      </c>
      <c r="F719" t="s">
        <v>2445</v>
      </c>
      <c r="G719" t="s">
        <v>2446</v>
      </c>
      <c r="I719" t="s">
        <v>49</v>
      </c>
      <c r="L719" t="s">
        <v>2447</v>
      </c>
      <c r="M719" t="s">
        <v>2445</v>
      </c>
      <c r="N719">
        <v>123</v>
      </c>
      <c r="O719" t="s">
        <v>2448</v>
      </c>
    </row>
    <row r="720" spans="1:15" ht="15.75" customHeight="1">
      <c r="A720" t="s">
        <v>29</v>
      </c>
      <c r="B720">
        <v>708424</v>
      </c>
      <c r="C720">
        <v>709254</v>
      </c>
      <c r="D720">
        <v>1</v>
      </c>
      <c r="E720" t="s">
        <v>47</v>
      </c>
      <c r="F720" t="s">
        <v>2449</v>
      </c>
      <c r="G720" t="s">
        <v>2450</v>
      </c>
      <c r="I720" t="s">
        <v>49</v>
      </c>
      <c r="L720" t="s">
        <v>2451</v>
      </c>
      <c r="M720" t="s">
        <v>2449</v>
      </c>
      <c r="N720">
        <v>276</v>
      </c>
      <c r="O720" t="s">
        <v>2452</v>
      </c>
    </row>
    <row r="721" spans="1:15" ht="15.75" customHeight="1">
      <c r="A721" t="s">
        <v>29</v>
      </c>
      <c r="B721">
        <v>709273</v>
      </c>
      <c r="C721">
        <v>710280</v>
      </c>
      <c r="D721">
        <v>1</v>
      </c>
      <c r="E721" t="s">
        <v>47</v>
      </c>
      <c r="F721" t="s">
        <v>2453</v>
      </c>
      <c r="I721" t="s">
        <v>49</v>
      </c>
      <c r="L721" t="s">
        <v>2454</v>
      </c>
      <c r="M721" t="s">
        <v>2453</v>
      </c>
      <c r="N721">
        <v>335</v>
      </c>
      <c r="O721" t="s">
        <v>2455</v>
      </c>
    </row>
    <row r="722" spans="1:15" ht="15.75" customHeight="1">
      <c r="A722" t="s">
        <v>29</v>
      </c>
      <c r="B722">
        <v>710310</v>
      </c>
      <c r="C722">
        <v>710933</v>
      </c>
      <c r="D722">
        <v>1</v>
      </c>
      <c r="E722" t="s">
        <v>47</v>
      </c>
      <c r="F722" t="s">
        <v>2456</v>
      </c>
      <c r="I722" t="s">
        <v>49</v>
      </c>
      <c r="L722" t="s">
        <v>2457</v>
      </c>
      <c r="M722" t="s">
        <v>2456</v>
      </c>
      <c r="N722">
        <v>207</v>
      </c>
      <c r="O722" t="s">
        <v>2458</v>
      </c>
    </row>
    <row r="723" spans="1:15" ht="15.75" customHeight="1">
      <c r="A723" t="s">
        <v>29</v>
      </c>
      <c r="B723">
        <v>711064</v>
      </c>
      <c r="C723">
        <v>712521</v>
      </c>
      <c r="D723">
        <v>1</v>
      </c>
      <c r="E723" t="s">
        <v>47</v>
      </c>
      <c r="F723" t="s">
        <v>2459</v>
      </c>
      <c r="G723" t="s">
        <v>2460</v>
      </c>
      <c r="I723" t="s">
        <v>49</v>
      </c>
      <c r="L723" t="s">
        <v>2461</v>
      </c>
      <c r="M723" t="s">
        <v>2459</v>
      </c>
      <c r="N723">
        <v>485</v>
      </c>
      <c r="O723" t="s">
        <v>2462</v>
      </c>
    </row>
    <row r="724" spans="1:15" ht="15.75" customHeight="1">
      <c r="A724" t="s">
        <v>29</v>
      </c>
      <c r="B724">
        <v>712544</v>
      </c>
      <c r="C724">
        <v>712825</v>
      </c>
      <c r="D724">
        <v>1</v>
      </c>
      <c r="E724" t="s">
        <v>47</v>
      </c>
      <c r="F724" t="s">
        <v>2463</v>
      </c>
      <c r="G724" t="s">
        <v>2464</v>
      </c>
      <c r="I724" t="s">
        <v>49</v>
      </c>
      <c r="L724" t="s">
        <v>2465</v>
      </c>
      <c r="M724" t="s">
        <v>2463</v>
      </c>
      <c r="N724">
        <v>93</v>
      </c>
      <c r="O724" t="s">
        <v>2466</v>
      </c>
    </row>
    <row r="725" spans="1:15" ht="15.75" customHeight="1">
      <c r="A725" t="s">
        <v>29</v>
      </c>
      <c r="B725">
        <v>712902</v>
      </c>
      <c r="C725">
        <v>713387</v>
      </c>
      <c r="D725">
        <v>1</v>
      </c>
      <c r="E725" t="s">
        <v>47</v>
      </c>
      <c r="F725" t="s">
        <v>1406</v>
      </c>
      <c r="G725" t="s">
        <v>2467</v>
      </c>
      <c r="I725" t="s">
        <v>49</v>
      </c>
      <c r="L725" t="s">
        <v>2468</v>
      </c>
      <c r="M725" t="s">
        <v>1406</v>
      </c>
      <c r="N725">
        <v>161</v>
      </c>
      <c r="O725" t="s">
        <v>2469</v>
      </c>
    </row>
    <row r="726" spans="1:15" ht="15.75" customHeight="1">
      <c r="A726" t="s">
        <v>29</v>
      </c>
      <c r="B726">
        <v>713404</v>
      </c>
      <c r="C726">
        <v>714069</v>
      </c>
      <c r="D726">
        <v>1</v>
      </c>
      <c r="E726" t="s">
        <v>47</v>
      </c>
      <c r="F726" t="s">
        <v>2470</v>
      </c>
      <c r="G726" t="s">
        <v>2471</v>
      </c>
      <c r="I726" t="s">
        <v>49</v>
      </c>
      <c r="L726" t="s">
        <v>2472</v>
      </c>
      <c r="M726" t="s">
        <v>2470</v>
      </c>
      <c r="N726">
        <v>221</v>
      </c>
      <c r="O726" t="s">
        <v>2473</v>
      </c>
    </row>
    <row r="727" spans="1:15" ht="15.75" customHeight="1">
      <c r="A727" t="s">
        <v>29</v>
      </c>
      <c r="B727">
        <v>714073</v>
      </c>
      <c r="C727">
        <v>714936</v>
      </c>
      <c r="D727">
        <v>1</v>
      </c>
      <c r="E727" t="s">
        <v>47</v>
      </c>
      <c r="F727" t="s">
        <v>2474</v>
      </c>
      <c r="G727" t="s">
        <v>2475</v>
      </c>
      <c r="I727" t="s">
        <v>49</v>
      </c>
      <c r="L727" t="s">
        <v>2476</v>
      </c>
      <c r="M727" t="s">
        <v>2474</v>
      </c>
      <c r="N727">
        <v>287</v>
      </c>
      <c r="O727" t="s">
        <v>2477</v>
      </c>
    </row>
    <row r="728" spans="1:15" ht="15.75" customHeight="1">
      <c r="A728" t="s">
        <v>29</v>
      </c>
      <c r="B728">
        <v>714938</v>
      </c>
      <c r="C728">
        <v>715642</v>
      </c>
      <c r="D728">
        <v>1</v>
      </c>
      <c r="E728" t="s">
        <v>47</v>
      </c>
      <c r="F728" t="s">
        <v>2478</v>
      </c>
      <c r="G728" t="s">
        <v>2479</v>
      </c>
      <c r="I728" t="s">
        <v>49</v>
      </c>
      <c r="L728" t="s">
        <v>2480</v>
      </c>
      <c r="M728" t="s">
        <v>2478</v>
      </c>
      <c r="N728">
        <v>234</v>
      </c>
      <c r="O728" t="s">
        <v>2481</v>
      </c>
    </row>
    <row r="729" spans="1:15" ht="15.75" customHeight="1">
      <c r="A729" t="s">
        <v>29</v>
      </c>
      <c r="B729">
        <v>715821</v>
      </c>
      <c r="C729">
        <v>717494</v>
      </c>
      <c r="D729">
        <v>1</v>
      </c>
      <c r="E729" t="s">
        <v>47</v>
      </c>
      <c r="F729" t="s">
        <v>2482</v>
      </c>
      <c r="G729" t="s">
        <v>2483</v>
      </c>
      <c r="I729" t="s">
        <v>49</v>
      </c>
      <c r="L729" t="s">
        <v>2484</v>
      </c>
      <c r="M729" t="s">
        <v>2482</v>
      </c>
      <c r="N729">
        <v>557</v>
      </c>
      <c r="O729" t="s">
        <v>2485</v>
      </c>
    </row>
    <row r="730" spans="1:15" ht="15.75" customHeight="1">
      <c r="A730" t="s">
        <v>29</v>
      </c>
      <c r="B730">
        <v>717606</v>
      </c>
      <c r="C730">
        <v>718697</v>
      </c>
      <c r="D730">
        <v>1</v>
      </c>
      <c r="E730" t="s">
        <v>47</v>
      </c>
      <c r="F730" t="s">
        <v>2486</v>
      </c>
      <c r="G730" t="s">
        <v>2487</v>
      </c>
      <c r="I730" t="s">
        <v>49</v>
      </c>
      <c r="L730" t="s">
        <v>2488</v>
      </c>
      <c r="M730" t="s">
        <v>2486</v>
      </c>
      <c r="N730">
        <v>363</v>
      </c>
      <c r="O730" t="s">
        <v>2489</v>
      </c>
    </row>
    <row r="731" spans="1:15" ht="15.75" customHeight="1">
      <c r="A731" t="s">
        <v>29</v>
      </c>
      <c r="B731">
        <v>718811</v>
      </c>
      <c r="C731">
        <v>720787</v>
      </c>
      <c r="D731">
        <v>1</v>
      </c>
      <c r="E731" t="s">
        <v>47</v>
      </c>
      <c r="F731" t="s">
        <v>2490</v>
      </c>
      <c r="G731" t="s">
        <v>2491</v>
      </c>
      <c r="I731" t="s">
        <v>49</v>
      </c>
      <c r="L731" t="s">
        <v>2492</v>
      </c>
      <c r="M731" t="s">
        <v>2490</v>
      </c>
      <c r="N731">
        <v>658</v>
      </c>
      <c r="O731" t="s">
        <v>2493</v>
      </c>
    </row>
    <row r="732" spans="1:15" ht="15.75" customHeight="1">
      <c r="A732" t="s">
        <v>29</v>
      </c>
      <c r="B732">
        <v>720904</v>
      </c>
      <c r="C732">
        <v>721203</v>
      </c>
      <c r="D732">
        <v>1</v>
      </c>
      <c r="E732" t="s">
        <v>47</v>
      </c>
      <c r="F732" t="s">
        <v>2494</v>
      </c>
      <c r="I732" t="s">
        <v>49</v>
      </c>
      <c r="L732" t="s">
        <v>2495</v>
      </c>
      <c r="M732" t="s">
        <v>2494</v>
      </c>
      <c r="N732">
        <v>99</v>
      </c>
      <c r="O732" t="s">
        <v>2496</v>
      </c>
    </row>
    <row r="733" spans="1:15" ht="15.75" customHeight="1">
      <c r="A733" t="s">
        <v>29</v>
      </c>
      <c r="B733">
        <v>721249</v>
      </c>
      <c r="C733">
        <v>721677</v>
      </c>
      <c r="D733">
        <v>1</v>
      </c>
      <c r="E733" t="s">
        <v>47</v>
      </c>
      <c r="F733" t="s">
        <v>2497</v>
      </c>
      <c r="G733" t="s">
        <v>2498</v>
      </c>
      <c r="I733" t="s">
        <v>49</v>
      </c>
      <c r="L733" t="s">
        <v>2499</v>
      </c>
      <c r="M733" t="s">
        <v>2497</v>
      </c>
      <c r="N733">
        <v>142</v>
      </c>
      <c r="O733" t="s">
        <v>2500</v>
      </c>
    </row>
    <row r="734" spans="1:15" ht="15.75" customHeight="1">
      <c r="A734" t="s">
        <v>29</v>
      </c>
      <c r="B734">
        <v>721679</v>
      </c>
      <c r="C734">
        <v>722089</v>
      </c>
      <c r="D734">
        <v>1</v>
      </c>
      <c r="E734" t="s">
        <v>47</v>
      </c>
      <c r="F734" t="s">
        <v>2501</v>
      </c>
      <c r="I734" t="s">
        <v>49</v>
      </c>
      <c r="L734" t="s">
        <v>2502</v>
      </c>
      <c r="M734" t="s">
        <v>2501</v>
      </c>
      <c r="N734">
        <v>136</v>
      </c>
      <c r="O734" t="s">
        <v>2503</v>
      </c>
    </row>
    <row r="735" spans="1:15" ht="15.75" customHeight="1">
      <c r="A735" t="s">
        <v>29</v>
      </c>
      <c r="B735">
        <v>722389</v>
      </c>
      <c r="C735">
        <v>725040</v>
      </c>
      <c r="D735">
        <v>1</v>
      </c>
      <c r="E735" t="s">
        <v>47</v>
      </c>
      <c r="F735" t="s">
        <v>2504</v>
      </c>
      <c r="G735" t="s">
        <v>2505</v>
      </c>
      <c r="I735" t="s">
        <v>49</v>
      </c>
      <c r="L735" t="s">
        <v>2506</v>
      </c>
      <c r="M735" t="s">
        <v>2504</v>
      </c>
      <c r="N735">
        <v>883</v>
      </c>
      <c r="O735" t="s">
        <v>2507</v>
      </c>
    </row>
    <row r="736" spans="1:15" ht="15.75" customHeight="1">
      <c r="A736" t="s">
        <v>29</v>
      </c>
      <c r="B736">
        <v>725948</v>
      </c>
      <c r="C736">
        <v>726256</v>
      </c>
      <c r="D736">
        <v>1</v>
      </c>
      <c r="E736" t="s">
        <v>76</v>
      </c>
      <c r="F736" t="s">
        <v>2508</v>
      </c>
      <c r="G736" t="s">
        <v>2509</v>
      </c>
      <c r="I736" t="s">
        <v>49</v>
      </c>
      <c r="L736" t="s">
        <v>2510</v>
      </c>
      <c r="M736" t="s">
        <v>2508</v>
      </c>
      <c r="N736">
        <v>102</v>
      </c>
      <c r="O736" t="s">
        <v>2511</v>
      </c>
    </row>
    <row r="737" spans="1:15" ht="15.75" customHeight="1">
      <c r="A737" t="s">
        <v>29</v>
      </c>
      <c r="B737">
        <v>726253</v>
      </c>
      <c r="C737">
        <v>726561</v>
      </c>
      <c r="D737">
        <v>1</v>
      </c>
      <c r="E737" t="s">
        <v>76</v>
      </c>
      <c r="F737" t="s">
        <v>690</v>
      </c>
      <c r="G737" t="s">
        <v>2512</v>
      </c>
      <c r="I737" t="s">
        <v>49</v>
      </c>
      <c r="L737" t="s">
        <v>2513</v>
      </c>
      <c r="M737" t="s">
        <v>690</v>
      </c>
      <c r="N737">
        <v>102</v>
      </c>
      <c r="O737" t="s">
        <v>2514</v>
      </c>
    </row>
    <row r="738" spans="1:15" ht="15.75" customHeight="1">
      <c r="A738" t="s">
        <v>29</v>
      </c>
      <c r="B738">
        <v>726566</v>
      </c>
      <c r="C738">
        <v>727861</v>
      </c>
      <c r="D738">
        <v>1</v>
      </c>
      <c r="E738" t="s">
        <v>76</v>
      </c>
      <c r="F738" t="s">
        <v>2515</v>
      </c>
      <c r="G738" t="s">
        <v>2516</v>
      </c>
      <c r="I738" t="s">
        <v>49</v>
      </c>
      <c r="L738" t="s">
        <v>2517</v>
      </c>
      <c r="M738" t="s">
        <v>2515</v>
      </c>
      <c r="N738">
        <v>431</v>
      </c>
      <c r="O738" t="s">
        <v>2518</v>
      </c>
    </row>
    <row r="739" spans="1:15" ht="15.75" customHeight="1">
      <c r="A739" t="s">
        <v>29</v>
      </c>
      <c r="B739">
        <v>727879</v>
      </c>
      <c r="C739">
        <v>729288</v>
      </c>
      <c r="D739">
        <v>1</v>
      </c>
      <c r="E739" t="s">
        <v>76</v>
      </c>
      <c r="F739" t="s">
        <v>2519</v>
      </c>
      <c r="G739" t="s">
        <v>2520</v>
      </c>
      <c r="I739" t="s">
        <v>49</v>
      </c>
      <c r="L739" t="s">
        <v>2521</v>
      </c>
      <c r="M739" t="s">
        <v>2519</v>
      </c>
      <c r="N739">
        <v>469</v>
      </c>
      <c r="O739" t="s">
        <v>2522</v>
      </c>
    </row>
    <row r="740" spans="1:15" ht="15.75" customHeight="1">
      <c r="A740" t="s">
        <v>29</v>
      </c>
      <c r="B740">
        <v>729446</v>
      </c>
      <c r="C740">
        <v>730174</v>
      </c>
      <c r="D740">
        <v>1</v>
      </c>
      <c r="E740" t="s">
        <v>47</v>
      </c>
      <c r="F740" t="s">
        <v>1425</v>
      </c>
      <c r="G740" t="s">
        <v>2523</v>
      </c>
      <c r="I740" t="s">
        <v>49</v>
      </c>
      <c r="L740" t="s">
        <v>2524</v>
      </c>
      <c r="M740" t="s">
        <v>1425</v>
      </c>
      <c r="N740">
        <v>242</v>
      </c>
      <c r="O740" t="s">
        <v>2525</v>
      </c>
    </row>
    <row r="741" spans="1:15" ht="15.75" customHeight="1">
      <c r="A741" t="s">
        <v>29</v>
      </c>
      <c r="B741">
        <v>730633</v>
      </c>
      <c r="C741">
        <v>730827</v>
      </c>
      <c r="D741">
        <v>1</v>
      </c>
      <c r="E741" t="s">
        <v>47</v>
      </c>
      <c r="F741" t="s">
        <v>2526</v>
      </c>
      <c r="I741" t="s">
        <v>49</v>
      </c>
      <c r="L741" t="s">
        <v>2527</v>
      </c>
      <c r="M741" t="s">
        <v>2526</v>
      </c>
      <c r="N741">
        <v>64</v>
      </c>
      <c r="O741" t="s">
        <v>2528</v>
      </c>
    </row>
    <row r="742" spans="1:15" ht="15.75" customHeight="1">
      <c r="A742" t="s">
        <v>29</v>
      </c>
      <c r="B742">
        <v>731192</v>
      </c>
      <c r="C742">
        <v>732502</v>
      </c>
      <c r="D742">
        <v>1</v>
      </c>
      <c r="E742" t="s">
        <v>76</v>
      </c>
      <c r="F742" t="s">
        <v>65</v>
      </c>
      <c r="I742" t="s">
        <v>49</v>
      </c>
      <c r="L742" t="s">
        <v>2529</v>
      </c>
      <c r="M742" t="s">
        <v>65</v>
      </c>
      <c r="N742">
        <v>436</v>
      </c>
      <c r="O742" t="s">
        <v>2530</v>
      </c>
    </row>
    <row r="743" spans="1:15" ht="15.75" customHeight="1">
      <c r="A743" t="s">
        <v>29</v>
      </c>
      <c r="B743">
        <v>732738</v>
      </c>
      <c r="C743">
        <v>733610</v>
      </c>
      <c r="D743">
        <v>1</v>
      </c>
      <c r="E743" t="s">
        <v>47</v>
      </c>
      <c r="F743" t="s">
        <v>2531</v>
      </c>
      <c r="G743" t="s">
        <v>2532</v>
      </c>
      <c r="I743" t="s">
        <v>49</v>
      </c>
      <c r="L743" t="s">
        <v>2533</v>
      </c>
      <c r="M743" t="s">
        <v>2531</v>
      </c>
      <c r="N743">
        <v>290</v>
      </c>
      <c r="O743" t="s">
        <v>2534</v>
      </c>
    </row>
    <row r="744" spans="1:15" ht="15.75" customHeight="1">
      <c r="A744" t="s">
        <v>29</v>
      </c>
      <c r="B744">
        <v>733741</v>
      </c>
      <c r="C744">
        <v>734091</v>
      </c>
      <c r="D744">
        <v>1</v>
      </c>
      <c r="E744" t="s">
        <v>47</v>
      </c>
      <c r="F744" t="s">
        <v>559</v>
      </c>
      <c r="I744" t="s">
        <v>49</v>
      </c>
      <c r="L744" t="s">
        <v>2535</v>
      </c>
      <c r="M744" t="s">
        <v>559</v>
      </c>
      <c r="N744">
        <v>116</v>
      </c>
      <c r="O744" t="s">
        <v>2536</v>
      </c>
    </row>
    <row r="745" spans="1:15" ht="15.75" customHeight="1">
      <c r="A745" t="s">
        <v>29</v>
      </c>
      <c r="B745">
        <v>734649</v>
      </c>
      <c r="C745">
        <v>735611</v>
      </c>
      <c r="D745">
        <v>1</v>
      </c>
      <c r="E745" t="s">
        <v>47</v>
      </c>
      <c r="F745" t="s">
        <v>2537</v>
      </c>
      <c r="G745" t="s">
        <v>2538</v>
      </c>
      <c r="I745" t="s">
        <v>49</v>
      </c>
      <c r="L745" t="s">
        <v>2539</v>
      </c>
      <c r="M745" t="s">
        <v>2537</v>
      </c>
      <c r="N745">
        <v>320</v>
      </c>
      <c r="O745" t="s">
        <v>2540</v>
      </c>
    </row>
    <row r="746" spans="1:15" ht="15.75" customHeight="1">
      <c r="A746" t="s">
        <v>29</v>
      </c>
      <c r="B746">
        <v>735788</v>
      </c>
      <c r="C746">
        <v>736795</v>
      </c>
      <c r="D746">
        <v>1</v>
      </c>
      <c r="E746" t="s">
        <v>47</v>
      </c>
      <c r="F746" t="s">
        <v>2541</v>
      </c>
      <c r="G746" t="s">
        <v>2542</v>
      </c>
      <c r="I746" t="s">
        <v>49</v>
      </c>
      <c r="L746" t="s">
        <v>2543</v>
      </c>
      <c r="M746" t="s">
        <v>2541</v>
      </c>
      <c r="N746">
        <v>335</v>
      </c>
      <c r="O746" t="s">
        <v>2544</v>
      </c>
    </row>
    <row r="747" spans="1:15" ht="15.75" customHeight="1">
      <c r="A747" t="s">
        <v>29</v>
      </c>
      <c r="B747">
        <v>736863</v>
      </c>
      <c r="C747">
        <v>737738</v>
      </c>
      <c r="D747">
        <v>1</v>
      </c>
      <c r="E747" t="s">
        <v>76</v>
      </c>
      <c r="F747" t="s">
        <v>2545</v>
      </c>
      <c r="G747" t="s">
        <v>2546</v>
      </c>
      <c r="I747" t="s">
        <v>49</v>
      </c>
      <c r="L747" t="s">
        <v>2547</v>
      </c>
      <c r="M747" t="s">
        <v>2545</v>
      </c>
      <c r="N747">
        <v>291</v>
      </c>
      <c r="O747" t="s">
        <v>2548</v>
      </c>
    </row>
    <row r="748" spans="1:15" ht="15.75" customHeight="1">
      <c r="A748" t="s">
        <v>29</v>
      </c>
      <c r="B748">
        <v>737825</v>
      </c>
      <c r="C748">
        <v>740020</v>
      </c>
      <c r="D748">
        <v>1</v>
      </c>
      <c r="E748" t="s">
        <v>47</v>
      </c>
      <c r="F748" t="s">
        <v>2549</v>
      </c>
      <c r="G748" t="s">
        <v>2550</v>
      </c>
      <c r="I748" t="s">
        <v>49</v>
      </c>
      <c r="L748" t="s">
        <v>2551</v>
      </c>
      <c r="M748" t="s">
        <v>2549</v>
      </c>
      <c r="N748">
        <v>731</v>
      </c>
      <c r="O748" t="s">
        <v>2552</v>
      </c>
    </row>
    <row r="749" spans="1:15" ht="15.75" customHeight="1">
      <c r="A749" t="s">
        <v>29</v>
      </c>
      <c r="B749">
        <v>740235</v>
      </c>
      <c r="C749">
        <v>740411</v>
      </c>
      <c r="D749">
        <v>1</v>
      </c>
      <c r="E749" t="s">
        <v>47</v>
      </c>
      <c r="F749" t="s">
        <v>2553</v>
      </c>
      <c r="G749" t="s">
        <v>2554</v>
      </c>
      <c r="I749" t="s">
        <v>49</v>
      </c>
      <c r="L749" t="s">
        <v>2555</v>
      </c>
      <c r="M749" t="s">
        <v>2553</v>
      </c>
      <c r="N749">
        <v>58</v>
      </c>
      <c r="O749" t="s">
        <v>2556</v>
      </c>
    </row>
    <row r="750" spans="1:15" ht="15.75" customHeight="1">
      <c r="A750" t="s">
        <v>29</v>
      </c>
      <c r="B750">
        <v>740466</v>
      </c>
      <c r="C750">
        <v>741002</v>
      </c>
      <c r="D750">
        <v>1</v>
      </c>
      <c r="E750" t="s">
        <v>47</v>
      </c>
      <c r="F750" t="s">
        <v>2557</v>
      </c>
      <c r="G750" t="s">
        <v>2558</v>
      </c>
      <c r="I750" t="s">
        <v>49</v>
      </c>
      <c r="L750" t="s">
        <v>2559</v>
      </c>
      <c r="M750" t="s">
        <v>2557</v>
      </c>
      <c r="N750">
        <v>178</v>
      </c>
      <c r="O750" t="s">
        <v>2560</v>
      </c>
    </row>
    <row r="751" spans="1:15" ht="15.75" customHeight="1">
      <c r="A751" t="s">
        <v>29</v>
      </c>
      <c r="B751">
        <v>741124</v>
      </c>
      <c r="C751">
        <v>741603</v>
      </c>
      <c r="D751">
        <v>1</v>
      </c>
      <c r="E751" t="s">
        <v>47</v>
      </c>
      <c r="F751" t="s">
        <v>1730</v>
      </c>
      <c r="I751" t="s">
        <v>49</v>
      </c>
      <c r="L751" t="s">
        <v>2561</v>
      </c>
      <c r="M751" t="s">
        <v>1730</v>
      </c>
      <c r="N751">
        <v>159</v>
      </c>
      <c r="O751" t="s">
        <v>2562</v>
      </c>
    </row>
    <row r="752" spans="1:15" ht="15.75" customHeight="1">
      <c r="A752" t="s">
        <v>29</v>
      </c>
      <c r="B752">
        <v>741698</v>
      </c>
      <c r="C752">
        <v>741769</v>
      </c>
      <c r="D752">
        <v>1</v>
      </c>
      <c r="E752" t="s">
        <v>47</v>
      </c>
      <c r="F752" t="s">
        <v>1728</v>
      </c>
      <c r="I752" t="s">
        <v>1724</v>
      </c>
      <c r="O752" t="s">
        <v>2563</v>
      </c>
    </row>
    <row r="753" spans="1:15" ht="15.75" customHeight="1">
      <c r="A753" t="s">
        <v>29</v>
      </c>
      <c r="B753">
        <v>743618</v>
      </c>
      <c r="C753">
        <v>743692</v>
      </c>
      <c r="D753">
        <v>1</v>
      </c>
      <c r="E753" t="s">
        <v>47</v>
      </c>
      <c r="F753" t="s">
        <v>1726</v>
      </c>
      <c r="I753" t="s">
        <v>1724</v>
      </c>
      <c r="O753" t="s">
        <v>2564</v>
      </c>
    </row>
    <row r="754" spans="1:15" ht="15.75" customHeight="1">
      <c r="A754" t="s">
        <v>29</v>
      </c>
      <c r="B754">
        <v>746914</v>
      </c>
      <c r="C754">
        <v>746986</v>
      </c>
      <c r="D754">
        <v>1</v>
      </c>
      <c r="E754" t="s">
        <v>47</v>
      </c>
      <c r="F754" t="s">
        <v>2344</v>
      </c>
      <c r="I754" t="s">
        <v>1724</v>
      </c>
      <c r="O754" t="s">
        <v>2565</v>
      </c>
    </row>
    <row r="755" spans="1:15" ht="15.75" customHeight="1">
      <c r="A755" t="s">
        <v>29</v>
      </c>
      <c r="B755">
        <v>746989</v>
      </c>
      <c r="C755">
        <v>747061</v>
      </c>
      <c r="D755">
        <v>1</v>
      </c>
      <c r="E755" t="s">
        <v>47</v>
      </c>
      <c r="F755" t="s">
        <v>2566</v>
      </c>
      <c r="I755" t="s">
        <v>1724</v>
      </c>
      <c r="O755" t="s">
        <v>2567</v>
      </c>
    </row>
    <row r="756" spans="1:15" ht="15.75" customHeight="1">
      <c r="A756" t="s">
        <v>29</v>
      </c>
      <c r="B756">
        <v>747086</v>
      </c>
      <c r="C756">
        <v>747158</v>
      </c>
      <c r="D756">
        <v>1</v>
      </c>
      <c r="E756" t="s">
        <v>47</v>
      </c>
      <c r="F756" t="s">
        <v>2568</v>
      </c>
      <c r="I756" t="s">
        <v>1724</v>
      </c>
      <c r="O756" t="s">
        <v>2569</v>
      </c>
    </row>
    <row r="757" spans="1:15" ht="15.75" customHeight="1">
      <c r="A757" t="s">
        <v>29</v>
      </c>
      <c r="B757">
        <v>747163</v>
      </c>
      <c r="C757">
        <v>747246</v>
      </c>
      <c r="D757">
        <v>1</v>
      </c>
      <c r="E757" t="s">
        <v>47</v>
      </c>
      <c r="F757" t="s">
        <v>2364</v>
      </c>
      <c r="I757" t="s">
        <v>1724</v>
      </c>
      <c r="O757" t="s">
        <v>2570</v>
      </c>
    </row>
    <row r="758" spans="1:15" ht="15.75" customHeight="1">
      <c r="A758" t="s">
        <v>29</v>
      </c>
      <c r="B758">
        <v>747264</v>
      </c>
      <c r="C758">
        <v>747336</v>
      </c>
      <c r="D758">
        <v>1</v>
      </c>
      <c r="E758" t="s">
        <v>47</v>
      </c>
      <c r="F758" t="s">
        <v>2571</v>
      </c>
      <c r="I758" t="s">
        <v>1724</v>
      </c>
      <c r="O758" t="s">
        <v>2572</v>
      </c>
    </row>
    <row r="759" spans="1:15" ht="15.75" customHeight="1">
      <c r="A759" t="s">
        <v>29</v>
      </c>
      <c r="B759">
        <v>747359</v>
      </c>
      <c r="C759">
        <v>747430</v>
      </c>
      <c r="D759">
        <v>1</v>
      </c>
      <c r="E759" t="s">
        <v>47</v>
      </c>
      <c r="F759" t="s">
        <v>2346</v>
      </c>
      <c r="I759" t="s">
        <v>1724</v>
      </c>
      <c r="O759" t="s">
        <v>2573</v>
      </c>
    </row>
    <row r="760" spans="1:15" ht="15.75" customHeight="1">
      <c r="A760" t="s">
        <v>29</v>
      </c>
      <c r="B760">
        <v>747438</v>
      </c>
      <c r="C760">
        <v>747523</v>
      </c>
      <c r="D760">
        <v>1</v>
      </c>
      <c r="E760" t="s">
        <v>47</v>
      </c>
      <c r="F760" t="s">
        <v>2364</v>
      </c>
      <c r="I760" t="s">
        <v>1724</v>
      </c>
      <c r="O760" t="s">
        <v>2574</v>
      </c>
    </row>
    <row r="761" spans="1:15" ht="15.75" customHeight="1">
      <c r="A761" t="s">
        <v>29</v>
      </c>
      <c r="B761">
        <v>747533</v>
      </c>
      <c r="C761">
        <v>747606</v>
      </c>
      <c r="D761">
        <v>1</v>
      </c>
      <c r="E761" t="s">
        <v>47</v>
      </c>
      <c r="F761" t="s">
        <v>1793</v>
      </c>
      <c r="I761" t="s">
        <v>1724</v>
      </c>
      <c r="O761" t="s">
        <v>2575</v>
      </c>
    </row>
    <row r="762" spans="1:15" ht="15.75" customHeight="1">
      <c r="A762" t="s">
        <v>29</v>
      </c>
      <c r="B762">
        <v>747621</v>
      </c>
      <c r="C762">
        <v>747696</v>
      </c>
      <c r="D762">
        <v>1</v>
      </c>
      <c r="E762" t="s">
        <v>47</v>
      </c>
      <c r="F762" t="s">
        <v>2576</v>
      </c>
      <c r="I762" t="s">
        <v>1724</v>
      </c>
      <c r="O762" t="s">
        <v>2577</v>
      </c>
    </row>
    <row r="763" spans="1:15" ht="15.75" customHeight="1">
      <c r="A763" t="s">
        <v>29</v>
      </c>
      <c r="B763">
        <v>748299</v>
      </c>
      <c r="C763">
        <v>748490</v>
      </c>
      <c r="D763">
        <v>1</v>
      </c>
      <c r="E763" t="s">
        <v>47</v>
      </c>
      <c r="F763" t="s">
        <v>2578</v>
      </c>
      <c r="I763" t="s">
        <v>49</v>
      </c>
      <c r="L763" t="s">
        <v>2579</v>
      </c>
      <c r="M763" t="s">
        <v>2578</v>
      </c>
      <c r="N763">
        <v>63</v>
      </c>
      <c r="O763" t="s">
        <v>2580</v>
      </c>
    </row>
    <row r="764" spans="1:15" ht="15.75" customHeight="1">
      <c r="A764" t="s">
        <v>29</v>
      </c>
      <c r="B764">
        <v>748487</v>
      </c>
      <c r="C764">
        <v>748681</v>
      </c>
      <c r="D764">
        <v>1</v>
      </c>
      <c r="E764" t="s">
        <v>47</v>
      </c>
      <c r="F764" t="s">
        <v>176</v>
      </c>
      <c r="I764" t="s">
        <v>49</v>
      </c>
      <c r="L764" t="s">
        <v>2581</v>
      </c>
      <c r="M764" t="s">
        <v>176</v>
      </c>
      <c r="N764">
        <v>64</v>
      </c>
      <c r="O764" t="s">
        <v>2582</v>
      </c>
    </row>
    <row r="765" spans="1:15" ht="15.75" customHeight="1">
      <c r="A765" t="s">
        <v>29</v>
      </c>
      <c r="B765">
        <v>748668</v>
      </c>
      <c r="C765">
        <v>749552</v>
      </c>
      <c r="D765">
        <v>1</v>
      </c>
      <c r="E765" t="s">
        <v>47</v>
      </c>
      <c r="F765" t="s">
        <v>218</v>
      </c>
      <c r="G765" t="s">
        <v>2583</v>
      </c>
      <c r="I765" t="s">
        <v>49</v>
      </c>
      <c r="L765" t="s">
        <v>2584</v>
      </c>
      <c r="M765" t="s">
        <v>218</v>
      </c>
      <c r="N765">
        <v>294</v>
      </c>
      <c r="O765" t="s">
        <v>2585</v>
      </c>
    </row>
    <row r="766" spans="1:15" ht="15.75" customHeight="1">
      <c r="A766" t="s">
        <v>29</v>
      </c>
      <c r="B766">
        <v>749554</v>
      </c>
      <c r="C766">
        <v>750291</v>
      </c>
      <c r="D766">
        <v>1</v>
      </c>
      <c r="E766" t="s">
        <v>47</v>
      </c>
      <c r="F766" t="s">
        <v>2586</v>
      </c>
      <c r="I766" t="s">
        <v>49</v>
      </c>
      <c r="L766" t="s">
        <v>2587</v>
      </c>
      <c r="M766" t="s">
        <v>2586</v>
      </c>
      <c r="N766">
        <v>245</v>
      </c>
      <c r="O766" t="s">
        <v>2588</v>
      </c>
    </row>
    <row r="767" spans="1:15" ht="15.75" customHeight="1">
      <c r="A767" t="s">
        <v>29</v>
      </c>
      <c r="B767">
        <v>750291</v>
      </c>
      <c r="C767">
        <v>751388</v>
      </c>
      <c r="D767">
        <v>1</v>
      </c>
      <c r="E767" t="s">
        <v>47</v>
      </c>
      <c r="F767" t="s">
        <v>409</v>
      </c>
      <c r="G767" t="s">
        <v>2589</v>
      </c>
      <c r="I767" t="s">
        <v>49</v>
      </c>
      <c r="L767" t="s">
        <v>2590</v>
      </c>
      <c r="M767" t="s">
        <v>409</v>
      </c>
      <c r="N767">
        <v>365</v>
      </c>
      <c r="O767" t="s">
        <v>2591</v>
      </c>
    </row>
    <row r="768" spans="1:15" ht="15.75" customHeight="1">
      <c r="A768" t="s">
        <v>29</v>
      </c>
      <c r="B768">
        <v>751390</v>
      </c>
      <c r="C768">
        <v>751989</v>
      </c>
      <c r="D768">
        <v>1</v>
      </c>
      <c r="E768" t="s">
        <v>47</v>
      </c>
      <c r="F768" t="s">
        <v>405</v>
      </c>
      <c r="G768" t="s">
        <v>2592</v>
      </c>
      <c r="I768" t="s">
        <v>49</v>
      </c>
      <c r="L768" t="s">
        <v>2593</v>
      </c>
      <c r="M768" t="s">
        <v>405</v>
      </c>
      <c r="N768">
        <v>199</v>
      </c>
      <c r="O768" t="s">
        <v>2594</v>
      </c>
    </row>
    <row r="769" spans="1:15" ht="15.75" customHeight="1">
      <c r="A769" t="s">
        <v>29</v>
      </c>
      <c r="B769">
        <v>752414</v>
      </c>
      <c r="C769">
        <v>753424</v>
      </c>
      <c r="D769">
        <v>1</v>
      </c>
      <c r="E769" t="s">
        <v>47</v>
      </c>
      <c r="F769" t="s">
        <v>2595</v>
      </c>
      <c r="G769" t="s">
        <v>2596</v>
      </c>
      <c r="I769" t="s">
        <v>49</v>
      </c>
      <c r="L769" t="s">
        <v>2597</v>
      </c>
      <c r="M769" t="s">
        <v>2595</v>
      </c>
      <c r="N769">
        <v>336</v>
      </c>
      <c r="O769" t="s">
        <v>2598</v>
      </c>
    </row>
    <row r="770" spans="1:15" ht="15.75" customHeight="1">
      <c r="A770" t="s">
        <v>29</v>
      </c>
      <c r="B770">
        <v>753488</v>
      </c>
      <c r="C770">
        <v>753859</v>
      </c>
      <c r="D770">
        <v>1</v>
      </c>
      <c r="E770" t="s">
        <v>47</v>
      </c>
      <c r="F770" t="s">
        <v>1369</v>
      </c>
      <c r="I770" t="s">
        <v>49</v>
      </c>
      <c r="L770" t="s">
        <v>2599</v>
      </c>
      <c r="M770" t="s">
        <v>1369</v>
      </c>
      <c r="N770">
        <v>123</v>
      </c>
      <c r="O770" t="s">
        <v>2600</v>
      </c>
    </row>
    <row r="771" spans="1:15" ht="15.75" customHeight="1">
      <c r="A771" t="s">
        <v>29</v>
      </c>
      <c r="B771">
        <v>753856</v>
      </c>
      <c r="C771">
        <v>754818</v>
      </c>
      <c r="D771">
        <v>1</v>
      </c>
      <c r="E771" t="s">
        <v>76</v>
      </c>
      <c r="F771" t="s">
        <v>2601</v>
      </c>
      <c r="G771" t="s">
        <v>2602</v>
      </c>
      <c r="I771" t="s">
        <v>49</v>
      </c>
      <c r="L771" t="s">
        <v>2603</v>
      </c>
      <c r="M771" t="s">
        <v>2601</v>
      </c>
      <c r="N771">
        <v>320</v>
      </c>
      <c r="O771" t="s">
        <v>2604</v>
      </c>
    </row>
    <row r="772" spans="1:15" ht="15.75" customHeight="1">
      <c r="A772" t="s">
        <v>29</v>
      </c>
      <c r="B772">
        <v>754884</v>
      </c>
      <c r="C772">
        <v>756272</v>
      </c>
      <c r="D772">
        <v>1</v>
      </c>
      <c r="E772" t="s">
        <v>47</v>
      </c>
      <c r="F772" t="s">
        <v>2605</v>
      </c>
      <c r="I772" t="s">
        <v>49</v>
      </c>
      <c r="L772" t="s">
        <v>2606</v>
      </c>
      <c r="M772" t="s">
        <v>2605</v>
      </c>
      <c r="N772">
        <v>462</v>
      </c>
      <c r="O772" t="s">
        <v>2607</v>
      </c>
    </row>
    <row r="773" spans="1:15" ht="15.75" customHeight="1">
      <c r="A773" t="s">
        <v>29</v>
      </c>
      <c r="B773">
        <v>756307</v>
      </c>
      <c r="C773">
        <v>756759</v>
      </c>
      <c r="D773">
        <v>1</v>
      </c>
      <c r="E773" t="s">
        <v>76</v>
      </c>
      <c r="F773" t="s">
        <v>2608</v>
      </c>
      <c r="I773" t="s">
        <v>49</v>
      </c>
      <c r="L773" t="s">
        <v>2609</v>
      </c>
      <c r="M773" t="s">
        <v>2608</v>
      </c>
      <c r="N773">
        <v>150</v>
      </c>
      <c r="O773" t="s">
        <v>2610</v>
      </c>
    </row>
    <row r="774" spans="1:15" ht="15.75" customHeight="1">
      <c r="A774" t="s">
        <v>29</v>
      </c>
      <c r="B774">
        <v>756921</v>
      </c>
      <c r="C774">
        <v>757214</v>
      </c>
      <c r="D774">
        <v>1</v>
      </c>
      <c r="E774" t="s">
        <v>47</v>
      </c>
      <c r="F774" t="s">
        <v>176</v>
      </c>
      <c r="I774" t="s">
        <v>49</v>
      </c>
      <c r="L774" t="s">
        <v>2611</v>
      </c>
      <c r="M774" t="s">
        <v>176</v>
      </c>
      <c r="N774">
        <v>97</v>
      </c>
      <c r="O774" t="s">
        <v>2612</v>
      </c>
    </row>
    <row r="775" spans="1:15" ht="15.75" customHeight="1">
      <c r="A775" t="s">
        <v>29</v>
      </c>
      <c r="B775">
        <v>757370</v>
      </c>
      <c r="C775">
        <v>758584</v>
      </c>
      <c r="D775">
        <v>1</v>
      </c>
      <c r="E775" t="s">
        <v>47</v>
      </c>
      <c r="F775" t="s">
        <v>2613</v>
      </c>
      <c r="G775" t="s">
        <v>2614</v>
      </c>
      <c r="I775" t="s">
        <v>49</v>
      </c>
      <c r="L775" t="s">
        <v>2615</v>
      </c>
      <c r="M775" t="s">
        <v>2613</v>
      </c>
      <c r="N775">
        <v>404</v>
      </c>
      <c r="O775" t="s">
        <v>2616</v>
      </c>
    </row>
    <row r="776" spans="1:15" ht="15.75" customHeight="1">
      <c r="A776" t="s">
        <v>29</v>
      </c>
      <c r="B776">
        <v>758729</v>
      </c>
      <c r="C776">
        <v>758863</v>
      </c>
      <c r="D776">
        <v>1</v>
      </c>
      <c r="E776" t="s">
        <v>47</v>
      </c>
      <c r="F776" t="s">
        <v>2617</v>
      </c>
      <c r="G776" t="s">
        <v>2618</v>
      </c>
      <c r="I776" t="s">
        <v>49</v>
      </c>
      <c r="L776" t="s">
        <v>2619</v>
      </c>
      <c r="M776" t="s">
        <v>2617</v>
      </c>
      <c r="N776">
        <v>44</v>
      </c>
      <c r="O776" t="s">
        <v>2620</v>
      </c>
    </row>
    <row r="777" spans="1:15" ht="15.75" customHeight="1">
      <c r="A777" t="s">
        <v>29</v>
      </c>
      <c r="B777">
        <v>759147</v>
      </c>
      <c r="C777">
        <v>760040</v>
      </c>
      <c r="D777">
        <v>1</v>
      </c>
      <c r="E777" t="s">
        <v>47</v>
      </c>
      <c r="F777" t="s">
        <v>2621</v>
      </c>
      <c r="I777" t="s">
        <v>49</v>
      </c>
      <c r="L777" t="s">
        <v>2622</v>
      </c>
      <c r="M777" t="s">
        <v>2621</v>
      </c>
      <c r="N777">
        <v>297</v>
      </c>
      <c r="O777" t="s">
        <v>2623</v>
      </c>
    </row>
    <row r="778" spans="1:15" ht="15.75" customHeight="1">
      <c r="A778" t="s">
        <v>29</v>
      </c>
      <c r="B778">
        <v>760345</v>
      </c>
      <c r="C778">
        <v>761118</v>
      </c>
      <c r="D778">
        <v>1</v>
      </c>
      <c r="E778" t="s">
        <v>47</v>
      </c>
      <c r="F778" t="s">
        <v>2624</v>
      </c>
      <c r="G778" t="s">
        <v>2625</v>
      </c>
      <c r="I778" t="s">
        <v>49</v>
      </c>
      <c r="L778" t="s">
        <v>2626</v>
      </c>
      <c r="M778" t="s">
        <v>2624</v>
      </c>
      <c r="N778">
        <v>257</v>
      </c>
      <c r="O778" t="s">
        <v>2627</v>
      </c>
    </row>
    <row r="779" spans="1:15" ht="15.75" customHeight="1">
      <c r="A779" t="s">
        <v>29</v>
      </c>
      <c r="B779">
        <v>761118</v>
      </c>
      <c r="C779">
        <v>761678</v>
      </c>
      <c r="D779">
        <v>1</v>
      </c>
      <c r="E779" t="s">
        <v>47</v>
      </c>
      <c r="F779" t="s">
        <v>2628</v>
      </c>
      <c r="I779" t="s">
        <v>49</v>
      </c>
      <c r="L779" t="s">
        <v>2629</v>
      </c>
      <c r="M779" t="s">
        <v>2628</v>
      </c>
      <c r="N779">
        <v>186</v>
      </c>
      <c r="O779" t="s">
        <v>2630</v>
      </c>
    </row>
    <row r="780" spans="1:15" ht="15.75" customHeight="1">
      <c r="A780" t="s">
        <v>29</v>
      </c>
      <c r="B780">
        <v>761750</v>
      </c>
      <c r="C780">
        <v>762649</v>
      </c>
      <c r="D780">
        <v>1</v>
      </c>
      <c r="E780" t="s">
        <v>47</v>
      </c>
      <c r="F780" t="s">
        <v>2631</v>
      </c>
      <c r="I780" t="s">
        <v>49</v>
      </c>
      <c r="L780" t="s">
        <v>2632</v>
      </c>
      <c r="M780" t="s">
        <v>2631</v>
      </c>
      <c r="N780">
        <v>299</v>
      </c>
      <c r="O780" t="s">
        <v>2633</v>
      </c>
    </row>
    <row r="781" spans="1:15" ht="15.75" customHeight="1">
      <c r="A781" t="s">
        <v>29</v>
      </c>
      <c r="B781">
        <v>762918</v>
      </c>
      <c r="C781">
        <v>764600</v>
      </c>
      <c r="D781">
        <v>1</v>
      </c>
      <c r="E781" t="s">
        <v>47</v>
      </c>
      <c r="F781" t="s">
        <v>2634</v>
      </c>
      <c r="I781" t="s">
        <v>49</v>
      </c>
      <c r="L781" t="s">
        <v>2635</v>
      </c>
      <c r="M781" t="s">
        <v>2634</v>
      </c>
      <c r="N781">
        <v>560</v>
      </c>
      <c r="O781" t="s">
        <v>2636</v>
      </c>
    </row>
    <row r="782" spans="1:15" ht="15.75" customHeight="1">
      <c r="A782" t="s">
        <v>29</v>
      </c>
      <c r="B782">
        <v>764720</v>
      </c>
      <c r="C782">
        <v>764947</v>
      </c>
      <c r="D782">
        <v>1</v>
      </c>
      <c r="E782" t="s">
        <v>47</v>
      </c>
      <c r="F782" t="s">
        <v>2634</v>
      </c>
      <c r="I782" t="s">
        <v>49</v>
      </c>
      <c r="L782" t="s">
        <v>2637</v>
      </c>
      <c r="M782" t="s">
        <v>2634</v>
      </c>
      <c r="N782">
        <v>75</v>
      </c>
      <c r="O782" t="s">
        <v>2638</v>
      </c>
    </row>
    <row r="783" spans="1:15" ht="15.75" customHeight="1">
      <c r="A783" t="s">
        <v>29</v>
      </c>
      <c r="B783">
        <v>764949</v>
      </c>
      <c r="C783">
        <v>765590</v>
      </c>
      <c r="D783">
        <v>1</v>
      </c>
      <c r="E783" t="s">
        <v>47</v>
      </c>
      <c r="F783" t="s">
        <v>218</v>
      </c>
      <c r="G783" t="s">
        <v>2639</v>
      </c>
      <c r="I783" t="s">
        <v>49</v>
      </c>
      <c r="L783" t="s">
        <v>2640</v>
      </c>
      <c r="M783" t="s">
        <v>218</v>
      </c>
      <c r="N783">
        <v>213</v>
      </c>
      <c r="O783" t="s">
        <v>2641</v>
      </c>
    </row>
    <row r="784" spans="1:15" ht="15.75" customHeight="1">
      <c r="A784" t="s">
        <v>29</v>
      </c>
      <c r="B784">
        <v>765658</v>
      </c>
      <c r="C784">
        <v>765876</v>
      </c>
      <c r="D784">
        <v>1</v>
      </c>
      <c r="E784" t="s">
        <v>47</v>
      </c>
      <c r="F784" t="s">
        <v>176</v>
      </c>
      <c r="I784" t="s">
        <v>49</v>
      </c>
      <c r="L784" t="s">
        <v>2642</v>
      </c>
      <c r="M784" t="s">
        <v>176</v>
      </c>
      <c r="N784">
        <v>72</v>
      </c>
      <c r="O784" t="s">
        <v>2643</v>
      </c>
    </row>
    <row r="785" spans="1:15" ht="15.75" customHeight="1">
      <c r="A785" t="s">
        <v>29</v>
      </c>
      <c r="B785">
        <v>766127</v>
      </c>
      <c r="C785">
        <v>766999</v>
      </c>
      <c r="D785">
        <v>1</v>
      </c>
      <c r="E785" t="s">
        <v>47</v>
      </c>
      <c r="F785" t="s">
        <v>2644</v>
      </c>
      <c r="G785" t="s">
        <v>2645</v>
      </c>
      <c r="I785" t="s">
        <v>49</v>
      </c>
      <c r="L785" t="s">
        <v>2646</v>
      </c>
      <c r="M785" t="s">
        <v>2644</v>
      </c>
      <c r="N785">
        <v>290</v>
      </c>
      <c r="O785" t="s">
        <v>2647</v>
      </c>
    </row>
    <row r="786" spans="1:15" ht="15.75" customHeight="1">
      <c r="A786" t="s">
        <v>29</v>
      </c>
      <c r="B786">
        <v>767689</v>
      </c>
      <c r="C786">
        <v>768462</v>
      </c>
      <c r="D786">
        <v>1</v>
      </c>
      <c r="E786" t="s">
        <v>47</v>
      </c>
      <c r="F786" t="s">
        <v>2648</v>
      </c>
      <c r="I786" t="s">
        <v>49</v>
      </c>
      <c r="L786" t="s">
        <v>2649</v>
      </c>
      <c r="M786" t="s">
        <v>2648</v>
      </c>
      <c r="N786">
        <v>257</v>
      </c>
      <c r="O786" t="s">
        <v>2650</v>
      </c>
    </row>
    <row r="787" spans="1:15" ht="15.75" customHeight="1">
      <c r="A787" t="s">
        <v>29</v>
      </c>
      <c r="B787">
        <v>768468</v>
      </c>
      <c r="C787">
        <v>768854</v>
      </c>
      <c r="D787">
        <v>1</v>
      </c>
      <c r="E787" t="s">
        <v>47</v>
      </c>
      <c r="F787" t="s">
        <v>176</v>
      </c>
      <c r="I787" t="s">
        <v>49</v>
      </c>
      <c r="L787" t="s">
        <v>2651</v>
      </c>
      <c r="M787" t="s">
        <v>176</v>
      </c>
      <c r="N787">
        <v>128</v>
      </c>
      <c r="O787" t="s">
        <v>2652</v>
      </c>
    </row>
    <row r="788" spans="1:15" ht="15.75" customHeight="1">
      <c r="A788" t="s">
        <v>29</v>
      </c>
      <c r="B788">
        <v>769055</v>
      </c>
      <c r="C788">
        <v>769933</v>
      </c>
      <c r="D788">
        <v>1</v>
      </c>
      <c r="E788" t="s">
        <v>47</v>
      </c>
      <c r="F788" t="s">
        <v>2653</v>
      </c>
      <c r="G788" t="s">
        <v>2654</v>
      </c>
      <c r="I788" t="s">
        <v>49</v>
      </c>
      <c r="L788" t="s">
        <v>2655</v>
      </c>
      <c r="M788" t="s">
        <v>2653</v>
      </c>
      <c r="N788">
        <v>292</v>
      </c>
      <c r="O788" t="s">
        <v>2656</v>
      </c>
    </row>
    <row r="789" spans="1:15" ht="15.75" customHeight="1">
      <c r="A789" t="s">
        <v>29</v>
      </c>
      <c r="B789">
        <v>769944</v>
      </c>
      <c r="C789">
        <v>770600</v>
      </c>
      <c r="D789">
        <v>1</v>
      </c>
      <c r="E789" t="s">
        <v>47</v>
      </c>
      <c r="F789" t="s">
        <v>2657</v>
      </c>
      <c r="G789" t="s">
        <v>2658</v>
      </c>
      <c r="I789" t="s">
        <v>49</v>
      </c>
      <c r="L789" t="s">
        <v>2659</v>
      </c>
      <c r="M789" t="s">
        <v>2657</v>
      </c>
      <c r="N789">
        <v>218</v>
      </c>
      <c r="O789" t="s">
        <v>2660</v>
      </c>
    </row>
    <row r="790" spans="1:15" ht="15.75" customHeight="1">
      <c r="A790" t="s">
        <v>29</v>
      </c>
      <c r="B790">
        <v>770563</v>
      </c>
      <c r="C790">
        <v>771225</v>
      </c>
      <c r="D790">
        <v>1</v>
      </c>
      <c r="E790" t="s">
        <v>47</v>
      </c>
      <c r="F790" t="s">
        <v>2661</v>
      </c>
      <c r="G790" t="s">
        <v>2662</v>
      </c>
      <c r="I790" t="s">
        <v>49</v>
      </c>
      <c r="L790" t="s">
        <v>2663</v>
      </c>
      <c r="M790" t="s">
        <v>2661</v>
      </c>
      <c r="N790">
        <v>220</v>
      </c>
      <c r="O790" t="s">
        <v>2664</v>
      </c>
    </row>
    <row r="791" spans="1:15" ht="15.75" customHeight="1">
      <c r="A791" t="s">
        <v>29</v>
      </c>
      <c r="B791">
        <v>771227</v>
      </c>
      <c r="C791">
        <v>772483</v>
      </c>
      <c r="D791">
        <v>1</v>
      </c>
      <c r="E791" t="s">
        <v>47</v>
      </c>
      <c r="F791" t="s">
        <v>2665</v>
      </c>
      <c r="I791" t="s">
        <v>49</v>
      </c>
      <c r="L791" t="s">
        <v>2666</v>
      </c>
      <c r="M791" t="s">
        <v>2665</v>
      </c>
      <c r="N791">
        <v>418</v>
      </c>
      <c r="O791" t="s">
        <v>2667</v>
      </c>
    </row>
    <row r="792" spans="1:15" ht="15.75" customHeight="1">
      <c r="A792" t="s">
        <v>29</v>
      </c>
      <c r="B792">
        <v>772473</v>
      </c>
      <c r="C792">
        <v>773414</v>
      </c>
      <c r="D792">
        <v>1</v>
      </c>
      <c r="E792" t="s">
        <v>47</v>
      </c>
      <c r="F792" t="s">
        <v>2668</v>
      </c>
      <c r="G792" t="s">
        <v>2669</v>
      </c>
      <c r="I792" t="s">
        <v>49</v>
      </c>
      <c r="L792" t="s">
        <v>2670</v>
      </c>
      <c r="M792" t="s">
        <v>2668</v>
      </c>
      <c r="N792">
        <v>313</v>
      </c>
      <c r="O792" t="s">
        <v>2671</v>
      </c>
    </row>
    <row r="793" spans="1:15" ht="15.75" customHeight="1">
      <c r="A793" t="s">
        <v>29</v>
      </c>
      <c r="B793">
        <v>773681</v>
      </c>
      <c r="C793">
        <v>775825</v>
      </c>
      <c r="D793">
        <v>1</v>
      </c>
      <c r="E793" t="s">
        <v>47</v>
      </c>
      <c r="F793" t="s">
        <v>2672</v>
      </c>
      <c r="G793" t="s">
        <v>2673</v>
      </c>
      <c r="I793" t="s">
        <v>49</v>
      </c>
      <c r="L793" t="s">
        <v>2674</v>
      </c>
      <c r="M793" t="s">
        <v>2672</v>
      </c>
      <c r="N793">
        <v>714</v>
      </c>
      <c r="O793" t="s">
        <v>2675</v>
      </c>
    </row>
    <row r="794" spans="1:15" ht="15.75" customHeight="1">
      <c r="A794" t="s">
        <v>29</v>
      </c>
      <c r="B794">
        <v>775951</v>
      </c>
      <c r="C794">
        <v>776745</v>
      </c>
      <c r="D794">
        <v>1</v>
      </c>
      <c r="E794" t="s">
        <v>47</v>
      </c>
      <c r="F794" t="s">
        <v>2676</v>
      </c>
      <c r="G794" t="s">
        <v>2677</v>
      </c>
      <c r="I794" t="s">
        <v>49</v>
      </c>
      <c r="L794" t="s">
        <v>2678</v>
      </c>
      <c r="M794" t="s">
        <v>2676</v>
      </c>
      <c r="N794">
        <v>264</v>
      </c>
      <c r="O794" t="s">
        <v>2679</v>
      </c>
    </row>
    <row r="795" spans="1:15" ht="15.75" customHeight="1">
      <c r="A795" t="s">
        <v>29</v>
      </c>
      <c r="B795">
        <v>776820</v>
      </c>
      <c r="C795">
        <v>777746</v>
      </c>
      <c r="D795">
        <v>1</v>
      </c>
      <c r="E795" t="s">
        <v>76</v>
      </c>
      <c r="F795" t="s">
        <v>2680</v>
      </c>
      <c r="G795" t="s">
        <v>2681</v>
      </c>
      <c r="I795" t="s">
        <v>49</v>
      </c>
      <c r="L795" t="s">
        <v>2682</v>
      </c>
      <c r="M795" t="s">
        <v>2680</v>
      </c>
      <c r="N795">
        <v>308</v>
      </c>
      <c r="O795" t="s">
        <v>2683</v>
      </c>
    </row>
    <row r="796" spans="1:15" ht="15.75" customHeight="1">
      <c r="A796" t="s">
        <v>29</v>
      </c>
      <c r="B796">
        <v>777824</v>
      </c>
      <c r="C796">
        <v>778102</v>
      </c>
      <c r="D796">
        <v>1</v>
      </c>
      <c r="E796" t="s">
        <v>76</v>
      </c>
      <c r="F796" t="s">
        <v>2684</v>
      </c>
      <c r="G796" t="s">
        <v>2685</v>
      </c>
      <c r="I796" t="s">
        <v>49</v>
      </c>
      <c r="L796" t="s">
        <v>2686</v>
      </c>
      <c r="M796" t="s">
        <v>2684</v>
      </c>
      <c r="N796">
        <v>92</v>
      </c>
      <c r="O796" t="s">
        <v>2687</v>
      </c>
    </row>
    <row r="797" spans="1:15" ht="15.75" customHeight="1">
      <c r="A797" t="s">
        <v>29</v>
      </c>
      <c r="B797">
        <v>778136</v>
      </c>
      <c r="C797">
        <v>778876</v>
      </c>
      <c r="D797">
        <v>1</v>
      </c>
      <c r="E797" t="s">
        <v>47</v>
      </c>
      <c r="F797" t="s">
        <v>2688</v>
      </c>
      <c r="I797" t="s">
        <v>49</v>
      </c>
      <c r="L797" t="s">
        <v>2689</v>
      </c>
      <c r="M797" t="s">
        <v>2688</v>
      </c>
      <c r="N797">
        <v>246</v>
      </c>
      <c r="O797" t="s">
        <v>2690</v>
      </c>
    </row>
    <row r="798" spans="1:15" ht="15.75" customHeight="1">
      <c r="A798" t="s">
        <v>29</v>
      </c>
      <c r="B798">
        <v>778932</v>
      </c>
      <c r="C798">
        <v>779615</v>
      </c>
      <c r="D798">
        <v>1</v>
      </c>
      <c r="E798" t="s">
        <v>47</v>
      </c>
      <c r="F798" t="s">
        <v>65</v>
      </c>
      <c r="G798" t="s">
        <v>2691</v>
      </c>
      <c r="I798" t="s">
        <v>49</v>
      </c>
      <c r="L798" t="s">
        <v>2692</v>
      </c>
      <c r="M798" t="s">
        <v>65</v>
      </c>
      <c r="N798">
        <v>227</v>
      </c>
      <c r="O798" t="s">
        <v>2693</v>
      </c>
    </row>
    <row r="799" spans="1:15" ht="15.75" customHeight="1">
      <c r="A799" t="s">
        <v>29</v>
      </c>
      <c r="B799">
        <v>779726</v>
      </c>
      <c r="C799">
        <v>780718</v>
      </c>
      <c r="D799">
        <v>1</v>
      </c>
      <c r="E799" t="s">
        <v>47</v>
      </c>
      <c r="F799" t="s">
        <v>2694</v>
      </c>
      <c r="G799" t="s">
        <v>2695</v>
      </c>
      <c r="I799" t="s">
        <v>49</v>
      </c>
      <c r="L799" t="s">
        <v>2696</v>
      </c>
      <c r="M799" t="s">
        <v>2694</v>
      </c>
      <c r="N799">
        <v>330</v>
      </c>
      <c r="O799" t="s">
        <v>2697</v>
      </c>
    </row>
    <row r="800" spans="1:15" ht="15.75" customHeight="1">
      <c r="A800" t="s">
        <v>29</v>
      </c>
      <c r="B800">
        <v>780783</v>
      </c>
      <c r="C800">
        <v>781322</v>
      </c>
      <c r="D800">
        <v>1</v>
      </c>
      <c r="E800" t="s">
        <v>47</v>
      </c>
      <c r="F800" t="s">
        <v>2698</v>
      </c>
      <c r="G800" t="s">
        <v>2699</v>
      </c>
      <c r="I800" t="s">
        <v>49</v>
      </c>
      <c r="L800" t="s">
        <v>2700</v>
      </c>
      <c r="M800" t="s">
        <v>2698</v>
      </c>
      <c r="N800">
        <v>179</v>
      </c>
      <c r="O800" t="s">
        <v>2701</v>
      </c>
    </row>
    <row r="801" spans="1:15" ht="15.75" customHeight="1">
      <c r="A801" t="s">
        <v>29</v>
      </c>
      <c r="B801">
        <v>781312</v>
      </c>
      <c r="C801">
        <v>782820</v>
      </c>
      <c r="D801">
        <v>1</v>
      </c>
      <c r="E801" t="s">
        <v>47</v>
      </c>
      <c r="F801" t="s">
        <v>2702</v>
      </c>
      <c r="G801" t="s">
        <v>2703</v>
      </c>
      <c r="I801" t="s">
        <v>49</v>
      </c>
      <c r="L801" t="s">
        <v>2704</v>
      </c>
      <c r="M801" t="s">
        <v>2702</v>
      </c>
      <c r="N801">
        <v>502</v>
      </c>
      <c r="O801" t="s">
        <v>2705</v>
      </c>
    </row>
    <row r="802" spans="1:15" ht="15.75" customHeight="1">
      <c r="A802" t="s">
        <v>29</v>
      </c>
      <c r="B802">
        <v>782911</v>
      </c>
      <c r="C802">
        <v>783108</v>
      </c>
      <c r="D802">
        <v>1</v>
      </c>
      <c r="E802" t="s">
        <v>47</v>
      </c>
      <c r="F802" t="s">
        <v>65</v>
      </c>
      <c r="I802" t="s">
        <v>49</v>
      </c>
      <c r="L802" t="s">
        <v>2706</v>
      </c>
      <c r="M802" t="s">
        <v>65</v>
      </c>
      <c r="N802">
        <v>65</v>
      </c>
      <c r="O802" t="s">
        <v>2707</v>
      </c>
    </row>
    <row r="803" spans="1:15" ht="15.75" customHeight="1">
      <c r="A803" t="s">
        <v>29</v>
      </c>
      <c r="B803">
        <v>783132</v>
      </c>
      <c r="C803">
        <v>784415</v>
      </c>
      <c r="D803">
        <v>1</v>
      </c>
      <c r="E803" t="s">
        <v>47</v>
      </c>
      <c r="F803" t="s">
        <v>2708</v>
      </c>
      <c r="G803" t="s">
        <v>2709</v>
      </c>
      <c r="I803" t="s">
        <v>49</v>
      </c>
      <c r="L803" t="s">
        <v>2710</v>
      </c>
      <c r="M803" t="s">
        <v>2708</v>
      </c>
      <c r="N803">
        <v>427</v>
      </c>
      <c r="O803" t="s">
        <v>2711</v>
      </c>
    </row>
    <row r="804" spans="1:15" ht="15.75" customHeight="1">
      <c r="A804" t="s">
        <v>29</v>
      </c>
      <c r="B804">
        <v>784402</v>
      </c>
      <c r="C804">
        <v>784596</v>
      </c>
      <c r="D804">
        <v>1</v>
      </c>
      <c r="E804" t="s">
        <v>47</v>
      </c>
      <c r="F804" t="s">
        <v>2712</v>
      </c>
      <c r="G804" t="s">
        <v>2713</v>
      </c>
      <c r="I804" t="s">
        <v>49</v>
      </c>
      <c r="L804" t="s">
        <v>2714</v>
      </c>
      <c r="M804" t="s">
        <v>2712</v>
      </c>
      <c r="N804">
        <v>64</v>
      </c>
      <c r="O804" t="s">
        <v>2715</v>
      </c>
    </row>
    <row r="805" spans="1:15" ht="15.75" customHeight="1">
      <c r="A805" t="s">
        <v>29</v>
      </c>
      <c r="B805">
        <v>784635</v>
      </c>
      <c r="C805">
        <v>785459</v>
      </c>
      <c r="D805">
        <v>1</v>
      </c>
      <c r="E805" t="s">
        <v>47</v>
      </c>
      <c r="F805" t="s">
        <v>2716</v>
      </c>
      <c r="G805" t="s">
        <v>2717</v>
      </c>
      <c r="I805" t="s">
        <v>49</v>
      </c>
      <c r="L805" t="s">
        <v>2718</v>
      </c>
      <c r="M805" t="s">
        <v>2716</v>
      </c>
      <c r="N805">
        <v>274</v>
      </c>
      <c r="O805" t="s">
        <v>2719</v>
      </c>
    </row>
    <row r="806" spans="1:15" ht="15.75" customHeight="1">
      <c r="A806" t="s">
        <v>29</v>
      </c>
      <c r="B806">
        <v>785750</v>
      </c>
      <c r="C806">
        <v>787081</v>
      </c>
      <c r="D806">
        <v>1</v>
      </c>
      <c r="E806" t="s">
        <v>47</v>
      </c>
      <c r="F806" t="s">
        <v>2720</v>
      </c>
      <c r="G806" t="s">
        <v>2721</v>
      </c>
      <c r="I806" t="s">
        <v>49</v>
      </c>
      <c r="L806" t="s">
        <v>2722</v>
      </c>
      <c r="M806" t="s">
        <v>2720</v>
      </c>
      <c r="N806">
        <v>443</v>
      </c>
      <c r="O806" t="s">
        <v>2723</v>
      </c>
    </row>
    <row r="807" spans="1:15" ht="15.75" customHeight="1">
      <c r="A807" t="s">
        <v>29</v>
      </c>
      <c r="B807">
        <v>787277</v>
      </c>
      <c r="C807">
        <v>787350</v>
      </c>
      <c r="D807">
        <v>1</v>
      </c>
      <c r="E807" t="s">
        <v>76</v>
      </c>
      <c r="F807" t="s">
        <v>2724</v>
      </c>
      <c r="I807" t="s">
        <v>1724</v>
      </c>
      <c r="O807" t="s">
        <v>2725</v>
      </c>
    </row>
    <row r="808" spans="1:15" ht="15.75" customHeight="1">
      <c r="A808" t="s">
        <v>29</v>
      </c>
      <c r="B808">
        <v>787765</v>
      </c>
      <c r="C808">
        <v>791376</v>
      </c>
      <c r="D808">
        <v>1</v>
      </c>
      <c r="E808" t="s">
        <v>47</v>
      </c>
      <c r="F808" t="s">
        <v>2726</v>
      </c>
      <c r="G808" t="s">
        <v>2727</v>
      </c>
      <c r="I808" t="s">
        <v>49</v>
      </c>
      <c r="L808" t="s">
        <v>2728</v>
      </c>
      <c r="M808" t="s">
        <v>2726</v>
      </c>
      <c r="N808">
        <v>1203</v>
      </c>
      <c r="O808" t="s">
        <v>2729</v>
      </c>
    </row>
    <row r="809" spans="1:15" ht="15.75" customHeight="1">
      <c r="A809" t="s">
        <v>29</v>
      </c>
      <c r="B809">
        <v>791409</v>
      </c>
      <c r="C809">
        <v>795086</v>
      </c>
      <c r="D809">
        <v>1</v>
      </c>
      <c r="E809" t="s">
        <v>47</v>
      </c>
      <c r="F809" t="s">
        <v>2730</v>
      </c>
      <c r="G809" t="s">
        <v>2731</v>
      </c>
      <c r="I809" t="s">
        <v>49</v>
      </c>
      <c r="L809" t="s">
        <v>2732</v>
      </c>
      <c r="M809" t="s">
        <v>2730</v>
      </c>
      <c r="N809">
        <v>1225</v>
      </c>
      <c r="O809" t="s">
        <v>2733</v>
      </c>
    </row>
    <row r="810" spans="1:15" ht="15.75" customHeight="1">
      <c r="A810" t="s">
        <v>29</v>
      </c>
      <c r="B810">
        <v>795197</v>
      </c>
      <c r="C810">
        <v>795610</v>
      </c>
      <c r="D810">
        <v>1</v>
      </c>
      <c r="E810" t="s">
        <v>47</v>
      </c>
      <c r="F810" t="s">
        <v>2734</v>
      </c>
      <c r="G810" t="s">
        <v>2735</v>
      </c>
      <c r="I810" t="s">
        <v>49</v>
      </c>
      <c r="L810" t="s">
        <v>2736</v>
      </c>
      <c r="M810" t="s">
        <v>2734</v>
      </c>
      <c r="N810">
        <v>137</v>
      </c>
      <c r="O810" t="s">
        <v>2737</v>
      </c>
    </row>
    <row r="811" spans="1:15" ht="15.75" customHeight="1">
      <c r="A811" t="s">
        <v>29</v>
      </c>
      <c r="B811">
        <v>795549</v>
      </c>
      <c r="C811">
        <v>795638</v>
      </c>
      <c r="D811">
        <v>1</v>
      </c>
      <c r="E811" t="s">
        <v>47</v>
      </c>
      <c r="F811" t="s">
        <v>176</v>
      </c>
      <c r="I811" t="s">
        <v>49</v>
      </c>
      <c r="L811" t="s">
        <v>2738</v>
      </c>
      <c r="M811" t="s">
        <v>176</v>
      </c>
      <c r="N811">
        <v>29</v>
      </c>
      <c r="O811" t="s">
        <v>2739</v>
      </c>
    </row>
    <row r="812" spans="1:15" ht="15.75" customHeight="1">
      <c r="A812" t="s">
        <v>29</v>
      </c>
      <c r="B812">
        <v>796119</v>
      </c>
      <c r="C812">
        <v>796397</v>
      </c>
      <c r="D812">
        <v>1</v>
      </c>
      <c r="E812" t="s">
        <v>76</v>
      </c>
      <c r="F812" t="s">
        <v>2740</v>
      </c>
      <c r="G812" t="s">
        <v>2741</v>
      </c>
      <c r="I812" t="s">
        <v>49</v>
      </c>
      <c r="L812" t="s">
        <v>2742</v>
      </c>
      <c r="M812" t="s">
        <v>2740</v>
      </c>
      <c r="N812">
        <v>92</v>
      </c>
      <c r="O812" t="s">
        <v>2743</v>
      </c>
    </row>
    <row r="813" spans="1:15" ht="15.75" customHeight="1">
      <c r="A813" t="s">
        <v>29</v>
      </c>
      <c r="B813">
        <v>796538</v>
      </c>
      <c r="C813">
        <v>797170</v>
      </c>
      <c r="D813">
        <v>1</v>
      </c>
      <c r="E813" t="s">
        <v>76</v>
      </c>
      <c r="F813" t="s">
        <v>2744</v>
      </c>
      <c r="G813" t="s">
        <v>2745</v>
      </c>
      <c r="I813" t="s">
        <v>49</v>
      </c>
      <c r="L813" t="s">
        <v>2746</v>
      </c>
      <c r="M813" t="s">
        <v>2744</v>
      </c>
      <c r="N813">
        <v>210</v>
      </c>
      <c r="O813" t="s">
        <v>2747</v>
      </c>
    </row>
    <row r="814" spans="1:15" ht="15.75" customHeight="1">
      <c r="A814" t="s">
        <v>29</v>
      </c>
      <c r="B814">
        <v>797172</v>
      </c>
      <c r="C814">
        <v>799187</v>
      </c>
      <c r="D814">
        <v>1</v>
      </c>
      <c r="E814" t="s">
        <v>76</v>
      </c>
      <c r="F814" t="s">
        <v>2748</v>
      </c>
      <c r="I814" t="s">
        <v>49</v>
      </c>
      <c r="L814" t="s">
        <v>2749</v>
      </c>
      <c r="M814" t="s">
        <v>2748</v>
      </c>
      <c r="N814">
        <v>671</v>
      </c>
      <c r="O814" t="s">
        <v>2750</v>
      </c>
    </row>
    <row r="815" spans="1:15" ht="15.75" customHeight="1">
      <c r="A815" t="s">
        <v>29</v>
      </c>
      <c r="B815">
        <v>799283</v>
      </c>
      <c r="C815">
        <v>799471</v>
      </c>
      <c r="D815">
        <v>1</v>
      </c>
      <c r="E815" t="s">
        <v>76</v>
      </c>
      <c r="F815" t="s">
        <v>176</v>
      </c>
      <c r="I815" t="s">
        <v>49</v>
      </c>
      <c r="L815" t="s">
        <v>2751</v>
      </c>
      <c r="M815" t="s">
        <v>176</v>
      </c>
      <c r="N815">
        <v>62</v>
      </c>
      <c r="O815" t="s">
        <v>2752</v>
      </c>
    </row>
    <row r="816" spans="1:15" ht="15.75" customHeight="1">
      <c r="A816" t="s">
        <v>29</v>
      </c>
      <c r="B816">
        <v>799482</v>
      </c>
      <c r="C816">
        <v>799586</v>
      </c>
      <c r="D816">
        <v>1</v>
      </c>
      <c r="E816" t="s">
        <v>76</v>
      </c>
      <c r="F816" t="s">
        <v>176</v>
      </c>
      <c r="I816" t="s">
        <v>49</v>
      </c>
      <c r="L816" t="s">
        <v>2753</v>
      </c>
      <c r="M816" t="s">
        <v>176</v>
      </c>
      <c r="N816">
        <v>34</v>
      </c>
      <c r="O816" t="s">
        <v>2754</v>
      </c>
    </row>
    <row r="817" spans="1:15" ht="15.75" customHeight="1">
      <c r="A817" t="s">
        <v>29</v>
      </c>
      <c r="B817">
        <v>799901</v>
      </c>
      <c r="C817">
        <v>800071</v>
      </c>
      <c r="D817">
        <v>1</v>
      </c>
      <c r="E817" t="s">
        <v>76</v>
      </c>
      <c r="F817" t="s">
        <v>2755</v>
      </c>
      <c r="I817" t="s">
        <v>49</v>
      </c>
      <c r="L817" t="s">
        <v>2756</v>
      </c>
      <c r="M817" t="s">
        <v>2755</v>
      </c>
      <c r="N817">
        <v>56</v>
      </c>
      <c r="O817" t="s">
        <v>2757</v>
      </c>
    </row>
    <row r="818" spans="1:15" ht="15.75" customHeight="1">
      <c r="A818" t="s">
        <v>29</v>
      </c>
      <c r="B818">
        <v>800260</v>
      </c>
      <c r="C818">
        <v>801123</v>
      </c>
      <c r="D818">
        <v>1</v>
      </c>
      <c r="E818" t="s">
        <v>47</v>
      </c>
      <c r="F818" t="s">
        <v>607</v>
      </c>
      <c r="I818" t="s">
        <v>49</v>
      </c>
      <c r="L818" t="s">
        <v>2758</v>
      </c>
      <c r="M818" t="s">
        <v>607</v>
      </c>
      <c r="N818">
        <v>287</v>
      </c>
      <c r="O818" t="s">
        <v>2759</v>
      </c>
    </row>
    <row r="819" spans="1:15" ht="15.75" customHeight="1">
      <c r="A819" t="s">
        <v>29</v>
      </c>
      <c r="B819">
        <v>801506</v>
      </c>
      <c r="C819">
        <v>802126</v>
      </c>
      <c r="D819">
        <v>1</v>
      </c>
      <c r="E819" t="s">
        <v>47</v>
      </c>
      <c r="F819" t="s">
        <v>571</v>
      </c>
      <c r="I819" t="s">
        <v>49</v>
      </c>
      <c r="L819" t="s">
        <v>2760</v>
      </c>
      <c r="M819" t="s">
        <v>571</v>
      </c>
      <c r="N819">
        <v>206</v>
      </c>
      <c r="O819" t="s">
        <v>2761</v>
      </c>
    </row>
    <row r="820" spans="1:15" ht="15.75" customHeight="1">
      <c r="A820" t="s">
        <v>29</v>
      </c>
      <c r="B820">
        <v>802212</v>
      </c>
      <c r="C820">
        <v>802655</v>
      </c>
      <c r="D820">
        <v>1</v>
      </c>
      <c r="E820" t="s">
        <v>47</v>
      </c>
      <c r="F820" t="s">
        <v>2762</v>
      </c>
      <c r="G820" t="s">
        <v>2763</v>
      </c>
      <c r="I820" t="s">
        <v>49</v>
      </c>
      <c r="L820" t="s">
        <v>2764</v>
      </c>
      <c r="M820" t="s">
        <v>2762</v>
      </c>
      <c r="N820">
        <v>147</v>
      </c>
      <c r="O820" t="s">
        <v>2765</v>
      </c>
    </row>
    <row r="821" spans="1:15" ht="15.75" customHeight="1">
      <c r="A821" t="s">
        <v>29</v>
      </c>
      <c r="B821">
        <v>802645</v>
      </c>
      <c r="C821">
        <v>803163</v>
      </c>
      <c r="D821">
        <v>1</v>
      </c>
      <c r="E821" t="s">
        <v>47</v>
      </c>
      <c r="F821" t="s">
        <v>1040</v>
      </c>
      <c r="I821" t="s">
        <v>49</v>
      </c>
      <c r="L821" t="s">
        <v>2766</v>
      </c>
      <c r="M821" t="s">
        <v>1040</v>
      </c>
      <c r="N821">
        <v>172</v>
      </c>
      <c r="O821" t="s">
        <v>2767</v>
      </c>
    </row>
    <row r="822" spans="1:15" ht="15.75" customHeight="1">
      <c r="A822" t="s">
        <v>29</v>
      </c>
      <c r="B822">
        <v>803171</v>
      </c>
      <c r="C822">
        <v>804187</v>
      </c>
      <c r="D822">
        <v>1</v>
      </c>
      <c r="E822" t="s">
        <v>47</v>
      </c>
      <c r="F822" t="s">
        <v>2768</v>
      </c>
      <c r="G822" t="s">
        <v>2769</v>
      </c>
      <c r="I822" t="s">
        <v>49</v>
      </c>
      <c r="L822" t="s">
        <v>2770</v>
      </c>
      <c r="M822" t="s">
        <v>2768</v>
      </c>
      <c r="N822">
        <v>338</v>
      </c>
      <c r="O822" t="s">
        <v>2771</v>
      </c>
    </row>
    <row r="823" spans="1:15" ht="15.75" customHeight="1">
      <c r="A823" t="s">
        <v>29</v>
      </c>
      <c r="B823">
        <v>804272</v>
      </c>
      <c r="C823">
        <v>805528</v>
      </c>
      <c r="D823">
        <v>1</v>
      </c>
      <c r="E823" t="s">
        <v>47</v>
      </c>
      <c r="F823" t="s">
        <v>2772</v>
      </c>
      <c r="G823" t="s">
        <v>2773</v>
      </c>
      <c r="I823" t="s">
        <v>49</v>
      </c>
      <c r="L823" t="s">
        <v>2774</v>
      </c>
      <c r="M823" t="s">
        <v>2772</v>
      </c>
      <c r="N823">
        <v>418</v>
      </c>
      <c r="O823" t="s">
        <v>2775</v>
      </c>
    </row>
    <row r="824" spans="1:15" ht="15.75" customHeight="1">
      <c r="A824" t="s">
        <v>29</v>
      </c>
      <c r="B824">
        <v>805583</v>
      </c>
      <c r="C824">
        <v>806749</v>
      </c>
      <c r="D824">
        <v>1</v>
      </c>
      <c r="E824" t="s">
        <v>47</v>
      </c>
      <c r="F824" t="s">
        <v>2776</v>
      </c>
      <c r="G824" t="s">
        <v>2777</v>
      </c>
      <c r="I824" t="s">
        <v>49</v>
      </c>
      <c r="L824" t="s">
        <v>2778</v>
      </c>
      <c r="M824" t="s">
        <v>2776</v>
      </c>
      <c r="N824">
        <v>388</v>
      </c>
      <c r="O824" t="s">
        <v>2779</v>
      </c>
    </row>
    <row r="825" spans="1:15" ht="15.75" customHeight="1">
      <c r="A825" t="s">
        <v>29</v>
      </c>
      <c r="B825">
        <v>807056</v>
      </c>
      <c r="C825">
        <v>808426</v>
      </c>
      <c r="D825">
        <v>1</v>
      </c>
      <c r="E825" t="s">
        <v>47</v>
      </c>
      <c r="F825" t="s">
        <v>2780</v>
      </c>
      <c r="G825" t="s">
        <v>2781</v>
      </c>
      <c r="I825" t="s">
        <v>49</v>
      </c>
      <c r="L825" t="s">
        <v>2782</v>
      </c>
      <c r="M825" t="s">
        <v>2780</v>
      </c>
      <c r="N825">
        <v>456</v>
      </c>
      <c r="O825" t="s">
        <v>2783</v>
      </c>
    </row>
    <row r="826" spans="1:15" ht="15.75" customHeight="1">
      <c r="A826" t="s">
        <v>29</v>
      </c>
      <c r="B826">
        <v>808802</v>
      </c>
      <c r="C826">
        <v>809758</v>
      </c>
      <c r="D826">
        <v>1</v>
      </c>
      <c r="E826" t="s">
        <v>47</v>
      </c>
      <c r="F826" t="s">
        <v>1558</v>
      </c>
      <c r="G826" t="s">
        <v>2784</v>
      </c>
      <c r="I826" t="s">
        <v>49</v>
      </c>
      <c r="L826" t="s">
        <v>2785</v>
      </c>
      <c r="M826" t="s">
        <v>1558</v>
      </c>
      <c r="N826">
        <v>318</v>
      </c>
      <c r="O826" t="s">
        <v>2786</v>
      </c>
    </row>
    <row r="827" spans="1:15" ht="15.75" customHeight="1">
      <c r="A827" t="s">
        <v>29</v>
      </c>
      <c r="B827">
        <v>810265</v>
      </c>
      <c r="C827">
        <v>810471</v>
      </c>
      <c r="D827">
        <v>1</v>
      </c>
      <c r="E827" t="s">
        <v>47</v>
      </c>
      <c r="F827" t="s">
        <v>2787</v>
      </c>
      <c r="I827" t="s">
        <v>49</v>
      </c>
      <c r="L827" t="s">
        <v>2788</v>
      </c>
      <c r="M827" t="s">
        <v>2787</v>
      </c>
      <c r="N827">
        <v>68</v>
      </c>
      <c r="O827" t="s">
        <v>2789</v>
      </c>
    </row>
    <row r="828" spans="1:15" ht="15.75" customHeight="1">
      <c r="A828" t="s">
        <v>29</v>
      </c>
      <c r="B828">
        <v>810517</v>
      </c>
      <c r="C828">
        <v>810903</v>
      </c>
      <c r="D828">
        <v>1</v>
      </c>
      <c r="E828" t="s">
        <v>47</v>
      </c>
      <c r="F828" t="s">
        <v>2787</v>
      </c>
      <c r="I828" t="s">
        <v>49</v>
      </c>
      <c r="L828" t="s">
        <v>2790</v>
      </c>
      <c r="M828" t="s">
        <v>2787</v>
      </c>
      <c r="N828">
        <v>128</v>
      </c>
      <c r="O828" t="s">
        <v>2791</v>
      </c>
    </row>
    <row r="829" spans="1:15" ht="15.75" customHeight="1">
      <c r="A829" t="s">
        <v>29</v>
      </c>
      <c r="B829">
        <v>811004</v>
      </c>
      <c r="C829">
        <v>811429</v>
      </c>
      <c r="D829">
        <v>1</v>
      </c>
      <c r="E829" t="s">
        <v>47</v>
      </c>
      <c r="F829" t="s">
        <v>176</v>
      </c>
      <c r="I829" t="s">
        <v>49</v>
      </c>
      <c r="L829" t="s">
        <v>2792</v>
      </c>
      <c r="M829" t="s">
        <v>176</v>
      </c>
      <c r="N829">
        <v>141</v>
      </c>
      <c r="O829" t="s">
        <v>2793</v>
      </c>
    </row>
    <row r="830" spans="1:15" ht="15.75" customHeight="1">
      <c r="A830" t="s">
        <v>29</v>
      </c>
      <c r="B830">
        <v>811837</v>
      </c>
      <c r="C830">
        <v>812631</v>
      </c>
      <c r="D830">
        <v>1</v>
      </c>
      <c r="E830" t="s">
        <v>47</v>
      </c>
      <c r="F830" t="s">
        <v>176</v>
      </c>
      <c r="I830" t="s">
        <v>49</v>
      </c>
      <c r="L830" t="s">
        <v>2794</v>
      </c>
      <c r="M830" t="s">
        <v>176</v>
      </c>
      <c r="N830">
        <v>264</v>
      </c>
      <c r="O830" t="s">
        <v>2795</v>
      </c>
    </row>
    <row r="831" spans="1:15" ht="15.75" customHeight="1">
      <c r="A831" t="s">
        <v>29</v>
      </c>
      <c r="B831">
        <v>812635</v>
      </c>
      <c r="C831">
        <v>812832</v>
      </c>
      <c r="D831">
        <v>1</v>
      </c>
      <c r="E831" t="s">
        <v>47</v>
      </c>
      <c r="F831" t="s">
        <v>176</v>
      </c>
      <c r="I831" t="s">
        <v>49</v>
      </c>
      <c r="L831" t="s">
        <v>2796</v>
      </c>
      <c r="M831" t="s">
        <v>176</v>
      </c>
      <c r="N831">
        <v>65</v>
      </c>
      <c r="O831" t="s">
        <v>2797</v>
      </c>
    </row>
    <row r="832" spans="1:15" ht="15.75" customHeight="1">
      <c r="A832" t="s">
        <v>29</v>
      </c>
      <c r="B832">
        <v>812822</v>
      </c>
      <c r="C832">
        <v>813373</v>
      </c>
      <c r="D832">
        <v>1</v>
      </c>
      <c r="E832" t="s">
        <v>47</v>
      </c>
      <c r="F832" t="s">
        <v>176</v>
      </c>
      <c r="I832" t="s">
        <v>49</v>
      </c>
      <c r="L832" t="s">
        <v>2798</v>
      </c>
      <c r="M832" t="s">
        <v>176</v>
      </c>
      <c r="N832">
        <v>183</v>
      </c>
      <c r="O832" t="s">
        <v>2799</v>
      </c>
    </row>
    <row r="833" spans="1:15" ht="15.75" customHeight="1">
      <c r="A833" t="s">
        <v>29</v>
      </c>
      <c r="B833">
        <v>813432</v>
      </c>
      <c r="C833">
        <v>813692</v>
      </c>
      <c r="D833">
        <v>1</v>
      </c>
      <c r="E833" t="s">
        <v>47</v>
      </c>
      <c r="F833" t="s">
        <v>176</v>
      </c>
      <c r="I833" t="s">
        <v>49</v>
      </c>
      <c r="L833" t="s">
        <v>2800</v>
      </c>
      <c r="M833" t="s">
        <v>176</v>
      </c>
      <c r="N833">
        <v>86</v>
      </c>
      <c r="O833" t="s">
        <v>2801</v>
      </c>
    </row>
    <row r="834" spans="1:15" ht="15.75" customHeight="1">
      <c r="A834" t="s">
        <v>29</v>
      </c>
      <c r="B834">
        <v>814698</v>
      </c>
      <c r="C834">
        <v>814829</v>
      </c>
      <c r="D834">
        <v>1</v>
      </c>
      <c r="E834" t="s">
        <v>76</v>
      </c>
      <c r="F834" t="s">
        <v>2802</v>
      </c>
      <c r="I834" t="s">
        <v>49</v>
      </c>
      <c r="L834" t="s">
        <v>2803</v>
      </c>
      <c r="M834" t="s">
        <v>2802</v>
      </c>
      <c r="N834">
        <v>43</v>
      </c>
      <c r="O834" t="s">
        <v>2804</v>
      </c>
    </row>
    <row r="835" spans="1:15" ht="15.75" customHeight="1">
      <c r="A835" t="s">
        <v>29</v>
      </c>
      <c r="B835">
        <v>814954</v>
      </c>
      <c r="C835">
        <v>815412</v>
      </c>
      <c r="D835">
        <v>1</v>
      </c>
      <c r="E835" t="s">
        <v>47</v>
      </c>
      <c r="F835" t="s">
        <v>65</v>
      </c>
      <c r="I835" t="s">
        <v>49</v>
      </c>
      <c r="L835" t="s">
        <v>2805</v>
      </c>
      <c r="M835" t="s">
        <v>65</v>
      </c>
      <c r="N835">
        <v>152</v>
      </c>
      <c r="O835" t="s">
        <v>2806</v>
      </c>
    </row>
    <row r="836" spans="1:15" ht="15.75" customHeight="1">
      <c r="A836" t="s">
        <v>29</v>
      </c>
      <c r="B836">
        <v>815425</v>
      </c>
      <c r="C836">
        <v>816033</v>
      </c>
      <c r="D836">
        <v>1</v>
      </c>
      <c r="E836" t="s">
        <v>47</v>
      </c>
      <c r="F836" t="s">
        <v>176</v>
      </c>
      <c r="I836" t="s">
        <v>49</v>
      </c>
      <c r="L836" t="s">
        <v>2807</v>
      </c>
      <c r="M836" t="s">
        <v>176</v>
      </c>
      <c r="N836">
        <v>202</v>
      </c>
      <c r="O836" t="s">
        <v>2808</v>
      </c>
    </row>
    <row r="837" spans="1:15" ht="15.75" customHeight="1">
      <c r="A837" t="s">
        <v>29</v>
      </c>
      <c r="B837">
        <v>816026</v>
      </c>
      <c r="C837">
        <v>816436</v>
      </c>
      <c r="D837">
        <v>1</v>
      </c>
      <c r="E837" t="s">
        <v>47</v>
      </c>
      <c r="F837" t="s">
        <v>176</v>
      </c>
      <c r="I837" t="s">
        <v>49</v>
      </c>
      <c r="L837" t="s">
        <v>2809</v>
      </c>
      <c r="M837" t="s">
        <v>176</v>
      </c>
      <c r="N837">
        <v>136</v>
      </c>
      <c r="O837" t="s">
        <v>2810</v>
      </c>
    </row>
    <row r="838" spans="1:15" ht="15.75" customHeight="1">
      <c r="A838" t="s">
        <v>29</v>
      </c>
      <c r="B838">
        <v>816447</v>
      </c>
      <c r="C838">
        <v>817862</v>
      </c>
      <c r="D838">
        <v>1</v>
      </c>
      <c r="E838" t="s">
        <v>47</v>
      </c>
      <c r="F838" t="s">
        <v>2811</v>
      </c>
      <c r="G838" t="s">
        <v>2812</v>
      </c>
      <c r="I838" t="s">
        <v>49</v>
      </c>
      <c r="L838" t="s">
        <v>2813</v>
      </c>
      <c r="M838" t="s">
        <v>2811</v>
      </c>
      <c r="N838">
        <v>471</v>
      </c>
      <c r="O838" t="s">
        <v>2814</v>
      </c>
    </row>
    <row r="839" spans="1:15" ht="15.75" customHeight="1">
      <c r="A839" t="s">
        <v>29</v>
      </c>
      <c r="B839">
        <v>818743</v>
      </c>
      <c r="C839">
        <v>818871</v>
      </c>
      <c r="D839">
        <v>1</v>
      </c>
      <c r="E839" t="s">
        <v>47</v>
      </c>
      <c r="F839" t="s">
        <v>2815</v>
      </c>
      <c r="G839" t="s">
        <v>2816</v>
      </c>
      <c r="I839" t="s">
        <v>49</v>
      </c>
      <c r="L839" t="s">
        <v>2817</v>
      </c>
      <c r="M839" t="s">
        <v>2815</v>
      </c>
      <c r="N839">
        <v>42</v>
      </c>
      <c r="O839" t="s">
        <v>2818</v>
      </c>
    </row>
    <row r="840" spans="1:15" ht="15.75" customHeight="1">
      <c r="A840" t="s">
        <v>29</v>
      </c>
      <c r="B840">
        <v>818881</v>
      </c>
      <c r="C840">
        <v>819459</v>
      </c>
      <c r="D840">
        <v>1</v>
      </c>
      <c r="E840" t="s">
        <v>47</v>
      </c>
      <c r="F840" t="s">
        <v>2819</v>
      </c>
      <c r="G840" t="s">
        <v>2820</v>
      </c>
      <c r="I840" t="s">
        <v>49</v>
      </c>
      <c r="L840" t="s">
        <v>2821</v>
      </c>
      <c r="M840" t="s">
        <v>2819</v>
      </c>
      <c r="N840">
        <v>192</v>
      </c>
      <c r="O840" t="s">
        <v>2822</v>
      </c>
    </row>
    <row r="841" spans="1:15" ht="15.75" customHeight="1">
      <c r="A841" t="s">
        <v>29</v>
      </c>
      <c r="B841">
        <v>819583</v>
      </c>
      <c r="C841">
        <v>819813</v>
      </c>
      <c r="D841">
        <v>1</v>
      </c>
      <c r="E841" t="s">
        <v>47</v>
      </c>
      <c r="F841" t="s">
        <v>2382</v>
      </c>
      <c r="I841" t="s">
        <v>49</v>
      </c>
      <c r="L841" t="s">
        <v>2823</v>
      </c>
      <c r="M841" t="s">
        <v>2382</v>
      </c>
      <c r="N841">
        <v>76</v>
      </c>
      <c r="O841" t="s">
        <v>2824</v>
      </c>
    </row>
    <row r="842" spans="1:15" ht="15.75" customHeight="1">
      <c r="A842" t="s">
        <v>29</v>
      </c>
      <c r="B842">
        <v>819823</v>
      </c>
      <c r="C842">
        <v>820032</v>
      </c>
      <c r="D842">
        <v>1</v>
      </c>
      <c r="E842" t="s">
        <v>47</v>
      </c>
      <c r="F842" t="s">
        <v>2825</v>
      </c>
      <c r="I842" t="s">
        <v>49</v>
      </c>
      <c r="L842" t="s">
        <v>2826</v>
      </c>
      <c r="M842" t="s">
        <v>2825</v>
      </c>
      <c r="N842">
        <v>69</v>
      </c>
      <c r="O842" t="s">
        <v>2827</v>
      </c>
    </row>
    <row r="843" spans="1:15" ht="15.75" customHeight="1">
      <c r="A843" t="s">
        <v>29</v>
      </c>
      <c r="B843">
        <v>820071</v>
      </c>
      <c r="C843">
        <v>820880</v>
      </c>
      <c r="D843">
        <v>1</v>
      </c>
      <c r="E843" t="s">
        <v>47</v>
      </c>
      <c r="F843" t="s">
        <v>2828</v>
      </c>
      <c r="I843" t="s">
        <v>49</v>
      </c>
      <c r="L843" t="s">
        <v>2829</v>
      </c>
      <c r="M843" t="s">
        <v>2828</v>
      </c>
      <c r="N843">
        <v>269</v>
      </c>
      <c r="O843" t="s">
        <v>2830</v>
      </c>
    </row>
    <row r="844" spans="1:15" ht="15.75" customHeight="1">
      <c r="A844" t="s">
        <v>29</v>
      </c>
      <c r="B844">
        <v>820887</v>
      </c>
      <c r="C844">
        <v>821918</v>
      </c>
      <c r="D844">
        <v>1</v>
      </c>
      <c r="E844" t="s">
        <v>47</v>
      </c>
      <c r="F844" t="s">
        <v>2831</v>
      </c>
      <c r="I844" t="s">
        <v>49</v>
      </c>
      <c r="L844" t="s">
        <v>2832</v>
      </c>
      <c r="M844" t="s">
        <v>2831</v>
      </c>
      <c r="N844">
        <v>343</v>
      </c>
      <c r="O844" t="s">
        <v>2833</v>
      </c>
    </row>
    <row r="845" spans="1:15" ht="15.75" customHeight="1">
      <c r="A845" t="s">
        <v>29</v>
      </c>
      <c r="B845">
        <v>821984</v>
      </c>
      <c r="C845">
        <v>822346</v>
      </c>
      <c r="D845">
        <v>1</v>
      </c>
      <c r="E845" t="s">
        <v>47</v>
      </c>
      <c r="F845" t="s">
        <v>2834</v>
      </c>
      <c r="I845" t="s">
        <v>49</v>
      </c>
      <c r="L845" t="s">
        <v>2835</v>
      </c>
      <c r="M845" t="s">
        <v>2834</v>
      </c>
      <c r="N845">
        <v>120</v>
      </c>
      <c r="O845" t="s">
        <v>2836</v>
      </c>
    </row>
    <row r="846" spans="1:15" ht="15.75" customHeight="1">
      <c r="A846" t="s">
        <v>29</v>
      </c>
      <c r="B846">
        <v>822343</v>
      </c>
      <c r="C846">
        <v>822846</v>
      </c>
      <c r="D846">
        <v>1</v>
      </c>
      <c r="E846" t="s">
        <v>47</v>
      </c>
      <c r="F846" t="s">
        <v>2837</v>
      </c>
      <c r="G846" t="s">
        <v>2838</v>
      </c>
      <c r="I846" t="s">
        <v>49</v>
      </c>
      <c r="L846" t="s">
        <v>2839</v>
      </c>
      <c r="M846" t="s">
        <v>2837</v>
      </c>
      <c r="N846">
        <v>167</v>
      </c>
      <c r="O846" t="s">
        <v>2840</v>
      </c>
    </row>
    <row r="847" spans="1:15" ht="15.75" customHeight="1">
      <c r="A847" t="s">
        <v>29</v>
      </c>
      <c r="B847">
        <v>822960</v>
      </c>
      <c r="C847">
        <v>823406</v>
      </c>
      <c r="D847">
        <v>1</v>
      </c>
      <c r="E847" t="s">
        <v>47</v>
      </c>
      <c r="F847" t="s">
        <v>607</v>
      </c>
      <c r="I847" t="s">
        <v>49</v>
      </c>
      <c r="L847" t="s">
        <v>2841</v>
      </c>
      <c r="M847" t="s">
        <v>607</v>
      </c>
      <c r="N847">
        <v>148</v>
      </c>
      <c r="O847" t="s">
        <v>2842</v>
      </c>
    </row>
    <row r="848" spans="1:15" ht="15.75" customHeight="1">
      <c r="A848" t="s">
        <v>29</v>
      </c>
      <c r="B848">
        <v>823412</v>
      </c>
      <c r="C848">
        <v>824086</v>
      </c>
      <c r="D848">
        <v>1</v>
      </c>
      <c r="E848" t="s">
        <v>47</v>
      </c>
      <c r="F848" t="s">
        <v>2843</v>
      </c>
      <c r="I848" t="s">
        <v>49</v>
      </c>
      <c r="L848" t="s">
        <v>2844</v>
      </c>
      <c r="M848" t="s">
        <v>2843</v>
      </c>
      <c r="N848">
        <v>224</v>
      </c>
      <c r="O848" t="s">
        <v>2845</v>
      </c>
    </row>
    <row r="849" spans="1:15" ht="15.75" customHeight="1">
      <c r="A849" t="s">
        <v>29</v>
      </c>
      <c r="B849">
        <v>824723</v>
      </c>
      <c r="C849">
        <v>825022</v>
      </c>
      <c r="D849">
        <v>1</v>
      </c>
      <c r="E849" t="s">
        <v>47</v>
      </c>
      <c r="F849" t="s">
        <v>2846</v>
      </c>
      <c r="I849" t="s">
        <v>49</v>
      </c>
      <c r="L849" t="s">
        <v>2847</v>
      </c>
      <c r="M849" t="s">
        <v>2846</v>
      </c>
      <c r="N849">
        <v>99</v>
      </c>
      <c r="O849" t="s">
        <v>2848</v>
      </c>
    </row>
    <row r="850" spans="1:15" ht="15.75" customHeight="1">
      <c r="A850" t="s">
        <v>29</v>
      </c>
      <c r="B850">
        <v>825019</v>
      </c>
      <c r="C850">
        <v>825336</v>
      </c>
      <c r="D850">
        <v>1</v>
      </c>
      <c r="E850" t="s">
        <v>47</v>
      </c>
      <c r="F850" t="s">
        <v>2849</v>
      </c>
      <c r="G850" t="s">
        <v>2850</v>
      </c>
      <c r="I850" t="s">
        <v>49</v>
      </c>
      <c r="L850" t="s">
        <v>2851</v>
      </c>
      <c r="M850" t="s">
        <v>2849</v>
      </c>
      <c r="N850">
        <v>105</v>
      </c>
      <c r="O850" t="s">
        <v>2852</v>
      </c>
    </row>
    <row r="851" spans="1:15" ht="15.75" customHeight="1">
      <c r="A851" t="s">
        <v>29</v>
      </c>
      <c r="B851">
        <v>825352</v>
      </c>
      <c r="C851">
        <v>825978</v>
      </c>
      <c r="D851">
        <v>1</v>
      </c>
      <c r="E851" t="s">
        <v>47</v>
      </c>
      <c r="F851" t="s">
        <v>2853</v>
      </c>
      <c r="G851" t="s">
        <v>2854</v>
      </c>
      <c r="I851" t="s">
        <v>49</v>
      </c>
      <c r="L851" t="s">
        <v>2855</v>
      </c>
      <c r="M851" t="s">
        <v>2853</v>
      </c>
      <c r="N851">
        <v>208</v>
      </c>
      <c r="O851" t="s">
        <v>2856</v>
      </c>
    </row>
    <row r="852" spans="1:15" ht="15.75" customHeight="1">
      <c r="A852" t="s">
        <v>29</v>
      </c>
      <c r="B852">
        <v>826011</v>
      </c>
      <c r="C852">
        <v>826772</v>
      </c>
      <c r="D852">
        <v>1</v>
      </c>
      <c r="E852" t="s">
        <v>47</v>
      </c>
      <c r="F852" t="s">
        <v>319</v>
      </c>
      <c r="G852" t="s">
        <v>2857</v>
      </c>
      <c r="I852" t="s">
        <v>49</v>
      </c>
      <c r="L852" t="s">
        <v>2858</v>
      </c>
      <c r="M852" t="s">
        <v>319</v>
      </c>
      <c r="N852">
        <v>253</v>
      </c>
      <c r="O852" t="s">
        <v>2859</v>
      </c>
    </row>
    <row r="853" spans="1:15" ht="15.75" customHeight="1">
      <c r="A853" t="s">
        <v>29</v>
      </c>
      <c r="B853">
        <v>826850</v>
      </c>
      <c r="C853">
        <v>827245</v>
      </c>
      <c r="D853">
        <v>1</v>
      </c>
      <c r="E853" t="s">
        <v>47</v>
      </c>
      <c r="F853" t="s">
        <v>2860</v>
      </c>
      <c r="G853" t="s">
        <v>2861</v>
      </c>
      <c r="I853" t="s">
        <v>49</v>
      </c>
      <c r="L853" t="s">
        <v>2862</v>
      </c>
      <c r="M853" t="s">
        <v>2860</v>
      </c>
      <c r="N853">
        <v>131</v>
      </c>
      <c r="O853" t="s">
        <v>2863</v>
      </c>
    </row>
    <row r="854" spans="1:15" ht="15.75" customHeight="1">
      <c r="A854" t="s">
        <v>29</v>
      </c>
      <c r="B854">
        <v>827515</v>
      </c>
      <c r="C854">
        <v>827799</v>
      </c>
      <c r="D854">
        <v>1</v>
      </c>
      <c r="E854" t="s">
        <v>47</v>
      </c>
      <c r="F854" t="s">
        <v>2864</v>
      </c>
      <c r="G854" t="s">
        <v>2865</v>
      </c>
      <c r="I854" t="s">
        <v>49</v>
      </c>
      <c r="L854" t="s">
        <v>2866</v>
      </c>
      <c r="M854" t="s">
        <v>2864</v>
      </c>
      <c r="N854">
        <v>94</v>
      </c>
      <c r="O854" t="s">
        <v>2867</v>
      </c>
    </row>
    <row r="855" spans="1:15" ht="15.75" customHeight="1">
      <c r="A855" t="s">
        <v>29</v>
      </c>
      <c r="B855">
        <v>827815</v>
      </c>
      <c r="C855">
        <v>829437</v>
      </c>
      <c r="D855">
        <v>1</v>
      </c>
      <c r="E855" t="s">
        <v>47</v>
      </c>
      <c r="F855" t="s">
        <v>2868</v>
      </c>
      <c r="G855" t="s">
        <v>2869</v>
      </c>
      <c r="I855" t="s">
        <v>49</v>
      </c>
      <c r="L855" t="s">
        <v>2870</v>
      </c>
      <c r="M855" t="s">
        <v>2868</v>
      </c>
      <c r="N855">
        <v>540</v>
      </c>
      <c r="O855" t="s">
        <v>2871</v>
      </c>
    </row>
    <row r="856" spans="1:15" ht="15.75" customHeight="1">
      <c r="A856" t="s">
        <v>29</v>
      </c>
      <c r="B856">
        <v>829575</v>
      </c>
      <c r="C856">
        <v>829904</v>
      </c>
      <c r="D856">
        <v>1</v>
      </c>
      <c r="E856" t="s">
        <v>47</v>
      </c>
      <c r="F856" t="s">
        <v>2872</v>
      </c>
      <c r="I856" t="s">
        <v>49</v>
      </c>
      <c r="L856" t="s">
        <v>2873</v>
      </c>
      <c r="M856" t="s">
        <v>2872</v>
      </c>
      <c r="N856">
        <v>109</v>
      </c>
      <c r="O856" t="s">
        <v>2874</v>
      </c>
    </row>
    <row r="857" spans="1:15" ht="15.75" customHeight="1">
      <c r="A857" t="s">
        <v>29</v>
      </c>
      <c r="B857">
        <v>830004</v>
      </c>
      <c r="C857">
        <v>830330</v>
      </c>
      <c r="D857">
        <v>1</v>
      </c>
      <c r="E857" t="s">
        <v>47</v>
      </c>
      <c r="F857" t="s">
        <v>2875</v>
      </c>
      <c r="I857" t="s">
        <v>49</v>
      </c>
      <c r="L857" t="s">
        <v>2876</v>
      </c>
      <c r="M857" t="s">
        <v>2875</v>
      </c>
      <c r="N857">
        <v>108</v>
      </c>
      <c r="O857" t="s">
        <v>2877</v>
      </c>
    </row>
    <row r="858" spans="1:15" ht="15.75" customHeight="1">
      <c r="A858" t="s">
        <v>29</v>
      </c>
      <c r="B858">
        <v>830770</v>
      </c>
      <c r="C858">
        <v>831303</v>
      </c>
      <c r="D858">
        <v>1</v>
      </c>
      <c r="E858" t="s">
        <v>76</v>
      </c>
      <c r="F858" t="s">
        <v>2878</v>
      </c>
      <c r="I858" t="s">
        <v>49</v>
      </c>
      <c r="L858" t="s">
        <v>2879</v>
      </c>
      <c r="M858" t="s">
        <v>2878</v>
      </c>
      <c r="N858">
        <v>177</v>
      </c>
      <c r="O858" t="s">
        <v>2880</v>
      </c>
    </row>
    <row r="859" spans="1:15" ht="15.75" customHeight="1">
      <c r="A859" t="s">
        <v>29</v>
      </c>
      <c r="B859">
        <v>831392</v>
      </c>
      <c r="C859">
        <v>832168</v>
      </c>
      <c r="D859">
        <v>1</v>
      </c>
      <c r="E859" t="s">
        <v>76</v>
      </c>
      <c r="F859" t="s">
        <v>2881</v>
      </c>
      <c r="G859" t="s">
        <v>2882</v>
      </c>
      <c r="I859" t="s">
        <v>49</v>
      </c>
      <c r="L859" t="s">
        <v>2883</v>
      </c>
      <c r="M859" t="s">
        <v>2881</v>
      </c>
      <c r="N859">
        <v>258</v>
      </c>
      <c r="O859" t="s">
        <v>2884</v>
      </c>
    </row>
    <row r="860" spans="1:15" ht="15.75" customHeight="1">
      <c r="A860" t="s">
        <v>29</v>
      </c>
      <c r="B860">
        <v>832206</v>
      </c>
      <c r="C860">
        <v>833561</v>
      </c>
      <c r="D860">
        <v>1</v>
      </c>
      <c r="E860" t="s">
        <v>47</v>
      </c>
      <c r="F860" t="s">
        <v>136</v>
      </c>
      <c r="G860" t="s">
        <v>2885</v>
      </c>
      <c r="I860" t="s">
        <v>49</v>
      </c>
      <c r="L860" t="s">
        <v>2886</v>
      </c>
      <c r="M860" t="s">
        <v>136</v>
      </c>
      <c r="N860">
        <v>451</v>
      </c>
      <c r="O860" t="s">
        <v>2887</v>
      </c>
    </row>
    <row r="861" spans="1:15" ht="15.75" customHeight="1">
      <c r="A861" t="s">
        <v>29</v>
      </c>
      <c r="B861">
        <v>833623</v>
      </c>
      <c r="C861">
        <v>833694</v>
      </c>
      <c r="D861">
        <v>1</v>
      </c>
      <c r="E861" t="s">
        <v>47</v>
      </c>
      <c r="F861" t="s">
        <v>1728</v>
      </c>
      <c r="I861" t="s">
        <v>1724</v>
      </c>
      <c r="O861" t="s">
        <v>2888</v>
      </c>
    </row>
    <row r="862" spans="1:15" ht="15.75" customHeight="1">
      <c r="A862" t="s">
        <v>29</v>
      </c>
      <c r="B862">
        <v>835543</v>
      </c>
      <c r="C862">
        <v>835617</v>
      </c>
      <c r="D862">
        <v>1</v>
      </c>
      <c r="E862" t="s">
        <v>47</v>
      </c>
      <c r="F862" t="s">
        <v>1726</v>
      </c>
      <c r="I862" t="s">
        <v>1724</v>
      </c>
      <c r="O862" t="s">
        <v>2889</v>
      </c>
    </row>
    <row r="863" spans="1:15" ht="15.75" customHeight="1">
      <c r="A863" t="s">
        <v>29</v>
      </c>
      <c r="B863">
        <v>838839</v>
      </c>
      <c r="C863">
        <v>838911</v>
      </c>
      <c r="D863">
        <v>1</v>
      </c>
      <c r="E863" t="s">
        <v>47</v>
      </c>
      <c r="F863" t="s">
        <v>2344</v>
      </c>
      <c r="I863" t="s">
        <v>1724</v>
      </c>
      <c r="O863" t="s">
        <v>2890</v>
      </c>
    </row>
    <row r="864" spans="1:15" ht="15.75" customHeight="1">
      <c r="A864" t="s">
        <v>29</v>
      </c>
      <c r="B864">
        <v>838914</v>
      </c>
      <c r="C864">
        <v>838986</v>
      </c>
      <c r="D864">
        <v>1</v>
      </c>
      <c r="E864" t="s">
        <v>47</v>
      </c>
      <c r="F864" t="s">
        <v>2566</v>
      </c>
      <c r="I864" t="s">
        <v>1724</v>
      </c>
      <c r="O864" t="s">
        <v>2891</v>
      </c>
    </row>
    <row r="865" spans="1:15" ht="15.75" customHeight="1">
      <c r="A865" t="s">
        <v>29</v>
      </c>
      <c r="B865">
        <v>839011</v>
      </c>
      <c r="C865">
        <v>839083</v>
      </c>
      <c r="D865">
        <v>1</v>
      </c>
      <c r="E865" t="s">
        <v>47</v>
      </c>
      <c r="F865" t="s">
        <v>2568</v>
      </c>
      <c r="I865" t="s">
        <v>1724</v>
      </c>
      <c r="O865" t="s">
        <v>2892</v>
      </c>
    </row>
    <row r="866" spans="1:15" ht="15.75" customHeight="1">
      <c r="A866" t="s">
        <v>29</v>
      </c>
      <c r="B866">
        <v>839088</v>
      </c>
      <c r="C866">
        <v>839171</v>
      </c>
      <c r="D866">
        <v>1</v>
      </c>
      <c r="E866" t="s">
        <v>47</v>
      </c>
      <c r="F866" t="s">
        <v>2364</v>
      </c>
      <c r="I866" t="s">
        <v>1724</v>
      </c>
      <c r="O866" t="s">
        <v>2893</v>
      </c>
    </row>
    <row r="867" spans="1:15" ht="15.75" customHeight="1">
      <c r="A867" t="s">
        <v>29</v>
      </c>
      <c r="B867">
        <v>839189</v>
      </c>
      <c r="C867">
        <v>839261</v>
      </c>
      <c r="D867">
        <v>1</v>
      </c>
      <c r="E867" t="s">
        <v>47</v>
      </c>
      <c r="F867" t="s">
        <v>2571</v>
      </c>
      <c r="I867" t="s">
        <v>1724</v>
      </c>
      <c r="O867" t="s">
        <v>2894</v>
      </c>
    </row>
    <row r="868" spans="1:15" ht="15.75" customHeight="1">
      <c r="A868" t="s">
        <v>29</v>
      </c>
      <c r="B868">
        <v>839284</v>
      </c>
      <c r="C868">
        <v>839355</v>
      </c>
      <c r="D868">
        <v>1</v>
      </c>
      <c r="E868" t="s">
        <v>47</v>
      </c>
      <c r="F868" t="s">
        <v>2346</v>
      </c>
      <c r="I868" t="s">
        <v>1724</v>
      </c>
      <c r="O868" t="s">
        <v>2895</v>
      </c>
    </row>
    <row r="869" spans="1:15" ht="15.75" customHeight="1">
      <c r="A869" t="s">
        <v>29</v>
      </c>
      <c r="B869">
        <v>839363</v>
      </c>
      <c r="C869">
        <v>839448</v>
      </c>
      <c r="D869">
        <v>1</v>
      </c>
      <c r="E869" t="s">
        <v>47</v>
      </c>
      <c r="F869" t="s">
        <v>2364</v>
      </c>
      <c r="I869" t="s">
        <v>1724</v>
      </c>
      <c r="O869" t="s">
        <v>2896</v>
      </c>
    </row>
    <row r="870" spans="1:15" ht="15.75" customHeight="1">
      <c r="A870" t="s">
        <v>29</v>
      </c>
      <c r="B870">
        <v>839458</v>
      </c>
      <c r="C870">
        <v>839531</v>
      </c>
      <c r="D870">
        <v>1</v>
      </c>
      <c r="E870" t="s">
        <v>47</v>
      </c>
      <c r="F870" t="s">
        <v>1793</v>
      </c>
      <c r="I870" t="s">
        <v>1724</v>
      </c>
      <c r="O870" t="s">
        <v>2897</v>
      </c>
    </row>
    <row r="871" spans="1:15" ht="15.75" customHeight="1">
      <c r="A871" t="s">
        <v>29</v>
      </c>
      <c r="B871">
        <v>839546</v>
      </c>
      <c r="C871">
        <v>839621</v>
      </c>
      <c r="D871">
        <v>1</v>
      </c>
      <c r="E871" t="s">
        <v>47</v>
      </c>
      <c r="F871" t="s">
        <v>2576</v>
      </c>
      <c r="I871" t="s">
        <v>1724</v>
      </c>
      <c r="O871" t="s">
        <v>2898</v>
      </c>
    </row>
    <row r="872" spans="1:15" ht="15.75" customHeight="1">
      <c r="A872" t="s">
        <v>29</v>
      </c>
      <c r="B872">
        <v>839625</v>
      </c>
      <c r="C872">
        <v>839700</v>
      </c>
      <c r="D872">
        <v>1</v>
      </c>
      <c r="E872" t="s">
        <v>47</v>
      </c>
      <c r="F872" t="s">
        <v>2352</v>
      </c>
      <c r="I872" t="s">
        <v>1724</v>
      </c>
      <c r="O872" t="s">
        <v>2899</v>
      </c>
    </row>
    <row r="873" spans="1:15" ht="15.75" customHeight="1">
      <c r="A873" t="s">
        <v>29</v>
      </c>
      <c r="B873">
        <v>839713</v>
      </c>
      <c r="C873">
        <v>839786</v>
      </c>
      <c r="D873">
        <v>1</v>
      </c>
      <c r="E873" t="s">
        <v>47</v>
      </c>
      <c r="F873" t="s">
        <v>2352</v>
      </c>
      <c r="I873" t="s">
        <v>1724</v>
      </c>
      <c r="O873" t="s">
        <v>2900</v>
      </c>
    </row>
    <row r="874" spans="1:15" ht="15.75" customHeight="1">
      <c r="A874" t="s">
        <v>29</v>
      </c>
      <c r="B874">
        <v>839797</v>
      </c>
      <c r="C874">
        <v>839886</v>
      </c>
      <c r="D874">
        <v>1</v>
      </c>
      <c r="E874" t="s">
        <v>47</v>
      </c>
      <c r="F874" t="s">
        <v>2350</v>
      </c>
      <c r="I874" t="s">
        <v>1724</v>
      </c>
      <c r="O874" t="s">
        <v>2901</v>
      </c>
    </row>
    <row r="875" spans="1:15" ht="15.75" customHeight="1">
      <c r="A875" t="s">
        <v>29</v>
      </c>
      <c r="B875">
        <v>839900</v>
      </c>
      <c r="C875">
        <v>839973</v>
      </c>
      <c r="D875">
        <v>1</v>
      </c>
      <c r="E875" t="s">
        <v>47</v>
      </c>
      <c r="F875" t="s">
        <v>2352</v>
      </c>
      <c r="I875" t="s">
        <v>1724</v>
      </c>
      <c r="O875" t="s">
        <v>2902</v>
      </c>
    </row>
    <row r="876" spans="1:15" ht="15.75" customHeight="1">
      <c r="A876" t="s">
        <v>29</v>
      </c>
      <c r="B876">
        <v>839977</v>
      </c>
      <c r="C876">
        <v>840049</v>
      </c>
      <c r="D876">
        <v>1</v>
      </c>
      <c r="E876" t="s">
        <v>47</v>
      </c>
      <c r="F876" t="s">
        <v>2354</v>
      </c>
      <c r="I876" t="s">
        <v>1724</v>
      </c>
      <c r="O876" t="s">
        <v>2903</v>
      </c>
    </row>
    <row r="877" spans="1:15" ht="15.75" customHeight="1">
      <c r="A877" t="s">
        <v>29</v>
      </c>
      <c r="B877">
        <v>840069</v>
      </c>
      <c r="C877">
        <v>840139</v>
      </c>
      <c r="D877">
        <v>1</v>
      </c>
      <c r="E877" t="s">
        <v>47</v>
      </c>
      <c r="F877" t="s">
        <v>2346</v>
      </c>
      <c r="I877" t="s">
        <v>1724</v>
      </c>
      <c r="O877" t="s">
        <v>2904</v>
      </c>
    </row>
    <row r="878" spans="1:15" ht="15.75" customHeight="1">
      <c r="A878" t="s">
        <v>29</v>
      </c>
      <c r="B878">
        <v>840174</v>
      </c>
      <c r="C878">
        <v>840249</v>
      </c>
      <c r="D878">
        <v>1</v>
      </c>
      <c r="E878" t="s">
        <v>47</v>
      </c>
      <c r="F878" t="s">
        <v>2348</v>
      </c>
      <c r="I878" t="s">
        <v>1724</v>
      </c>
      <c r="O878" t="s">
        <v>2905</v>
      </c>
    </row>
    <row r="879" spans="1:15" ht="15.75" customHeight="1">
      <c r="A879" t="s">
        <v>29</v>
      </c>
      <c r="B879">
        <v>840254</v>
      </c>
      <c r="C879">
        <v>840343</v>
      </c>
      <c r="D879">
        <v>1</v>
      </c>
      <c r="E879" t="s">
        <v>47</v>
      </c>
      <c r="F879" t="s">
        <v>2350</v>
      </c>
      <c r="I879" t="s">
        <v>1724</v>
      </c>
      <c r="O879" t="s">
        <v>2906</v>
      </c>
    </row>
    <row r="880" spans="1:15" ht="15.75" customHeight="1">
      <c r="A880" t="s">
        <v>29</v>
      </c>
      <c r="B880">
        <v>840476</v>
      </c>
      <c r="C880">
        <v>840913</v>
      </c>
      <c r="D880">
        <v>1</v>
      </c>
      <c r="E880" t="s">
        <v>76</v>
      </c>
      <c r="F880" t="s">
        <v>483</v>
      </c>
      <c r="I880" t="s">
        <v>49</v>
      </c>
      <c r="L880" t="s">
        <v>2907</v>
      </c>
      <c r="M880" t="s">
        <v>483</v>
      </c>
      <c r="N880">
        <v>145</v>
      </c>
      <c r="O880" t="s">
        <v>2908</v>
      </c>
    </row>
    <row r="881" spans="1:15" ht="15.75" customHeight="1">
      <c r="A881" t="s">
        <v>29</v>
      </c>
      <c r="B881">
        <v>841164</v>
      </c>
      <c r="C881">
        <v>842099</v>
      </c>
      <c r="D881">
        <v>1</v>
      </c>
      <c r="E881" t="s">
        <v>76</v>
      </c>
      <c r="F881" t="s">
        <v>2909</v>
      </c>
      <c r="G881" t="s">
        <v>2910</v>
      </c>
      <c r="I881" t="s">
        <v>49</v>
      </c>
      <c r="L881" t="s">
        <v>2911</v>
      </c>
      <c r="M881" t="s">
        <v>2909</v>
      </c>
      <c r="N881">
        <v>311</v>
      </c>
      <c r="O881" t="s">
        <v>2912</v>
      </c>
    </row>
    <row r="882" spans="1:15" ht="15.75" customHeight="1">
      <c r="A882" t="s">
        <v>29</v>
      </c>
      <c r="B882">
        <v>842096</v>
      </c>
      <c r="C882">
        <v>842956</v>
      </c>
      <c r="D882">
        <v>1</v>
      </c>
      <c r="E882" t="s">
        <v>76</v>
      </c>
      <c r="F882" t="s">
        <v>2913</v>
      </c>
      <c r="G882" t="s">
        <v>2914</v>
      </c>
      <c r="I882" t="s">
        <v>49</v>
      </c>
      <c r="L882" t="s">
        <v>2915</v>
      </c>
      <c r="M882" t="s">
        <v>2913</v>
      </c>
      <c r="N882">
        <v>286</v>
      </c>
      <c r="O882" t="s">
        <v>2916</v>
      </c>
    </row>
    <row r="883" spans="1:15" ht="15.75" customHeight="1">
      <c r="A883" t="s">
        <v>29</v>
      </c>
      <c r="B883">
        <v>843064</v>
      </c>
      <c r="C883">
        <v>845226</v>
      </c>
      <c r="D883">
        <v>1</v>
      </c>
      <c r="E883" t="s">
        <v>47</v>
      </c>
      <c r="F883" t="s">
        <v>2917</v>
      </c>
      <c r="G883" t="s">
        <v>2918</v>
      </c>
      <c r="I883" t="s">
        <v>49</v>
      </c>
      <c r="L883" t="s">
        <v>2919</v>
      </c>
      <c r="M883" t="s">
        <v>2917</v>
      </c>
      <c r="N883">
        <v>720</v>
      </c>
      <c r="O883" t="s">
        <v>2920</v>
      </c>
    </row>
    <row r="884" spans="1:15" ht="15.75" customHeight="1">
      <c r="A884" t="s">
        <v>29</v>
      </c>
      <c r="B884">
        <v>845261</v>
      </c>
      <c r="C884">
        <v>846520</v>
      </c>
      <c r="D884">
        <v>1</v>
      </c>
      <c r="E884" t="s">
        <v>47</v>
      </c>
      <c r="F884" t="s">
        <v>2921</v>
      </c>
      <c r="G884" t="s">
        <v>2922</v>
      </c>
      <c r="I884" t="s">
        <v>49</v>
      </c>
      <c r="L884" t="s">
        <v>2923</v>
      </c>
      <c r="M884" t="s">
        <v>2921</v>
      </c>
      <c r="N884">
        <v>419</v>
      </c>
      <c r="O884" t="s">
        <v>2924</v>
      </c>
    </row>
    <row r="885" spans="1:15" ht="15.75" customHeight="1">
      <c r="A885" t="s">
        <v>29</v>
      </c>
      <c r="B885">
        <v>846534</v>
      </c>
      <c r="C885">
        <v>847400</v>
      </c>
      <c r="D885">
        <v>1</v>
      </c>
      <c r="E885" t="s">
        <v>47</v>
      </c>
      <c r="F885" t="s">
        <v>2033</v>
      </c>
      <c r="G885" t="s">
        <v>2925</v>
      </c>
      <c r="I885" t="s">
        <v>49</v>
      </c>
      <c r="L885" t="s">
        <v>2926</v>
      </c>
      <c r="M885" t="s">
        <v>2033</v>
      </c>
      <c r="N885">
        <v>288</v>
      </c>
      <c r="O885" t="s">
        <v>2927</v>
      </c>
    </row>
    <row r="886" spans="1:15" ht="15.75" customHeight="1">
      <c r="A886" t="s">
        <v>29</v>
      </c>
      <c r="B886">
        <v>847414</v>
      </c>
      <c r="C886">
        <v>848247</v>
      </c>
      <c r="D886">
        <v>1</v>
      </c>
      <c r="E886" t="s">
        <v>47</v>
      </c>
      <c r="F886" t="s">
        <v>2033</v>
      </c>
      <c r="G886" t="s">
        <v>2928</v>
      </c>
      <c r="I886" t="s">
        <v>49</v>
      </c>
      <c r="L886" t="s">
        <v>2929</v>
      </c>
      <c r="M886" t="s">
        <v>2033</v>
      </c>
      <c r="N886">
        <v>277</v>
      </c>
      <c r="O886" t="s">
        <v>2930</v>
      </c>
    </row>
    <row r="887" spans="1:15" ht="15.75" customHeight="1">
      <c r="A887" t="s">
        <v>29</v>
      </c>
      <c r="B887">
        <v>848558</v>
      </c>
      <c r="C887">
        <v>850000</v>
      </c>
      <c r="D887">
        <v>1</v>
      </c>
      <c r="E887" t="s">
        <v>47</v>
      </c>
      <c r="F887" t="s">
        <v>2931</v>
      </c>
      <c r="G887" t="s">
        <v>2932</v>
      </c>
      <c r="I887" t="s">
        <v>49</v>
      </c>
      <c r="L887" t="s">
        <v>2933</v>
      </c>
      <c r="M887" t="s">
        <v>2931</v>
      </c>
      <c r="N887">
        <v>480</v>
      </c>
      <c r="O887" t="s">
        <v>2934</v>
      </c>
    </row>
    <row r="888" spans="1:15" ht="15.75" customHeight="1">
      <c r="A888" t="s">
        <v>29</v>
      </c>
      <c r="B888">
        <v>850138</v>
      </c>
      <c r="C888">
        <v>851331</v>
      </c>
      <c r="D888">
        <v>1</v>
      </c>
      <c r="E888" t="s">
        <v>47</v>
      </c>
      <c r="F888" t="s">
        <v>2935</v>
      </c>
      <c r="I888" t="s">
        <v>49</v>
      </c>
      <c r="L888" t="s">
        <v>2936</v>
      </c>
      <c r="M888" t="s">
        <v>2935</v>
      </c>
      <c r="N888">
        <v>397</v>
      </c>
      <c r="O888" t="s">
        <v>2937</v>
      </c>
    </row>
    <row r="889" spans="1:15" ht="15.75" customHeight="1">
      <c r="A889" t="s">
        <v>29</v>
      </c>
      <c r="B889">
        <v>852018</v>
      </c>
      <c r="C889">
        <v>853997</v>
      </c>
      <c r="D889">
        <v>1</v>
      </c>
      <c r="E889" t="s">
        <v>47</v>
      </c>
      <c r="F889" t="s">
        <v>2938</v>
      </c>
      <c r="G889" t="s">
        <v>2939</v>
      </c>
      <c r="I889" t="s">
        <v>49</v>
      </c>
      <c r="L889" t="s">
        <v>2940</v>
      </c>
      <c r="M889" t="s">
        <v>2938</v>
      </c>
      <c r="N889">
        <v>659</v>
      </c>
      <c r="O889" t="s">
        <v>2941</v>
      </c>
    </row>
    <row r="890" spans="1:15" ht="15.75" customHeight="1">
      <c r="A890" t="s">
        <v>29</v>
      </c>
      <c r="B890">
        <v>854064</v>
      </c>
      <c r="C890">
        <v>855560</v>
      </c>
      <c r="D890">
        <v>1</v>
      </c>
      <c r="E890" t="s">
        <v>47</v>
      </c>
      <c r="F890" t="s">
        <v>2942</v>
      </c>
      <c r="G890" t="s">
        <v>2943</v>
      </c>
      <c r="I890" t="s">
        <v>49</v>
      </c>
      <c r="L890" t="s">
        <v>2944</v>
      </c>
      <c r="M890" t="s">
        <v>2942</v>
      </c>
      <c r="N890">
        <v>498</v>
      </c>
      <c r="O890" t="s">
        <v>2945</v>
      </c>
    </row>
    <row r="891" spans="1:15" ht="15.75" customHeight="1">
      <c r="A891" t="s">
        <v>29</v>
      </c>
      <c r="B891">
        <v>855560</v>
      </c>
      <c r="C891">
        <v>856486</v>
      </c>
      <c r="D891">
        <v>1</v>
      </c>
      <c r="E891" t="s">
        <v>47</v>
      </c>
      <c r="F891" t="s">
        <v>2942</v>
      </c>
      <c r="G891" t="s">
        <v>2946</v>
      </c>
      <c r="I891" t="s">
        <v>49</v>
      </c>
      <c r="L891" t="s">
        <v>2947</v>
      </c>
      <c r="M891" t="s">
        <v>2942</v>
      </c>
      <c r="N891">
        <v>308</v>
      </c>
      <c r="O891" t="s">
        <v>2948</v>
      </c>
    </row>
    <row r="892" spans="1:15" ht="15.75" customHeight="1">
      <c r="A892" t="s">
        <v>29</v>
      </c>
      <c r="B892">
        <v>856495</v>
      </c>
      <c r="C892">
        <v>857562</v>
      </c>
      <c r="D892">
        <v>1</v>
      </c>
      <c r="E892" t="s">
        <v>47</v>
      </c>
      <c r="F892" t="s">
        <v>2949</v>
      </c>
      <c r="G892" t="s">
        <v>2950</v>
      </c>
      <c r="I892" t="s">
        <v>49</v>
      </c>
      <c r="L892" t="s">
        <v>2951</v>
      </c>
      <c r="M892" t="s">
        <v>2949</v>
      </c>
      <c r="N892">
        <v>355</v>
      </c>
      <c r="O892" t="s">
        <v>2952</v>
      </c>
    </row>
    <row r="893" spans="1:15" ht="15.75" customHeight="1">
      <c r="A893" t="s">
        <v>29</v>
      </c>
      <c r="B893">
        <v>857573</v>
      </c>
      <c r="C893">
        <v>858499</v>
      </c>
      <c r="D893">
        <v>1</v>
      </c>
      <c r="E893" t="s">
        <v>47</v>
      </c>
      <c r="F893" t="s">
        <v>2953</v>
      </c>
      <c r="G893" t="s">
        <v>2954</v>
      </c>
      <c r="I893" t="s">
        <v>49</v>
      </c>
      <c r="L893" t="s">
        <v>2955</v>
      </c>
      <c r="M893" t="s">
        <v>2953</v>
      </c>
      <c r="N893">
        <v>308</v>
      </c>
      <c r="O893" t="s">
        <v>2956</v>
      </c>
    </row>
    <row r="894" spans="1:15" ht="15.75" customHeight="1">
      <c r="A894" t="s">
        <v>29</v>
      </c>
      <c r="B894">
        <v>859001</v>
      </c>
      <c r="C894">
        <v>859504</v>
      </c>
      <c r="D894">
        <v>1</v>
      </c>
      <c r="E894" t="s">
        <v>47</v>
      </c>
      <c r="F894" t="s">
        <v>2957</v>
      </c>
      <c r="I894" t="s">
        <v>49</v>
      </c>
      <c r="L894" t="s">
        <v>2958</v>
      </c>
      <c r="M894" t="s">
        <v>2957</v>
      </c>
      <c r="N894">
        <v>167</v>
      </c>
      <c r="O894" t="s">
        <v>2959</v>
      </c>
    </row>
    <row r="895" spans="1:15" ht="15.75" customHeight="1">
      <c r="A895" t="s">
        <v>29</v>
      </c>
      <c r="B895">
        <v>859619</v>
      </c>
      <c r="C895">
        <v>859894</v>
      </c>
      <c r="D895">
        <v>1</v>
      </c>
      <c r="E895" t="s">
        <v>47</v>
      </c>
      <c r="F895" t="s">
        <v>2960</v>
      </c>
      <c r="I895" t="s">
        <v>49</v>
      </c>
      <c r="L895" t="s">
        <v>2961</v>
      </c>
      <c r="M895" t="s">
        <v>2960</v>
      </c>
      <c r="N895">
        <v>91</v>
      </c>
      <c r="O895" t="s">
        <v>2962</v>
      </c>
    </row>
    <row r="896" spans="1:15" ht="15.75" customHeight="1">
      <c r="A896" t="s">
        <v>29</v>
      </c>
      <c r="B896">
        <v>859939</v>
      </c>
      <c r="C896">
        <v>860379</v>
      </c>
      <c r="D896">
        <v>1</v>
      </c>
      <c r="E896" t="s">
        <v>47</v>
      </c>
      <c r="F896" t="s">
        <v>140</v>
      </c>
      <c r="I896" t="s">
        <v>49</v>
      </c>
      <c r="L896" t="s">
        <v>2963</v>
      </c>
      <c r="M896" t="s">
        <v>140</v>
      </c>
      <c r="N896">
        <v>146</v>
      </c>
      <c r="O896" t="s">
        <v>2964</v>
      </c>
    </row>
    <row r="897" spans="1:15" ht="15.75" customHeight="1">
      <c r="A897" t="s">
        <v>29</v>
      </c>
      <c r="B897">
        <v>860388</v>
      </c>
      <c r="C897">
        <v>860816</v>
      </c>
      <c r="D897">
        <v>1</v>
      </c>
      <c r="E897" t="s">
        <v>47</v>
      </c>
      <c r="F897" t="s">
        <v>140</v>
      </c>
      <c r="I897" t="s">
        <v>49</v>
      </c>
      <c r="L897" t="s">
        <v>2965</v>
      </c>
      <c r="M897" t="s">
        <v>140</v>
      </c>
      <c r="N897">
        <v>142</v>
      </c>
      <c r="O897" t="s">
        <v>2966</v>
      </c>
    </row>
    <row r="898" spans="1:15" ht="15.75" customHeight="1">
      <c r="A898" t="s">
        <v>29</v>
      </c>
      <c r="B898">
        <v>860829</v>
      </c>
      <c r="C898">
        <v>861632</v>
      </c>
      <c r="D898">
        <v>1</v>
      </c>
      <c r="E898" t="s">
        <v>47</v>
      </c>
      <c r="F898" t="s">
        <v>1817</v>
      </c>
      <c r="G898" t="s">
        <v>2967</v>
      </c>
      <c r="I898" t="s">
        <v>49</v>
      </c>
      <c r="L898" t="s">
        <v>2968</v>
      </c>
      <c r="M898" t="s">
        <v>1817</v>
      </c>
      <c r="N898">
        <v>267</v>
      </c>
      <c r="O898" t="s">
        <v>2969</v>
      </c>
    </row>
    <row r="899" spans="1:15" ht="15.75" customHeight="1">
      <c r="A899" t="s">
        <v>29</v>
      </c>
      <c r="B899">
        <v>861665</v>
      </c>
      <c r="C899">
        <v>862375</v>
      </c>
      <c r="D899">
        <v>1</v>
      </c>
      <c r="E899" t="s">
        <v>76</v>
      </c>
      <c r="F899" t="s">
        <v>2970</v>
      </c>
      <c r="G899" t="s">
        <v>2971</v>
      </c>
      <c r="I899" t="s">
        <v>49</v>
      </c>
      <c r="L899" t="s">
        <v>2972</v>
      </c>
      <c r="M899" t="s">
        <v>2970</v>
      </c>
      <c r="N899">
        <v>236</v>
      </c>
      <c r="O899" t="s">
        <v>2973</v>
      </c>
    </row>
    <row r="900" spans="1:15" ht="15.75" customHeight="1">
      <c r="A900" t="s">
        <v>29</v>
      </c>
      <c r="B900">
        <v>862560</v>
      </c>
      <c r="C900">
        <v>864527</v>
      </c>
      <c r="D900">
        <v>1</v>
      </c>
      <c r="E900" t="s">
        <v>47</v>
      </c>
      <c r="F900" t="s">
        <v>2974</v>
      </c>
      <c r="G900" t="s">
        <v>2975</v>
      </c>
      <c r="I900" t="s">
        <v>49</v>
      </c>
      <c r="L900" t="s">
        <v>2976</v>
      </c>
      <c r="M900" t="s">
        <v>2974</v>
      </c>
      <c r="N900">
        <v>655</v>
      </c>
      <c r="O900" t="s">
        <v>2977</v>
      </c>
    </row>
    <row r="901" spans="1:15" ht="15.75" customHeight="1">
      <c r="A901" t="s">
        <v>29</v>
      </c>
      <c r="B901">
        <v>864705</v>
      </c>
      <c r="C901">
        <v>866330</v>
      </c>
      <c r="D901">
        <v>1</v>
      </c>
      <c r="E901" t="s">
        <v>47</v>
      </c>
      <c r="F901" t="s">
        <v>2978</v>
      </c>
      <c r="G901" t="s">
        <v>2979</v>
      </c>
      <c r="I901" t="s">
        <v>49</v>
      </c>
      <c r="L901" t="s">
        <v>2980</v>
      </c>
      <c r="M901" t="s">
        <v>2978</v>
      </c>
      <c r="N901">
        <v>541</v>
      </c>
      <c r="O901" t="s">
        <v>2981</v>
      </c>
    </row>
    <row r="902" spans="1:15" ht="15.75" customHeight="1">
      <c r="A902" t="s">
        <v>29</v>
      </c>
      <c r="B902">
        <v>866472</v>
      </c>
      <c r="C902">
        <v>866720</v>
      </c>
      <c r="D902">
        <v>1</v>
      </c>
      <c r="E902" t="s">
        <v>47</v>
      </c>
      <c r="F902" t="s">
        <v>2982</v>
      </c>
      <c r="I902" t="s">
        <v>49</v>
      </c>
      <c r="L902" t="s">
        <v>2983</v>
      </c>
      <c r="M902" t="s">
        <v>2982</v>
      </c>
      <c r="N902">
        <v>82</v>
      </c>
      <c r="O902" t="s">
        <v>2984</v>
      </c>
    </row>
    <row r="903" spans="1:15" ht="15.75" customHeight="1">
      <c r="A903" t="s">
        <v>29</v>
      </c>
      <c r="B903">
        <v>866927</v>
      </c>
      <c r="C903">
        <v>867721</v>
      </c>
      <c r="D903">
        <v>1</v>
      </c>
      <c r="E903" t="s">
        <v>47</v>
      </c>
      <c r="F903" t="s">
        <v>2985</v>
      </c>
      <c r="G903" t="s">
        <v>2986</v>
      </c>
      <c r="I903" t="s">
        <v>49</v>
      </c>
      <c r="L903" t="s">
        <v>2987</v>
      </c>
      <c r="M903" t="s">
        <v>2985</v>
      </c>
      <c r="N903">
        <v>264</v>
      </c>
      <c r="O903" t="s">
        <v>2988</v>
      </c>
    </row>
    <row r="904" spans="1:15" ht="15.75" customHeight="1">
      <c r="A904" t="s">
        <v>29</v>
      </c>
      <c r="B904">
        <v>867718</v>
      </c>
      <c r="C904">
        <v>868689</v>
      </c>
      <c r="D904">
        <v>1</v>
      </c>
      <c r="E904" t="s">
        <v>47</v>
      </c>
      <c r="F904" t="s">
        <v>2989</v>
      </c>
      <c r="G904" t="s">
        <v>2990</v>
      </c>
      <c r="I904" t="s">
        <v>49</v>
      </c>
      <c r="L904" t="s">
        <v>2991</v>
      </c>
      <c r="M904" t="s">
        <v>2989</v>
      </c>
      <c r="N904">
        <v>323</v>
      </c>
      <c r="O904" t="s">
        <v>2992</v>
      </c>
    </row>
    <row r="905" spans="1:15" ht="15.75" customHeight="1">
      <c r="A905" t="s">
        <v>29</v>
      </c>
      <c r="B905">
        <v>868665</v>
      </c>
      <c r="C905">
        <v>869186</v>
      </c>
      <c r="D905">
        <v>1</v>
      </c>
      <c r="E905" t="s">
        <v>47</v>
      </c>
      <c r="F905" t="s">
        <v>2993</v>
      </c>
      <c r="I905" t="s">
        <v>49</v>
      </c>
      <c r="L905" t="s">
        <v>2994</v>
      </c>
      <c r="M905" t="s">
        <v>2993</v>
      </c>
      <c r="N905">
        <v>173</v>
      </c>
      <c r="O905" t="s">
        <v>2995</v>
      </c>
    </row>
    <row r="906" spans="1:15" ht="15.75" customHeight="1">
      <c r="A906" t="s">
        <v>29</v>
      </c>
      <c r="B906">
        <v>869183</v>
      </c>
      <c r="C906">
        <v>869644</v>
      </c>
      <c r="D906">
        <v>1</v>
      </c>
      <c r="E906" t="s">
        <v>47</v>
      </c>
      <c r="F906" t="s">
        <v>2996</v>
      </c>
      <c r="G906" t="s">
        <v>2997</v>
      </c>
      <c r="I906" t="s">
        <v>49</v>
      </c>
      <c r="L906" t="s">
        <v>2998</v>
      </c>
      <c r="M906" t="s">
        <v>2996</v>
      </c>
      <c r="N906">
        <v>153</v>
      </c>
      <c r="O906" t="s">
        <v>2999</v>
      </c>
    </row>
    <row r="907" spans="1:15" ht="15.75" customHeight="1">
      <c r="A907" t="s">
        <v>29</v>
      </c>
      <c r="B907">
        <v>869641</v>
      </c>
      <c r="C907">
        <v>870375</v>
      </c>
      <c r="D907">
        <v>1</v>
      </c>
      <c r="E907" t="s">
        <v>47</v>
      </c>
      <c r="F907" t="s">
        <v>393</v>
      </c>
      <c r="I907" t="s">
        <v>49</v>
      </c>
      <c r="L907" t="s">
        <v>3000</v>
      </c>
      <c r="M907" t="s">
        <v>393</v>
      </c>
      <c r="N907">
        <v>244</v>
      </c>
      <c r="O907" t="s">
        <v>3001</v>
      </c>
    </row>
    <row r="908" spans="1:15" ht="15.75" customHeight="1">
      <c r="A908" t="s">
        <v>29</v>
      </c>
      <c r="B908">
        <v>870375</v>
      </c>
      <c r="C908">
        <v>871103</v>
      </c>
      <c r="D908">
        <v>1</v>
      </c>
      <c r="E908" t="s">
        <v>47</v>
      </c>
      <c r="F908" t="s">
        <v>3002</v>
      </c>
      <c r="G908" t="s">
        <v>3003</v>
      </c>
      <c r="I908" t="s">
        <v>49</v>
      </c>
      <c r="L908" t="s">
        <v>3004</v>
      </c>
      <c r="M908" t="s">
        <v>3002</v>
      </c>
      <c r="N908">
        <v>242</v>
      </c>
      <c r="O908" t="s">
        <v>3005</v>
      </c>
    </row>
    <row r="909" spans="1:15" ht="15.75" customHeight="1">
      <c r="A909" t="s">
        <v>29</v>
      </c>
      <c r="B909">
        <v>871122</v>
      </c>
      <c r="C909">
        <v>871691</v>
      </c>
      <c r="D909">
        <v>1</v>
      </c>
      <c r="E909" t="s">
        <v>47</v>
      </c>
      <c r="F909" t="s">
        <v>3006</v>
      </c>
      <c r="G909" t="s">
        <v>3007</v>
      </c>
      <c r="I909" t="s">
        <v>49</v>
      </c>
      <c r="L909" t="s">
        <v>3008</v>
      </c>
      <c r="M909" t="s">
        <v>3006</v>
      </c>
      <c r="N909">
        <v>189</v>
      </c>
      <c r="O909" t="s">
        <v>3009</v>
      </c>
    </row>
    <row r="910" spans="1:15" ht="15.75" customHeight="1">
      <c r="A910" t="s">
        <v>29</v>
      </c>
      <c r="B910">
        <v>871678</v>
      </c>
      <c r="C910">
        <v>872400</v>
      </c>
      <c r="D910">
        <v>1</v>
      </c>
      <c r="E910" t="s">
        <v>47</v>
      </c>
      <c r="F910" t="s">
        <v>3010</v>
      </c>
      <c r="G910" t="s">
        <v>3011</v>
      </c>
      <c r="I910" t="s">
        <v>49</v>
      </c>
      <c r="L910" t="s">
        <v>3012</v>
      </c>
      <c r="M910" t="s">
        <v>3010</v>
      </c>
      <c r="N910">
        <v>240</v>
      </c>
      <c r="O910" t="s">
        <v>3013</v>
      </c>
    </row>
    <row r="911" spans="1:15" ht="15.75" customHeight="1">
      <c r="A911" t="s">
        <v>29</v>
      </c>
      <c r="B911">
        <v>872400</v>
      </c>
      <c r="C911">
        <v>872642</v>
      </c>
      <c r="D911">
        <v>1</v>
      </c>
      <c r="E911" t="s">
        <v>47</v>
      </c>
      <c r="F911" t="s">
        <v>3014</v>
      </c>
      <c r="G911" t="s">
        <v>3015</v>
      </c>
      <c r="I911" t="s">
        <v>49</v>
      </c>
      <c r="L911" t="s">
        <v>3016</v>
      </c>
      <c r="M911" t="s">
        <v>3014</v>
      </c>
      <c r="N911">
        <v>80</v>
      </c>
      <c r="O911" t="s">
        <v>3017</v>
      </c>
    </row>
    <row r="912" spans="1:15" ht="15.75" customHeight="1">
      <c r="A912" t="s">
        <v>29</v>
      </c>
      <c r="B912">
        <v>872867</v>
      </c>
      <c r="C912">
        <v>873832</v>
      </c>
      <c r="D912">
        <v>1</v>
      </c>
      <c r="E912" t="s">
        <v>76</v>
      </c>
      <c r="F912" t="s">
        <v>3018</v>
      </c>
      <c r="G912" t="s">
        <v>3019</v>
      </c>
      <c r="I912" t="s">
        <v>49</v>
      </c>
      <c r="L912" t="s">
        <v>3020</v>
      </c>
      <c r="M912" t="s">
        <v>3018</v>
      </c>
      <c r="N912">
        <v>321</v>
      </c>
      <c r="O912" t="s">
        <v>3021</v>
      </c>
    </row>
    <row r="913" spans="1:15" ht="15.75" customHeight="1">
      <c r="A913" t="s">
        <v>29</v>
      </c>
      <c r="B913">
        <v>873928</v>
      </c>
      <c r="C913">
        <v>874680</v>
      </c>
      <c r="D913">
        <v>1</v>
      </c>
      <c r="E913" t="s">
        <v>76</v>
      </c>
      <c r="F913" t="s">
        <v>3022</v>
      </c>
      <c r="G913" t="s">
        <v>3023</v>
      </c>
      <c r="I913" t="s">
        <v>49</v>
      </c>
      <c r="L913" t="s">
        <v>3024</v>
      </c>
      <c r="M913" t="s">
        <v>3022</v>
      </c>
      <c r="N913">
        <v>250</v>
      </c>
      <c r="O913" t="s">
        <v>3025</v>
      </c>
    </row>
    <row r="914" spans="1:15" ht="15.75" customHeight="1">
      <c r="A914" t="s">
        <v>29</v>
      </c>
      <c r="B914">
        <v>874677</v>
      </c>
      <c r="C914">
        <v>875633</v>
      </c>
      <c r="D914">
        <v>1</v>
      </c>
      <c r="E914" t="s">
        <v>76</v>
      </c>
      <c r="F914" t="s">
        <v>3026</v>
      </c>
      <c r="G914" t="s">
        <v>3027</v>
      </c>
      <c r="I914" t="s">
        <v>49</v>
      </c>
      <c r="L914" t="s">
        <v>3028</v>
      </c>
      <c r="M914" t="s">
        <v>3026</v>
      </c>
      <c r="N914">
        <v>318</v>
      </c>
      <c r="O914" t="s">
        <v>3029</v>
      </c>
    </row>
    <row r="915" spans="1:15" ht="15.75" customHeight="1">
      <c r="A915" t="s">
        <v>29</v>
      </c>
      <c r="B915">
        <v>875623</v>
      </c>
      <c r="C915">
        <v>876582</v>
      </c>
      <c r="D915">
        <v>1</v>
      </c>
      <c r="E915" t="s">
        <v>76</v>
      </c>
      <c r="F915" t="s">
        <v>3030</v>
      </c>
      <c r="G915" t="s">
        <v>3031</v>
      </c>
      <c r="I915" t="s">
        <v>49</v>
      </c>
      <c r="L915" t="s">
        <v>3032</v>
      </c>
      <c r="M915" t="s">
        <v>3030</v>
      </c>
      <c r="N915">
        <v>319</v>
      </c>
      <c r="O915" t="s">
        <v>3033</v>
      </c>
    </row>
    <row r="916" spans="1:15" ht="15.75" customHeight="1">
      <c r="A916" t="s">
        <v>29</v>
      </c>
      <c r="B916">
        <v>877005</v>
      </c>
      <c r="C916">
        <v>877706</v>
      </c>
      <c r="D916">
        <v>1</v>
      </c>
      <c r="E916" t="s">
        <v>76</v>
      </c>
      <c r="F916" t="s">
        <v>3034</v>
      </c>
      <c r="G916" t="s">
        <v>3035</v>
      </c>
      <c r="I916" t="s">
        <v>49</v>
      </c>
      <c r="L916" t="s">
        <v>3036</v>
      </c>
      <c r="M916" t="s">
        <v>3034</v>
      </c>
      <c r="N916">
        <v>233</v>
      </c>
      <c r="O916" t="s">
        <v>3037</v>
      </c>
    </row>
    <row r="917" spans="1:15" ht="15.75" customHeight="1">
      <c r="A917" t="s">
        <v>29</v>
      </c>
      <c r="B917">
        <v>878107</v>
      </c>
      <c r="C917">
        <v>879171</v>
      </c>
      <c r="D917">
        <v>1</v>
      </c>
      <c r="E917" t="s">
        <v>47</v>
      </c>
      <c r="F917" t="s">
        <v>3038</v>
      </c>
      <c r="G917" t="s">
        <v>3039</v>
      </c>
      <c r="I917" t="s">
        <v>49</v>
      </c>
      <c r="L917" t="s">
        <v>3040</v>
      </c>
      <c r="M917" t="s">
        <v>3038</v>
      </c>
      <c r="N917">
        <v>354</v>
      </c>
      <c r="O917" t="s">
        <v>3041</v>
      </c>
    </row>
    <row r="918" spans="1:15" ht="15.75" customHeight="1">
      <c r="A918" t="s">
        <v>29</v>
      </c>
      <c r="B918">
        <v>879193</v>
      </c>
      <c r="C918">
        <v>879489</v>
      </c>
      <c r="D918">
        <v>1</v>
      </c>
      <c r="E918" t="s">
        <v>47</v>
      </c>
      <c r="F918" t="s">
        <v>176</v>
      </c>
      <c r="I918" t="s">
        <v>49</v>
      </c>
      <c r="L918" t="s">
        <v>3042</v>
      </c>
      <c r="M918" t="s">
        <v>176</v>
      </c>
      <c r="N918">
        <v>98</v>
      </c>
      <c r="O918" t="s">
        <v>3043</v>
      </c>
    </row>
    <row r="919" spans="1:15" ht="15.75" customHeight="1">
      <c r="A919" t="s">
        <v>29</v>
      </c>
      <c r="B919">
        <v>880171</v>
      </c>
      <c r="C919">
        <v>880614</v>
      </c>
      <c r="D919">
        <v>1</v>
      </c>
      <c r="E919" t="s">
        <v>47</v>
      </c>
      <c r="F919" t="s">
        <v>2825</v>
      </c>
      <c r="I919" t="s">
        <v>49</v>
      </c>
      <c r="L919" t="s">
        <v>3044</v>
      </c>
      <c r="M919" t="s">
        <v>2825</v>
      </c>
      <c r="N919">
        <v>147</v>
      </c>
      <c r="O919" t="s">
        <v>3045</v>
      </c>
    </row>
    <row r="920" spans="1:15" ht="15.75" customHeight="1">
      <c r="A920" t="s">
        <v>29</v>
      </c>
      <c r="B920">
        <v>880618</v>
      </c>
      <c r="C920">
        <v>881382</v>
      </c>
      <c r="D920">
        <v>1</v>
      </c>
      <c r="E920" t="s">
        <v>47</v>
      </c>
      <c r="F920" t="s">
        <v>1056</v>
      </c>
      <c r="I920" t="s">
        <v>49</v>
      </c>
      <c r="L920" t="s">
        <v>3046</v>
      </c>
      <c r="M920" t="s">
        <v>1056</v>
      </c>
      <c r="N920">
        <v>254</v>
      </c>
      <c r="O920" t="s">
        <v>3047</v>
      </c>
    </row>
    <row r="921" spans="1:15" ht="15.75" customHeight="1">
      <c r="A921" t="s">
        <v>29</v>
      </c>
      <c r="B921">
        <v>881397</v>
      </c>
      <c r="C921">
        <v>882125</v>
      </c>
      <c r="D921">
        <v>1</v>
      </c>
      <c r="E921" t="s">
        <v>47</v>
      </c>
      <c r="F921" t="s">
        <v>218</v>
      </c>
      <c r="G921" t="s">
        <v>3048</v>
      </c>
      <c r="I921" t="s">
        <v>49</v>
      </c>
      <c r="L921" t="s">
        <v>3049</v>
      </c>
      <c r="M921" t="s">
        <v>218</v>
      </c>
      <c r="N921">
        <v>242</v>
      </c>
      <c r="O921" t="s">
        <v>3050</v>
      </c>
    </row>
    <row r="922" spans="1:15" ht="15.75" customHeight="1">
      <c r="A922" t="s">
        <v>29</v>
      </c>
      <c r="B922">
        <v>882118</v>
      </c>
      <c r="C922">
        <v>883638</v>
      </c>
      <c r="D922">
        <v>1</v>
      </c>
      <c r="E922" t="s">
        <v>47</v>
      </c>
      <c r="F922" t="s">
        <v>3051</v>
      </c>
      <c r="G922" t="s">
        <v>3052</v>
      </c>
      <c r="I922" t="s">
        <v>49</v>
      </c>
      <c r="L922" t="s">
        <v>3053</v>
      </c>
      <c r="M922" t="s">
        <v>3051</v>
      </c>
      <c r="N922">
        <v>506</v>
      </c>
      <c r="O922" t="s">
        <v>3054</v>
      </c>
    </row>
    <row r="923" spans="1:15" ht="15.75" customHeight="1">
      <c r="A923" t="s">
        <v>29</v>
      </c>
      <c r="B923">
        <v>883983</v>
      </c>
      <c r="C923">
        <v>884789</v>
      </c>
      <c r="D923">
        <v>1</v>
      </c>
      <c r="E923" t="s">
        <v>47</v>
      </c>
      <c r="F923" t="s">
        <v>413</v>
      </c>
      <c r="G923" t="s">
        <v>3055</v>
      </c>
      <c r="I923" t="s">
        <v>49</v>
      </c>
      <c r="L923" t="s">
        <v>3056</v>
      </c>
      <c r="M923" t="s">
        <v>413</v>
      </c>
      <c r="N923">
        <v>268</v>
      </c>
      <c r="O923" t="s">
        <v>3057</v>
      </c>
    </row>
    <row r="924" spans="1:15" ht="15.75" customHeight="1">
      <c r="A924" t="s">
        <v>29</v>
      </c>
      <c r="B924">
        <v>884956</v>
      </c>
      <c r="C924">
        <v>885492</v>
      </c>
      <c r="D924">
        <v>1</v>
      </c>
      <c r="E924" t="s">
        <v>76</v>
      </c>
      <c r="F924" t="s">
        <v>1806</v>
      </c>
      <c r="G924" t="s">
        <v>3058</v>
      </c>
      <c r="I924" t="s">
        <v>49</v>
      </c>
      <c r="L924" t="s">
        <v>3059</v>
      </c>
      <c r="M924" t="s">
        <v>1806</v>
      </c>
      <c r="N924">
        <v>178</v>
      </c>
      <c r="O924" t="s">
        <v>3060</v>
      </c>
    </row>
    <row r="925" spans="1:15" ht="15.75" customHeight="1">
      <c r="A925" t="s">
        <v>29</v>
      </c>
      <c r="B925">
        <v>885625</v>
      </c>
      <c r="C925">
        <v>886515</v>
      </c>
      <c r="D925">
        <v>1</v>
      </c>
      <c r="E925" t="s">
        <v>47</v>
      </c>
      <c r="F925" t="s">
        <v>3061</v>
      </c>
      <c r="G925" t="s">
        <v>3062</v>
      </c>
      <c r="I925" t="s">
        <v>49</v>
      </c>
      <c r="L925" t="s">
        <v>3063</v>
      </c>
      <c r="M925" t="s">
        <v>3061</v>
      </c>
      <c r="N925">
        <v>296</v>
      </c>
      <c r="O925" t="s">
        <v>3064</v>
      </c>
    </row>
    <row r="926" spans="1:15" ht="15.75" customHeight="1">
      <c r="A926" t="s">
        <v>29</v>
      </c>
      <c r="B926">
        <v>886759</v>
      </c>
      <c r="C926">
        <v>887112</v>
      </c>
      <c r="D926">
        <v>1</v>
      </c>
      <c r="E926" t="s">
        <v>47</v>
      </c>
      <c r="F926" t="s">
        <v>3065</v>
      </c>
      <c r="G926" t="s">
        <v>3066</v>
      </c>
      <c r="I926" t="s">
        <v>49</v>
      </c>
      <c r="L926" t="s">
        <v>3067</v>
      </c>
      <c r="M926" t="s">
        <v>3065</v>
      </c>
      <c r="N926">
        <v>117</v>
      </c>
      <c r="O926" t="s">
        <v>3068</v>
      </c>
    </row>
    <row r="927" spans="1:15" ht="15.75" customHeight="1">
      <c r="A927" t="s">
        <v>29</v>
      </c>
      <c r="B927">
        <v>887113</v>
      </c>
      <c r="C927">
        <v>888150</v>
      </c>
      <c r="D927">
        <v>1</v>
      </c>
      <c r="E927" t="s">
        <v>47</v>
      </c>
      <c r="F927" t="s">
        <v>3069</v>
      </c>
      <c r="G927" t="s">
        <v>3070</v>
      </c>
      <c r="I927" t="s">
        <v>49</v>
      </c>
      <c r="L927" t="s">
        <v>3071</v>
      </c>
      <c r="M927" t="s">
        <v>3069</v>
      </c>
      <c r="N927">
        <v>345</v>
      </c>
      <c r="O927" t="s">
        <v>3072</v>
      </c>
    </row>
    <row r="928" spans="1:15" ht="15.75" customHeight="1">
      <c r="A928" t="s">
        <v>29</v>
      </c>
      <c r="B928">
        <v>888197</v>
      </c>
      <c r="C928">
        <v>889204</v>
      </c>
      <c r="D928">
        <v>1</v>
      </c>
      <c r="E928" t="s">
        <v>76</v>
      </c>
      <c r="F928" t="s">
        <v>3073</v>
      </c>
      <c r="G928" t="s">
        <v>3074</v>
      </c>
      <c r="I928" t="s">
        <v>49</v>
      </c>
      <c r="L928" t="s">
        <v>3075</v>
      </c>
      <c r="M928" t="s">
        <v>3073</v>
      </c>
      <c r="N928">
        <v>335</v>
      </c>
      <c r="O928" t="s">
        <v>3076</v>
      </c>
    </row>
    <row r="929" spans="1:15" ht="15.75" customHeight="1">
      <c r="A929" t="s">
        <v>29</v>
      </c>
      <c r="B929">
        <v>889369</v>
      </c>
      <c r="C929">
        <v>890547</v>
      </c>
      <c r="D929">
        <v>1</v>
      </c>
      <c r="E929" t="s">
        <v>47</v>
      </c>
      <c r="F929" t="s">
        <v>3077</v>
      </c>
      <c r="G929" t="s">
        <v>3078</v>
      </c>
      <c r="I929" t="s">
        <v>49</v>
      </c>
      <c r="L929" t="s">
        <v>3079</v>
      </c>
      <c r="M929" t="s">
        <v>3077</v>
      </c>
      <c r="N929">
        <v>392</v>
      </c>
      <c r="O929" t="s">
        <v>3080</v>
      </c>
    </row>
    <row r="930" spans="1:15" ht="15.75" customHeight="1">
      <c r="A930" t="s">
        <v>29</v>
      </c>
      <c r="B930">
        <v>890566</v>
      </c>
      <c r="C930">
        <v>892047</v>
      </c>
      <c r="D930">
        <v>1</v>
      </c>
      <c r="E930" t="s">
        <v>47</v>
      </c>
      <c r="F930" t="s">
        <v>3081</v>
      </c>
      <c r="G930" t="s">
        <v>3082</v>
      </c>
      <c r="I930" t="s">
        <v>49</v>
      </c>
      <c r="L930" t="s">
        <v>3083</v>
      </c>
      <c r="M930" t="s">
        <v>3081</v>
      </c>
      <c r="N930">
        <v>493</v>
      </c>
      <c r="O930" t="s">
        <v>3084</v>
      </c>
    </row>
    <row r="931" spans="1:15" ht="15.75" customHeight="1">
      <c r="A931" t="s">
        <v>29</v>
      </c>
      <c r="B931">
        <v>892117</v>
      </c>
      <c r="C931">
        <v>892521</v>
      </c>
      <c r="D931">
        <v>1</v>
      </c>
      <c r="E931" t="s">
        <v>47</v>
      </c>
      <c r="F931" t="s">
        <v>3085</v>
      </c>
      <c r="G931" t="s">
        <v>3086</v>
      </c>
      <c r="I931" t="s">
        <v>49</v>
      </c>
      <c r="L931" t="s">
        <v>3087</v>
      </c>
      <c r="M931" t="s">
        <v>3085</v>
      </c>
      <c r="N931">
        <v>134</v>
      </c>
      <c r="O931" t="s">
        <v>3088</v>
      </c>
    </row>
    <row r="932" spans="1:15" ht="15.75" customHeight="1">
      <c r="A932" t="s">
        <v>29</v>
      </c>
      <c r="B932">
        <v>892678</v>
      </c>
      <c r="C932">
        <v>893532</v>
      </c>
      <c r="D932">
        <v>1</v>
      </c>
      <c r="E932" t="s">
        <v>47</v>
      </c>
      <c r="F932" t="s">
        <v>3089</v>
      </c>
      <c r="G932" t="s">
        <v>3090</v>
      </c>
      <c r="I932" t="s">
        <v>49</v>
      </c>
      <c r="L932" t="s">
        <v>3091</v>
      </c>
      <c r="M932" t="s">
        <v>3089</v>
      </c>
      <c r="N932">
        <v>284</v>
      </c>
      <c r="O932" t="s">
        <v>3092</v>
      </c>
    </row>
    <row r="933" spans="1:15" ht="15.75" customHeight="1">
      <c r="A933" t="s">
        <v>29</v>
      </c>
      <c r="B933">
        <v>893558</v>
      </c>
      <c r="C933">
        <v>894328</v>
      </c>
      <c r="D933">
        <v>1</v>
      </c>
      <c r="E933" t="s">
        <v>47</v>
      </c>
      <c r="F933" t="s">
        <v>3093</v>
      </c>
      <c r="G933" t="s">
        <v>3094</v>
      </c>
      <c r="I933" t="s">
        <v>49</v>
      </c>
      <c r="L933" t="s">
        <v>3095</v>
      </c>
      <c r="M933" t="s">
        <v>3093</v>
      </c>
      <c r="N933">
        <v>256</v>
      </c>
      <c r="O933" t="s">
        <v>3096</v>
      </c>
    </row>
    <row r="934" spans="1:15" ht="15.75" customHeight="1">
      <c r="A934" t="s">
        <v>29</v>
      </c>
      <c r="B934">
        <v>894315</v>
      </c>
      <c r="C934">
        <v>895181</v>
      </c>
      <c r="D934">
        <v>1</v>
      </c>
      <c r="E934" t="s">
        <v>47</v>
      </c>
      <c r="F934" t="s">
        <v>3097</v>
      </c>
      <c r="G934" t="s">
        <v>3098</v>
      </c>
      <c r="I934" t="s">
        <v>49</v>
      </c>
      <c r="L934" t="s">
        <v>3099</v>
      </c>
      <c r="M934" t="s">
        <v>3097</v>
      </c>
      <c r="N934">
        <v>288</v>
      </c>
      <c r="O934" t="s">
        <v>3100</v>
      </c>
    </row>
    <row r="935" spans="1:15" ht="15.75" customHeight="1">
      <c r="A935" t="s">
        <v>29</v>
      </c>
      <c r="B935">
        <v>895268</v>
      </c>
      <c r="C935">
        <v>896530</v>
      </c>
      <c r="D935">
        <v>1</v>
      </c>
      <c r="E935" t="s">
        <v>76</v>
      </c>
      <c r="F935" t="s">
        <v>3101</v>
      </c>
      <c r="G935" t="s">
        <v>3102</v>
      </c>
      <c r="I935" t="s">
        <v>49</v>
      </c>
      <c r="L935" t="s">
        <v>3103</v>
      </c>
      <c r="M935" t="s">
        <v>3101</v>
      </c>
      <c r="N935">
        <v>420</v>
      </c>
      <c r="O935" t="s">
        <v>3104</v>
      </c>
    </row>
    <row r="936" spans="1:15" ht="15.75" customHeight="1">
      <c r="A936" t="s">
        <v>29</v>
      </c>
      <c r="B936">
        <v>896530</v>
      </c>
      <c r="C936">
        <v>897111</v>
      </c>
      <c r="D936">
        <v>1</v>
      </c>
      <c r="E936" t="s">
        <v>76</v>
      </c>
      <c r="F936" t="s">
        <v>3105</v>
      </c>
      <c r="G936" t="s">
        <v>3106</v>
      </c>
      <c r="I936" t="s">
        <v>49</v>
      </c>
      <c r="L936" t="s">
        <v>3107</v>
      </c>
      <c r="M936" t="s">
        <v>3105</v>
      </c>
      <c r="N936">
        <v>193</v>
      </c>
      <c r="O936" t="s">
        <v>3108</v>
      </c>
    </row>
    <row r="937" spans="1:15" ht="15.75" customHeight="1">
      <c r="A937" t="s">
        <v>29</v>
      </c>
      <c r="B937">
        <v>897990</v>
      </c>
      <c r="C937">
        <v>898229</v>
      </c>
      <c r="D937">
        <v>1</v>
      </c>
      <c r="E937" t="s">
        <v>76</v>
      </c>
      <c r="F937" t="s">
        <v>3109</v>
      </c>
      <c r="I937" t="s">
        <v>49</v>
      </c>
      <c r="L937" t="s">
        <v>3110</v>
      </c>
      <c r="M937" t="s">
        <v>3109</v>
      </c>
      <c r="N937">
        <v>79</v>
      </c>
      <c r="O937" t="s">
        <v>3111</v>
      </c>
    </row>
    <row r="938" spans="1:15" ht="15.75" customHeight="1">
      <c r="A938" t="s">
        <v>29</v>
      </c>
      <c r="B938">
        <v>898229</v>
      </c>
      <c r="C938">
        <v>898372</v>
      </c>
      <c r="D938">
        <v>1</v>
      </c>
      <c r="E938" t="s">
        <v>76</v>
      </c>
      <c r="F938" t="s">
        <v>3112</v>
      </c>
      <c r="I938" t="s">
        <v>49</v>
      </c>
      <c r="L938" t="s">
        <v>3113</v>
      </c>
      <c r="M938" t="s">
        <v>3112</v>
      </c>
      <c r="N938">
        <v>47</v>
      </c>
      <c r="O938" t="s">
        <v>3114</v>
      </c>
    </row>
    <row r="939" spans="1:15" ht="15.75" customHeight="1">
      <c r="A939" t="s">
        <v>29</v>
      </c>
      <c r="B939">
        <v>898384</v>
      </c>
      <c r="C939">
        <v>899211</v>
      </c>
      <c r="D939">
        <v>1</v>
      </c>
      <c r="E939" t="s">
        <v>76</v>
      </c>
      <c r="F939" t="s">
        <v>3115</v>
      </c>
      <c r="G939" t="s">
        <v>3116</v>
      </c>
      <c r="I939" t="s">
        <v>49</v>
      </c>
      <c r="L939" t="s">
        <v>3117</v>
      </c>
      <c r="M939" t="s">
        <v>3115</v>
      </c>
      <c r="N939">
        <v>275</v>
      </c>
      <c r="O939" t="s">
        <v>3118</v>
      </c>
    </row>
    <row r="940" spans="1:15" ht="15.75" customHeight="1">
      <c r="A940" t="s">
        <v>29</v>
      </c>
      <c r="B940">
        <v>899345</v>
      </c>
      <c r="C940">
        <v>899572</v>
      </c>
      <c r="D940">
        <v>1</v>
      </c>
      <c r="E940" t="s">
        <v>47</v>
      </c>
      <c r="F940" t="s">
        <v>3119</v>
      </c>
      <c r="I940" t="s">
        <v>49</v>
      </c>
      <c r="L940" t="s">
        <v>3120</v>
      </c>
      <c r="M940" t="s">
        <v>3119</v>
      </c>
      <c r="N940">
        <v>75</v>
      </c>
      <c r="O940" t="s">
        <v>3121</v>
      </c>
    </row>
    <row r="941" spans="1:15" ht="15.75" customHeight="1">
      <c r="A941" t="s">
        <v>29</v>
      </c>
      <c r="B941">
        <v>899526</v>
      </c>
      <c r="C941">
        <v>899801</v>
      </c>
      <c r="D941">
        <v>1</v>
      </c>
      <c r="E941" t="s">
        <v>47</v>
      </c>
      <c r="F941" t="s">
        <v>3119</v>
      </c>
      <c r="I941" t="s">
        <v>49</v>
      </c>
      <c r="L941" t="s">
        <v>3122</v>
      </c>
      <c r="M941" t="s">
        <v>3119</v>
      </c>
      <c r="N941">
        <v>91</v>
      </c>
      <c r="O941" t="s">
        <v>3123</v>
      </c>
    </row>
    <row r="942" spans="1:15" ht="15.75" customHeight="1">
      <c r="A942" t="s">
        <v>29</v>
      </c>
      <c r="B942">
        <v>900005</v>
      </c>
      <c r="C942">
        <v>900250</v>
      </c>
      <c r="D942">
        <v>1</v>
      </c>
      <c r="E942" t="s">
        <v>47</v>
      </c>
      <c r="F942" t="s">
        <v>3124</v>
      </c>
      <c r="I942" t="s">
        <v>49</v>
      </c>
      <c r="L942" t="s">
        <v>3125</v>
      </c>
      <c r="M942" t="s">
        <v>3124</v>
      </c>
      <c r="N942">
        <v>81</v>
      </c>
      <c r="O942" t="s">
        <v>3126</v>
      </c>
    </row>
    <row r="943" spans="1:15" ht="15.75" customHeight="1">
      <c r="A943" t="s">
        <v>29</v>
      </c>
      <c r="B943">
        <v>900456</v>
      </c>
      <c r="C943">
        <v>902201</v>
      </c>
      <c r="D943">
        <v>1</v>
      </c>
      <c r="E943" t="s">
        <v>47</v>
      </c>
      <c r="F943" t="s">
        <v>2320</v>
      </c>
      <c r="G943" t="s">
        <v>3127</v>
      </c>
      <c r="I943" t="s">
        <v>49</v>
      </c>
      <c r="L943" t="s">
        <v>3128</v>
      </c>
      <c r="M943" t="s">
        <v>2320</v>
      </c>
      <c r="N943">
        <v>581</v>
      </c>
      <c r="O943" t="s">
        <v>3129</v>
      </c>
    </row>
    <row r="944" spans="1:15" ht="15.75" customHeight="1">
      <c r="A944" t="s">
        <v>29</v>
      </c>
      <c r="B944">
        <v>902191</v>
      </c>
      <c r="C944">
        <v>903942</v>
      </c>
      <c r="D944">
        <v>1</v>
      </c>
      <c r="E944" t="s">
        <v>47</v>
      </c>
      <c r="F944" t="s">
        <v>218</v>
      </c>
      <c r="G944" t="s">
        <v>3130</v>
      </c>
      <c r="I944" t="s">
        <v>49</v>
      </c>
      <c r="L944" t="s">
        <v>3131</v>
      </c>
      <c r="M944" t="s">
        <v>218</v>
      </c>
      <c r="N944">
        <v>583</v>
      </c>
      <c r="O944" t="s">
        <v>3132</v>
      </c>
    </row>
    <row r="945" spans="1:15" ht="15.75" customHeight="1">
      <c r="A945" t="s">
        <v>29</v>
      </c>
      <c r="B945">
        <v>904115</v>
      </c>
      <c r="C945">
        <v>904807</v>
      </c>
      <c r="D945">
        <v>1</v>
      </c>
      <c r="E945" t="s">
        <v>47</v>
      </c>
      <c r="F945" t="s">
        <v>3133</v>
      </c>
      <c r="G945" t="s">
        <v>3134</v>
      </c>
      <c r="I945" t="s">
        <v>49</v>
      </c>
      <c r="L945" t="s">
        <v>3135</v>
      </c>
      <c r="M945" t="s">
        <v>3133</v>
      </c>
      <c r="N945">
        <v>230</v>
      </c>
      <c r="O945" t="s">
        <v>3136</v>
      </c>
    </row>
    <row r="946" spans="1:15" ht="15.75" customHeight="1">
      <c r="A946" t="s">
        <v>29</v>
      </c>
      <c r="B946">
        <v>904850</v>
      </c>
      <c r="C946">
        <v>906076</v>
      </c>
      <c r="D946">
        <v>1</v>
      </c>
      <c r="E946" t="s">
        <v>47</v>
      </c>
      <c r="F946" t="s">
        <v>3137</v>
      </c>
      <c r="G946" t="s">
        <v>3138</v>
      </c>
      <c r="I946" t="s">
        <v>49</v>
      </c>
      <c r="L946" t="s">
        <v>3139</v>
      </c>
      <c r="M946" t="s">
        <v>3137</v>
      </c>
      <c r="N946">
        <v>408</v>
      </c>
      <c r="O946" t="s">
        <v>3140</v>
      </c>
    </row>
    <row r="947" spans="1:15" ht="15.75" customHeight="1">
      <c r="A947" t="s">
        <v>29</v>
      </c>
      <c r="B947">
        <v>907239</v>
      </c>
      <c r="C947">
        <v>909365</v>
      </c>
      <c r="D947">
        <v>1</v>
      </c>
      <c r="E947" t="s">
        <v>47</v>
      </c>
      <c r="F947" t="s">
        <v>1360</v>
      </c>
      <c r="G947" t="s">
        <v>3141</v>
      </c>
      <c r="I947" t="s">
        <v>49</v>
      </c>
      <c r="L947" t="s">
        <v>3142</v>
      </c>
      <c r="M947" t="s">
        <v>1360</v>
      </c>
      <c r="N947">
        <v>708</v>
      </c>
      <c r="O947" t="s">
        <v>3143</v>
      </c>
    </row>
    <row r="948" spans="1:15" ht="15.75" customHeight="1">
      <c r="A948" t="s">
        <v>29</v>
      </c>
      <c r="B948">
        <v>909349</v>
      </c>
      <c r="C948">
        <v>909645</v>
      </c>
      <c r="D948">
        <v>1</v>
      </c>
      <c r="E948" t="s">
        <v>47</v>
      </c>
      <c r="F948" t="s">
        <v>176</v>
      </c>
      <c r="I948" t="s">
        <v>49</v>
      </c>
      <c r="L948" t="s">
        <v>3144</v>
      </c>
      <c r="M948" t="s">
        <v>176</v>
      </c>
      <c r="N948">
        <v>98</v>
      </c>
      <c r="O948" t="s">
        <v>3145</v>
      </c>
    </row>
    <row r="949" spans="1:15" ht="15.75" customHeight="1">
      <c r="A949" t="s">
        <v>29</v>
      </c>
      <c r="B949">
        <v>910359</v>
      </c>
      <c r="C949">
        <v>911018</v>
      </c>
      <c r="D949">
        <v>1</v>
      </c>
      <c r="E949" t="s">
        <v>47</v>
      </c>
      <c r="F949" t="s">
        <v>3146</v>
      </c>
      <c r="I949" t="s">
        <v>49</v>
      </c>
      <c r="L949" t="s">
        <v>3147</v>
      </c>
      <c r="M949" t="s">
        <v>3146</v>
      </c>
      <c r="N949">
        <v>219</v>
      </c>
      <c r="O949" t="s">
        <v>3148</v>
      </c>
    </row>
    <row r="950" spans="1:15" ht="15.75" customHeight="1">
      <c r="A950" t="s">
        <v>29</v>
      </c>
      <c r="B950">
        <v>911043</v>
      </c>
      <c r="C950">
        <v>912110</v>
      </c>
      <c r="D950">
        <v>1</v>
      </c>
      <c r="E950" t="s">
        <v>47</v>
      </c>
      <c r="F950" t="s">
        <v>2957</v>
      </c>
      <c r="I950" t="s">
        <v>49</v>
      </c>
      <c r="L950" t="s">
        <v>3149</v>
      </c>
      <c r="M950" t="s">
        <v>2957</v>
      </c>
      <c r="N950">
        <v>355</v>
      </c>
      <c r="O950" t="s">
        <v>3150</v>
      </c>
    </row>
    <row r="951" spans="1:15" ht="15.75" customHeight="1">
      <c r="A951" t="s">
        <v>29</v>
      </c>
      <c r="B951">
        <v>912214</v>
      </c>
      <c r="C951">
        <v>913224</v>
      </c>
      <c r="D951">
        <v>1</v>
      </c>
      <c r="E951" t="s">
        <v>47</v>
      </c>
      <c r="F951" t="s">
        <v>3151</v>
      </c>
      <c r="G951" t="s">
        <v>3152</v>
      </c>
      <c r="I951" t="s">
        <v>49</v>
      </c>
      <c r="L951" t="s">
        <v>3153</v>
      </c>
      <c r="M951" t="s">
        <v>3151</v>
      </c>
      <c r="N951">
        <v>336</v>
      </c>
      <c r="O951" t="s">
        <v>3154</v>
      </c>
    </row>
    <row r="952" spans="1:15" ht="15.75" customHeight="1">
      <c r="A952" t="s">
        <v>29</v>
      </c>
      <c r="B952">
        <v>913236</v>
      </c>
      <c r="C952">
        <v>914927</v>
      </c>
      <c r="D952">
        <v>1</v>
      </c>
      <c r="E952" t="s">
        <v>47</v>
      </c>
      <c r="F952" t="s">
        <v>3155</v>
      </c>
      <c r="I952" t="s">
        <v>49</v>
      </c>
      <c r="L952" t="s">
        <v>3156</v>
      </c>
      <c r="M952" t="s">
        <v>3155</v>
      </c>
      <c r="N952">
        <v>563</v>
      </c>
      <c r="O952" t="s">
        <v>3157</v>
      </c>
    </row>
    <row r="953" spans="1:15" ht="15.75" customHeight="1">
      <c r="A953" t="s">
        <v>29</v>
      </c>
      <c r="B953">
        <v>914930</v>
      </c>
      <c r="C953">
        <v>915640</v>
      </c>
      <c r="D953">
        <v>1</v>
      </c>
      <c r="E953" t="s">
        <v>47</v>
      </c>
      <c r="F953" t="s">
        <v>3158</v>
      </c>
      <c r="G953" t="s">
        <v>3159</v>
      </c>
      <c r="I953" t="s">
        <v>49</v>
      </c>
      <c r="L953" t="s">
        <v>3160</v>
      </c>
      <c r="M953" t="s">
        <v>3158</v>
      </c>
      <c r="N953">
        <v>236</v>
      </c>
      <c r="O953" t="s">
        <v>3161</v>
      </c>
    </row>
    <row r="954" spans="1:15" ht="15.75" customHeight="1">
      <c r="A954" t="s">
        <v>29</v>
      </c>
      <c r="B954">
        <v>915736</v>
      </c>
      <c r="C954">
        <v>916104</v>
      </c>
      <c r="D954">
        <v>1</v>
      </c>
      <c r="E954" t="s">
        <v>47</v>
      </c>
      <c r="F954" t="s">
        <v>176</v>
      </c>
      <c r="I954" t="s">
        <v>49</v>
      </c>
      <c r="L954" t="s">
        <v>3162</v>
      </c>
      <c r="M954" t="s">
        <v>176</v>
      </c>
      <c r="N954">
        <v>122</v>
      </c>
      <c r="O954" t="s">
        <v>3163</v>
      </c>
    </row>
    <row r="955" spans="1:15" ht="15.75" customHeight="1">
      <c r="A955" t="s">
        <v>29</v>
      </c>
      <c r="B955">
        <v>916212</v>
      </c>
      <c r="C955">
        <v>917213</v>
      </c>
      <c r="D955">
        <v>1</v>
      </c>
      <c r="E955" t="s">
        <v>47</v>
      </c>
      <c r="F955" t="s">
        <v>3164</v>
      </c>
      <c r="G955" t="s">
        <v>3165</v>
      </c>
      <c r="I955" t="s">
        <v>49</v>
      </c>
      <c r="L955" t="s">
        <v>3166</v>
      </c>
      <c r="M955" t="s">
        <v>3164</v>
      </c>
      <c r="N955">
        <v>333</v>
      </c>
      <c r="O955" t="s">
        <v>3167</v>
      </c>
    </row>
    <row r="956" spans="1:15" ht="15.75" customHeight="1">
      <c r="A956" t="s">
        <v>29</v>
      </c>
      <c r="B956">
        <v>918444</v>
      </c>
      <c r="C956">
        <v>919805</v>
      </c>
      <c r="D956">
        <v>1</v>
      </c>
      <c r="E956" t="s">
        <v>47</v>
      </c>
      <c r="F956" t="s">
        <v>3168</v>
      </c>
      <c r="G956" t="s">
        <v>3169</v>
      </c>
      <c r="I956" t="s">
        <v>49</v>
      </c>
      <c r="L956" t="s">
        <v>3170</v>
      </c>
      <c r="M956" t="s">
        <v>3168</v>
      </c>
      <c r="N956">
        <v>453</v>
      </c>
      <c r="O956" t="s">
        <v>3171</v>
      </c>
    </row>
    <row r="957" spans="1:15" ht="15.75" customHeight="1">
      <c r="A957" t="s">
        <v>29</v>
      </c>
      <c r="B957">
        <v>919802</v>
      </c>
      <c r="C957">
        <v>920368</v>
      </c>
      <c r="D957">
        <v>1</v>
      </c>
      <c r="E957" t="s">
        <v>47</v>
      </c>
      <c r="F957" t="s">
        <v>3172</v>
      </c>
      <c r="G957" t="s">
        <v>3173</v>
      </c>
      <c r="I957" t="s">
        <v>49</v>
      </c>
      <c r="L957" t="s">
        <v>3174</v>
      </c>
      <c r="M957" t="s">
        <v>3172</v>
      </c>
      <c r="N957">
        <v>188</v>
      </c>
      <c r="O957" t="s">
        <v>3175</v>
      </c>
    </row>
    <row r="958" spans="1:15" ht="15.75" customHeight="1">
      <c r="A958" t="s">
        <v>29</v>
      </c>
      <c r="B958">
        <v>920379</v>
      </c>
      <c r="C958">
        <v>921383</v>
      </c>
      <c r="D958">
        <v>1</v>
      </c>
      <c r="E958" t="s">
        <v>47</v>
      </c>
      <c r="F958" t="s">
        <v>3176</v>
      </c>
      <c r="G958" t="s">
        <v>3177</v>
      </c>
      <c r="I958" t="s">
        <v>49</v>
      </c>
      <c r="L958" t="s">
        <v>3178</v>
      </c>
      <c r="M958" t="s">
        <v>3176</v>
      </c>
      <c r="N958">
        <v>334</v>
      </c>
      <c r="O958" t="s">
        <v>3179</v>
      </c>
    </row>
    <row r="959" spans="1:15" ht="15.75" customHeight="1">
      <c r="A959" t="s">
        <v>29</v>
      </c>
      <c r="B959">
        <v>921380</v>
      </c>
      <c r="C959">
        <v>922147</v>
      </c>
      <c r="D959">
        <v>1</v>
      </c>
      <c r="E959" t="s">
        <v>47</v>
      </c>
      <c r="F959" t="s">
        <v>3180</v>
      </c>
      <c r="G959" t="s">
        <v>3181</v>
      </c>
      <c r="I959" t="s">
        <v>49</v>
      </c>
      <c r="L959" t="s">
        <v>3182</v>
      </c>
      <c r="M959" t="s">
        <v>3180</v>
      </c>
      <c r="N959">
        <v>255</v>
      </c>
      <c r="O959" t="s">
        <v>3183</v>
      </c>
    </row>
    <row r="960" spans="1:15" ht="15.75" customHeight="1">
      <c r="A960" t="s">
        <v>29</v>
      </c>
      <c r="B960">
        <v>922134</v>
      </c>
      <c r="C960">
        <v>922733</v>
      </c>
      <c r="D960">
        <v>1</v>
      </c>
      <c r="E960" t="s">
        <v>47</v>
      </c>
      <c r="F960" t="s">
        <v>3184</v>
      </c>
      <c r="G960" t="s">
        <v>3185</v>
      </c>
      <c r="I960" t="s">
        <v>49</v>
      </c>
      <c r="L960" t="s">
        <v>3186</v>
      </c>
      <c r="M960" t="s">
        <v>3184</v>
      </c>
      <c r="N960">
        <v>199</v>
      </c>
      <c r="O960" t="s">
        <v>3187</v>
      </c>
    </row>
    <row r="961" spans="1:15" ht="15.75" customHeight="1">
      <c r="A961" t="s">
        <v>29</v>
      </c>
      <c r="B961">
        <v>922711</v>
      </c>
      <c r="C961">
        <v>923934</v>
      </c>
      <c r="D961">
        <v>1</v>
      </c>
      <c r="E961" t="s">
        <v>47</v>
      </c>
      <c r="F961" t="s">
        <v>3188</v>
      </c>
      <c r="G961" t="s">
        <v>3189</v>
      </c>
      <c r="I961" t="s">
        <v>49</v>
      </c>
      <c r="L961" t="s">
        <v>3190</v>
      </c>
      <c r="M961" t="s">
        <v>3188</v>
      </c>
      <c r="N961">
        <v>407</v>
      </c>
      <c r="O961" t="s">
        <v>3191</v>
      </c>
    </row>
    <row r="962" spans="1:15" ht="15.75" customHeight="1">
      <c r="A962" t="s">
        <v>29</v>
      </c>
      <c r="B962">
        <v>923927</v>
      </c>
      <c r="C962">
        <v>924703</v>
      </c>
      <c r="D962">
        <v>1</v>
      </c>
      <c r="E962" t="s">
        <v>47</v>
      </c>
      <c r="F962" t="s">
        <v>3192</v>
      </c>
      <c r="G962" t="s">
        <v>3193</v>
      </c>
      <c r="I962" t="s">
        <v>49</v>
      </c>
      <c r="L962" t="s">
        <v>3194</v>
      </c>
      <c r="M962" t="s">
        <v>3192</v>
      </c>
      <c r="N962">
        <v>258</v>
      </c>
      <c r="O962" t="s">
        <v>3195</v>
      </c>
    </row>
    <row r="963" spans="1:15" ht="15.75" customHeight="1">
      <c r="A963" t="s">
        <v>29</v>
      </c>
      <c r="B963">
        <v>925005</v>
      </c>
      <c r="C963">
        <v>925145</v>
      </c>
      <c r="D963">
        <v>1</v>
      </c>
      <c r="E963" t="s">
        <v>47</v>
      </c>
      <c r="F963" t="s">
        <v>176</v>
      </c>
      <c r="I963" t="s">
        <v>49</v>
      </c>
      <c r="L963" t="s">
        <v>3196</v>
      </c>
      <c r="M963" t="s">
        <v>176</v>
      </c>
      <c r="N963">
        <v>46</v>
      </c>
      <c r="O963" t="s">
        <v>3197</v>
      </c>
    </row>
    <row r="964" spans="1:15" ht="15.75" customHeight="1">
      <c r="A964" t="s">
        <v>29</v>
      </c>
      <c r="B964">
        <v>925182</v>
      </c>
      <c r="C964">
        <v>925736</v>
      </c>
      <c r="D964">
        <v>1</v>
      </c>
      <c r="E964" t="s">
        <v>47</v>
      </c>
      <c r="F964" t="s">
        <v>176</v>
      </c>
      <c r="I964" t="s">
        <v>49</v>
      </c>
      <c r="L964" t="s">
        <v>3198</v>
      </c>
      <c r="M964" t="s">
        <v>176</v>
      </c>
      <c r="N964">
        <v>184</v>
      </c>
      <c r="O964" t="s">
        <v>3199</v>
      </c>
    </row>
    <row r="965" spans="1:15" ht="15.75" customHeight="1">
      <c r="A965" t="s">
        <v>29</v>
      </c>
      <c r="B965">
        <v>925751</v>
      </c>
      <c r="C965">
        <v>926902</v>
      </c>
      <c r="D965">
        <v>1</v>
      </c>
      <c r="E965" t="s">
        <v>47</v>
      </c>
      <c r="F965" t="s">
        <v>607</v>
      </c>
      <c r="I965" t="s">
        <v>49</v>
      </c>
      <c r="L965" t="s">
        <v>3200</v>
      </c>
      <c r="M965" t="s">
        <v>607</v>
      </c>
      <c r="N965">
        <v>383</v>
      </c>
      <c r="O965" t="s">
        <v>3201</v>
      </c>
    </row>
    <row r="966" spans="1:15" ht="15.75" customHeight="1">
      <c r="A966" t="s">
        <v>29</v>
      </c>
      <c r="B966">
        <v>926954</v>
      </c>
      <c r="C966">
        <v>927613</v>
      </c>
      <c r="D966">
        <v>1</v>
      </c>
      <c r="E966" t="s">
        <v>76</v>
      </c>
      <c r="F966" t="s">
        <v>3202</v>
      </c>
      <c r="G966" t="s">
        <v>3203</v>
      </c>
      <c r="I966" t="s">
        <v>49</v>
      </c>
      <c r="L966" t="s">
        <v>3204</v>
      </c>
      <c r="M966" t="s">
        <v>3202</v>
      </c>
      <c r="N966">
        <v>219</v>
      </c>
      <c r="O966" t="s">
        <v>3205</v>
      </c>
    </row>
    <row r="967" spans="1:15" ht="15.75" customHeight="1">
      <c r="A967" t="s">
        <v>29</v>
      </c>
      <c r="B967">
        <v>927683</v>
      </c>
      <c r="C967">
        <v>928129</v>
      </c>
      <c r="D967">
        <v>1</v>
      </c>
      <c r="E967" t="s">
        <v>47</v>
      </c>
      <c r="F967" t="s">
        <v>1040</v>
      </c>
      <c r="G967" t="s">
        <v>3206</v>
      </c>
      <c r="I967" t="s">
        <v>49</v>
      </c>
      <c r="L967" t="s">
        <v>3207</v>
      </c>
      <c r="M967" t="s">
        <v>1040</v>
      </c>
      <c r="N967">
        <v>148</v>
      </c>
      <c r="O967" t="s">
        <v>3208</v>
      </c>
    </row>
    <row r="968" spans="1:15" ht="15.75" customHeight="1">
      <c r="A968" t="s">
        <v>29</v>
      </c>
      <c r="B968">
        <v>928357</v>
      </c>
      <c r="C968">
        <v>929535</v>
      </c>
      <c r="D968">
        <v>1</v>
      </c>
      <c r="E968" t="s">
        <v>76</v>
      </c>
      <c r="F968" t="s">
        <v>3209</v>
      </c>
      <c r="G968" t="s">
        <v>3210</v>
      </c>
      <c r="I968" t="s">
        <v>49</v>
      </c>
      <c r="L968" t="s">
        <v>3211</v>
      </c>
      <c r="M968" t="s">
        <v>3209</v>
      </c>
      <c r="N968">
        <v>392</v>
      </c>
      <c r="O968" t="s">
        <v>3212</v>
      </c>
    </row>
    <row r="969" spans="1:15" ht="15.75" customHeight="1">
      <c r="A969" t="s">
        <v>29</v>
      </c>
      <c r="B969">
        <v>929815</v>
      </c>
      <c r="C969">
        <v>931077</v>
      </c>
      <c r="D969">
        <v>1</v>
      </c>
      <c r="E969" t="s">
        <v>47</v>
      </c>
      <c r="F969" t="s">
        <v>3213</v>
      </c>
      <c r="G969" t="s">
        <v>3214</v>
      </c>
      <c r="I969" t="s">
        <v>49</v>
      </c>
      <c r="L969" t="s">
        <v>3215</v>
      </c>
      <c r="M969" t="s">
        <v>3213</v>
      </c>
      <c r="N969">
        <v>420</v>
      </c>
      <c r="O969" t="s">
        <v>3216</v>
      </c>
    </row>
    <row r="970" spans="1:15" ht="15.75" customHeight="1">
      <c r="A970" t="s">
        <v>29</v>
      </c>
      <c r="B970">
        <v>931080</v>
      </c>
      <c r="C970">
        <v>931976</v>
      </c>
      <c r="D970">
        <v>1</v>
      </c>
      <c r="E970" t="s">
        <v>47</v>
      </c>
      <c r="F970" t="s">
        <v>3217</v>
      </c>
      <c r="I970" t="s">
        <v>49</v>
      </c>
      <c r="L970" t="s">
        <v>3218</v>
      </c>
      <c r="M970" t="s">
        <v>3217</v>
      </c>
      <c r="N970">
        <v>298</v>
      </c>
      <c r="O970" t="s">
        <v>3219</v>
      </c>
    </row>
    <row r="971" spans="1:15" ht="15.75" customHeight="1">
      <c r="A971" t="s">
        <v>29</v>
      </c>
      <c r="B971">
        <v>931981</v>
      </c>
      <c r="C971">
        <v>933666</v>
      </c>
      <c r="D971">
        <v>1</v>
      </c>
      <c r="E971" t="s">
        <v>47</v>
      </c>
      <c r="F971" t="s">
        <v>3220</v>
      </c>
      <c r="G971" t="s">
        <v>3221</v>
      </c>
      <c r="I971" t="s">
        <v>49</v>
      </c>
      <c r="L971" t="s">
        <v>3222</v>
      </c>
      <c r="M971" t="s">
        <v>3220</v>
      </c>
      <c r="N971">
        <v>561</v>
      </c>
      <c r="O971" t="s">
        <v>3223</v>
      </c>
    </row>
    <row r="972" spans="1:15" ht="15.75" customHeight="1">
      <c r="A972" t="s">
        <v>29</v>
      </c>
      <c r="B972">
        <v>933679</v>
      </c>
      <c r="C972">
        <v>933996</v>
      </c>
      <c r="D972">
        <v>1</v>
      </c>
      <c r="E972" t="s">
        <v>47</v>
      </c>
      <c r="F972" t="s">
        <v>3224</v>
      </c>
      <c r="G972" t="s">
        <v>3225</v>
      </c>
      <c r="I972" t="s">
        <v>49</v>
      </c>
      <c r="L972" t="s">
        <v>3226</v>
      </c>
      <c r="M972" t="s">
        <v>3224</v>
      </c>
      <c r="N972">
        <v>105</v>
      </c>
      <c r="O972" t="s">
        <v>3227</v>
      </c>
    </row>
    <row r="973" spans="1:15" ht="15.75" customHeight="1">
      <c r="A973" t="s">
        <v>29</v>
      </c>
      <c r="B973">
        <v>934013</v>
      </c>
      <c r="C973">
        <v>934330</v>
      </c>
      <c r="D973">
        <v>1</v>
      </c>
      <c r="E973" t="s">
        <v>47</v>
      </c>
      <c r="F973" t="s">
        <v>3228</v>
      </c>
      <c r="G973" t="s">
        <v>3229</v>
      </c>
      <c r="I973" t="s">
        <v>49</v>
      </c>
      <c r="L973" t="s">
        <v>3230</v>
      </c>
      <c r="M973" t="s">
        <v>3228</v>
      </c>
      <c r="N973">
        <v>105</v>
      </c>
      <c r="O973" t="s">
        <v>3231</v>
      </c>
    </row>
    <row r="974" spans="1:15" ht="15.75" customHeight="1">
      <c r="A974" t="s">
        <v>29</v>
      </c>
      <c r="B974">
        <v>934340</v>
      </c>
      <c r="C974">
        <v>935695</v>
      </c>
      <c r="D974">
        <v>1</v>
      </c>
      <c r="E974" t="s">
        <v>47</v>
      </c>
      <c r="F974" t="s">
        <v>3232</v>
      </c>
      <c r="G974" t="s">
        <v>3233</v>
      </c>
      <c r="I974" t="s">
        <v>49</v>
      </c>
      <c r="L974" t="s">
        <v>3234</v>
      </c>
      <c r="M974" t="s">
        <v>3232</v>
      </c>
      <c r="N974">
        <v>451</v>
      </c>
      <c r="O974" t="s">
        <v>3235</v>
      </c>
    </row>
    <row r="975" spans="1:15" ht="15.75" customHeight="1">
      <c r="A975" t="s">
        <v>29</v>
      </c>
      <c r="B975">
        <v>936018</v>
      </c>
      <c r="C975">
        <v>937493</v>
      </c>
      <c r="D975">
        <v>1</v>
      </c>
      <c r="E975" t="s">
        <v>47</v>
      </c>
      <c r="F975" t="s">
        <v>3236</v>
      </c>
      <c r="I975" t="s">
        <v>49</v>
      </c>
      <c r="L975" t="s">
        <v>3237</v>
      </c>
      <c r="M975" t="s">
        <v>3236</v>
      </c>
      <c r="N975">
        <v>491</v>
      </c>
      <c r="O975" t="s">
        <v>3238</v>
      </c>
    </row>
    <row r="976" spans="1:15" ht="15.75" customHeight="1">
      <c r="A976" t="s">
        <v>29</v>
      </c>
      <c r="B976">
        <v>937490</v>
      </c>
      <c r="C976">
        <v>938338</v>
      </c>
      <c r="D976">
        <v>1</v>
      </c>
      <c r="E976" t="s">
        <v>47</v>
      </c>
      <c r="F976" t="s">
        <v>3239</v>
      </c>
      <c r="G976" t="s">
        <v>3240</v>
      </c>
      <c r="I976" t="s">
        <v>49</v>
      </c>
      <c r="L976" t="s">
        <v>3241</v>
      </c>
      <c r="M976" t="s">
        <v>3239</v>
      </c>
      <c r="N976">
        <v>282</v>
      </c>
      <c r="O976" t="s">
        <v>3242</v>
      </c>
    </row>
    <row r="977" spans="1:15" ht="15.75" customHeight="1">
      <c r="A977" t="s">
        <v>29</v>
      </c>
      <c r="B977">
        <v>938353</v>
      </c>
      <c r="C977">
        <v>939123</v>
      </c>
      <c r="D977">
        <v>1</v>
      </c>
      <c r="E977" t="s">
        <v>47</v>
      </c>
      <c r="F977" t="s">
        <v>3243</v>
      </c>
      <c r="I977" t="s">
        <v>49</v>
      </c>
      <c r="L977" t="s">
        <v>3244</v>
      </c>
      <c r="M977" t="s">
        <v>3243</v>
      </c>
      <c r="N977">
        <v>256</v>
      </c>
      <c r="O977" t="s">
        <v>3245</v>
      </c>
    </row>
    <row r="978" spans="1:15" ht="15.75" customHeight="1">
      <c r="A978" t="s">
        <v>29</v>
      </c>
      <c r="B978">
        <v>940274</v>
      </c>
      <c r="C978">
        <v>940477</v>
      </c>
      <c r="D978">
        <v>1</v>
      </c>
      <c r="E978" t="s">
        <v>76</v>
      </c>
      <c r="F978" t="s">
        <v>3246</v>
      </c>
      <c r="I978" t="s">
        <v>49</v>
      </c>
      <c r="L978" t="s">
        <v>3247</v>
      </c>
      <c r="M978" t="s">
        <v>3246</v>
      </c>
      <c r="N978">
        <v>67</v>
      </c>
      <c r="O978" t="s">
        <v>3248</v>
      </c>
    </row>
    <row r="979" spans="1:15" ht="15.75" customHeight="1">
      <c r="A979" t="s">
        <v>29</v>
      </c>
      <c r="B979">
        <v>940508</v>
      </c>
      <c r="C979">
        <v>941116</v>
      </c>
      <c r="D979">
        <v>1</v>
      </c>
      <c r="E979" t="s">
        <v>76</v>
      </c>
      <c r="F979" t="s">
        <v>3249</v>
      </c>
      <c r="I979" t="s">
        <v>49</v>
      </c>
      <c r="L979" t="s">
        <v>3250</v>
      </c>
      <c r="M979" t="s">
        <v>3249</v>
      </c>
      <c r="N979">
        <v>202</v>
      </c>
      <c r="O979" t="s">
        <v>3251</v>
      </c>
    </row>
    <row r="980" spans="1:15" ht="15.75" customHeight="1">
      <c r="A980" t="s">
        <v>29</v>
      </c>
      <c r="B980">
        <v>941155</v>
      </c>
      <c r="C980">
        <v>941325</v>
      </c>
      <c r="D980">
        <v>1</v>
      </c>
      <c r="E980" t="s">
        <v>76</v>
      </c>
      <c r="F980" t="s">
        <v>571</v>
      </c>
      <c r="I980" t="s">
        <v>49</v>
      </c>
      <c r="L980" t="s">
        <v>3252</v>
      </c>
      <c r="M980" t="s">
        <v>571</v>
      </c>
      <c r="N980">
        <v>56</v>
      </c>
      <c r="O980" t="s">
        <v>3253</v>
      </c>
    </row>
    <row r="981" spans="1:15" ht="15.75" customHeight="1">
      <c r="A981" t="s">
        <v>29</v>
      </c>
      <c r="B981">
        <v>941337</v>
      </c>
      <c r="C981">
        <v>941903</v>
      </c>
      <c r="D981">
        <v>1</v>
      </c>
      <c r="E981" t="s">
        <v>76</v>
      </c>
      <c r="F981" t="s">
        <v>65</v>
      </c>
      <c r="I981" t="s">
        <v>49</v>
      </c>
      <c r="L981" t="s">
        <v>3254</v>
      </c>
      <c r="M981" t="s">
        <v>65</v>
      </c>
      <c r="N981">
        <v>188</v>
      </c>
      <c r="O981" t="s">
        <v>3255</v>
      </c>
    </row>
    <row r="982" spans="1:15" ht="15.75" customHeight="1">
      <c r="A982" t="s">
        <v>29</v>
      </c>
      <c r="B982">
        <v>941987</v>
      </c>
      <c r="C982">
        <v>942151</v>
      </c>
      <c r="D982">
        <v>1</v>
      </c>
      <c r="E982" t="s">
        <v>76</v>
      </c>
      <c r="F982" t="s">
        <v>3256</v>
      </c>
      <c r="I982" t="s">
        <v>49</v>
      </c>
      <c r="L982" t="s">
        <v>3257</v>
      </c>
      <c r="M982" t="s">
        <v>3256</v>
      </c>
      <c r="N982">
        <v>54</v>
      </c>
      <c r="O982" t="s">
        <v>3258</v>
      </c>
    </row>
    <row r="983" spans="1:15" ht="15.75" customHeight="1">
      <c r="A983" t="s">
        <v>29</v>
      </c>
      <c r="B983">
        <v>942594</v>
      </c>
      <c r="C983">
        <v>944066</v>
      </c>
      <c r="D983">
        <v>1</v>
      </c>
      <c r="E983" t="s">
        <v>47</v>
      </c>
      <c r="F983" t="s">
        <v>2631</v>
      </c>
      <c r="G983" t="s">
        <v>3259</v>
      </c>
      <c r="I983" t="s">
        <v>49</v>
      </c>
      <c r="L983" t="s">
        <v>3260</v>
      </c>
      <c r="M983" t="s">
        <v>2631</v>
      </c>
      <c r="N983">
        <v>490</v>
      </c>
      <c r="O983" t="s">
        <v>3261</v>
      </c>
    </row>
    <row r="984" spans="1:15" ht="15.75" customHeight="1">
      <c r="A984" t="s">
        <v>29</v>
      </c>
      <c r="B984">
        <v>944428</v>
      </c>
      <c r="C984">
        <v>945429</v>
      </c>
      <c r="D984">
        <v>1</v>
      </c>
      <c r="E984" t="s">
        <v>47</v>
      </c>
      <c r="F984" t="s">
        <v>3262</v>
      </c>
      <c r="G984" t="s">
        <v>3263</v>
      </c>
      <c r="I984" t="s">
        <v>49</v>
      </c>
      <c r="L984" t="s">
        <v>3264</v>
      </c>
      <c r="M984" t="s">
        <v>3262</v>
      </c>
      <c r="N984">
        <v>333</v>
      </c>
      <c r="O984" t="s">
        <v>3265</v>
      </c>
    </row>
    <row r="985" spans="1:15" ht="15.75" customHeight="1">
      <c r="A985" t="s">
        <v>29</v>
      </c>
      <c r="B985">
        <v>945578</v>
      </c>
      <c r="C985">
        <v>946495</v>
      </c>
      <c r="D985">
        <v>1</v>
      </c>
      <c r="E985" t="s">
        <v>47</v>
      </c>
      <c r="F985" t="s">
        <v>3266</v>
      </c>
      <c r="G985" t="s">
        <v>3267</v>
      </c>
      <c r="I985" t="s">
        <v>49</v>
      </c>
      <c r="L985" t="s">
        <v>3268</v>
      </c>
      <c r="M985" t="s">
        <v>3266</v>
      </c>
      <c r="N985">
        <v>305</v>
      </c>
      <c r="O985" t="s">
        <v>3269</v>
      </c>
    </row>
    <row r="986" spans="1:15" ht="15.75" customHeight="1">
      <c r="A986" t="s">
        <v>29</v>
      </c>
      <c r="B986">
        <v>946506</v>
      </c>
      <c r="C986">
        <v>947396</v>
      </c>
      <c r="D986">
        <v>1</v>
      </c>
      <c r="E986" t="s">
        <v>47</v>
      </c>
      <c r="F986" t="s">
        <v>140</v>
      </c>
      <c r="G986" t="s">
        <v>3270</v>
      </c>
      <c r="I986" t="s">
        <v>49</v>
      </c>
      <c r="L986" t="s">
        <v>3271</v>
      </c>
      <c r="M986" t="s">
        <v>140</v>
      </c>
      <c r="N986">
        <v>296</v>
      </c>
      <c r="O986" t="s">
        <v>3272</v>
      </c>
    </row>
    <row r="987" spans="1:15" ht="15.75" customHeight="1">
      <c r="A987" t="s">
        <v>29</v>
      </c>
      <c r="B987">
        <v>947425</v>
      </c>
      <c r="C987">
        <v>949041</v>
      </c>
      <c r="D987">
        <v>1</v>
      </c>
      <c r="E987" t="s">
        <v>47</v>
      </c>
      <c r="F987" t="s">
        <v>2957</v>
      </c>
      <c r="G987" t="s">
        <v>3273</v>
      </c>
      <c r="I987" t="s">
        <v>49</v>
      </c>
      <c r="L987" t="s">
        <v>3274</v>
      </c>
      <c r="M987" t="s">
        <v>2957</v>
      </c>
      <c r="N987">
        <v>538</v>
      </c>
      <c r="O987" t="s">
        <v>3275</v>
      </c>
    </row>
    <row r="988" spans="1:15" ht="15.75" customHeight="1">
      <c r="A988" t="s">
        <v>29</v>
      </c>
      <c r="B988">
        <v>949051</v>
      </c>
      <c r="C988">
        <v>950370</v>
      </c>
      <c r="D988">
        <v>1</v>
      </c>
      <c r="E988" t="s">
        <v>47</v>
      </c>
      <c r="F988" t="s">
        <v>3276</v>
      </c>
      <c r="G988" t="s">
        <v>3277</v>
      </c>
      <c r="I988" t="s">
        <v>49</v>
      </c>
      <c r="L988" t="s">
        <v>3278</v>
      </c>
      <c r="M988" t="s">
        <v>3276</v>
      </c>
      <c r="N988">
        <v>439</v>
      </c>
      <c r="O988" t="s">
        <v>3279</v>
      </c>
    </row>
    <row r="989" spans="1:15" ht="15.75" customHeight="1">
      <c r="A989" t="s">
        <v>29</v>
      </c>
      <c r="B989">
        <v>950576</v>
      </c>
      <c r="C989">
        <v>950651</v>
      </c>
      <c r="D989">
        <v>1</v>
      </c>
      <c r="E989" t="s">
        <v>76</v>
      </c>
      <c r="F989" t="s">
        <v>2568</v>
      </c>
      <c r="I989" t="s">
        <v>1724</v>
      </c>
      <c r="O989" t="s">
        <v>3280</v>
      </c>
    </row>
    <row r="990" spans="1:15" ht="15.75" customHeight="1">
      <c r="A990" t="s">
        <v>29</v>
      </c>
      <c r="B990">
        <v>950915</v>
      </c>
      <c r="C990">
        <v>952186</v>
      </c>
      <c r="D990">
        <v>1</v>
      </c>
      <c r="E990" t="s">
        <v>76</v>
      </c>
      <c r="F990" t="s">
        <v>3281</v>
      </c>
      <c r="G990" t="s">
        <v>3282</v>
      </c>
      <c r="I990" t="s">
        <v>49</v>
      </c>
      <c r="L990" t="s">
        <v>3283</v>
      </c>
      <c r="M990" t="s">
        <v>3281</v>
      </c>
      <c r="N990">
        <v>423</v>
      </c>
      <c r="O990" t="s">
        <v>3284</v>
      </c>
    </row>
    <row r="991" spans="1:15" ht="15.75" customHeight="1">
      <c r="A991" t="s">
        <v>29</v>
      </c>
      <c r="B991">
        <v>952456</v>
      </c>
      <c r="C991">
        <v>952695</v>
      </c>
      <c r="D991">
        <v>1</v>
      </c>
      <c r="E991" t="s">
        <v>47</v>
      </c>
      <c r="F991" t="s">
        <v>176</v>
      </c>
      <c r="I991" t="s">
        <v>49</v>
      </c>
      <c r="L991" t="s">
        <v>3285</v>
      </c>
      <c r="M991" t="s">
        <v>176</v>
      </c>
      <c r="N991">
        <v>79</v>
      </c>
      <c r="O991" t="s">
        <v>3286</v>
      </c>
    </row>
    <row r="992" spans="1:15" ht="15.75" customHeight="1">
      <c r="A992" t="s">
        <v>29</v>
      </c>
      <c r="B992">
        <v>952685</v>
      </c>
      <c r="C992">
        <v>952933</v>
      </c>
      <c r="D992">
        <v>1</v>
      </c>
      <c r="E992" t="s">
        <v>47</v>
      </c>
      <c r="F992" t="s">
        <v>176</v>
      </c>
      <c r="I992" t="s">
        <v>49</v>
      </c>
      <c r="L992" t="s">
        <v>3287</v>
      </c>
      <c r="M992" t="s">
        <v>176</v>
      </c>
      <c r="N992">
        <v>82</v>
      </c>
      <c r="O992" t="s">
        <v>3288</v>
      </c>
    </row>
    <row r="993" spans="1:15" ht="15.75" customHeight="1">
      <c r="A993" t="s">
        <v>29</v>
      </c>
      <c r="B993">
        <v>953286</v>
      </c>
      <c r="C993">
        <v>953738</v>
      </c>
      <c r="D993">
        <v>1</v>
      </c>
      <c r="E993" t="s">
        <v>47</v>
      </c>
      <c r="F993" t="s">
        <v>3289</v>
      </c>
      <c r="I993" t="s">
        <v>49</v>
      </c>
      <c r="L993" t="s">
        <v>3290</v>
      </c>
      <c r="M993" t="s">
        <v>3289</v>
      </c>
      <c r="N993">
        <v>150</v>
      </c>
      <c r="O993" t="s">
        <v>3291</v>
      </c>
    </row>
    <row r="994" spans="1:15" ht="15.75" customHeight="1">
      <c r="A994" t="s">
        <v>29</v>
      </c>
      <c r="B994">
        <v>954029</v>
      </c>
      <c r="C994">
        <v>954499</v>
      </c>
      <c r="D994">
        <v>1</v>
      </c>
      <c r="E994" t="s">
        <v>47</v>
      </c>
      <c r="F994" t="s">
        <v>3292</v>
      </c>
      <c r="I994" t="s">
        <v>49</v>
      </c>
      <c r="L994" t="s">
        <v>3293</v>
      </c>
      <c r="M994" t="s">
        <v>3292</v>
      </c>
      <c r="N994">
        <v>156</v>
      </c>
      <c r="O994" t="s">
        <v>3294</v>
      </c>
    </row>
    <row r="995" spans="1:15" ht="15.75" customHeight="1">
      <c r="A995" t="s">
        <v>29</v>
      </c>
      <c r="B995">
        <v>954518</v>
      </c>
      <c r="C995">
        <v>955606</v>
      </c>
      <c r="D995">
        <v>1</v>
      </c>
      <c r="E995" t="s">
        <v>47</v>
      </c>
      <c r="F995" t="s">
        <v>3295</v>
      </c>
      <c r="I995" t="s">
        <v>49</v>
      </c>
      <c r="L995" t="s">
        <v>3296</v>
      </c>
      <c r="M995" t="s">
        <v>3295</v>
      </c>
      <c r="N995">
        <v>362</v>
      </c>
      <c r="O995" t="s">
        <v>3297</v>
      </c>
    </row>
    <row r="996" spans="1:15" ht="15.75" customHeight="1">
      <c r="A996" t="s">
        <v>29</v>
      </c>
      <c r="B996">
        <v>955587</v>
      </c>
      <c r="C996">
        <v>955745</v>
      </c>
      <c r="D996">
        <v>1</v>
      </c>
      <c r="E996" t="s">
        <v>47</v>
      </c>
      <c r="F996" t="s">
        <v>3298</v>
      </c>
      <c r="I996" t="s">
        <v>49</v>
      </c>
      <c r="L996" t="s">
        <v>3299</v>
      </c>
      <c r="M996" t="s">
        <v>3298</v>
      </c>
      <c r="N996">
        <v>52</v>
      </c>
      <c r="O996" t="s">
        <v>3300</v>
      </c>
    </row>
    <row r="997" spans="1:15" ht="15.75" customHeight="1">
      <c r="A997" t="s">
        <v>29</v>
      </c>
      <c r="B997">
        <v>955855</v>
      </c>
      <c r="C997">
        <v>956889</v>
      </c>
      <c r="D997">
        <v>1</v>
      </c>
      <c r="E997" t="s">
        <v>47</v>
      </c>
      <c r="F997" t="s">
        <v>3301</v>
      </c>
      <c r="G997" t="s">
        <v>3302</v>
      </c>
      <c r="I997" t="s">
        <v>49</v>
      </c>
      <c r="L997" t="s">
        <v>3303</v>
      </c>
      <c r="M997" t="s">
        <v>3301</v>
      </c>
      <c r="N997">
        <v>344</v>
      </c>
      <c r="O997" t="s">
        <v>3304</v>
      </c>
    </row>
    <row r="998" spans="1:15" ht="15.75" customHeight="1">
      <c r="A998" t="s">
        <v>29</v>
      </c>
      <c r="B998">
        <v>956891</v>
      </c>
      <c r="C998">
        <v>959134</v>
      </c>
      <c r="D998">
        <v>1</v>
      </c>
      <c r="E998" t="s">
        <v>47</v>
      </c>
      <c r="F998" t="s">
        <v>3305</v>
      </c>
      <c r="I998" t="s">
        <v>49</v>
      </c>
      <c r="L998" t="s">
        <v>3306</v>
      </c>
      <c r="M998" t="s">
        <v>3305</v>
      </c>
      <c r="N998">
        <v>747</v>
      </c>
      <c r="O998" t="s">
        <v>3307</v>
      </c>
    </row>
    <row r="999" spans="1:15" ht="15.75" customHeight="1">
      <c r="A999" t="s">
        <v>29</v>
      </c>
      <c r="B999">
        <v>959185</v>
      </c>
      <c r="C999">
        <v>959628</v>
      </c>
      <c r="D999">
        <v>1</v>
      </c>
      <c r="E999" t="s">
        <v>47</v>
      </c>
      <c r="F999" t="s">
        <v>3308</v>
      </c>
      <c r="I999" t="s">
        <v>49</v>
      </c>
      <c r="L999" t="s">
        <v>3309</v>
      </c>
      <c r="M999" t="s">
        <v>3308</v>
      </c>
      <c r="N999">
        <v>147</v>
      </c>
      <c r="O999" t="s">
        <v>3310</v>
      </c>
    </row>
    <row r="1000" spans="1:15" ht="15.75" customHeight="1">
      <c r="A1000" t="s">
        <v>29</v>
      </c>
      <c r="B1000">
        <v>959638</v>
      </c>
      <c r="C1000">
        <v>960204</v>
      </c>
      <c r="D1000">
        <v>1</v>
      </c>
      <c r="E1000" t="s">
        <v>47</v>
      </c>
      <c r="F1000" t="s">
        <v>3308</v>
      </c>
      <c r="I1000" t="s">
        <v>49</v>
      </c>
      <c r="L1000" t="s">
        <v>3311</v>
      </c>
      <c r="M1000" t="s">
        <v>3308</v>
      </c>
      <c r="N1000">
        <v>188</v>
      </c>
      <c r="O1000" t="s">
        <v>3312</v>
      </c>
    </row>
    <row r="1001" spans="1:15" ht="14.5">
      <c r="A1001" t="s">
        <v>29</v>
      </c>
      <c r="B1001">
        <v>960217</v>
      </c>
      <c r="C1001">
        <v>961167</v>
      </c>
      <c r="D1001">
        <v>1</v>
      </c>
      <c r="E1001" t="s">
        <v>47</v>
      </c>
      <c r="F1001" t="s">
        <v>3313</v>
      </c>
      <c r="G1001" t="s">
        <v>3314</v>
      </c>
      <c r="I1001" t="s">
        <v>49</v>
      </c>
      <c r="L1001" t="s">
        <v>3315</v>
      </c>
      <c r="M1001" t="s">
        <v>3313</v>
      </c>
      <c r="N1001">
        <v>316</v>
      </c>
      <c r="O1001" t="s">
        <v>3316</v>
      </c>
    </row>
    <row r="1002" spans="1:15" ht="14.5">
      <c r="A1002" t="s">
        <v>29</v>
      </c>
      <c r="B1002">
        <v>961169</v>
      </c>
      <c r="C1002">
        <v>961912</v>
      </c>
      <c r="D1002">
        <v>1</v>
      </c>
      <c r="E1002" t="s">
        <v>47</v>
      </c>
      <c r="F1002" t="s">
        <v>3317</v>
      </c>
      <c r="G1002" t="s">
        <v>3318</v>
      </c>
      <c r="I1002" t="s">
        <v>49</v>
      </c>
      <c r="L1002" t="s">
        <v>3319</v>
      </c>
      <c r="M1002" t="s">
        <v>3317</v>
      </c>
      <c r="N1002">
        <v>247</v>
      </c>
      <c r="O1002" t="s">
        <v>3320</v>
      </c>
    </row>
    <row r="1003" spans="1:15" ht="14.5">
      <c r="A1003" t="s">
        <v>29</v>
      </c>
      <c r="B1003">
        <v>961923</v>
      </c>
      <c r="C1003">
        <v>963719</v>
      </c>
      <c r="D1003">
        <v>1</v>
      </c>
      <c r="E1003" t="s">
        <v>47</v>
      </c>
      <c r="F1003" t="s">
        <v>3321</v>
      </c>
      <c r="G1003" t="s">
        <v>3322</v>
      </c>
      <c r="I1003" t="s">
        <v>49</v>
      </c>
      <c r="L1003" t="s">
        <v>3323</v>
      </c>
      <c r="M1003" t="s">
        <v>3321</v>
      </c>
      <c r="N1003">
        <v>598</v>
      </c>
      <c r="O1003" t="s">
        <v>3324</v>
      </c>
    </row>
    <row r="1004" spans="1:15" ht="14.5">
      <c r="A1004" t="s">
        <v>29</v>
      </c>
      <c r="B1004">
        <v>963780</v>
      </c>
      <c r="C1004">
        <v>964457</v>
      </c>
      <c r="D1004">
        <v>1</v>
      </c>
      <c r="E1004" t="s">
        <v>76</v>
      </c>
      <c r="F1004" t="s">
        <v>3325</v>
      </c>
      <c r="I1004" t="s">
        <v>49</v>
      </c>
      <c r="L1004" t="s">
        <v>3326</v>
      </c>
      <c r="M1004" t="s">
        <v>3325</v>
      </c>
      <c r="N1004">
        <v>225</v>
      </c>
      <c r="O1004" t="s">
        <v>3327</v>
      </c>
    </row>
    <row r="1005" spans="1:15" ht="14.5">
      <c r="A1005" t="s">
        <v>29</v>
      </c>
      <c r="B1005">
        <v>964704</v>
      </c>
      <c r="C1005">
        <v>965474</v>
      </c>
      <c r="D1005">
        <v>1</v>
      </c>
      <c r="E1005" t="s">
        <v>47</v>
      </c>
      <c r="F1005" t="s">
        <v>3328</v>
      </c>
      <c r="G1005" t="s">
        <v>3329</v>
      </c>
      <c r="I1005" t="s">
        <v>49</v>
      </c>
      <c r="L1005" t="s">
        <v>3330</v>
      </c>
      <c r="M1005" t="s">
        <v>3328</v>
      </c>
      <c r="N1005">
        <v>256</v>
      </c>
      <c r="O1005" t="s">
        <v>3331</v>
      </c>
    </row>
    <row r="1006" spans="1:15" ht="14.5">
      <c r="A1006" t="s">
        <v>29</v>
      </c>
      <c r="B1006">
        <v>965467</v>
      </c>
      <c r="C1006">
        <v>966231</v>
      </c>
      <c r="D1006">
        <v>1</v>
      </c>
      <c r="E1006" t="s">
        <v>47</v>
      </c>
      <c r="F1006" t="s">
        <v>3332</v>
      </c>
      <c r="G1006" t="s">
        <v>3333</v>
      </c>
      <c r="I1006" t="s">
        <v>49</v>
      </c>
      <c r="L1006" t="s">
        <v>3334</v>
      </c>
      <c r="M1006" t="s">
        <v>3332</v>
      </c>
      <c r="N1006">
        <v>254</v>
      </c>
      <c r="O1006" t="s">
        <v>3335</v>
      </c>
    </row>
    <row r="1007" spans="1:15" ht="14.5">
      <c r="A1007" t="s">
        <v>29</v>
      </c>
      <c r="B1007">
        <v>966638</v>
      </c>
      <c r="C1007">
        <v>967429</v>
      </c>
      <c r="D1007">
        <v>1</v>
      </c>
      <c r="E1007" t="s">
        <v>47</v>
      </c>
      <c r="F1007" t="s">
        <v>3336</v>
      </c>
      <c r="G1007" t="s">
        <v>3337</v>
      </c>
      <c r="I1007" t="s">
        <v>49</v>
      </c>
      <c r="L1007" t="s">
        <v>3338</v>
      </c>
      <c r="M1007" t="s">
        <v>3336</v>
      </c>
      <c r="N1007">
        <v>263</v>
      </c>
      <c r="O1007" t="s">
        <v>3339</v>
      </c>
    </row>
    <row r="1008" spans="1:15" ht="14.5">
      <c r="A1008" t="s">
        <v>29</v>
      </c>
      <c r="B1008">
        <v>967540</v>
      </c>
      <c r="C1008">
        <v>968208</v>
      </c>
      <c r="D1008">
        <v>1</v>
      </c>
      <c r="E1008" t="s">
        <v>47</v>
      </c>
      <c r="F1008" t="s">
        <v>3340</v>
      </c>
      <c r="G1008" t="s">
        <v>3341</v>
      </c>
      <c r="I1008" t="s">
        <v>49</v>
      </c>
      <c r="L1008" t="s">
        <v>3342</v>
      </c>
      <c r="M1008" t="s">
        <v>3340</v>
      </c>
      <c r="N1008">
        <v>222</v>
      </c>
      <c r="O1008" t="s">
        <v>3343</v>
      </c>
    </row>
    <row r="1009" spans="1:15" ht="14.5">
      <c r="A1009" t="s">
        <v>29</v>
      </c>
      <c r="B1009">
        <v>968233</v>
      </c>
      <c r="C1009">
        <v>968631</v>
      </c>
      <c r="D1009">
        <v>1</v>
      </c>
      <c r="E1009" t="s">
        <v>76</v>
      </c>
      <c r="F1009" t="s">
        <v>3344</v>
      </c>
      <c r="I1009" t="s">
        <v>49</v>
      </c>
      <c r="L1009" t="s">
        <v>3345</v>
      </c>
      <c r="M1009" t="s">
        <v>3344</v>
      </c>
      <c r="N1009">
        <v>132</v>
      </c>
      <c r="O1009" t="s">
        <v>3346</v>
      </c>
    </row>
    <row r="1010" spans="1:15" ht="14.5">
      <c r="A1010" t="s">
        <v>29</v>
      </c>
      <c r="B1010">
        <v>968643</v>
      </c>
      <c r="C1010">
        <v>969176</v>
      </c>
      <c r="D1010">
        <v>1</v>
      </c>
      <c r="E1010" t="s">
        <v>76</v>
      </c>
      <c r="F1010" t="s">
        <v>3347</v>
      </c>
      <c r="G1010" t="s">
        <v>3348</v>
      </c>
      <c r="I1010" t="s">
        <v>49</v>
      </c>
      <c r="L1010" t="s">
        <v>3349</v>
      </c>
      <c r="M1010" t="s">
        <v>3347</v>
      </c>
      <c r="N1010">
        <v>177</v>
      </c>
      <c r="O1010" t="s">
        <v>3350</v>
      </c>
    </row>
    <row r="1011" spans="1:15" ht="14.5">
      <c r="A1011" t="s">
        <v>29</v>
      </c>
      <c r="B1011">
        <v>969481</v>
      </c>
      <c r="C1011">
        <v>969795</v>
      </c>
      <c r="D1011">
        <v>1</v>
      </c>
      <c r="E1011" t="s">
        <v>76</v>
      </c>
      <c r="F1011" t="s">
        <v>3351</v>
      </c>
      <c r="G1011" t="s">
        <v>3352</v>
      </c>
      <c r="I1011" t="s">
        <v>49</v>
      </c>
      <c r="L1011" t="s">
        <v>3353</v>
      </c>
      <c r="M1011" t="s">
        <v>3351</v>
      </c>
      <c r="N1011">
        <v>104</v>
      </c>
      <c r="O1011" t="s">
        <v>3354</v>
      </c>
    </row>
    <row r="1012" spans="1:15" ht="14.5">
      <c r="A1012" t="s">
        <v>29</v>
      </c>
      <c r="B1012">
        <v>969812</v>
      </c>
      <c r="C1012">
        <v>970033</v>
      </c>
      <c r="D1012">
        <v>1</v>
      </c>
      <c r="E1012" t="s">
        <v>76</v>
      </c>
      <c r="F1012" t="s">
        <v>3355</v>
      </c>
      <c r="G1012" t="s">
        <v>3356</v>
      </c>
      <c r="I1012" t="s">
        <v>49</v>
      </c>
      <c r="L1012" t="s">
        <v>3357</v>
      </c>
      <c r="M1012" t="s">
        <v>3355</v>
      </c>
      <c r="N1012">
        <v>73</v>
      </c>
      <c r="O1012" t="s">
        <v>3358</v>
      </c>
    </row>
    <row r="1013" spans="1:15" ht="14.5">
      <c r="A1013" t="s">
        <v>29</v>
      </c>
      <c r="B1013">
        <v>970371</v>
      </c>
      <c r="C1013">
        <v>970514</v>
      </c>
      <c r="D1013">
        <v>1</v>
      </c>
      <c r="E1013" t="s">
        <v>76</v>
      </c>
      <c r="F1013" t="s">
        <v>3359</v>
      </c>
      <c r="I1013" t="s">
        <v>49</v>
      </c>
      <c r="L1013" t="s">
        <v>3360</v>
      </c>
      <c r="M1013" t="s">
        <v>3359</v>
      </c>
      <c r="N1013">
        <v>47</v>
      </c>
      <c r="O1013" t="s">
        <v>3361</v>
      </c>
    </row>
    <row r="1014" spans="1:15" ht="14.5">
      <c r="A1014" t="s">
        <v>29</v>
      </c>
      <c r="B1014">
        <v>970893</v>
      </c>
      <c r="C1014">
        <v>971354</v>
      </c>
      <c r="D1014">
        <v>1</v>
      </c>
      <c r="E1014" t="s">
        <v>47</v>
      </c>
      <c r="F1014" t="s">
        <v>483</v>
      </c>
      <c r="I1014" t="s">
        <v>49</v>
      </c>
      <c r="L1014" t="s">
        <v>3362</v>
      </c>
      <c r="M1014" t="s">
        <v>483</v>
      </c>
      <c r="N1014">
        <v>153</v>
      </c>
      <c r="O1014" t="s">
        <v>3363</v>
      </c>
    </row>
    <row r="1015" spans="1:15" ht="14.5">
      <c r="A1015" t="s">
        <v>29</v>
      </c>
      <c r="B1015">
        <v>972928</v>
      </c>
      <c r="C1015">
        <v>976980</v>
      </c>
      <c r="D1015">
        <v>1</v>
      </c>
      <c r="E1015" t="s">
        <v>76</v>
      </c>
      <c r="F1015" t="s">
        <v>3364</v>
      </c>
      <c r="I1015" t="s">
        <v>49</v>
      </c>
      <c r="L1015" t="s">
        <v>3365</v>
      </c>
      <c r="M1015" t="s">
        <v>3364</v>
      </c>
      <c r="N1015">
        <v>1350</v>
      </c>
      <c r="O1015" t="s">
        <v>3366</v>
      </c>
    </row>
    <row r="1016" spans="1:15" ht="14.5">
      <c r="A1016" t="s">
        <v>29</v>
      </c>
      <c r="B1016">
        <v>977036</v>
      </c>
      <c r="C1016">
        <v>979132</v>
      </c>
      <c r="D1016">
        <v>1</v>
      </c>
      <c r="E1016" t="s">
        <v>47</v>
      </c>
      <c r="F1016" t="s">
        <v>3133</v>
      </c>
      <c r="G1016" t="s">
        <v>3367</v>
      </c>
      <c r="I1016" t="s">
        <v>49</v>
      </c>
      <c r="L1016" t="s">
        <v>3368</v>
      </c>
      <c r="M1016" t="s">
        <v>3133</v>
      </c>
      <c r="N1016">
        <v>698</v>
      </c>
      <c r="O1016" t="s">
        <v>3369</v>
      </c>
    </row>
    <row r="1017" spans="1:15" ht="14.5">
      <c r="A1017" t="s">
        <v>29</v>
      </c>
      <c r="B1017">
        <v>979122</v>
      </c>
      <c r="C1017">
        <v>979997</v>
      </c>
      <c r="D1017">
        <v>1</v>
      </c>
      <c r="E1017" t="s">
        <v>47</v>
      </c>
      <c r="F1017" t="s">
        <v>3370</v>
      </c>
      <c r="G1017" t="s">
        <v>3371</v>
      </c>
      <c r="I1017" t="s">
        <v>49</v>
      </c>
      <c r="L1017" t="s">
        <v>3372</v>
      </c>
      <c r="M1017" t="s">
        <v>3370</v>
      </c>
      <c r="N1017">
        <v>291</v>
      </c>
      <c r="O1017" t="s">
        <v>3373</v>
      </c>
    </row>
    <row r="1018" spans="1:15" ht="14.5">
      <c r="A1018" t="s">
        <v>29</v>
      </c>
      <c r="B1018">
        <v>980105</v>
      </c>
      <c r="C1018">
        <v>981178</v>
      </c>
      <c r="D1018">
        <v>1</v>
      </c>
      <c r="E1018" t="s">
        <v>47</v>
      </c>
      <c r="F1018" t="s">
        <v>3374</v>
      </c>
      <c r="G1018" t="s">
        <v>3375</v>
      </c>
      <c r="I1018" t="s">
        <v>49</v>
      </c>
      <c r="L1018" t="s">
        <v>3376</v>
      </c>
      <c r="M1018" t="s">
        <v>3374</v>
      </c>
      <c r="N1018">
        <v>357</v>
      </c>
      <c r="O1018" t="s">
        <v>3377</v>
      </c>
    </row>
    <row r="1019" spans="1:15" ht="14.5">
      <c r="A1019" t="s">
        <v>29</v>
      </c>
      <c r="B1019">
        <v>981399</v>
      </c>
      <c r="C1019">
        <v>981734</v>
      </c>
      <c r="D1019">
        <v>1</v>
      </c>
      <c r="E1019" t="s">
        <v>47</v>
      </c>
      <c r="F1019" t="s">
        <v>3133</v>
      </c>
      <c r="I1019" t="s">
        <v>49</v>
      </c>
      <c r="L1019" t="s">
        <v>3378</v>
      </c>
      <c r="M1019" t="s">
        <v>3133</v>
      </c>
      <c r="N1019">
        <v>111</v>
      </c>
      <c r="O1019" t="s">
        <v>3379</v>
      </c>
    </row>
    <row r="1020" spans="1:15" ht="14.5">
      <c r="A1020" t="s">
        <v>29</v>
      </c>
      <c r="B1020">
        <v>981856</v>
      </c>
      <c r="C1020">
        <v>982218</v>
      </c>
      <c r="D1020">
        <v>1</v>
      </c>
      <c r="E1020" t="s">
        <v>47</v>
      </c>
      <c r="F1020" t="s">
        <v>3133</v>
      </c>
      <c r="I1020" t="s">
        <v>49</v>
      </c>
      <c r="L1020" t="s">
        <v>3380</v>
      </c>
      <c r="M1020" t="s">
        <v>3133</v>
      </c>
      <c r="N1020">
        <v>120</v>
      </c>
      <c r="O1020" t="s">
        <v>3381</v>
      </c>
    </row>
    <row r="1021" spans="1:15" ht="14.5">
      <c r="A1021" t="s">
        <v>29</v>
      </c>
      <c r="B1021">
        <v>982612</v>
      </c>
      <c r="C1021">
        <v>983832</v>
      </c>
      <c r="D1021">
        <v>1</v>
      </c>
      <c r="E1021" t="s">
        <v>47</v>
      </c>
      <c r="F1021" t="s">
        <v>1206</v>
      </c>
      <c r="G1021" t="s">
        <v>3382</v>
      </c>
      <c r="I1021" t="s">
        <v>49</v>
      </c>
      <c r="L1021" t="s">
        <v>3383</v>
      </c>
      <c r="M1021" t="s">
        <v>1206</v>
      </c>
      <c r="N1021">
        <v>406</v>
      </c>
      <c r="O1021" t="s">
        <v>3384</v>
      </c>
    </row>
    <row r="1022" spans="1:15" ht="14.5">
      <c r="A1022" t="s">
        <v>29</v>
      </c>
      <c r="B1022">
        <v>983845</v>
      </c>
      <c r="C1022">
        <v>985056</v>
      </c>
      <c r="D1022">
        <v>1</v>
      </c>
      <c r="E1022" t="s">
        <v>47</v>
      </c>
      <c r="F1022" t="s">
        <v>3133</v>
      </c>
      <c r="G1022" t="s">
        <v>3385</v>
      </c>
      <c r="I1022" t="s">
        <v>49</v>
      </c>
      <c r="L1022" t="s">
        <v>3386</v>
      </c>
      <c r="M1022" t="s">
        <v>3133</v>
      </c>
      <c r="N1022">
        <v>403</v>
      </c>
      <c r="O1022" t="s">
        <v>3387</v>
      </c>
    </row>
    <row r="1023" spans="1:15" ht="14.5">
      <c r="A1023" t="s">
        <v>29</v>
      </c>
      <c r="B1023">
        <v>985296</v>
      </c>
      <c r="C1023">
        <v>986306</v>
      </c>
      <c r="D1023">
        <v>1</v>
      </c>
      <c r="E1023" t="s">
        <v>47</v>
      </c>
      <c r="F1023" t="s">
        <v>3388</v>
      </c>
      <c r="I1023" t="s">
        <v>49</v>
      </c>
      <c r="L1023" t="s">
        <v>3389</v>
      </c>
      <c r="M1023" t="s">
        <v>3388</v>
      </c>
      <c r="N1023">
        <v>336</v>
      </c>
      <c r="O1023" t="s">
        <v>3390</v>
      </c>
    </row>
    <row r="1024" spans="1:15" ht="14.5">
      <c r="A1024" t="s">
        <v>29</v>
      </c>
      <c r="B1024">
        <v>986316</v>
      </c>
      <c r="C1024">
        <v>988757</v>
      </c>
      <c r="D1024">
        <v>1</v>
      </c>
      <c r="E1024" t="s">
        <v>47</v>
      </c>
      <c r="F1024" t="s">
        <v>255</v>
      </c>
      <c r="G1024" t="s">
        <v>3391</v>
      </c>
      <c r="I1024" t="s">
        <v>49</v>
      </c>
      <c r="L1024" t="s">
        <v>3392</v>
      </c>
      <c r="M1024" t="s">
        <v>255</v>
      </c>
      <c r="N1024">
        <v>813</v>
      </c>
      <c r="O1024" t="s">
        <v>3393</v>
      </c>
    </row>
    <row r="1025" spans="1:15" ht="14.5">
      <c r="A1025" t="s">
        <v>29</v>
      </c>
      <c r="B1025">
        <v>988788</v>
      </c>
      <c r="C1025">
        <v>990008</v>
      </c>
      <c r="D1025">
        <v>1</v>
      </c>
      <c r="E1025" t="s">
        <v>47</v>
      </c>
      <c r="F1025" t="s">
        <v>3394</v>
      </c>
      <c r="G1025" t="s">
        <v>3395</v>
      </c>
      <c r="I1025" t="s">
        <v>49</v>
      </c>
      <c r="L1025" t="s">
        <v>3396</v>
      </c>
      <c r="M1025" t="s">
        <v>3394</v>
      </c>
      <c r="N1025">
        <v>406</v>
      </c>
      <c r="O1025" t="s">
        <v>3397</v>
      </c>
    </row>
    <row r="1026" spans="1:15" ht="14.5">
      <c r="A1026" t="s">
        <v>29</v>
      </c>
      <c r="B1026">
        <v>990017</v>
      </c>
      <c r="C1026">
        <v>991213</v>
      </c>
      <c r="D1026">
        <v>1</v>
      </c>
      <c r="E1026" t="s">
        <v>47</v>
      </c>
      <c r="F1026" t="s">
        <v>3398</v>
      </c>
      <c r="G1026" t="s">
        <v>3399</v>
      </c>
      <c r="I1026" t="s">
        <v>49</v>
      </c>
      <c r="L1026" t="s">
        <v>3400</v>
      </c>
      <c r="M1026" t="s">
        <v>3398</v>
      </c>
      <c r="N1026">
        <v>398</v>
      </c>
      <c r="O1026" t="s">
        <v>3401</v>
      </c>
    </row>
    <row r="1027" spans="1:15" ht="14.5">
      <c r="A1027" t="s">
        <v>29</v>
      </c>
      <c r="B1027">
        <v>991213</v>
      </c>
      <c r="C1027">
        <v>991395</v>
      </c>
      <c r="D1027">
        <v>1</v>
      </c>
      <c r="E1027" t="s">
        <v>47</v>
      </c>
      <c r="F1027" t="s">
        <v>3402</v>
      </c>
      <c r="G1027" t="s">
        <v>3403</v>
      </c>
      <c r="I1027" t="s">
        <v>49</v>
      </c>
      <c r="L1027" t="s">
        <v>3404</v>
      </c>
      <c r="M1027" t="s">
        <v>3402</v>
      </c>
      <c r="N1027">
        <v>60</v>
      </c>
      <c r="O1027" t="s">
        <v>3405</v>
      </c>
    </row>
    <row r="1028" spans="1:15" ht="14.5">
      <c r="A1028" t="s">
        <v>29</v>
      </c>
      <c r="B1028">
        <v>991399</v>
      </c>
      <c r="C1028">
        <v>992115</v>
      </c>
      <c r="D1028">
        <v>1</v>
      </c>
      <c r="E1028" t="s">
        <v>47</v>
      </c>
      <c r="F1028" t="s">
        <v>3402</v>
      </c>
      <c r="I1028" t="s">
        <v>49</v>
      </c>
      <c r="L1028" t="s">
        <v>3406</v>
      </c>
      <c r="M1028" t="s">
        <v>3402</v>
      </c>
      <c r="N1028">
        <v>238</v>
      </c>
      <c r="O1028" t="s">
        <v>3407</v>
      </c>
    </row>
    <row r="1029" spans="1:15" ht="14.5">
      <c r="A1029" t="s">
        <v>29</v>
      </c>
      <c r="B1029">
        <v>992172</v>
      </c>
      <c r="C1029">
        <v>993389</v>
      </c>
      <c r="D1029">
        <v>1</v>
      </c>
      <c r="E1029" t="s">
        <v>47</v>
      </c>
      <c r="F1029" t="s">
        <v>3408</v>
      </c>
      <c r="G1029" t="s">
        <v>3409</v>
      </c>
      <c r="I1029" t="s">
        <v>49</v>
      </c>
      <c r="L1029" t="s">
        <v>3410</v>
      </c>
      <c r="M1029" t="s">
        <v>3408</v>
      </c>
      <c r="N1029">
        <v>405</v>
      </c>
      <c r="O1029" t="s">
        <v>3411</v>
      </c>
    </row>
    <row r="1030" spans="1:15" ht="14.5">
      <c r="A1030" t="s">
        <v>29</v>
      </c>
      <c r="B1030">
        <v>993399</v>
      </c>
      <c r="C1030">
        <v>994979</v>
      </c>
      <c r="D1030">
        <v>1</v>
      </c>
      <c r="E1030" t="s">
        <v>47</v>
      </c>
      <c r="F1030" t="s">
        <v>3412</v>
      </c>
      <c r="I1030" t="s">
        <v>49</v>
      </c>
      <c r="L1030" t="s">
        <v>3413</v>
      </c>
      <c r="M1030" t="s">
        <v>3412</v>
      </c>
      <c r="N1030">
        <v>526</v>
      </c>
      <c r="O1030" t="s">
        <v>3414</v>
      </c>
    </row>
    <row r="1031" spans="1:15" ht="14.5">
      <c r="A1031" t="s">
        <v>29</v>
      </c>
      <c r="B1031">
        <v>994963</v>
      </c>
      <c r="C1031">
        <v>996498</v>
      </c>
      <c r="D1031">
        <v>1</v>
      </c>
      <c r="E1031" t="s">
        <v>47</v>
      </c>
      <c r="F1031" t="s">
        <v>3415</v>
      </c>
      <c r="G1031" t="s">
        <v>3416</v>
      </c>
      <c r="I1031" t="s">
        <v>49</v>
      </c>
      <c r="L1031" t="s">
        <v>3417</v>
      </c>
      <c r="M1031" t="s">
        <v>3415</v>
      </c>
      <c r="N1031">
        <v>511</v>
      </c>
      <c r="O1031" t="s">
        <v>3418</v>
      </c>
    </row>
    <row r="1032" spans="1:15" ht="14.5">
      <c r="A1032" t="s">
        <v>29</v>
      </c>
      <c r="B1032">
        <v>996495</v>
      </c>
      <c r="C1032">
        <v>996935</v>
      </c>
      <c r="D1032">
        <v>1</v>
      </c>
      <c r="E1032" t="s">
        <v>47</v>
      </c>
      <c r="F1032" t="s">
        <v>3419</v>
      </c>
      <c r="G1032" t="s">
        <v>3420</v>
      </c>
      <c r="I1032" t="s">
        <v>49</v>
      </c>
      <c r="L1032" t="s">
        <v>3421</v>
      </c>
      <c r="M1032" t="s">
        <v>3419</v>
      </c>
      <c r="N1032">
        <v>146</v>
      </c>
      <c r="O1032" t="s">
        <v>3422</v>
      </c>
    </row>
    <row r="1033" spans="1:15" ht="14.5">
      <c r="A1033" t="s">
        <v>29</v>
      </c>
      <c r="B1033">
        <v>996928</v>
      </c>
      <c r="C1033">
        <v>999300</v>
      </c>
      <c r="D1033">
        <v>1</v>
      </c>
      <c r="E1033" t="s">
        <v>47</v>
      </c>
      <c r="F1033" t="s">
        <v>3423</v>
      </c>
      <c r="G1033" t="s">
        <v>3424</v>
      </c>
      <c r="I1033" t="s">
        <v>49</v>
      </c>
      <c r="L1033" t="s">
        <v>3425</v>
      </c>
      <c r="M1033" t="s">
        <v>3423</v>
      </c>
      <c r="N1033">
        <v>790</v>
      </c>
      <c r="O1033" t="s">
        <v>3426</v>
      </c>
    </row>
    <row r="1034" spans="1:15" ht="14.5">
      <c r="A1034" t="s">
        <v>29</v>
      </c>
      <c r="B1034">
        <v>999312</v>
      </c>
      <c r="C1034">
        <v>1000823</v>
      </c>
      <c r="D1034">
        <v>1</v>
      </c>
      <c r="E1034" t="s">
        <v>47</v>
      </c>
      <c r="F1034" t="s">
        <v>255</v>
      </c>
      <c r="G1034" t="s">
        <v>3427</v>
      </c>
      <c r="I1034" t="s">
        <v>49</v>
      </c>
      <c r="L1034" t="s">
        <v>3428</v>
      </c>
      <c r="M1034" t="s">
        <v>255</v>
      </c>
      <c r="N1034">
        <v>503</v>
      </c>
      <c r="O1034" t="s">
        <v>3429</v>
      </c>
    </row>
    <row r="1035" spans="1:15" ht="14.5">
      <c r="A1035" t="s">
        <v>29</v>
      </c>
      <c r="B1035">
        <v>1000816</v>
      </c>
      <c r="C1035">
        <v>1002153</v>
      </c>
      <c r="D1035">
        <v>1</v>
      </c>
      <c r="E1035" t="s">
        <v>47</v>
      </c>
      <c r="F1035" t="s">
        <v>3430</v>
      </c>
      <c r="I1035" t="s">
        <v>49</v>
      </c>
      <c r="L1035" t="s">
        <v>3431</v>
      </c>
      <c r="M1035" t="s">
        <v>3430</v>
      </c>
      <c r="N1035">
        <v>445</v>
      </c>
      <c r="O1035" t="s">
        <v>3432</v>
      </c>
    </row>
    <row r="1036" spans="1:15" ht="14.5">
      <c r="A1036" t="s">
        <v>29</v>
      </c>
      <c r="B1036">
        <v>1002155</v>
      </c>
      <c r="C1036">
        <v>1002334</v>
      </c>
      <c r="D1036">
        <v>1</v>
      </c>
      <c r="E1036" t="s">
        <v>47</v>
      </c>
      <c r="F1036" t="s">
        <v>176</v>
      </c>
      <c r="I1036" t="s">
        <v>49</v>
      </c>
      <c r="L1036" t="s">
        <v>3433</v>
      </c>
      <c r="M1036" t="s">
        <v>176</v>
      </c>
      <c r="N1036">
        <v>59</v>
      </c>
      <c r="O1036" t="s">
        <v>3434</v>
      </c>
    </row>
    <row r="1037" spans="1:15" ht="14.5">
      <c r="A1037" t="s">
        <v>29</v>
      </c>
      <c r="B1037">
        <v>1002339</v>
      </c>
      <c r="C1037">
        <v>1002563</v>
      </c>
      <c r="D1037">
        <v>1</v>
      </c>
      <c r="E1037" t="s">
        <v>47</v>
      </c>
      <c r="F1037" t="s">
        <v>176</v>
      </c>
      <c r="I1037" t="s">
        <v>49</v>
      </c>
      <c r="L1037" t="s">
        <v>3435</v>
      </c>
      <c r="M1037" t="s">
        <v>176</v>
      </c>
      <c r="N1037">
        <v>74</v>
      </c>
      <c r="O1037" t="s">
        <v>3436</v>
      </c>
    </row>
    <row r="1038" spans="1:15" ht="14.5">
      <c r="A1038" t="s">
        <v>29</v>
      </c>
      <c r="B1038">
        <v>1002754</v>
      </c>
      <c r="C1038">
        <v>1003707</v>
      </c>
      <c r="D1038">
        <v>1</v>
      </c>
      <c r="E1038" t="s">
        <v>76</v>
      </c>
      <c r="F1038" t="s">
        <v>769</v>
      </c>
      <c r="I1038" t="s">
        <v>49</v>
      </c>
      <c r="L1038" t="s">
        <v>3437</v>
      </c>
      <c r="M1038" t="s">
        <v>769</v>
      </c>
      <c r="N1038">
        <v>317</v>
      </c>
      <c r="O1038" t="s">
        <v>3438</v>
      </c>
    </row>
    <row r="1039" spans="1:15" ht="14.5">
      <c r="A1039" t="s">
        <v>29</v>
      </c>
      <c r="B1039">
        <v>1003775</v>
      </c>
      <c r="C1039">
        <v>1004734</v>
      </c>
      <c r="D1039">
        <v>1</v>
      </c>
      <c r="E1039" t="s">
        <v>76</v>
      </c>
      <c r="F1039" t="s">
        <v>3439</v>
      </c>
      <c r="G1039" t="s">
        <v>3440</v>
      </c>
      <c r="I1039" t="s">
        <v>49</v>
      </c>
      <c r="L1039" t="s">
        <v>3441</v>
      </c>
      <c r="M1039" t="s">
        <v>3439</v>
      </c>
      <c r="N1039">
        <v>319</v>
      </c>
      <c r="O1039" t="s">
        <v>3442</v>
      </c>
    </row>
    <row r="1040" spans="1:15" ht="14.5">
      <c r="A1040" t="s">
        <v>29</v>
      </c>
      <c r="B1040">
        <v>1005123</v>
      </c>
      <c r="C1040">
        <v>1005683</v>
      </c>
      <c r="D1040">
        <v>1</v>
      </c>
      <c r="E1040" t="s">
        <v>47</v>
      </c>
      <c r="F1040" t="s">
        <v>3443</v>
      </c>
      <c r="G1040" t="s">
        <v>3444</v>
      </c>
      <c r="I1040" t="s">
        <v>49</v>
      </c>
      <c r="L1040" t="s">
        <v>3445</v>
      </c>
      <c r="M1040" t="s">
        <v>3443</v>
      </c>
      <c r="N1040">
        <v>186</v>
      </c>
      <c r="O1040" t="s">
        <v>3446</v>
      </c>
    </row>
    <row r="1041" spans="1:15" ht="14.5">
      <c r="A1041" t="s">
        <v>29</v>
      </c>
      <c r="B1041">
        <v>1005740</v>
      </c>
      <c r="C1041">
        <v>1006648</v>
      </c>
      <c r="D1041">
        <v>1</v>
      </c>
      <c r="E1041" t="s">
        <v>47</v>
      </c>
      <c r="F1041" t="s">
        <v>3447</v>
      </c>
      <c r="I1041" t="s">
        <v>49</v>
      </c>
      <c r="L1041" t="s">
        <v>3448</v>
      </c>
      <c r="M1041" t="s">
        <v>3447</v>
      </c>
      <c r="N1041">
        <v>302</v>
      </c>
      <c r="O1041" t="s">
        <v>3449</v>
      </c>
    </row>
    <row r="1042" spans="1:15" ht="14.5">
      <c r="A1042" t="s">
        <v>29</v>
      </c>
      <c r="B1042">
        <v>1006663</v>
      </c>
      <c r="C1042">
        <v>1007190</v>
      </c>
      <c r="D1042">
        <v>1</v>
      </c>
      <c r="E1042" t="s">
        <v>47</v>
      </c>
      <c r="F1042" t="s">
        <v>3450</v>
      </c>
      <c r="I1042" t="s">
        <v>49</v>
      </c>
      <c r="L1042" t="s">
        <v>3451</v>
      </c>
      <c r="M1042" t="s">
        <v>3450</v>
      </c>
      <c r="N1042">
        <v>175</v>
      </c>
      <c r="O1042" t="s">
        <v>3452</v>
      </c>
    </row>
    <row r="1043" spans="1:15" ht="14.5">
      <c r="A1043" t="s">
        <v>29</v>
      </c>
      <c r="B1043">
        <v>1007193</v>
      </c>
      <c r="C1043">
        <v>1008299</v>
      </c>
      <c r="D1043">
        <v>1</v>
      </c>
      <c r="E1043" t="s">
        <v>47</v>
      </c>
      <c r="F1043" t="s">
        <v>3453</v>
      </c>
      <c r="G1043" t="s">
        <v>3454</v>
      </c>
      <c r="I1043" t="s">
        <v>49</v>
      </c>
      <c r="L1043" t="s">
        <v>3455</v>
      </c>
      <c r="M1043" t="s">
        <v>3453</v>
      </c>
      <c r="N1043">
        <v>368</v>
      </c>
      <c r="O1043" t="s">
        <v>3456</v>
      </c>
    </row>
    <row r="1044" spans="1:15" ht="14.5">
      <c r="A1044" t="s">
        <v>29</v>
      </c>
      <c r="B1044">
        <v>1008513</v>
      </c>
      <c r="C1044">
        <v>1008824</v>
      </c>
      <c r="D1044">
        <v>1</v>
      </c>
      <c r="E1044" t="s">
        <v>47</v>
      </c>
      <c r="F1044" t="s">
        <v>3457</v>
      </c>
      <c r="G1044" t="s">
        <v>3458</v>
      </c>
      <c r="I1044" t="s">
        <v>49</v>
      </c>
      <c r="L1044" t="s">
        <v>3459</v>
      </c>
      <c r="M1044" t="s">
        <v>3457</v>
      </c>
      <c r="N1044">
        <v>103</v>
      </c>
      <c r="O1044" t="s">
        <v>3460</v>
      </c>
    </row>
    <row r="1045" spans="1:15" ht="14.5">
      <c r="A1045" t="s">
        <v>29</v>
      </c>
      <c r="B1045">
        <v>1008876</v>
      </c>
      <c r="C1045">
        <v>1009505</v>
      </c>
      <c r="D1045">
        <v>1</v>
      </c>
      <c r="E1045" t="s">
        <v>47</v>
      </c>
      <c r="F1045" t="s">
        <v>3461</v>
      </c>
      <c r="G1045" t="s">
        <v>3462</v>
      </c>
      <c r="I1045" t="s">
        <v>49</v>
      </c>
      <c r="L1045" t="s">
        <v>3463</v>
      </c>
      <c r="M1045" t="s">
        <v>3461</v>
      </c>
      <c r="N1045">
        <v>209</v>
      </c>
      <c r="O1045" t="s">
        <v>3464</v>
      </c>
    </row>
    <row r="1046" spans="1:15" ht="14.5">
      <c r="A1046" t="s">
        <v>29</v>
      </c>
      <c r="B1046">
        <v>1009505</v>
      </c>
      <c r="C1046">
        <v>1010098</v>
      </c>
      <c r="D1046">
        <v>1</v>
      </c>
      <c r="E1046" t="s">
        <v>47</v>
      </c>
      <c r="F1046" t="s">
        <v>3465</v>
      </c>
      <c r="I1046" t="s">
        <v>49</v>
      </c>
      <c r="L1046" t="s">
        <v>3466</v>
      </c>
      <c r="M1046" t="s">
        <v>3465</v>
      </c>
      <c r="N1046">
        <v>197</v>
      </c>
      <c r="O1046" t="s">
        <v>3467</v>
      </c>
    </row>
    <row r="1047" spans="1:15" ht="14.5">
      <c r="A1047" t="s">
        <v>29</v>
      </c>
      <c r="B1047">
        <v>1010099</v>
      </c>
      <c r="C1047">
        <v>1010599</v>
      </c>
      <c r="D1047">
        <v>1</v>
      </c>
      <c r="E1047" t="s">
        <v>47</v>
      </c>
      <c r="F1047" t="s">
        <v>3468</v>
      </c>
      <c r="G1047" t="s">
        <v>3469</v>
      </c>
      <c r="I1047" t="s">
        <v>49</v>
      </c>
      <c r="L1047" t="s">
        <v>3470</v>
      </c>
      <c r="M1047" t="s">
        <v>3468</v>
      </c>
      <c r="N1047">
        <v>166</v>
      </c>
      <c r="O1047" t="s">
        <v>3471</v>
      </c>
    </row>
    <row r="1048" spans="1:15" ht="14.5">
      <c r="A1048" t="s">
        <v>29</v>
      </c>
      <c r="B1048">
        <v>1010612</v>
      </c>
      <c r="C1048">
        <v>1010965</v>
      </c>
      <c r="D1048">
        <v>1</v>
      </c>
      <c r="E1048" t="s">
        <v>47</v>
      </c>
      <c r="F1048" t="s">
        <v>3472</v>
      </c>
      <c r="G1048" t="s">
        <v>3473</v>
      </c>
      <c r="I1048" t="s">
        <v>49</v>
      </c>
      <c r="L1048" t="s">
        <v>3474</v>
      </c>
      <c r="M1048" t="s">
        <v>3472</v>
      </c>
      <c r="N1048">
        <v>117</v>
      </c>
      <c r="O1048" t="s">
        <v>3475</v>
      </c>
    </row>
    <row r="1049" spans="1:15" ht="14.5">
      <c r="A1049" t="s">
        <v>29</v>
      </c>
      <c r="B1049">
        <v>1011068</v>
      </c>
      <c r="C1049">
        <v>1011814</v>
      </c>
      <c r="D1049">
        <v>1</v>
      </c>
      <c r="E1049" t="s">
        <v>47</v>
      </c>
      <c r="F1049" t="s">
        <v>3476</v>
      </c>
      <c r="I1049" t="s">
        <v>49</v>
      </c>
      <c r="L1049" t="s">
        <v>3477</v>
      </c>
      <c r="M1049" t="s">
        <v>3476</v>
      </c>
      <c r="N1049">
        <v>248</v>
      </c>
      <c r="O1049" t="s">
        <v>3478</v>
      </c>
    </row>
    <row r="1050" spans="1:15" ht="14.5">
      <c r="A1050" t="s">
        <v>29</v>
      </c>
      <c r="B1050">
        <v>1011824</v>
      </c>
      <c r="C1050">
        <v>1012921</v>
      </c>
      <c r="D1050">
        <v>1</v>
      </c>
      <c r="E1050" t="s">
        <v>47</v>
      </c>
      <c r="F1050" t="s">
        <v>3479</v>
      </c>
      <c r="I1050" t="s">
        <v>49</v>
      </c>
      <c r="L1050" t="s">
        <v>3480</v>
      </c>
      <c r="M1050" t="s">
        <v>3479</v>
      </c>
      <c r="N1050">
        <v>365</v>
      </c>
      <c r="O1050" t="s">
        <v>3481</v>
      </c>
    </row>
    <row r="1051" spans="1:15" ht="14.5">
      <c r="A1051" t="s">
        <v>29</v>
      </c>
      <c r="B1051">
        <v>1013112</v>
      </c>
      <c r="C1051">
        <v>1014725</v>
      </c>
      <c r="D1051">
        <v>1</v>
      </c>
      <c r="E1051" t="s">
        <v>47</v>
      </c>
      <c r="F1051" t="s">
        <v>3482</v>
      </c>
      <c r="G1051" t="s">
        <v>3483</v>
      </c>
      <c r="I1051" t="s">
        <v>49</v>
      </c>
      <c r="L1051" t="s">
        <v>3484</v>
      </c>
      <c r="M1051" t="s">
        <v>3482</v>
      </c>
      <c r="N1051">
        <v>537</v>
      </c>
      <c r="O1051" t="s">
        <v>3485</v>
      </c>
    </row>
    <row r="1052" spans="1:15" ht="14.5">
      <c r="A1052" t="s">
        <v>29</v>
      </c>
      <c r="B1052">
        <v>1014855</v>
      </c>
      <c r="C1052">
        <v>1015481</v>
      </c>
      <c r="D1052">
        <v>1</v>
      </c>
      <c r="E1052" t="s">
        <v>47</v>
      </c>
      <c r="F1052" t="s">
        <v>3486</v>
      </c>
      <c r="G1052" t="s">
        <v>3487</v>
      </c>
      <c r="I1052" t="s">
        <v>49</v>
      </c>
      <c r="L1052" t="s">
        <v>3488</v>
      </c>
      <c r="M1052" t="s">
        <v>3486</v>
      </c>
      <c r="N1052">
        <v>208</v>
      </c>
      <c r="O1052" t="s">
        <v>3489</v>
      </c>
    </row>
    <row r="1053" spans="1:15" ht="14.5">
      <c r="A1053" t="s">
        <v>29</v>
      </c>
      <c r="B1053">
        <v>1015506</v>
      </c>
      <c r="C1053">
        <v>1015820</v>
      </c>
      <c r="D1053">
        <v>1</v>
      </c>
      <c r="E1053" t="s">
        <v>47</v>
      </c>
      <c r="F1053" t="s">
        <v>3490</v>
      </c>
      <c r="G1053" t="s">
        <v>3491</v>
      </c>
      <c r="I1053" t="s">
        <v>49</v>
      </c>
      <c r="L1053" t="s">
        <v>3492</v>
      </c>
      <c r="M1053" t="s">
        <v>3490</v>
      </c>
      <c r="N1053">
        <v>104</v>
      </c>
      <c r="O1053" t="s">
        <v>3493</v>
      </c>
    </row>
    <row r="1054" spans="1:15" ht="14.5">
      <c r="A1054" t="s">
        <v>29</v>
      </c>
      <c r="B1054">
        <v>1015886</v>
      </c>
      <c r="C1054">
        <v>1018282</v>
      </c>
      <c r="D1054">
        <v>1</v>
      </c>
      <c r="E1054" t="s">
        <v>47</v>
      </c>
      <c r="F1054" t="s">
        <v>3494</v>
      </c>
      <c r="G1054" t="s">
        <v>3495</v>
      </c>
      <c r="I1054" t="s">
        <v>49</v>
      </c>
      <c r="L1054" t="s">
        <v>3496</v>
      </c>
      <c r="M1054" t="s">
        <v>3494</v>
      </c>
      <c r="N1054">
        <v>798</v>
      </c>
      <c r="O1054" t="s">
        <v>3497</v>
      </c>
    </row>
    <row r="1055" spans="1:15" ht="14.5">
      <c r="A1055" t="s">
        <v>29</v>
      </c>
      <c r="B1055">
        <v>1018295</v>
      </c>
      <c r="C1055">
        <v>1019230</v>
      </c>
      <c r="D1055">
        <v>1</v>
      </c>
      <c r="E1055" t="s">
        <v>47</v>
      </c>
      <c r="F1055" t="s">
        <v>3498</v>
      </c>
      <c r="G1055" t="s">
        <v>3499</v>
      </c>
      <c r="I1055" t="s">
        <v>49</v>
      </c>
      <c r="L1055" t="s">
        <v>3500</v>
      </c>
      <c r="M1055" t="s">
        <v>3498</v>
      </c>
      <c r="N1055">
        <v>311</v>
      </c>
      <c r="O1055" t="s">
        <v>3501</v>
      </c>
    </row>
    <row r="1056" spans="1:15" ht="14.5">
      <c r="A1056" t="s">
        <v>29</v>
      </c>
      <c r="B1056">
        <v>1019223</v>
      </c>
      <c r="C1056">
        <v>1020536</v>
      </c>
      <c r="D1056">
        <v>1</v>
      </c>
      <c r="E1056" t="s">
        <v>47</v>
      </c>
      <c r="F1056" t="s">
        <v>3502</v>
      </c>
      <c r="G1056" t="s">
        <v>3503</v>
      </c>
      <c r="I1056" t="s">
        <v>49</v>
      </c>
      <c r="L1056" t="s">
        <v>3504</v>
      </c>
      <c r="M1056" t="s">
        <v>3502</v>
      </c>
      <c r="N1056">
        <v>437</v>
      </c>
      <c r="O1056" t="s">
        <v>3505</v>
      </c>
    </row>
    <row r="1057" spans="1:15" ht="14.5">
      <c r="A1057" t="s">
        <v>29</v>
      </c>
      <c r="B1057">
        <v>1020551</v>
      </c>
      <c r="C1057">
        <v>1021291</v>
      </c>
      <c r="D1057">
        <v>1</v>
      </c>
      <c r="E1057" t="s">
        <v>47</v>
      </c>
      <c r="F1057" t="s">
        <v>3506</v>
      </c>
      <c r="I1057" t="s">
        <v>49</v>
      </c>
      <c r="L1057" t="s">
        <v>3507</v>
      </c>
      <c r="M1057" t="s">
        <v>3506</v>
      </c>
      <c r="N1057">
        <v>246</v>
      </c>
      <c r="O1057" t="s">
        <v>3508</v>
      </c>
    </row>
    <row r="1058" spans="1:15" ht="14.5">
      <c r="A1058" t="s">
        <v>29</v>
      </c>
      <c r="B1058">
        <v>1021288</v>
      </c>
      <c r="C1058">
        <v>1023267</v>
      </c>
      <c r="D1058">
        <v>1</v>
      </c>
      <c r="E1058" t="s">
        <v>47</v>
      </c>
      <c r="F1058" t="s">
        <v>3509</v>
      </c>
      <c r="G1058" t="s">
        <v>3510</v>
      </c>
      <c r="I1058" t="s">
        <v>49</v>
      </c>
      <c r="L1058" t="s">
        <v>3511</v>
      </c>
      <c r="M1058" t="s">
        <v>3509</v>
      </c>
      <c r="N1058">
        <v>659</v>
      </c>
      <c r="O1058" t="s">
        <v>3512</v>
      </c>
    </row>
    <row r="1059" spans="1:15" ht="14.5">
      <c r="A1059" t="s">
        <v>29</v>
      </c>
      <c r="B1059">
        <v>1023382</v>
      </c>
      <c r="C1059">
        <v>1024140</v>
      </c>
      <c r="D1059">
        <v>1</v>
      </c>
      <c r="E1059" t="s">
        <v>47</v>
      </c>
      <c r="F1059" t="s">
        <v>3513</v>
      </c>
      <c r="G1059" t="s">
        <v>3514</v>
      </c>
      <c r="I1059" t="s">
        <v>49</v>
      </c>
      <c r="L1059" t="s">
        <v>3515</v>
      </c>
      <c r="M1059" t="s">
        <v>3513</v>
      </c>
      <c r="N1059">
        <v>252</v>
      </c>
      <c r="O1059" t="s">
        <v>3516</v>
      </c>
    </row>
    <row r="1060" spans="1:15" ht="14.5">
      <c r="A1060" t="s">
        <v>29</v>
      </c>
      <c r="B1060">
        <v>1024142</v>
      </c>
      <c r="C1060">
        <v>1024591</v>
      </c>
      <c r="D1060">
        <v>1</v>
      </c>
      <c r="E1060" t="s">
        <v>47</v>
      </c>
      <c r="F1060" t="s">
        <v>65</v>
      </c>
      <c r="I1060" t="s">
        <v>49</v>
      </c>
      <c r="L1060" t="s">
        <v>3517</v>
      </c>
      <c r="M1060" t="s">
        <v>65</v>
      </c>
      <c r="N1060">
        <v>149</v>
      </c>
      <c r="O1060" t="s">
        <v>3518</v>
      </c>
    </row>
    <row r="1061" spans="1:15" ht="14.5">
      <c r="A1061" t="s">
        <v>29</v>
      </c>
      <c r="B1061">
        <v>1024890</v>
      </c>
      <c r="C1061">
        <v>1025279</v>
      </c>
      <c r="D1061">
        <v>1</v>
      </c>
      <c r="E1061" t="s">
        <v>47</v>
      </c>
      <c r="F1061" t="s">
        <v>483</v>
      </c>
      <c r="I1061" t="s">
        <v>49</v>
      </c>
      <c r="L1061" t="s">
        <v>3519</v>
      </c>
      <c r="M1061" t="s">
        <v>483</v>
      </c>
      <c r="N1061">
        <v>129</v>
      </c>
      <c r="O1061" t="s">
        <v>3520</v>
      </c>
    </row>
    <row r="1062" spans="1:15" ht="14.5">
      <c r="A1062" t="s">
        <v>29</v>
      </c>
      <c r="B1062">
        <v>1025308</v>
      </c>
      <c r="C1062">
        <v>1025595</v>
      </c>
      <c r="D1062">
        <v>1</v>
      </c>
      <c r="E1062" t="s">
        <v>47</v>
      </c>
      <c r="F1062" t="s">
        <v>176</v>
      </c>
      <c r="I1062" t="s">
        <v>49</v>
      </c>
      <c r="L1062" t="s">
        <v>3521</v>
      </c>
      <c r="M1062" t="s">
        <v>176</v>
      </c>
      <c r="N1062">
        <v>95</v>
      </c>
      <c r="O1062" t="s">
        <v>3522</v>
      </c>
    </row>
    <row r="1063" spans="1:15" ht="14.5">
      <c r="A1063" t="s">
        <v>29</v>
      </c>
      <c r="B1063">
        <v>1025726</v>
      </c>
      <c r="C1063">
        <v>1026898</v>
      </c>
      <c r="D1063">
        <v>1</v>
      </c>
      <c r="E1063" t="s">
        <v>47</v>
      </c>
      <c r="F1063" t="s">
        <v>3523</v>
      </c>
      <c r="G1063" t="s">
        <v>3524</v>
      </c>
      <c r="I1063" t="s">
        <v>49</v>
      </c>
      <c r="L1063" t="s">
        <v>3525</v>
      </c>
      <c r="M1063" t="s">
        <v>3523</v>
      </c>
      <c r="N1063">
        <v>390</v>
      </c>
      <c r="O1063" t="s">
        <v>3526</v>
      </c>
    </row>
    <row r="1064" spans="1:15" ht="14.5">
      <c r="A1064" t="s">
        <v>29</v>
      </c>
      <c r="B1064">
        <v>1026898</v>
      </c>
      <c r="C1064">
        <v>1028172</v>
      </c>
      <c r="D1064">
        <v>1</v>
      </c>
      <c r="E1064" t="s">
        <v>47</v>
      </c>
      <c r="F1064" t="s">
        <v>3527</v>
      </c>
      <c r="G1064" t="s">
        <v>3528</v>
      </c>
      <c r="I1064" t="s">
        <v>49</v>
      </c>
      <c r="L1064" t="s">
        <v>3529</v>
      </c>
      <c r="M1064" t="s">
        <v>3527</v>
      </c>
      <c r="N1064">
        <v>424</v>
      </c>
      <c r="O1064" t="s">
        <v>3530</v>
      </c>
    </row>
    <row r="1065" spans="1:15" ht="14.5">
      <c r="A1065" t="s">
        <v>29</v>
      </c>
      <c r="B1065">
        <v>1028207</v>
      </c>
      <c r="C1065">
        <v>1029172</v>
      </c>
      <c r="D1065">
        <v>1</v>
      </c>
      <c r="E1065" t="s">
        <v>76</v>
      </c>
      <c r="F1065" t="s">
        <v>607</v>
      </c>
      <c r="G1065" t="s">
        <v>3531</v>
      </c>
      <c r="I1065" t="s">
        <v>49</v>
      </c>
      <c r="L1065" t="s">
        <v>3532</v>
      </c>
      <c r="M1065" t="s">
        <v>607</v>
      </c>
      <c r="N1065">
        <v>321</v>
      </c>
      <c r="O1065" t="s">
        <v>3533</v>
      </c>
    </row>
    <row r="1066" spans="1:15" ht="14.5">
      <c r="A1066" t="s">
        <v>29</v>
      </c>
      <c r="B1066">
        <v>1029153</v>
      </c>
      <c r="C1066">
        <v>1030607</v>
      </c>
      <c r="D1066">
        <v>1</v>
      </c>
      <c r="E1066" t="s">
        <v>76</v>
      </c>
      <c r="F1066" t="s">
        <v>3534</v>
      </c>
      <c r="G1066" t="s">
        <v>3535</v>
      </c>
      <c r="I1066" t="s">
        <v>49</v>
      </c>
      <c r="L1066" t="s">
        <v>3536</v>
      </c>
      <c r="M1066" t="s">
        <v>3534</v>
      </c>
      <c r="N1066">
        <v>484</v>
      </c>
      <c r="O1066" t="s">
        <v>3537</v>
      </c>
    </row>
    <row r="1067" spans="1:15" ht="14.5">
      <c r="A1067" t="s">
        <v>29</v>
      </c>
      <c r="B1067">
        <v>1030983</v>
      </c>
      <c r="C1067">
        <v>1032866</v>
      </c>
      <c r="D1067">
        <v>1</v>
      </c>
      <c r="E1067" t="s">
        <v>47</v>
      </c>
      <c r="F1067" t="s">
        <v>3538</v>
      </c>
      <c r="G1067" t="s">
        <v>3539</v>
      </c>
      <c r="I1067" t="s">
        <v>49</v>
      </c>
      <c r="L1067" t="s">
        <v>3540</v>
      </c>
      <c r="M1067" t="s">
        <v>3538</v>
      </c>
      <c r="N1067">
        <v>627</v>
      </c>
      <c r="O1067" t="s">
        <v>3541</v>
      </c>
    </row>
    <row r="1068" spans="1:15" ht="14.5">
      <c r="A1068" t="s">
        <v>29</v>
      </c>
      <c r="B1068">
        <v>1033015</v>
      </c>
      <c r="C1068">
        <v>1033902</v>
      </c>
      <c r="D1068">
        <v>1</v>
      </c>
      <c r="E1068" t="s">
        <v>47</v>
      </c>
      <c r="F1068" t="s">
        <v>3542</v>
      </c>
      <c r="G1068" t="s">
        <v>3543</v>
      </c>
      <c r="I1068" t="s">
        <v>49</v>
      </c>
      <c r="L1068" t="s">
        <v>3544</v>
      </c>
      <c r="M1068" t="s">
        <v>3542</v>
      </c>
      <c r="N1068">
        <v>295</v>
      </c>
      <c r="O1068" t="s">
        <v>3545</v>
      </c>
    </row>
    <row r="1069" spans="1:15" ht="14.5">
      <c r="A1069" t="s">
        <v>29</v>
      </c>
      <c r="B1069">
        <v>1034222</v>
      </c>
      <c r="C1069">
        <v>1034839</v>
      </c>
      <c r="D1069">
        <v>1</v>
      </c>
      <c r="E1069" t="s">
        <v>76</v>
      </c>
      <c r="F1069" t="s">
        <v>3546</v>
      </c>
      <c r="I1069" t="s">
        <v>49</v>
      </c>
      <c r="L1069" t="s">
        <v>3547</v>
      </c>
      <c r="M1069" t="s">
        <v>3546</v>
      </c>
      <c r="N1069">
        <v>205</v>
      </c>
      <c r="O1069" t="s">
        <v>3548</v>
      </c>
    </row>
    <row r="1070" spans="1:15" ht="14.5">
      <c r="A1070" t="s">
        <v>29</v>
      </c>
      <c r="B1070">
        <v>1035835</v>
      </c>
      <c r="C1070">
        <v>1036071</v>
      </c>
      <c r="D1070">
        <v>1</v>
      </c>
      <c r="E1070" t="s">
        <v>76</v>
      </c>
      <c r="F1070" t="s">
        <v>1369</v>
      </c>
      <c r="I1070" t="s">
        <v>49</v>
      </c>
      <c r="L1070" t="s">
        <v>3549</v>
      </c>
      <c r="M1070" t="s">
        <v>1369</v>
      </c>
      <c r="N1070">
        <v>78</v>
      </c>
      <c r="O1070" t="s">
        <v>3550</v>
      </c>
    </row>
    <row r="1071" spans="1:15" ht="14.5">
      <c r="A1071" t="s">
        <v>29</v>
      </c>
      <c r="B1071">
        <v>1036194</v>
      </c>
      <c r="C1071">
        <v>1037087</v>
      </c>
      <c r="D1071">
        <v>1</v>
      </c>
      <c r="E1071" t="s">
        <v>47</v>
      </c>
      <c r="F1071" t="s">
        <v>3551</v>
      </c>
      <c r="G1071" t="s">
        <v>3552</v>
      </c>
      <c r="I1071" t="s">
        <v>49</v>
      </c>
      <c r="L1071" t="s">
        <v>3553</v>
      </c>
      <c r="M1071" t="s">
        <v>3551</v>
      </c>
      <c r="N1071">
        <v>297</v>
      </c>
      <c r="O1071" t="s">
        <v>3554</v>
      </c>
    </row>
    <row r="1072" spans="1:15" ht="14.5">
      <c r="A1072" t="s">
        <v>29</v>
      </c>
      <c r="B1072">
        <v>1037084</v>
      </c>
      <c r="C1072">
        <v>1038283</v>
      </c>
      <c r="D1072">
        <v>1</v>
      </c>
      <c r="E1072" t="s">
        <v>47</v>
      </c>
      <c r="F1072" t="s">
        <v>3555</v>
      </c>
      <c r="G1072" t="s">
        <v>3556</v>
      </c>
      <c r="I1072" t="s">
        <v>49</v>
      </c>
      <c r="L1072" t="s">
        <v>3557</v>
      </c>
      <c r="M1072" t="s">
        <v>3555</v>
      </c>
      <c r="N1072">
        <v>399</v>
      </c>
      <c r="O1072" t="s">
        <v>3558</v>
      </c>
    </row>
    <row r="1073" spans="1:15" ht="14.5">
      <c r="A1073" t="s">
        <v>29</v>
      </c>
      <c r="B1073">
        <v>1038636</v>
      </c>
      <c r="C1073">
        <v>1039403</v>
      </c>
      <c r="D1073">
        <v>1</v>
      </c>
      <c r="E1073" t="s">
        <v>76</v>
      </c>
      <c r="F1073" t="s">
        <v>218</v>
      </c>
      <c r="I1073" t="s">
        <v>49</v>
      </c>
      <c r="L1073" t="s">
        <v>3559</v>
      </c>
      <c r="M1073" t="s">
        <v>218</v>
      </c>
      <c r="N1073">
        <v>255</v>
      </c>
      <c r="O1073" t="s">
        <v>3560</v>
      </c>
    </row>
    <row r="1074" spans="1:15" ht="14.5">
      <c r="A1074" t="s">
        <v>29</v>
      </c>
      <c r="B1074">
        <v>1039420</v>
      </c>
      <c r="C1074">
        <v>1040115</v>
      </c>
      <c r="D1074">
        <v>1</v>
      </c>
      <c r="E1074" t="s">
        <v>76</v>
      </c>
      <c r="F1074" t="s">
        <v>218</v>
      </c>
      <c r="G1074" t="s">
        <v>3561</v>
      </c>
      <c r="I1074" t="s">
        <v>49</v>
      </c>
      <c r="L1074" t="s">
        <v>3562</v>
      </c>
      <c r="M1074" t="s">
        <v>218</v>
      </c>
      <c r="N1074">
        <v>231</v>
      </c>
      <c r="O1074" t="s">
        <v>3563</v>
      </c>
    </row>
    <row r="1075" spans="1:15" ht="14.5">
      <c r="A1075" t="s">
        <v>29</v>
      </c>
      <c r="B1075">
        <v>1040120</v>
      </c>
      <c r="C1075">
        <v>1040485</v>
      </c>
      <c r="D1075">
        <v>1</v>
      </c>
      <c r="E1075" t="s">
        <v>76</v>
      </c>
      <c r="F1075" t="s">
        <v>1425</v>
      </c>
      <c r="G1075" t="s">
        <v>3564</v>
      </c>
      <c r="I1075" t="s">
        <v>49</v>
      </c>
      <c r="L1075" t="s">
        <v>3565</v>
      </c>
      <c r="M1075" t="s">
        <v>1425</v>
      </c>
      <c r="N1075">
        <v>121</v>
      </c>
      <c r="O1075" t="s">
        <v>3566</v>
      </c>
    </row>
    <row r="1076" spans="1:15" ht="14.5">
      <c r="A1076" t="s">
        <v>29</v>
      </c>
      <c r="B1076">
        <v>1040625</v>
      </c>
      <c r="C1076">
        <v>1041098</v>
      </c>
      <c r="D1076">
        <v>1</v>
      </c>
      <c r="E1076" t="s">
        <v>47</v>
      </c>
      <c r="F1076" t="s">
        <v>3567</v>
      </c>
      <c r="G1076" t="s">
        <v>3568</v>
      </c>
      <c r="I1076" t="s">
        <v>49</v>
      </c>
      <c r="L1076" t="s">
        <v>3569</v>
      </c>
      <c r="M1076" t="s">
        <v>3567</v>
      </c>
      <c r="N1076">
        <v>157</v>
      </c>
      <c r="O1076" t="s">
        <v>3570</v>
      </c>
    </row>
    <row r="1077" spans="1:15" ht="14.5">
      <c r="A1077" t="s">
        <v>29</v>
      </c>
      <c r="B1077">
        <v>1041099</v>
      </c>
      <c r="C1077">
        <v>1042268</v>
      </c>
      <c r="D1077">
        <v>1</v>
      </c>
      <c r="E1077" t="s">
        <v>47</v>
      </c>
      <c r="F1077" t="s">
        <v>3571</v>
      </c>
      <c r="I1077" t="s">
        <v>49</v>
      </c>
      <c r="L1077" t="s">
        <v>3572</v>
      </c>
      <c r="M1077" t="s">
        <v>3571</v>
      </c>
      <c r="N1077">
        <v>389</v>
      </c>
      <c r="O1077" t="s">
        <v>3573</v>
      </c>
    </row>
    <row r="1078" spans="1:15" ht="14.5">
      <c r="A1078" t="s">
        <v>29</v>
      </c>
      <c r="B1078">
        <v>1042269</v>
      </c>
      <c r="C1078">
        <v>1043165</v>
      </c>
      <c r="D1078">
        <v>1</v>
      </c>
      <c r="E1078" t="s">
        <v>47</v>
      </c>
      <c r="F1078" t="s">
        <v>3574</v>
      </c>
      <c r="G1078" t="s">
        <v>3575</v>
      </c>
      <c r="I1078" t="s">
        <v>49</v>
      </c>
      <c r="L1078" t="s">
        <v>3576</v>
      </c>
      <c r="M1078" t="s">
        <v>3574</v>
      </c>
      <c r="N1078">
        <v>298</v>
      </c>
      <c r="O1078" t="s">
        <v>3577</v>
      </c>
    </row>
    <row r="1079" spans="1:15" ht="14.5">
      <c r="A1079" t="s">
        <v>29</v>
      </c>
      <c r="B1079">
        <v>1043162</v>
      </c>
      <c r="C1079">
        <v>1043875</v>
      </c>
      <c r="D1079">
        <v>1</v>
      </c>
      <c r="E1079" t="s">
        <v>47</v>
      </c>
      <c r="F1079" t="s">
        <v>3578</v>
      </c>
      <c r="G1079" t="s">
        <v>3579</v>
      </c>
      <c r="I1079" t="s">
        <v>49</v>
      </c>
      <c r="L1079" t="s">
        <v>3580</v>
      </c>
      <c r="M1079" t="s">
        <v>3578</v>
      </c>
      <c r="N1079">
        <v>237</v>
      </c>
      <c r="O1079" t="s">
        <v>3581</v>
      </c>
    </row>
    <row r="1080" spans="1:15" ht="14.5">
      <c r="A1080" t="s">
        <v>29</v>
      </c>
      <c r="B1080">
        <v>1043889</v>
      </c>
      <c r="C1080">
        <v>1045199</v>
      </c>
      <c r="D1080">
        <v>1</v>
      </c>
      <c r="E1080" t="s">
        <v>47</v>
      </c>
      <c r="F1080" t="s">
        <v>3582</v>
      </c>
      <c r="G1080" t="s">
        <v>3583</v>
      </c>
      <c r="I1080" t="s">
        <v>49</v>
      </c>
      <c r="L1080" t="s">
        <v>3584</v>
      </c>
      <c r="M1080" t="s">
        <v>3582</v>
      </c>
      <c r="N1080">
        <v>436</v>
      </c>
      <c r="O1080" t="s">
        <v>3585</v>
      </c>
    </row>
    <row r="1081" spans="1:15" ht="14.5">
      <c r="A1081" t="s">
        <v>29</v>
      </c>
      <c r="B1081">
        <v>1045281</v>
      </c>
      <c r="C1081">
        <v>1045625</v>
      </c>
      <c r="D1081">
        <v>1</v>
      </c>
      <c r="E1081" t="s">
        <v>47</v>
      </c>
      <c r="F1081" t="s">
        <v>176</v>
      </c>
      <c r="I1081" t="s">
        <v>49</v>
      </c>
      <c r="L1081" t="s">
        <v>3586</v>
      </c>
      <c r="M1081" t="s">
        <v>176</v>
      </c>
      <c r="N1081">
        <v>114</v>
      </c>
      <c r="O1081" t="s">
        <v>3587</v>
      </c>
    </row>
    <row r="1082" spans="1:15" ht="14.5">
      <c r="A1082" t="s">
        <v>29</v>
      </c>
      <c r="B1082">
        <v>1045765</v>
      </c>
      <c r="C1082">
        <v>1046100</v>
      </c>
      <c r="D1082">
        <v>1</v>
      </c>
      <c r="E1082" t="s">
        <v>47</v>
      </c>
      <c r="F1082" t="s">
        <v>176</v>
      </c>
      <c r="I1082" t="s">
        <v>49</v>
      </c>
      <c r="L1082" t="s">
        <v>3588</v>
      </c>
      <c r="M1082" t="s">
        <v>176</v>
      </c>
      <c r="N1082">
        <v>111</v>
      </c>
      <c r="O1082" t="s">
        <v>3589</v>
      </c>
    </row>
    <row r="1083" spans="1:15" ht="14.5">
      <c r="A1083" t="s">
        <v>29</v>
      </c>
      <c r="B1083">
        <v>1046240</v>
      </c>
      <c r="C1083">
        <v>1046575</v>
      </c>
      <c r="D1083">
        <v>1</v>
      </c>
      <c r="E1083" t="s">
        <v>47</v>
      </c>
      <c r="F1083" t="s">
        <v>176</v>
      </c>
      <c r="I1083" t="s">
        <v>49</v>
      </c>
      <c r="L1083" t="s">
        <v>3590</v>
      </c>
      <c r="M1083" t="s">
        <v>176</v>
      </c>
      <c r="N1083">
        <v>111</v>
      </c>
      <c r="O1083" t="s">
        <v>3591</v>
      </c>
    </row>
    <row r="1084" spans="1:15" ht="14.5">
      <c r="A1084" t="s">
        <v>29</v>
      </c>
      <c r="B1084">
        <v>1046760</v>
      </c>
      <c r="C1084">
        <v>1047269</v>
      </c>
      <c r="D1084">
        <v>1</v>
      </c>
      <c r="E1084" t="s">
        <v>47</v>
      </c>
      <c r="F1084" t="s">
        <v>65</v>
      </c>
      <c r="I1084" t="s">
        <v>49</v>
      </c>
      <c r="L1084" t="s">
        <v>3592</v>
      </c>
      <c r="M1084" t="s">
        <v>65</v>
      </c>
      <c r="N1084">
        <v>169</v>
      </c>
      <c r="O1084" t="s">
        <v>3593</v>
      </c>
    </row>
    <row r="1085" spans="1:15" ht="14.5">
      <c r="A1085" t="s">
        <v>29</v>
      </c>
      <c r="B1085">
        <v>1047339</v>
      </c>
      <c r="C1085">
        <v>1047551</v>
      </c>
      <c r="D1085">
        <v>1</v>
      </c>
      <c r="E1085" t="s">
        <v>47</v>
      </c>
      <c r="F1085" t="s">
        <v>65</v>
      </c>
      <c r="I1085" t="s">
        <v>49</v>
      </c>
      <c r="L1085" t="s">
        <v>3594</v>
      </c>
      <c r="M1085" t="s">
        <v>65</v>
      </c>
      <c r="N1085">
        <v>70</v>
      </c>
      <c r="O1085" t="s">
        <v>3595</v>
      </c>
    </row>
    <row r="1086" spans="1:15" ht="14.5">
      <c r="A1086" t="s">
        <v>29</v>
      </c>
      <c r="B1086">
        <v>1047544</v>
      </c>
      <c r="C1086">
        <v>1048215</v>
      </c>
      <c r="D1086">
        <v>1</v>
      </c>
      <c r="E1086" t="s">
        <v>47</v>
      </c>
      <c r="F1086" t="s">
        <v>176</v>
      </c>
      <c r="I1086" t="s">
        <v>49</v>
      </c>
      <c r="L1086" t="s">
        <v>3596</v>
      </c>
      <c r="M1086" t="s">
        <v>176</v>
      </c>
      <c r="N1086">
        <v>223</v>
      </c>
      <c r="O1086" t="s">
        <v>3597</v>
      </c>
    </row>
    <row r="1087" spans="1:15" ht="14.5">
      <c r="A1087" t="s">
        <v>29</v>
      </c>
      <c r="B1087">
        <v>1048212</v>
      </c>
      <c r="C1087">
        <v>1048862</v>
      </c>
      <c r="D1087">
        <v>1</v>
      </c>
      <c r="E1087" t="s">
        <v>47</v>
      </c>
      <c r="F1087" t="s">
        <v>218</v>
      </c>
      <c r="G1087" t="s">
        <v>3598</v>
      </c>
      <c r="I1087" t="s">
        <v>49</v>
      </c>
      <c r="L1087" t="s">
        <v>3599</v>
      </c>
      <c r="M1087" t="s">
        <v>218</v>
      </c>
      <c r="N1087">
        <v>216</v>
      </c>
      <c r="O1087" t="s">
        <v>3600</v>
      </c>
    </row>
    <row r="1088" spans="1:15" ht="14.5">
      <c r="A1088" t="s">
        <v>29</v>
      </c>
      <c r="B1088">
        <v>1048873</v>
      </c>
      <c r="C1088">
        <v>1049160</v>
      </c>
      <c r="D1088">
        <v>1</v>
      </c>
      <c r="E1088" t="s">
        <v>47</v>
      </c>
      <c r="F1088" t="s">
        <v>3601</v>
      </c>
      <c r="I1088" t="s">
        <v>49</v>
      </c>
      <c r="L1088" t="s">
        <v>3602</v>
      </c>
      <c r="M1088" t="s">
        <v>3601</v>
      </c>
      <c r="N1088">
        <v>95</v>
      </c>
      <c r="O1088" t="s">
        <v>3603</v>
      </c>
    </row>
    <row r="1089" spans="1:15" ht="14.5">
      <c r="A1089" t="s">
        <v>29</v>
      </c>
      <c r="B1089">
        <v>1049306</v>
      </c>
      <c r="C1089">
        <v>1051819</v>
      </c>
      <c r="D1089">
        <v>1</v>
      </c>
      <c r="E1089" t="s">
        <v>47</v>
      </c>
      <c r="F1089" t="s">
        <v>3423</v>
      </c>
      <c r="G1089" t="s">
        <v>3604</v>
      </c>
      <c r="I1089" t="s">
        <v>49</v>
      </c>
      <c r="L1089" t="s">
        <v>3605</v>
      </c>
      <c r="M1089" t="s">
        <v>3423</v>
      </c>
      <c r="N1089">
        <v>837</v>
      </c>
      <c r="O1089" t="s">
        <v>3606</v>
      </c>
    </row>
    <row r="1090" spans="1:15" ht="14.5">
      <c r="A1090" t="s">
        <v>29</v>
      </c>
      <c r="B1090">
        <v>1051900</v>
      </c>
      <c r="C1090">
        <v>1052931</v>
      </c>
      <c r="D1090">
        <v>1</v>
      </c>
      <c r="E1090" t="s">
        <v>47</v>
      </c>
      <c r="F1090" t="s">
        <v>3607</v>
      </c>
      <c r="G1090" t="s">
        <v>3608</v>
      </c>
      <c r="I1090" t="s">
        <v>49</v>
      </c>
      <c r="L1090" t="s">
        <v>3609</v>
      </c>
      <c r="M1090" t="s">
        <v>3607</v>
      </c>
      <c r="N1090">
        <v>343</v>
      </c>
      <c r="O1090" t="s">
        <v>3610</v>
      </c>
    </row>
    <row r="1091" spans="1:15" ht="14.5">
      <c r="A1091" t="s">
        <v>29</v>
      </c>
      <c r="B1091">
        <v>1052933</v>
      </c>
      <c r="C1091">
        <v>1053964</v>
      </c>
      <c r="D1091">
        <v>1</v>
      </c>
      <c r="E1091" t="s">
        <v>47</v>
      </c>
      <c r="F1091" t="s">
        <v>3611</v>
      </c>
      <c r="G1091" t="s">
        <v>3612</v>
      </c>
      <c r="I1091" t="s">
        <v>49</v>
      </c>
      <c r="L1091" t="s">
        <v>3613</v>
      </c>
      <c r="M1091" t="s">
        <v>3611</v>
      </c>
      <c r="N1091">
        <v>343</v>
      </c>
      <c r="O1091" t="s">
        <v>3614</v>
      </c>
    </row>
    <row r="1092" spans="1:15" ht="14.5">
      <c r="A1092" t="s">
        <v>29</v>
      </c>
      <c r="B1092">
        <v>1054003</v>
      </c>
      <c r="C1092">
        <v>1054371</v>
      </c>
      <c r="D1092">
        <v>1</v>
      </c>
      <c r="E1092" t="s">
        <v>47</v>
      </c>
      <c r="F1092" t="s">
        <v>3615</v>
      </c>
      <c r="G1092" t="s">
        <v>3616</v>
      </c>
      <c r="I1092" t="s">
        <v>49</v>
      </c>
      <c r="L1092" t="s">
        <v>3617</v>
      </c>
      <c r="M1092" t="s">
        <v>3615</v>
      </c>
      <c r="N1092">
        <v>122</v>
      </c>
      <c r="O1092" t="s">
        <v>3618</v>
      </c>
    </row>
    <row r="1093" spans="1:15" ht="14.5">
      <c r="A1093" t="s">
        <v>29</v>
      </c>
      <c r="B1093">
        <v>1054361</v>
      </c>
      <c r="C1093">
        <v>1055464</v>
      </c>
      <c r="D1093">
        <v>1</v>
      </c>
      <c r="E1093" t="s">
        <v>47</v>
      </c>
      <c r="F1093" t="s">
        <v>3619</v>
      </c>
      <c r="G1093" t="s">
        <v>3620</v>
      </c>
      <c r="I1093" t="s">
        <v>49</v>
      </c>
      <c r="L1093" t="s">
        <v>3621</v>
      </c>
      <c r="M1093" t="s">
        <v>3619</v>
      </c>
      <c r="N1093">
        <v>367</v>
      </c>
      <c r="O1093" t="s">
        <v>3622</v>
      </c>
    </row>
    <row r="1094" spans="1:15" ht="14.5">
      <c r="A1094" t="s">
        <v>29</v>
      </c>
      <c r="B1094">
        <v>1055483</v>
      </c>
      <c r="C1094">
        <v>1057498</v>
      </c>
      <c r="D1094">
        <v>1</v>
      </c>
      <c r="E1094" t="s">
        <v>47</v>
      </c>
      <c r="F1094" t="s">
        <v>3623</v>
      </c>
      <c r="G1094" t="s">
        <v>3624</v>
      </c>
      <c r="I1094" t="s">
        <v>49</v>
      </c>
      <c r="L1094" t="s">
        <v>3625</v>
      </c>
      <c r="M1094" t="s">
        <v>3623</v>
      </c>
      <c r="N1094">
        <v>671</v>
      </c>
      <c r="O1094" t="s">
        <v>3626</v>
      </c>
    </row>
    <row r="1095" spans="1:15" ht="14.5">
      <c r="A1095" t="s">
        <v>29</v>
      </c>
      <c r="B1095">
        <v>1057814</v>
      </c>
      <c r="C1095">
        <v>1058794</v>
      </c>
      <c r="D1095">
        <v>1</v>
      </c>
      <c r="E1095" t="s">
        <v>47</v>
      </c>
      <c r="F1095" t="s">
        <v>3627</v>
      </c>
      <c r="G1095" t="s">
        <v>3628</v>
      </c>
      <c r="I1095" t="s">
        <v>49</v>
      </c>
      <c r="L1095" t="s">
        <v>3629</v>
      </c>
      <c r="M1095" t="s">
        <v>3627</v>
      </c>
      <c r="N1095">
        <v>326</v>
      </c>
      <c r="O1095" t="s">
        <v>3630</v>
      </c>
    </row>
    <row r="1096" spans="1:15" ht="14.5">
      <c r="A1096" t="s">
        <v>29</v>
      </c>
      <c r="B1096">
        <v>1059599</v>
      </c>
      <c r="C1096">
        <v>1059826</v>
      </c>
      <c r="D1096">
        <v>1</v>
      </c>
      <c r="E1096" t="s">
        <v>47</v>
      </c>
      <c r="F1096" t="s">
        <v>176</v>
      </c>
      <c r="I1096" t="s">
        <v>49</v>
      </c>
      <c r="L1096" t="s">
        <v>3631</v>
      </c>
      <c r="M1096" t="s">
        <v>176</v>
      </c>
      <c r="N1096">
        <v>75</v>
      </c>
      <c r="O1096" t="s">
        <v>3632</v>
      </c>
    </row>
    <row r="1097" spans="1:15" ht="14.5">
      <c r="A1097" t="s">
        <v>29</v>
      </c>
      <c r="B1097">
        <v>1060114</v>
      </c>
      <c r="C1097">
        <v>1063011</v>
      </c>
      <c r="D1097">
        <v>1</v>
      </c>
      <c r="E1097" t="s">
        <v>47</v>
      </c>
      <c r="F1097" t="s">
        <v>3633</v>
      </c>
      <c r="G1097" t="s">
        <v>3634</v>
      </c>
      <c r="I1097" t="s">
        <v>49</v>
      </c>
      <c r="L1097" t="s">
        <v>3635</v>
      </c>
      <c r="M1097" t="s">
        <v>3633</v>
      </c>
      <c r="N1097">
        <v>965</v>
      </c>
      <c r="O1097" t="s">
        <v>3636</v>
      </c>
    </row>
    <row r="1098" spans="1:15" ht="14.5">
      <c r="A1098" t="s">
        <v>29</v>
      </c>
      <c r="B1098">
        <v>1063791</v>
      </c>
      <c r="C1098">
        <v>1063886</v>
      </c>
      <c r="D1098">
        <v>1</v>
      </c>
      <c r="E1098" t="s">
        <v>47</v>
      </c>
      <c r="F1098" t="s">
        <v>1369</v>
      </c>
      <c r="I1098" t="s">
        <v>49</v>
      </c>
      <c r="L1098" t="s">
        <v>3637</v>
      </c>
      <c r="M1098" t="s">
        <v>1369</v>
      </c>
      <c r="N1098">
        <v>31</v>
      </c>
      <c r="O1098" t="s">
        <v>3638</v>
      </c>
    </row>
    <row r="1099" spans="1:15" ht="14.5">
      <c r="A1099" t="s">
        <v>29</v>
      </c>
      <c r="B1099">
        <v>1064025</v>
      </c>
      <c r="C1099">
        <v>1064477</v>
      </c>
      <c r="D1099">
        <v>1</v>
      </c>
      <c r="E1099" t="s">
        <v>47</v>
      </c>
      <c r="F1099" t="s">
        <v>3639</v>
      </c>
      <c r="G1099" t="s">
        <v>3640</v>
      </c>
      <c r="I1099" t="s">
        <v>49</v>
      </c>
      <c r="L1099" t="s">
        <v>3641</v>
      </c>
      <c r="M1099" t="s">
        <v>3639</v>
      </c>
      <c r="N1099">
        <v>150</v>
      </c>
      <c r="O1099" t="s">
        <v>3642</v>
      </c>
    </row>
    <row r="1100" spans="1:15" ht="14.5">
      <c r="A1100" t="s">
        <v>29</v>
      </c>
      <c r="B1100">
        <v>1064496</v>
      </c>
      <c r="C1100">
        <v>1065833</v>
      </c>
      <c r="D1100">
        <v>1</v>
      </c>
      <c r="E1100" t="s">
        <v>47</v>
      </c>
      <c r="F1100" t="s">
        <v>1338</v>
      </c>
      <c r="G1100" t="s">
        <v>3643</v>
      </c>
      <c r="I1100" t="s">
        <v>49</v>
      </c>
      <c r="L1100" t="s">
        <v>3644</v>
      </c>
      <c r="M1100" t="s">
        <v>1338</v>
      </c>
      <c r="N1100">
        <v>445</v>
      </c>
      <c r="O1100" t="s">
        <v>3645</v>
      </c>
    </row>
    <row r="1101" spans="1:15" ht="14.5">
      <c r="A1101" t="s">
        <v>29</v>
      </c>
      <c r="B1101">
        <v>1065912</v>
      </c>
      <c r="C1101">
        <v>1066796</v>
      </c>
      <c r="D1101">
        <v>1</v>
      </c>
      <c r="E1101" t="s">
        <v>47</v>
      </c>
      <c r="F1101" t="s">
        <v>3646</v>
      </c>
      <c r="G1101" t="s">
        <v>3647</v>
      </c>
      <c r="I1101" t="s">
        <v>49</v>
      </c>
      <c r="L1101" t="s">
        <v>3648</v>
      </c>
      <c r="M1101" t="s">
        <v>3646</v>
      </c>
      <c r="N1101">
        <v>294</v>
      </c>
      <c r="O1101" t="s">
        <v>3649</v>
      </c>
    </row>
    <row r="1102" spans="1:15" ht="14.5">
      <c r="A1102" t="s">
        <v>29</v>
      </c>
      <c r="B1102">
        <v>1066796</v>
      </c>
      <c r="C1102">
        <v>1067629</v>
      </c>
      <c r="D1102">
        <v>1</v>
      </c>
      <c r="E1102" t="s">
        <v>47</v>
      </c>
      <c r="F1102" t="s">
        <v>3650</v>
      </c>
      <c r="G1102" t="s">
        <v>3651</v>
      </c>
      <c r="I1102" t="s">
        <v>49</v>
      </c>
      <c r="L1102" t="s">
        <v>3652</v>
      </c>
      <c r="M1102" t="s">
        <v>3650</v>
      </c>
      <c r="N1102">
        <v>277</v>
      </c>
      <c r="O1102" t="s">
        <v>3653</v>
      </c>
    </row>
    <row r="1103" spans="1:15" ht="14.5">
      <c r="A1103" t="s">
        <v>29</v>
      </c>
      <c r="B1103">
        <v>1067647</v>
      </c>
      <c r="C1103">
        <v>1069740</v>
      </c>
      <c r="D1103">
        <v>1</v>
      </c>
      <c r="E1103" t="s">
        <v>47</v>
      </c>
      <c r="F1103" t="s">
        <v>3654</v>
      </c>
      <c r="G1103" t="s">
        <v>3655</v>
      </c>
      <c r="I1103" t="s">
        <v>49</v>
      </c>
      <c r="L1103" t="s">
        <v>3656</v>
      </c>
      <c r="M1103" t="s">
        <v>3654</v>
      </c>
      <c r="N1103">
        <v>697</v>
      </c>
      <c r="O1103" t="s">
        <v>3657</v>
      </c>
    </row>
    <row r="1104" spans="1:15" ht="14.5">
      <c r="A1104" t="s">
        <v>29</v>
      </c>
      <c r="B1104">
        <v>1069752</v>
      </c>
      <c r="C1104">
        <v>1070855</v>
      </c>
      <c r="D1104">
        <v>1</v>
      </c>
      <c r="E1104" t="s">
        <v>47</v>
      </c>
      <c r="F1104" t="s">
        <v>3658</v>
      </c>
      <c r="G1104" t="s">
        <v>3659</v>
      </c>
      <c r="I1104" t="s">
        <v>49</v>
      </c>
      <c r="L1104" t="s">
        <v>3660</v>
      </c>
      <c r="M1104" t="s">
        <v>3658</v>
      </c>
      <c r="N1104">
        <v>367</v>
      </c>
      <c r="O1104" t="s">
        <v>3661</v>
      </c>
    </row>
    <row r="1105" spans="1:15" ht="14.5">
      <c r="A1105" t="s">
        <v>29</v>
      </c>
      <c r="B1105">
        <v>1071028</v>
      </c>
      <c r="C1105">
        <v>1071726</v>
      </c>
      <c r="D1105">
        <v>1</v>
      </c>
      <c r="E1105" t="s">
        <v>47</v>
      </c>
      <c r="F1105" t="s">
        <v>3662</v>
      </c>
      <c r="G1105" t="s">
        <v>3663</v>
      </c>
      <c r="I1105" t="s">
        <v>49</v>
      </c>
      <c r="L1105" t="s">
        <v>3664</v>
      </c>
      <c r="M1105" t="s">
        <v>3662</v>
      </c>
      <c r="N1105">
        <v>232</v>
      </c>
      <c r="O1105" t="s">
        <v>3665</v>
      </c>
    </row>
    <row r="1106" spans="1:15" ht="14.5">
      <c r="A1106" t="s">
        <v>29</v>
      </c>
      <c r="B1106">
        <v>1071745</v>
      </c>
      <c r="C1106">
        <v>1073262</v>
      </c>
      <c r="D1106">
        <v>1</v>
      </c>
      <c r="E1106" t="s">
        <v>47</v>
      </c>
      <c r="F1106" t="s">
        <v>3666</v>
      </c>
      <c r="G1106" t="s">
        <v>3667</v>
      </c>
      <c r="I1106" t="s">
        <v>49</v>
      </c>
      <c r="L1106" t="s">
        <v>3668</v>
      </c>
      <c r="M1106" t="s">
        <v>3666</v>
      </c>
      <c r="N1106">
        <v>505</v>
      </c>
      <c r="O1106" t="s">
        <v>3669</v>
      </c>
    </row>
    <row r="1107" spans="1:15" ht="14.5">
      <c r="A1107" t="s">
        <v>29</v>
      </c>
      <c r="B1107">
        <v>1073387</v>
      </c>
      <c r="C1107">
        <v>1074715</v>
      </c>
      <c r="D1107">
        <v>1</v>
      </c>
      <c r="E1107" t="s">
        <v>47</v>
      </c>
      <c r="F1107" t="s">
        <v>3670</v>
      </c>
      <c r="G1107" t="s">
        <v>3671</v>
      </c>
      <c r="I1107" t="s">
        <v>49</v>
      </c>
      <c r="L1107" t="s">
        <v>3672</v>
      </c>
      <c r="M1107" t="s">
        <v>3670</v>
      </c>
      <c r="N1107">
        <v>442</v>
      </c>
      <c r="O1107" t="s">
        <v>3673</v>
      </c>
    </row>
    <row r="1108" spans="1:15" ht="14.5">
      <c r="A1108" t="s">
        <v>29</v>
      </c>
      <c r="B1108">
        <v>1074946</v>
      </c>
      <c r="C1108">
        <v>1075833</v>
      </c>
      <c r="D1108">
        <v>1</v>
      </c>
      <c r="E1108" t="s">
        <v>47</v>
      </c>
      <c r="F1108" t="s">
        <v>3266</v>
      </c>
      <c r="G1108" t="s">
        <v>3674</v>
      </c>
      <c r="I1108" t="s">
        <v>49</v>
      </c>
      <c r="L1108" t="s">
        <v>3675</v>
      </c>
      <c r="M1108" t="s">
        <v>3266</v>
      </c>
      <c r="N1108">
        <v>295</v>
      </c>
      <c r="O1108" t="s">
        <v>3676</v>
      </c>
    </row>
    <row r="1109" spans="1:15" ht="14.5">
      <c r="A1109" t="s">
        <v>29</v>
      </c>
      <c r="B1109">
        <v>1075849</v>
      </c>
      <c r="C1109">
        <v>1076688</v>
      </c>
      <c r="D1109">
        <v>1</v>
      </c>
      <c r="E1109" t="s">
        <v>47</v>
      </c>
      <c r="F1109" t="s">
        <v>3677</v>
      </c>
      <c r="G1109" t="s">
        <v>3678</v>
      </c>
      <c r="I1109" t="s">
        <v>49</v>
      </c>
      <c r="L1109" t="s">
        <v>3679</v>
      </c>
      <c r="M1109" t="s">
        <v>3677</v>
      </c>
      <c r="N1109">
        <v>279</v>
      </c>
      <c r="O1109" t="s">
        <v>3680</v>
      </c>
    </row>
    <row r="1110" spans="1:15" ht="14.5">
      <c r="A1110" t="s">
        <v>29</v>
      </c>
      <c r="B1110">
        <v>1076961</v>
      </c>
      <c r="C1110">
        <v>1077413</v>
      </c>
      <c r="D1110">
        <v>1</v>
      </c>
      <c r="E1110" t="s">
        <v>47</v>
      </c>
      <c r="F1110" t="s">
        <v>3639</v>
      </c>
      <c r="G1110" t="s">
        <v>3681</v>
      </c>
      <c r="I1110" t="s">
        <v>49</v>
      </c>
      <c r="L1110" t="s">
        <v>3682</v>
      </c>
      <c r="M1110" t="s">
        <v>3639</v>
      </c>
      <c r="N1110">
        <v>150</v>
      </c>
      <c r="O1110" t="s">
        <v>3683</v>
      </c>
    </row>
    <row r="1111" spans="1:15" ht="14.5">
      <c r="A1111" t="s">
        <v>29</v>
      </c>
      <c r="B1111">
        <v>1077531</v>
      </c>
      <c r="C1111">
        <v>1077863</v>
      </c>
      <c r="D1111">
        <v>1</v>
      </c>
      <c r="E1111" t="s">
        <v>47</v>
      </c>
      <c r="F1111" t="s">
        <v>65</v>
      </c>
      <c r="I1111" t="s">
        <v>49</v>
      </c>
      <c r="L1111" t="s">
        <v>3684</v>
      </c>
      <c r="M1111" t="s">
        <v>65</v>
      </c>
      <c r="N1111">
        <v>110</v>
      </c>
      <c r="O1111" t="s">
        <v>3685</v>
      </c>
    </row>
    <row r="1112" spans="1:15" ht="14.5">
      <c r="A1112" t="s">
        <v>29</v>
      </c>
      <c r="B1112">
        <v>1078147</v>
      </c>
      <c r="C1112">
        <v>1078791</v>
      </c>
      <c r="D1112">
        <v>1</v>
      </c>
      <c r="E1112" t="s">
        <v>47</v>
      </c>
      <c r="F1112" t="s">
        <v>65</v>
      </c>
      <c r="I1112" t="s">
        <v>49</v>
      </c>
      <c r="L1112" t="s">
        <v>3686</v>
      </c>
      <c r="M1112" t="s">
        <v>65</v>
      </c>
      <c r="N1112">
        <v>214</v>
      </c>
      <c r="O1112" t="s">
        <v>3687</v>
      </c>
    </row>
    <row r="1113" spans="1:15" ht="14.5">
      <c r="A1113" t="s">
        <v>29</v>
      </c>
      <c r="B1113">
        <v>1078960</v>
      </c>
      <c r="C1113">
        <v>1079877</v>
      </c>
      <c r="D1113">
        <v>1</v>
      </c>
      <c r="E1113" t="s">
        <v>47</v>
      </c>
      <c r="F1113" t="s">
        <v>3688</v>
      </c>
      <c r="G1113" t="s">
        <v>3689</v>
      </c>
      <c r="I1113" t="s">
        <v>49</v>
      </c>
      <c r="L1113" t="s">
        <v>3690</v>
      </c>
      <c r="M1113" t="s">
        <v>3688</v>
      </c>
      <c r="N1113">
        <v>305</v>
      </c>
      <c r="O1113" t="s">
        <v>3691</v>
      </c>
    </row>
    <row r="1114" spans="1:15" ht="14.5">
      <c r="A1114" t="s">
        <v>29</v>
      </c>
      <c r="B1114">
        <v>1079895</v>
      </c>
      <c r="C1114">
        <v>1080779</v>
      </c>
      <c r="D1114">
        <v>1</v>
      </c>
      <c r="E1114" t="s">
        <v>47</v>
      </c>
      <c r="F1114" t="s">
        <v>3692</v>
      </c>
      <c r="G1114" t="s">
        <v>3693</v>
      </c>
      <c r="I1114" t="s">
        <v>49</v>
      </c>
      <c r="L1114" t="s">
        <v>3694</v>
      </c>
      <c r="M1114" t="s">
        <v>3692</v>
      </c>
      <c r="N1114">
        <v>294</v>
      </c>
      <c r="O1114" t="s">
        <v>3695</v>
      </c>
    </row>
    <row r="1115" spans="1:15" ht="14.5">
      <c r="A1115" t="s">
        <v>29</v>
      </c>
      <c r="B1115">
        <v>1080795</v>
      </c>
      <c r="C1115">
        <v>1081346</v>
      </c>
      <c r="D1115">
        <v>1</v>
      </c>
      <c r="E1115" t="s">
        <v>76</v>
      </c>
      <c r="F1115" t="s">
        <v>3696</v>
      </c>
      <c r="G1115" t="s">
        <v>3697</v>
      </c>
      <c r="I1115" t="s">
        <v>49</v>
      </c>
      <c r="L1115" t="s">
        <v>3698</v>
      </c>
      <c r="M1115" t="s">
        <v>3696</v>
      </c>
      <c r="N1115">
        <v>183</v>
      </c>
      <c r="O1115" t="s">
        <v>3699</v>
      </c>
    </row>
    <row r="1116" spans="1:15" ht="14.5">
      <c r="A1116" t="s">
        <v>29</v>
      </c>
      <c r="B1116">
        <v>1081376</v>
      </c>
      <c r="C1116">
        <v>1081651</v>
      </c>
      <c r="D1116">
        <v>1</v>
      </c>
      <c r="E1116" t="s">
        <v>76</v>
      </c>
      <c r="F1116" t="s">
        <v>3696</v>
      </c>
      <c r="I1116" t="s">
        <v>49</v>
      </c>
      <c r="L1116" t="s">
        <v>3700</v>
      </c>
      <c r="M1116" t="s">
        <v>3696</v>
      </c>
      <c r="N1116">
        <v>91</v>
      </c>
      <c r="O1116" t="s">
        <v>3701</v>
      </c>
    </row>
    <row r="1117" spans="1:15" ht="14.5">
      <c r="A1117" t="s">
        <v>29</v>
      </c>
      <c r="B1117">
        <v>1081866</v>
      </c>
      <c r="C1117">
        <v>1083908</v>
      </c>
      <c r="D1117">
        <v>1</v>
      </c>
      <c r="E1117" t="s">
        <v>47</v>
      </c>
      <c r="F1117" t="s">
        <v>3702</v>
      </c>
      <c r="G1117" t="s">
        <v>3703</v>
      </c>
      <c r="I1117" t="s">
        <v>49</v>
      </c>
      <c r="L1117" t="s">
        <v>3704</v>
      </c>
      <c r="M1117" t="s">
        <v>3702</v>
      </c>
      <c r="N1117">
        <v>680</v>
      </c>
      <c r="O1117" t="s">
        <v>3705</v>
      </c>
    </row>
    <row r="1118" spans="1:15" ht="14.5">
      <c r="A1118" t="s">
        <v>29</v>
      </c>
      <c r="B1118">
        <v>1083919</v>
      </c>
      <c r="C1118">
        <v>1084515</v>
      </c>
      <c r="D1118">
        <v>1</v>
      </c>
      <c r="E1118" t="s">
        <v>47</v>
      </c>
      <c r="F1118" t="s">
        <v>3706</v>
      </c>
      <c r="G1118" t="s">
        <v>3707</v>
      </c>
      <c r="I1118" t="s">
        <v>49</v>
      </c>
      <c r="L1118" t="s">
        <v>3708</v>
      </c>
      <c r="M1118" t="s">
        <v>3706</v>
      </c>
      <c r="N1118">
        <v>198</v>
      </c>
      <c r="O1118" t="s">
        <v>3709</v>
      </c>
    </row>
    <row r="1119" spans="1:15" ht="14.5">
      <c r="A1119" t="s">
        <v>29</v>
      </c>
      <c r="B1119">
        <v>1084691</v>
      </c>
      <c r="C1119">
        <v>1085734</v>
      </c>
      <c r="D1119">
        <v>1</v>
      </c>
      <c r="E1119" t="s">
        <v>47</v>
      </c>
      <c r="F1119" t="s">
        <v>3710</v>
      </c>
      <c r="G1119" t="s">
        <v>3711</v>
      </c>
      <c r="I1119" t="s">
        <v>49</v>
      </c>
      <c r="L1119" t="s">
        <v>3712</v>
      </c>
      <c r="M1119" t="s">
        <v>3710</v>
      </c>
      <c r="N1119">
        <v>347</v>
      </c>
      <c r="O1119" t="s">
        <v>3713</v>
      </c>
    </row>
    <row r="1120" spans="1:15" ht="14.5">
      <c r="A1120" t="s">
        <v>29</v>
      </c>
      <c r="B1120">
        <v>1085818</v>
      </c>
      <c r="C1120">
        <v>1087191</v>
      </c>
      <c r="D1120">
        <v>1</v>
      </c>
      <c r="E1120" t="s">
        <v>47</v>
      </c>
      <c r="F1120" t="s">
        <v>3714</v>
      </c>
      <c r="G1120" t="s">
        <v>3715</v>
      </c>
      <c r="I1120" t="s">
        <v>49</v>
      </c>
      <c r="L1120" t="s">
        <v>3716</v>
      </c>
      <c r="M1120" t="s">
        <v>3714</v>
      </c>
      <c r="N1120">
        <v>457</v>
      </c>
      <c r="O1120" t="s">
        <v>3717</v>
      </c>
    </row>
    <row r="1121" spans="1:15" ht="14.5">
      <c r="A1121" t="s">
        <v>29</v>
      </c>
      <c r="B1121">
        <v>1087286</v>
      </c>
      <c r="C1121">
        <v>1087990</v>
      </c>
      <c r="D1121">
        <v>1</v>
      </c>
      <c r="E1121" t="s">
        <v>47</v>
      </c>
      <c r="F1121" t="s">
        <v>436</v>
      </c>
      <c r="I1121" t="s">
        <v>49</v>
      </c>
      <c r="L1121" t="s">
        <v>3718</v>
      </c>
      <c r="M1121" t="s">
        <v>436</v>
      </c>
      <c r="N1121">
        <v>234</v>
      </c>
      <c r="O1121" t="s">
        <v>3719</v>
      </c>
    </row>
    <row r="1122" spans="1:15" ht="14.5">
      <c r="A1122" t="s">
        <v>29</v>
      </c>
      <c r="B1122">
        <v>1088209</v>
      </c>
      <c r="C1122">
        <v>1089582</v>
      </c>
      <c r="D1122">
        <v>1</v>
      </c>
      <c r="E1122" t="s">
        <v>47</v>
      </c>
      <c r="F1122" t="s">
        <v>3720</v>
      </c>
      <c r="G1122" t="s">
        <v>3721</v>
      </c>
      <c r="I1122" t="s">
        <v>49</v>
      </c>
      <c r="L1122" t="s">
        <v>3722</v>
      </c>
      <c r="M1122" t="s">
        <v>3720</v>
      </c>
      <c r="N1122">
        <v>457</v>
      </c>
      <c r="O1122" t="s">
        <v>3723</v>
      </c>
    </row>
    <row r="1123" spans="1:15" ht="14.5">
      <c r="A1123" t="s">
        <v>29</v>
      </c>
      <c r="B1123">
        <v>1089599</v>
      </c>
      <c r="C1123">
        <v>1090858</v>
      </c>
      <c r="D1123">
        <v>1</v>
      </c>
      <c r="E1123" t="s">
        <v>47</v>
      </c>
      <c r="F1123" t="s">
        <v>3724</v>
      </c>
      <c r="G1123" t="s">
        <v>3725</v>
      </c>
      <c r="I1123" t="s">
        <v>49</v>
      </c>
      <c r="L1123" t="s">
        <v>3726</v>
      </c>
      <c r="M1123" t="s">
        <v>3724</v>
      </c>
      <c r="N1123">
        <v>419</v>
      </c>
      <c r="O1123" t="s">
        <v>3727</v>
      </c>
    </row>
    <row r="1124" spans="1:15" ht="14.5">
      <c r="A1124" t="s">
        <v>29</v>
      </c>
      <c r="B1124">
        <v>1090863</v>
      </c>
      <c r="C1124">
        <v>1091534</v>
      </c>
      <c r="D1124">
        <v>1</v>
      </c>
      <c r="E1124" t="s">
        <v>47</v>
      </c>
      <c r="F1124" t="s">
        <v>3728</v>
      </c>
      <c r="I1124" t="s">
        <v>49</v>
      </c>
      <c r="L1124" t="s">
        <v>3729</v>
      </c>
      <c r="M1124" t="s">
        <v>3728</v>
      </c>
      <c r="N1124">
        <v>223</v>
      </c>
      <c r="O1124" t="s">
        <v>3730</v>
      </c>
    </row>
    <row r="1125" spans="1:15" ht="14.5">
      <c r="A1125" t="s">
        <v>29</v>
      </c>
      <c r="B1125">
        <v>1091544</v>
      </c>
      <c r="C1125">
        <v>1092083</v>
      </c>
      <c r="D1125">
        <v>1</v>
      </c>
      <c r="E1125" t="s">
        <v>47</v>
      </c>
      <c r="F1125" t="s">
        <v>3731</v>
      </c>
      <c r="G1125" t="s">
        <v>3732</v>
      </c>
      <c r="I1125" t="s">
        <v>49</v>
      </c>
      <c r="L1125" t="s">
        <v>3733</v>
      </c>
      <c r="M1125" t="s">
        <v>3731</v>
      </c>
      <c r="N1125">
        <v>179</v>
      </c>
      <c r="O1125" t="s">
        <v>3734</v>
      </c>
    </row>
    <row r="1126" spans="1:15" ht="14.5">
      <c r="A1126" t="s">
        <v>29</v>
      </c>
      <c r="B1126">
        <v>1092083</v>
      </c>
      <c r="C1126">
        <v>1092346</v>
      </c>
      <c r="D1126">
        <v>1</v>
      </c>
      <c r="E1126" t="s">
        <v>47</v>
      </c>
      <c r="F1126" t="s">
        <v>769</v>
      </c>
      <c r="I1126" t="s">
        <v>49</v>
      </c>
      <c r="L1126" t="s">
        <v>3735</v>
      </c>
      <c r="M1126" t="s">
        <v>769</v>
      </c>
      <c r="N1126">
        <v>87</v>
      </c>
      <c r="O1126" t="s">
        <v>3736</v>
      </c>
    </row>
    <row r="1127" spans="1:15" ht="14.5">
      <c r="A1127" t="s">
        <v>29</v>
      </c>
      <c r="B1127">
        <v>1092343</v>
      </c>
      <c r="C1127">
        <v>1093128</v>
      </c>
      <c r="D1127">
        <v>1</v>
      </c>
      <c r="E1127" t="s">
        <v>47</v>
      </c>
      <c r="F1127" t="s">
        <v>3737</v>
      </c>
      <c r="I1127" t="s">
        <v>49</v>
      </c>
      <c r="L1127" t="s">
        <v>3738</v>
      </c>
      <c r="M1127" t="s">
        <v>3737</v>
      </c>
      <c r="N1127">
        <v>261</v>
      </c>
      <c r="O1127" t="s">
        <v>3739</v>
      </c>
    </row>
    <row r="1128" spans="1:15" ht="14.5">
      <c r="A1128" t="s">
        <v>29</v>
      </c>
      <c r="B1128">
        <v>1093137</v>
      </c>
      <c r="C1128">
        <v>1093925</v>
      </c>
      <c r="D1128">
        <v>1</v>
      </c>
      <c r="E1128" t="s">
        <v>47</v>
      </c>
      <c r="F1128" t="s">
        <v>3740</v>
      </c>
      <c r="G1128" t="s">
        <v>3741</v>
      </c>
      <c r="I1128" t="s">
        <v>49</v>
      </c>
      <c r="L1128" t="s">
        <v>3742</v>
      </c>
      <c r="M1128" t="s">
        <v>3740</v>
      </c>
      <c r="N1128">
        <v>262</v>
      </c>
      <c r="O1128" t="s">
        <v>3743</v>
      </c>
    </row>
    <row r="1129" spans="1:15" ht="14.5">
      <c r="A1129" t="s">
        <v>29</v>
      </c>
      <c r="B1129">
        <v>1094273</v>
      </c>
      <c r="C1129">
        <v>1097065</v>
      </c>
      <c r="D1129">
        <v>1</v>
      </c>
      <c r="E1129" t="s">
        <v>47</v>
      </c>
      <c r="F1129" t="s">
        <v>3744</v>
      </c>
      <c r="G1129" t="s">
        <v>3745</v>
      </c>
      <c r="I1129" t="s">
        <v>49</v>
      </c>
      <c r="L1129" t="s">
        <v>3746</v>
      </c>
      <c r="M1129" t="s">
        <v>3744</v>
      </c>
      <c r="N1129">
        <v>930</v>
      </c>
      <c r="O1129" t="s">
        <v>3747</v>
      </c>
    </row>
    <row r="1130" spans="1:15" ht="14.5">
      <c r="A1130" t="s">
        <v>29</v>
      </c>
      <c r="B1130">
        <v>1097478</v>
      </c>
      <c r="C1130">
        <v>1097858</v>
      </c>
      <c r="D1130">
        <v>1</v>
      </c>
      <c r="E1130" t="s">
        <v>47</v>
      </c>
      <c r="F1130" t="s">
        <v>769</v>
      </c>
      <c r="I1130" t="s">
        <v>49</v>
      </c>
      <c r="L1130" t="s">
        <v>3748</v>
      </c>
      <c r="M1130" t="s">
        <v>769</v>
      </c>
      <c r="N1130">
        <v>126</v>
      </c>
      <c r="O1130" t="s">
        <v>3749</v>
      </c>
    </row>
    <row r="1131" spans="1:15" ht="14.5">
      <c r="A1131" t="s">
        <v>29</v>
      </c>
      <c r="B1131">
        <v>1098392</v>
      </c>
      <c r="C1131">
        <v>1099084</v>
      </c>
      <c r="D1131">
        <v>1</v>
      </c>
      <c r="E1131" t="s">
        <v>47</v>
      </c>
      <c r="F1131" t="s">
        <v>3750</v>
      </c>
      <c r="G1131" t="s">
        <v>3751</v>
      </c>
      <c r="I1131" t="s">
        <v>49</v>
      </c>
      <c r="L1131" t="s">
        <v>3752</v>
      </c>
      <c r="M1131" t="s">
        <v>3750</v>
      </c>
      <c r="N1131">
        <v>230</v>
      </c>
      <c r="O1131" t="s">
        <v>3753</v>
      </c>
    </row>
    <row r="1132" spans="1:15" ht="14.5">
      <c r="A1132" t="s">
        <v>29</v>
      </c>
      <c r="B1132">
        <v>1099137</v>
      </c>
      <c r="C1132">
        <v>1101548</v>
      </c>
      <c r="D1132">
        <v>1</v>
      </c>
      <c r="E1132" t="s">
        <v>47</v>
      </c>
      <c r="F1132" t="s">
        <v>3754</v>
      </c>
      <c r="I1132" t="s">
        <v>49</v>
      </c>
      <c r="L1132" t="s">
        <v>3755</v>
      </c>
      <c r="M1132" t="s">
        <v>3754</v>
      </c>
      <c r="N1132">
        <v>803</v>
      </c>
      <c r="O1132" t="s">
        <v>3756</v>
      </c>
    </row>
    <row r="1133" spans="1:15" ht="14.5">
      <c r="A1133" t="s">
        <v>29</v>
      </c>
      <c r="B1133">
        <v>1101798</v>
      </c>
      <c r="C1133">
        <v>1102499</v>
      </c>
      <c r="D1133">
        <v>1</v>
      </c>
      <c r="E1133" t="s">
        <v>47</v>
      </c>
      <c r="F1133" t="s">
        <v>218</v>
      </c>
      <c r="G1133" t="s">
        <v>3757</v>
      </c>
      <c r="I1133" t="s">
        <v>49</v>
      </c>
      <c r="L1133" t="s">
        <v>3758</v>
      </c>
      <c r="M1133" t="s">
        <v>218</v>
      </c>
      <c r="N1133">
        <v>233</v>
      </c>
      <c r="O1133" t="s">
        <v>3759</v>
      </c>
    </row>
    <row r="1134" spans="1:15" ht="14.5">
      <c r="A1134" t="s">
        <v>29</v>
      </c>
      <c r="B1134">
        <v>1102501</v>
      </c>
      <c r="C1134">
        <v>1105209</v>
      </c>
      <c r="D1134">
        <v>1</v>
      </c>
      <c r="E1134" t="s">
        <v>47</v>
      </c>
      <c r="F1134" t="s">
        <v>140</v>
      </c>
      <c r="I1134" t="s">
        <v>49</v>
      </c>
      <c r="L1134" t="s">
        <v>3760</v>
      </c>
      <c r="M1134" t="s">
        <v>140</v>
      </c>
      <c r="N1134">
        <v>902</v>
      </c>
      <c r="O1134" t="s">
        <v>3761</v>
      </c>
    </row>
    <row r="1135" spans="1:15" ht="14.5">
      <c r="A1135" t="s">
        <v>29</v>
      </c>
      <c r="B1135">
        <v>1105305</v>
      </c>
      <c r="C1135">
        <v>1105796</v>
      </c>
      <c r="D1135">
        <v>1</v>
      </c>
      <c r="E1135" t="s">
        <v>76</v>
      </c>
      <c r="F1135" t="s">
        <v>3762</v>
      </c>
      <c r="G1135" t="s">
        <v>3763</v>
      </c>
      <c r="I1135" t="s">
        <v>49</v>
      </c>
      <c r="L1135" t="s">
        <v>3764</v>
      </c>
      <c r="M1135" t="s">
        <v>3762</v>
      </c>
      <c r="N1135">
        <v>163</v>
      </c>
      <c r="O1135" t="s">
        <v>3765</v>
      </c>
    </row>
    <row r="1136" spans="1:15" ht="14.5">
      <c r="A1136" t="s">
        <v>29</v>
      </c>
      <c r="B1136">
        <v>1105919</v>
      </c>
      <c r="C1136">
        <v>1106848</v>
      </c>
      <c r="D1136">
        <v>1</v>
      </c>
      <c r="E1136" t="s">
        <v>76</v>
      </c>
      <c r="F1136" t="s">
        <v>3766</v>
      </c>
      <c r="G1136" t="s">
        <v>3767</v>
      </c>
      <c r="I1136" t="s">
        <v>49</v>
      </c>
      <c r="L1136" t="s">
        <v>3768</v>
      </c>
      <c r="M1136" t="s">
        <v>3766</v>
      </c>
      <c r="N1136">
        <v>309</v>
      </c>
      <c r="O1136" t="s">
        <v>3769</v>
      </c>
    </row>
    <row r="1137" spans="1:15" ht="14.5">
      <c r="A1137" t="s">
        <v>29</v>
      </c>
      <c r="B1137">
        <v>1106880</v>
      </c>
      <c r="C1137">
        <v>1107728</v>
      </c>
      <c r="D1137">
        <v>1</v>
      </c>
      <c r="E1137" t="s">
        <v>76</v>
      </c>
      <c r="F1137" t="s">
        <v>3770</v>
      </c>
      <c r="G1137" t="s">
        <v>3771</v>
      </c>
      <c r="I1137" t="s">
        <v>49</v>
      </c>
      <c r="L1137" t="s">
        <v>3772</v>
      </c>
      <c r="M1137" t="s">
        <v>3770</v>
      </c>
      <c r="N1137">
        <v>282</v>
      </c>
      <c r="O1137" t="s">
        <v>3773</v>
      </c>
    </row>
    <row r="1138" spans="1:15" ht="14.5">
      <c r="A1138" t="s">
        <v>29</v>
      </c>
      <c r="B1138">
        <v>1107725</v>
      </c>
      <c r="C1138">
        <v>1108447</v>
      </c>
      <c r="D1138">
        <v>1</v>
      </c>
      <c r="E1138" t="s">
        <v>76</v>
      </c>
      <c r="F1138" t="s">
        <v>3774</v>
      </c>
      <c r="I1138" t="s">
        <v>49</v>
      </c>
      <c r="L1138" t="s">
        <v>3775</v>
      </c>
      <c r="M1138" t="s">
        <v>3774</v>
      </c>
      <c r="N1138">
        <v>240</v>
      </c>
      <c r="O1138" t="s">
        <v>3776</v>
      </c>
    </row>
    <row r="1139" spans="1:15" ht="14.5">
      <c r="A1139" t="s">
        <v>29</v>
      </c>
      <c r="B1139">
        <v>1108738</v>
      </c>
      <c r="C1139">
        <v>1110630</v>
      </c>
      <c r="D1139">
        <v>1</v>
      </c>
      <c r="E1139" t="s">
        <v>47</v>
      </c>
      <c r="F1139" t="s">
        <v>3777</v>
      </c>
      <c r="G1139" t="s">
        <v>3778</v>
      </c>
      <c r="I1139" t="s">
        <v>49</v>
      </c>
      <c r="L1139" t="s">
        <v>3779</v>
      </c>
      <c r="M1139" t="s">
        <v>3777</v>
      </c>
      <c r="N1139">
        <v>630</v>
      </c>
      <c r="O1139" t="s">
        <v>3780</v>
      </c>
    </row>
    <row r="1140" spans="1:15" ht="14.5">
      <c r="A1140" t="s">
        <v>29</v>
      </c>
      <c r="B1140">
        <v>1110753</v>
      </c>
      <c r="C1140">
        <v>1111382</v>
      </c>
      <c r="D1140">
        <v>1</v>
      </c>
      <c r="E1140" t="s">
        <v>76</v>
      </c>
      <c r="F1140" t="s">
        <v>3781</v>
      </c>
      <c r="I1140" t="s">
        <v>49</v>
      </c>
      <c r="L1140" t="s">
        <v>3782</v>
      </c>
      <c r="M1140" t="s">
        <v>3781</v>
      </c>
      <c r="N1140">
        <v>209</v>
      </c>
      <c r="O1140" t="s">
        <v>3783</v>
      </c>
    </row>
    <row r="1141" spans="1:15" ht="14.5">
      <c r="A1141" t="s">
        <v>29</v>
      </c>
      <c r="B1141">
        <v>1112376</v>
      </c>
      <c r="C1141">
        <v>1114598</v>
      </c>
      <c r="D1141">
        <v>1</v>
      </c>
      <c r="E1141" t="s">
        <v>47</v>
      </c>
      <c r="F1141" t="s">
        <v>3784</v>
      </c>
      <c r="G1141" t="s">
        <v>3785</v>
      </c>
      <c r="I1141" t="s">
        <v>49</v>
      </c>
      <c r="L1141" t="s">
        <v>3786</v>
      </c>
      <c r="M1141" t="s">
        <v>3784</v>
      </c>
      <c r="N1141">
        <v>740</v>
      </c>
      <c r="O1141" t="s">
        <v>3787</v>
      </c>
    </row>
    <row r="1142" spans="1:15" ht="14.5">
      <c r="A1142" t="s">
        <v>29</v>
      </c>
      <c r="B1142">
        <v>1114628</v>
      </c>
      <c r="C1142">
        <v>1115071</v>
      </c>
      <c r="D1142">
        <v>1</v>
      </c>
      <c r="E1142" t="s">
        <v>47</v>
      </c>
      <c r="F1142" t="s">
        <v>3788</v>
      </c>
      <c r="G1142" t="s">
        <v>3789</v>
      </c>
      <c r="I1142" t="s">
        <v>49</v>
      </c>
      <c r="L1142" t="s">
        <v>3790</v>
      </c>
      <c r="M1142" t="s">
        <v>3788</v>
      </c>
      <c r="N1142">
        <v>147</v>
      </c>
      <c r="O1142" t="s">
        <v>3791</v>
      </c>
    </row>
    <row r="1143" spans="1:15" ht="14.5">
      <c r="A1143" t="s">
        <v>29</v>
      </c>
      <c r="B1143">
        <v>1115338</v>
      </c>
      <c r="C1143">
        <v>1115523</v>
      </c>
      <c r="D1143">
        <v>1</v>
      </c>
      <c r="E1143" t="s">
        <v>76</v>
      </c>
      <c r="F1143" t="s">
        <v>176</v>
      </c>
      <c r="I1143" t="s">
        <v>49</v>
      </c>
      <c r="L1143" t="s">
        <v>3792</v>
      </c>
      <c r="M1143" t="s">
        <v>176</v>
      </c>
      <c r="N1143">
        <v>61</v>
      </c>
      <c r="O1143" t="s">
        <v>3793</v>
      </c>
    </row>
    <row r="1144" spans="1:15" ht="14.5">
      <c r="A1144" t="s">
        <v>29</v>
      </c>
      <c r="B1144">
        <v>1115542</v>
      </c>
      <c r="C1144">
        <v>1115955</v>
      </c>
      <c r="D1144">
        <v>1</v>
      </c>
      <c r="E1144" t="s">
        <v>76</v>
      </c>
      <c r="F1144" t="s">
        <v>176</v>
      </c>
      <c r="I1144" t="s">
        <v>49</v>
      </c>
      <c r="L1144" t="s">
        <v>3794</v>
      </c>
      <c r="M1144" t="s">
        <v>176</v>
      </c>
      <c r="N1144">
        <v>137</v>
      </c>
      <c r="O1144" t="s">
        <v>3795</v>
      </c>
    </row>
    <row r="1145" spans="1:15" ht="14.5">
      <c r="A1145" t="s">
        <v>29</v>
      </c>
      <c r="B1145">
        <v>1116086</v>
      </c>
      <c r="C1145">
        <v>1116733</v>
      </c>
      <c r="D1145">
        <v>1</v>
      </c>
      <c r="E1145" t="s">
        <v>76</v>
      </c>
      <c r="F1145" t="s">
        <v>3796</v>
      </c>
      <c r="I1145" t="s">
        <v>49</v>
      </c>
      <c r="L1145" t="s">
        <v>3797</v>
      </c>
      <c r="M1145" t="s">
        <v>3796</v>
      </c>
      <c r="N1145">
        <v>215</v>
      </c>
      <c r="O1145" t="s">
        <v>3798</v>
      </c>
    </row>
    <row r="1146" spans="1:15" ht="14.5">
      <c r="A1146" t="s">
        <v>29</v>
      </c>
      <c r="B1146">
        <v>1116910</v>
      </c>
      <c r="C1146">
        <v>1117560</v>
      </c>
      <c r="D1146">
        <v>1</v>
      </c>
      <c r="E1146" t="s">
        <v>76</v>
      </c>
      <c r="F1146" t="s">
        <v>3799</v>
      </c>
      <c r="G1146" t="s">
        <v>3800</v>
      </c>
      <c r="I1146" t="s">
        <v>49</v>
      </c>
      <c r="L1146" t="s">
        <v>3801</v>
      </c>
      <c r="M1146" t="s">
        <v>3799</v>
      </c>
      <c r="N1146">
        <v>216</v>
      </c>
      <c r="O1146" t="s">
        <v>3802</v>
      </c>
    </row>
    <row r="1147" spans="1:15" ht="14.5">
      <c r="A1147" t="s">
        <v>29</v>
      </c>
      <c r="B1147">
        <v>1117672</v>
      </c>
      <c r="C1147">
        <v>1118514</v>
      </c>
      <c r="D1147">
        <v>1</v>
      </c>
      <c r="E1147" t="s">
        <v>47</v>
      </c>
      <c r="F1147" t="s">
        <v>3803</v>
      </c>
      <c r="I1147" t="s">
        <v>49</v>
      </c>
      <c r="L1147" t="s">
        <v>3804</v>
      </c>
      <c r="M1147" t="s">
        <v>3803</v>
      </c>
      <c r="N1147">
        <v>280</v>
      </c>
      <c r="O1147" t="s">
        <v>3805</v>
      </c>
    </row>
    <row r="1148" spans="1:15" ht="14.5">
      <c r="A1148" t="s">
        <v>29</v>
      </c>
      <c r="B1148">
        <v>1118590</v>
      </c>
      <c r="C1148">
        <v>1119027</v>
      </c>
      <c r="D1148">
        <v>1</v>
      </c>
      <c r="E1148" t="s">
        <v>47</v>
      </c>
      <c r="F1148" t="s">
        <v>3806</v>
      </c>
      <c r="G1148" t="s">
        <v>3807</v>
      </c>
      <c r="I1148" t="s">
        <v>49</v>
      </c>
      <c r="L1148" t="s">
        <v>3808</v>
      </c>
      <c r="M1148" t="s">
        <v>3806</v>
      </c>
      <c r="N1148">
        <v>145</v>
      </c>
      <c r="O1148" t="s">
        <v>3809</v>
      </c>
    </row>
    <row r="1149" spans="1:15" ht="14.5">
      <c r="A1149" t="s">
        <v>29</v>
      </c>
      <c r="B1149">
        <v>1119095</v>
      </c>
      <c r="C1149">
        <v>1119397</v>
      </c>
      <c r="D1149">
        <v>1</v>
      </c>
      <c r="E1149" t="s">
        <v>47</v>
      </c>
      <c r="F1149" t="s">
        <v>176</v>
      </c>
      <c r="I1149" t="s">
        <v>49</v>
      </c>
      <c r="L1149" t="s">
        <v>3810</v>
      </c>
      <c r="M1149" t="s">
        <v>176</v>
      </c>
      <c r="N1149">
        <v>100</v>
      </c>
      <c r="O1149" t="s">
        <v>3811</v>
      </c>
    </row>
    <row r="1150" spans="1:15" ht="14.5">
      <c r="A1150" t="s">
        <v>29</v>
      </c>
      <c r="B1150">
        <v>1119488</v>
      </c>
      <c r="C1150">
        <v>1120561</v>
      </c>
      <c r="D1150">
        <v>1</v>
      </c>
      <c r="E1150" t="s">
        <v>76</v>
      </c>
      <c r="F1150" t="s">
        <v>3812</v>
      </c>
      <c r="I1150" t="s">
        <v>49</v>
      </c>
      <c r="L1150" t="s">
        <v>3813</v>
      </c>
      <c r="M1150" t="s">
        <v>3812</v>
      </c>
      <c r="N1150">
        <v>357</v>
      </c>
      <c r="O1150" t="s">
        <v>3814</v>
      </c>
    </row>
    <row r="1151" spans="1:15" ht="14.5">
      <c r="A1151" t="s">
        <v>29</v>
      </c>
      <c r="B1151">
        <v>1120717</v>
      </c>
      <c r="C1151">
        <v>1121394</v>
      </c>
      <c r="D1151">
        <v>1</v>
      </c>
      <c r="E1151" t="s">
        <v>47</v>
      </c>
      <c r="F1151" t="s">
        <v>1943</v>
      </c>
      <c r="G1151" t="s">
        <v>3815</v>
      </c>
      <c r="I1151" t="s">
        <v>49</v>
      </c>
      <c r="L1151" t="s">
        <v>3816</v>
      </c>
      <c r="M1151" t="s">
        <v>1943</v>
      </c>
      <c r="N1151">
        <v>225</v>
      </c>
      <c r="O1151" t="s">
        <v>3817</v>
      </c>
    </row>
    <row r="1152" spans="1:15" ht="14.5">
      <c r="A1152" t="s">
        <v>29</v>
      </c>
      <c r="B1152">
        <v>1121387</v>
      </c>
      <c r="C1152">
        <v>1122361</v>
      </c>
      <c r="D1152">
        <v>1</v>
      </c>
      <c r="E1152" t="s">
        <v>47</v>
      </c>
      <c r="F1152" t="s">
        <v>409</v>
      </c>
      <c r="G1152" t="s">
        <v>3818</v>
      </c>
      <c r="I1152" t="s">
        <v>49</v>
      </c>
      <c r="L1152" t="s">
        <v>3819</v>
      </c>
      <c r="M1152" t="s">
        <v>409</v>
      </c>
      <c r="N1152">
        <v>324</v>
      </c>
      <c r="O1152" t="s">
        <v>3820</v>
      </c>
    </row>
    <row r="1153" spans="1:15" ht="14.5">
      <c r="A1153" t="s">
        <v>29</v>
      </c>
      <c r="B1153">
        <v>1122410</v>
      </c>
      <c r="C1153">
        <v>1124353</v>
      </c>
      <c r="D1153">
        <v>1</v>
      </c>
      <c r="E1153" t="s">
        <v>76</v>
      </c>
      <c r="F1153" t="s">
        <v>3821</v>
      </c>
      <c r="G1153" t="s">
        <v>3822</v>
      </c>
      <c r="I1153" t="s">
        <v>49</v>
      </c>
      <c r="L1153" t="s">
        <v>3823</v>
      </c>
      <c r="M1153" t="s">
        <v>3821</v>
      </c>
      <c r="N1153">
        <v>647</v>
      </c>
      <c r="O1153" t="s">
        <v>3824</v>
      </c>
    </row>
    <row r="1154" spans="1:15" ht="14.5">
      <c r="A1154" t="s">
        <v>29</v>
      </c>
      <c r="B1154">
        <v>1124594</v>
      </c>
      <c r="C1154">
        <v>1124734</v>
      </c>
      <c r="D1154">
        <v>1</v>
      </c>
      <c r="E1154" t="s">
        <v>76</v>
      </c>
      <c r="F1154" t="s">
        <v>3825</v>
      </c>
      <c r="I1154" t="s">
        <v>49</v>
      </c>
      <c r="L1154" t="s">
        <v>3826</v>
      </c>
      <c r="M1154" t="s">
        <v>3825</v>
      </c>
      <c r="N1154">
        <v>46</v>
      </c>
      <c r="O1154" t="s">
        <v>3827</v>
      </c>
    </row>
    <row r="1155" spans="1:15" ht="14.5">
      <c r="A1155" t="s">
        <v>29</v>
      </c>
      <c r="B1155">
        <v>1125165</v>
      </c>
      <c r="C1155">
        <v>1125365</v>
      </c>
      <c r="D1155">
        <v>1</v>
      </c>
      <c r="E1155" t="s">
        <v>76</v>
      </c>
      <c r="F1155" t="s">
        <v>176</v>
      </c>
      <c r="I1155" t="s">
        <v>49</v>
      </c>
      <c r="L1155" t="s">
        <v>3828</v>
      </c>
      <c r="M1155" t="s">
        <v>176</v>
      </c>
      <c r="N1155">
        <v>66</v>
      </c>
      <c r="O1155" t="s">
        <v>3829</v>
      </c>
    </row>
    <row r="1156" spans="1:15" ht="14.5">
      <c r="A1156" t="s">
        <v>29</v>
      </c>
      <c r="B1156">
        <v>1125604</v>
      </c>
      <c r="C1156">
        <v>1126233</v>
      </c>
      <c r="D1156">
        <v>1</v>
      </c>
      <c r="E1156" t="s">
        <v>47</v>
      </c>
      <c r="F1156" t="s">
        <v>3830</v>
      </c>
      <c r="I1156" t="s">
        <v>49</v>
      </c>
      <c r="L1156" t="s">
        <v>3831</v>
      </c>
      <c r="M1156" t="s">
        <v>3830</v>
      </c>
      <c r="N1156">
        <v>209</v>
      </c>
      <c r="O1156" t="s">
        <v>3832</v>
      </c>
    </row>
    <row r="1157" spans="1:15" ht="14.5">
      <c r="A1157" t="s">
        <v>29</v>
      </c>
      <c r="B1157">
        <v>1126374</v>
      </c>
      <c r="C1157">
        <v>1126643</v>
      </c>
      <c r="D1157">
        <v>1</v>
      </c>
      <c r="E1157" t="s">
        <v>47</v>
      </c>
      <c r="F1157" t="s">
        <v>3825</v>
      </c>
      <c r="G1157" t="s">
        <v>3833</v>
      </c>
      <c r="I1157" t="s">
        <v>49</v>
      </c>
      <c r="L1157" t="s">
        <v>3834</v>
      </c>
      <c r="M1157" t="s">
        <v>3825</v>
      </c>
      <c r="N1157">
        <v>89</v>
      </c>
      <c r="O1157" t="s">
        <v>3835</v>
      </c>
    </row>
    <row r="1158" spans="1:15" ht="14.5">
      <c r="A1158" t="s">
        <v>29</v>
      </c>
      <c r="B1158">
        <v>1127459</v>
      </c>
      <c r="C1158">
        <v>1128073</v>
      </c>
      <c r="D1158">
        <v>1</v>
      </c>
      <c r="E1158" t="s">
        <v>47</v>
      </c>
      <c r="F1158" t="s">
        <v>3836</v>
      </c>
      <c r="I1158" t="s">
        <v>49</v>
      </c>
      <c r="L1158" t="s">
        <v>3837</v>
      </c>
      <c r="M1158" t="s">
        <v>3836</v>
      </c>
      <c r="N1158">
        <v>204</v>
      </c>
      <c r="O1158" t="s">
        <v>3838</v>
      </c>
    </row>
    <row r="1159" spans="1:15" ht="14.5">
      <c r="A1159" t="s">
        <v>29</v>
      </c>
      <c r="B1159">
        <v>1128365</v>
      </c>
      <c r="C1159">
        <v>1129114</v>
      </c>
      <c r="D1159">
        <v>1</v>
      </c>
      <c r="E1159" t="s">
        <v>76</v>
      </c>
      <c r="F1159" t="s">
        <v>3839</v>
      </c>
      <c r="G1159" t="s">
        <v>3840</v>
      </c>
      <c r="I1159" t="s">
        <v>49</v>
      </c>
      <c r="L1159" t="s">
        <v>3841</v>
      </c>
      <c r="M1159" t="s">
        <v>3839</v>
      </c>
      <c r="N1159">
        <v>249</v>
      </c>
      <c r="O1159" t="s">
        <v>3842</v>
      </c>
    </row>
    <row r="1160" spans="1:15" ht="14.5">
      <c r="A1160" t="s">
        <v>29</v>
      </c>
      <c r="B1160">
        <v>1129247</v>
      </c>
      <c r="C1160">
        <v>1131583</v>
      </c>
      <c r="D1160">
        <v>1</v>
      </c>
      <c r="E1160" t="s">
        <v>47</v>
      </c>
      <c r="F1160" t="s">
        <v>3843</v>
      </c>
      <c r="I1160" t="s">
        <v>49</v>
      </c>
      <c r="L1160" t="s">
        <v>3844</v>
      </c>
      <c r="M1160" t="s">
        <v>3843</v>
      </c>
      <c r="N1160">
        <v>778</v>
      </c>
      <c r="O1160" t="s">
        <v>3845</v>
      </c>
    </row>
    <row r="1161" spans="1:15" ht="14.5">
      <c r="A1161" t="s">
        <v>29</v>
      </c>
      <c r="B1161">
        <v>1131685</v>
      </c>
      <c r="C1161">
        <v>1132362</v>
      </c>
      <c r="D1161">
        <v>1</v>
      </c>
      <c r="E1161" t="s">
        <v>47</v>
      </c>
      <c r="F1161" t="s">
        <v>3846</v>
      </c>
      <c r="G1161" t="s">
        <v>3847</v>
      </c>
      <c r="I1161" t="s">
        <v>49</v>
      </c>
      <c r="L1161" t="s">
        <v>3848</v>
      </c>
      <c r="M1161" t="s">
        <v>3846</v>
      </c>
      <c r="N1161">
        <v>225</v>
      </c>
      <c r="O1161" t="s">
        <v>3849</v>
      </c>
    </row>
    <row r="1162" spans="1:15" ht="14.5">
      <c r="A1162" t="s">
        <v>29</v>
      </c>
      <c r="B1162">
        <v>1132349</v>
      </c>
      <c r="C1162">
        <v>1133146</v>
      </c>
      <c r="D1162">
        <v>1</v>
      </c>
      <c r="E1162" t="s">
        <v>47</v>
      </c>
      <c r="F1162" t="s">
        <v>3850</v>
      </c>
      <c r="I1162" t="s">
        <v>49</v>
      </c>
      <c r="L1162" t="s">
        <v>3851</v>
      </c>
      <c r="M1162" t="s">
        <v>3850</v>
      </c>
      <c r="N1162">
        <v>265</v>
      </c>
      <c r="O1162" t="s">
        <v>3852</v>
      </c>
    </row>
    <row r="1163" spans="1:15" ht="14.5">
      <c r="A1163" t="s">
        <v>29</v>
      </c>
      <c r="B1163">
        <v>1133163</v>
      </c>
      <c r="C1163">
        <v>1134266</v>
      </c>
      <c r="D1163">
        <v>1</v>
      </c>
      <c r="E1163" t="s">
        <v>47</v>
      </c>
      <c r="F1163" t="s">
        <v>3853</v>
      </c>
      <c r="G1163" t="s">
        <v>3854</v>
      </c>
      <c r="I1163" t="s">
        <v>49</v>
      </c>
      <c r="L1163" t="s">
        <v>3855</v>
      </c>
      <c r="M1163" t="s">
        <v>3853</v>
      </c>
      <c r="N1163">
        <v>367</v>
      </c>
      <c r="O1163" t="s">
        <v>3856</v>
      </c>
    </row>
    <row r="1164" spans="1:15" ht="14.5">
      <c r="A1164" t="s">
        <v>29</v>
      </c>
      <c r="B1164">
        <v>1134522</v>
      </c>
      <c r="C1164">
        <v>1135541</v>
      </c>
      <c r="D1164">
        <v>1</v>
      </c>
      <c r="E1164" t="s">
        <v>47</v>
      </c>
      <c r="F1164" t="s">
        <v>3857</v>
      </c>
      <c r="G1164" t="s">
        <v>3858</v>
      </c>
      <c r="I1164" t="s">
        <v>49</v>
      </c>
      <c r="L1164" t="s">
        <v>3859</v>
      </c>
      <c r="M1164" t="s">
        <v>3857</v>
      </c>
      <c r="N1164">
        <v>339</v>
      </c>
      <c r="O1164" t="s">
        <v>3860</v>
      </c>
    </row>
    <row r="1165" spans="1:15" ht="14.5">
      <c r="A1165" t="s">
        <v>29</v>
      </c>
      <c r="B1165">
        <v>1135525</v>
      </c>
      <c r="C1165">
        <v>1136508</v>
      </c>
      <c r="D1165">
        <v>1</v>
      </c>
      <c r="E1165" t="s">
        <v>47</v>
      </c>
      <c r="F1165" t="s">
        <v>3861</v>
      </c>
      <c r="G1165" t="s">
        <v>3862</v>
      </c>
      <c r="I1165" t="s">
        <v>49</v>
      </c>
      <c r="L1165" t="s">
        <v>3863</v>
      </c>
      <c r="M1165" t="s">
        <v>3861</v>
      </c>
      <c r="N1165">
        <v>327</v>
      </c>
      <c r="O1165" t="s">
        <v>3864</v>
      </c>
    </row>
    <row r="1166" spans="1:15" ht="14.5">
      <c r="A1166" t="s">
        <v>29</v>
      </c>
      <c r="B1166">
        <v>1136559</v>
      </c>
      <c r="C1166">
        <v>1136771</v>
      </c>
      <c r="D1166">
        <v>1</v>
      </c>
      <c r="E1166" t="s">
        <v>76</v>
      </c>
      <c r="F1166" t="s">
        <v>3865</v>
      </c>
      <c r="I1166" t="s">
        <v>49</v>
      </c>
      <c r="L1166" t="s">
        <v>3866</v>
      </c>
      <c r="M1166" t="s">
        <v>3865</v>
      </c>
      <c r="N1166">
        <v>70</v>
      </c>
      <c r="O1166" t="s">
        <v>3867</v>
      </c>
    </row>
    <row r="1167" spans="1:15" ht="14.5">
      <c r="A1167" t="s">
        <v>29</v>
      </c>
      <c r="B1167">
        <v>1136817</v>
      </c>
      <c r="C1167">
        <v>1137293</v>
      </c>
      <c r="D1167">
        <v>1</v>
      </c>
      <c r="E1167" t="s">
        <v>47</v>
      </c>
      <c r="F1167" t="s">
        <v>3825</v>
      </c>
      <c r="G1167" t="s">
        <v>3868</v>
      </c>
      <c r="I1167" t="s">
        <v>49</v>
      </c>
      <c r="L1167" t="s">
        <v>3869</v>
      </c>
      <c r="M1167" t="s">
        <v>3825</v>
      </c>
      <c r="N1167">
        <v>158</v>
      </c>
      <c r="O1167" t="s">
        <v>3870</v>
      </c>
    </row>
    <row r="1168" spans="1:15" ht="14.5">
      <c r="A1168" t="s">
        <v>29</v>
      </c>
      <c r="B1168">
        <v>1137302</v>
      </c>
      <c r="C1168">
        <v>1137973</v>
      </c>
      <c r="D1168">
        <v>1</v>
      </c>
      <c r="E1168" t="s">
        <v>47</v>
      </c>
      <c r="F1168" t="s">
        <v>3871</v>
      </c>
      <c r="G1168" t="s">
        <v>3872</v>
      </c>
      <c r="I1168" t="s">
        <v>49</v>
      </c>
      <c r="L1168" t="s">
        <v>3873</v>
      </c>
      <c r="M1168" t="s">
        <v>3871</v>
      </c>
      <c r="N1168">
        <v>223</v>
      </c>
      <c r="O1168" t="s">
        <v>3874</v>
      </c>
    </row>
    <row r="1169" spans="1:15" ht="14.5">
      <c r="A1169" t="s">
        <v>29</v>
      </c>
      <c r="B1169">
        <v>1138104</v>
      </c>
      <c r="C1169">
        <v>1138442</v>
      </c>
      <c r="D1169">
        <v>1</v>
      </c>
      <c r="E1169" t="s">
        <v>47</v>
      </c>
      <c r="F1169" t="s">
        <v>3875</v>
      </c>
      <c r="I1169" t="s">
        <v>49</v>
      </c>
      <c r="L1169" t="s">
        <v>3876</v>
      </c>
      <c r="M1169" t="s">
        <v>3875</v>
      </c>
      <c r="N1169">
        <v>112</v>
      </c>
      <c r="O1169" t="s">
        <v>3877</v>
      </c>
    </row>
    <row r="1170" spans="1:15" ht="14.5">
      <c r="A1170" t="s">
        <v>29</v>
      </c>
      <c r="B1170">
        <v>1138445</v>
      </c>
      <c r="C1170">
        <v>1139074</v>
      </c>
      <c r="D1170">
        <v>1</v>
      </c>
      <c r="E1170" t="s">
        <v>47</v>
      </c>
      <c r="F1170" t="s">
        <v>65</v>
      </c>
      <c r="I1170" t="s">
        <v>49</v>
      </c>
      <c r="L1170" t="s">
        <v>3878</v>
      </c>
      <c r="M1170" t="s">
        <v>65</v>
      </c>
      <c r="N1170">
        <v>209</v>
      </c>
      <c r="O1170" t="s">
        <v>3879</v>
      </c>
    </row>
    <row r="1171" spans="1:15" ht="14.5">
      <c r="A1171" t="s">
        <v>29</v>
      </c>
      <c r="B1171">
        <v>1139314</v>
      </c>
      <c r="C1171">
        <v>1140465</v>
      </c>
      <c r="D1171">
        <v>1</v>
      </c>
      <c r="E1171" t="s">
        <v>47</v>
      </c>
      <c r="F1171" t="s">
        <v>3880</v>
      </c>
      <c r="I1171" t="s">
        <v>49</v>
      </c>
      <c r="L1171" t="s">
        <v>3881</v>
      </c>
      <c r="M1171" t="s">
        <v>3880</v>
      </c>
      <c r="N1171">
        <v>383</v>
      </c>
      <c r="O1171" t="s">
        <v>3882</v>
      </c>
    </row>
    <row r="1172" spans="1:15" ht="14.5">
      <c r="A1172" t="s">
        <v>29</v>
      </c>
      <c r="B1172">
        <v>1140783</v>
      </c>
      <c r="C1172">
        <v>1141532</v>
      </c>
      <c r="D1172">
        <v>1</v>
      </c>
      <c r="E1172" t="s">
        <v>47</v>
      </c>
      <c r="F1172" t="s">
        <v>3883</v>
      </c>
      <c r="G1172" t="s">
        <v>3884</v>
      </c>
      <c r="I1172" t="s">
        <v>49</v>
      </c>
      <c r="L1172" t="s">
        <v>3885</v>
      </c>
      <c r="M1172" t="s">
        <v>3883</v>
      </c>
      <c r="N1172">
        <v>249</v>
      </c>
      <c r="O1172" t="s">
        <v>3886</v>
      </c>
    </row>
    <row r="1173" spans="1:15" ht="14.5">
      <c r="A1173" t="s">
        <v>29</v>
      </c>
      <c r="B1173">
        <v>1141522</v>
      </c>
      <c r="C1173">
        <v>1142295</v>
      </c>
      <c r="D1173">
        <v>1</v>
      </c>
      <c r="E1173" t="s">
        <v>47</v>
      </c>
      <c r="F1173" t="s">
        <v>3887</v>
      </c>
      <c r="G1173" t="s">
        <v>3888</v>
      </c>
      <c r="I1173" t="s">
        <v>49</v>
      </c>
      <c r="L1173" t="s">
        <v>3889</v>
      </c>
      <c r="M1173" t="s">
        <v>3887</v>
      </c>
      <c r="N1173">
        <v>257</v>
      </c>
      <c r="O1173" t="s">
        <v>3890</v>
      </c>
    </row>
    <row r="1174" spans="1:15" ht="14.5">
      <c r="A1174" t="s">
        <v>29</v>
      </c>
      <c r="B1174">
        <v>1142273</v>
      </c>
      <c r="C1174">
        <v>1142734</v>
      </c>
      <c r="D1174">
        <v>1</v>
      </c>
      <c r="E1174" t="s">
        <v>47</v>
      </c>
      <c r="F1174" t="s">
        <v>769</v>
      </c>
      <c r="G1174" t="s">
        <v>3891</v>
      </c>
      <c r="I1174" t="s">
        <v>49</v>
      </c>
      <c r="L1174" t="s">
        <v>3892</v>
      </c>
      <c r="M1174" t="s">
        <v>769</v>
      </c>
      <c r="N1174">
        <v>153</v>
      </c>
      <c r="O1174" t="s">
        <v>3893</v>
      </c>
    </row>
    <row r="1175" spans="1:15" ht="14.5">
      <c r="A1175" t="s">
        <v>29</v>
      </c>
      <c r="B1175">
        <v>1142961</v>
      </c>
      <c r="C1175">
        <v>1143173</v>
      </c>
      <c r="D1175">
        <v>1</v>
      </c>
      <c r="E1175" t="s">
        <v>47</v>
      </c>
      <c r="F1175" t="s">
        <v>3894</v>
      </c>
      <c r="I1175" t="s">
        <v>49</v>
      </c>
      <c r="L1175" t="s">
        <v>3895</v>
      </c>
      <c r="M1175" t="s">
        <v>3894</v>
      </c>
      <c r="N1175">
        <v>70</v>
      </c>
      <c r="O1175" t="s">
        <v>3896</v>
      </c>
    </row>
    <row r="1176" spans="1:15" ht="14.5">
      <c r="A1176" t="s">
        <v>29</v>
      </c>
      <c r="B1176">
        <v>1143399</v>
      </c>
      <c r="C1176">
        <v>1143782</v>
      </c>
      <c r="D1176">
        <v>1</v>
      </c>
      <c r="E1176" t="s">
        <v>47</v>
      </c>
      <c r="F1176" t="s">
        <v>3897</v>
      </c>
      <c r="I1176" t="s">
        <v>49</v>
      </c>
      <c r="L1176" t="s">
        <v>3898</v>
      </c>
      <c r="M1176" t="s">
        <v>3897</v>
      </c>
      <c r="N1176">
        <v>127</v>
      </c>
      <c r="O1176" t="s">
        <v>3899</v>
      </c>
    </row>
    <row r="1177" spans="1:15" ht="14.5">
      <c r="A1177" t="s">
        <v>29</v>
      </c>
      <c r="B1177">
        <v>1144107</v>
      </c>
      <c r="C1177">
        <v>1145189</v>
      </c>
      <c r="D1177">
        <v>1</v>
      </c>
      <c r="E1177" t="s">
        <v>76</v>
      </c>
      <c r="F1177" t="s">
        <v>3900</v>
      </c>
      <c r="G1177" t="s">
        <v>3901</v>
      </c>
      <c r="I1177" t="s">
        <v>49</v>
      </c>
      <c r="L1177" t="s">
        <v>3902</v>
      </c>
      <c r="M1177" t="s">
        <v>3900</v>
      </c>
      <c r="N1177">
        <v>360</v>
      </c>
      <c r="O1177" t="s">
        <v>3903</v>
      </c>
    </row>
    <row r="1178" spans="1:15" ht="14.5">
      <c r="A1178" t="s">
        <v>29</v>
      </c>
      <c r="B1178">
        <v>1145315</v>
      </c>
      <c r="C1178">
        <v>1146097</v>
      </c>
      <c r="D1178">
        <v>1</v>
      </c>
      <c r="E1178" t="s">
        <v>76</v>
      </c>
      <c r="F1178" t="s">
        <v>3904</v>
      </c>
      <c r="I1178" t="s">
        <v>49</v>
      </c>
      <c r="L1178" t="s">
        <v>3905</v>
      </c>
      <c r="M1178" t="s">
        <v>3904</v>
      </c>
      <c r="N1178">
        <v>260</v>
      </c>
      <c r="O1178" t="s">
        <v>3906</v>
      </c>
    </row>
    <row r="1179" spans="1:15" ht="14.5">
      <c r="A1179" t="s">
        <v>29</v>
      </c>
      <c r="B1179">
        <v>1146097</v>
      </c>
      <c r="C1179">
        <v>1147440</v>
      </c>
      <c r="D1179">
        <v>1</v>
      </c>
      <c r="E1179" t="s">
        <v>76</v>
      </c>
      <c r="F1179" t="s">
        <v>3907</v>
      </c>
      <c r="I1179" t="s">
        <v>49</v>
      </c>
      <c r="L1179" t="s">
        <v>3908</v>
      </c>
      <c r="M1179" t="s">
        <v>3907</v>
      </c>
      <c r="N1179">
        <v>447</v>
      </c>
      <c r="O1179" t="s">
        <v>3909</v>
      </c>
    </row>
    <row r="1180" spans="1:15" ht="14.5">
      <c r="A1180" t="s">
        <v>29</v>
      </c>
      <c r="B1180">
        <v>1147539</v>
      </c>
      <c r="C1180">
        <v>1148855</v>
      </c>
      <c r="D1180">
        <v>1</v>
      </c>
      <c r="E1180" t="s">
        <v>76</v>
      </c>
      <c r="F1180" t="s">
        <v>3910</v>
      </c>
      <c r="G1180" t="s">
        <v>3911</v>
      </c>
      <c r="I1180" t="s">
        <v>49</v>
      </c>
      <c r="L1180" t="s">
        <v>3912</v>
      </c>
      <c r="M1180" t="s">
        <v>3910</v>
      </c>
      <c r="N1180">
        <v>438</v>
      </c>
      <c r="O1180" t="s">
        <v>3913</v>
      </c>
    </row>
    <row r="1181" spans="1:15" ht="14.5">
      <c r="A1181" t="s">
        <v>29</v>
      </c>
      <c r="B1181">
        <v>1149049</v>
      </c>
      <c r="C1181">
        <v>1150275</v>
      </c>
      <c r="D1181">
        <v>1</v>
      </c>
      <c r="E1181" t="s">
        <v>47</v>
      </c>
      <c r="F1181" t="s">
        <v>3914</v>
      </c>
      <c r="G1181" t="s">
        <v>3915</v>
      </c>
      <c r="I1181" t="s">
        <v>49</v>
      </c>
      <c r="L1181" t="s">
        <v>3916</v>
      </c>
      <c r="M1181" t="s">
        <v>3914</v>
      </c>
      <c r="N1181">
        <v>408</v>
      </c>
      <c r="O1181" t="s">
        <v>3917</v>
      </c>
    </row>
    <row r="1182" spans="1:15" ht="14.5">
      <c r="A1182" t="s">
        <v>29</v>
      </c>
      <c r="B1182">
        <v>1150474</v>
      </c>
      <c r="C1182">
        <v>1152048</v>
      </c>
      <c r="D1182">
        <v>1</v>
      </c>
      <c r="E1182" t="s">
        <v>47</v>
      </c>
      <c r="F1182" t="s">
        <v>3918</v>
      </c>
      <c r="G1182" t="s">
        <v>3919</v>
      </c>
      <c r="I1182" t="s">
        <v>49</v>
      </c>
      <c r="L1182" t="s">
        <v>3920</v>
      </c>
      <c r="M1182" t="s">
        <v>3918</v>
      </c>
      <c r="N1182">
        <v>524</v>
      </c>
      <c r="O1182" t="s">
        <v>3921</v>
      </c>
    </row>
    <row r="1183" spans="1:15" ht="14.5">
      <c r="A1183" t="s">
        <v>29</v>
      </c>
      <c r="B1183">
        <v>1152313</v>
      </c>
      <c r="C1183">
        <v>1153101</v>
      </c>
      <c r="D1183">
        <v>1</v>
      </c>
      <c r="E1183" t="s">
        <v>47</v>
      </c>
      <c r="F1183" t="s">
        <v>3922</v>
      </c>
      <c r="G1183" t="s">
        <v>3923</v>
      </c>
      <c r="I1183" t="s">
        <v>49</v>
      </c>
      <c r="L1183" t="s">
        <v>3924</v>
      </c>
      <c r="M1183" t="s">
        <v>3922</v>
      </c>
      <c r="N1183">
        <v>262</v>
      </c>
      <c r="O1183" t="s">
        <v>3925</v>
      </c>
    </row>
    <row r="1184" spans="1:15" ht="14.5">
      <c r="A1184" t="s">
        <v>29</v>
      </c>
      <c r="B1184">
        <v>1153101</v>
      </c>
      <c r="C1184">
        <v>1153676</v>
      </c>
      <c r="D1184">
        <v>1</v>
      </c>
      <c r="E1184" t="s">
        <v>47</v>
      </c>
      <c r="F1184" t="s">
        <v>3926</v>
      </c>
      <c r="G1184" t="s">
        <v>3927</v>
      </c>
      <c r="I1184" t="s">
        <v>49</v>
      </c>
      <c r="L1184" t="s">
        <v>3928</v>
      </c>
      <c r="M1184" t="s">
        <v>3926</v>
      </c>
      <c r="N1184">
        <v>191</v>
      </c>
      <c r="O1184" t="s">
        <v>3929</v>
      </c>
    </row>
    <row r="1185" spans="1:15" ht="14.5">
      <c r="A1185" t="s">
        <v>29</v>
      </c>
      <c r="B1185">
        <v>1153757</v>
      </c>
      <c r="C1185">
        <v>1153844</v>
      </c>
      <c r="D1185">
        <v>1</v>
      </c>
      <c r="E1185" t="s">
        <v>47</v>
      </c>
      <c r="F1185" t="s">
        <v>2364</v>
      </c>
      <c r="I1185" t="s">
        <v>1724</v>
      </c>
      <c r="O1185" t="s">
        <v>3930</v>
      </c>
    </row>
    <row r="1186" spans="1:15" ht="14.5">
      <c r="A1186" t="s">
        <v>29</v>
      </c>
      <c r="B1186">
        <v>1154126</v>
      </c>
      <c r="C1186">
        <v>1155256</v>
      </c>
      <c r="D1186">
        <v>1</v>
      </c>
      <c r="E1186" t="s">
        <v>47</v>
      </c>
      <c r="F1186" t="s">
        <v>3931</v>
      </c>
      <c r="G1186" t="s">
        <v>3932</v>
      </c>
      <c r="I1186" t="s">
        <v>49</v>
      </c>
      <c r="L1186" t="s">
        <v>3933</v>
      </c>
      <c r="M1186" t="s">
        <v>3931</v>
      </c>
      <c r="N1186">
        <v>376</v>
      </c>
      <c r="O1186" t="s">
        <v>3934</v>
      </c>
    </row>
    <row r="1187" spans="1:15" ht="14.5">
      <c r="A1187" t="s">
        <v>29</v>
      </c>
      <c r="B1187">
        <v>1155757</v>
      </c>
      <c r="C1187">
        <v>1156515</v>
      </c>
      <c r="D1187">
        <v>1</v>
      </c>
      <c r="E1187" t="s">
        <v>47</v>
      </c>
      <c r="F1187" t="s">
        <v>3935</v>
      </c>
      <c r="G1187" t="s">
        <v>3936</v>
      </c>
      <c r="I1187" t="s">
        <v>49</v>
      </c>
      <c r="L1187" t="s">
        <v>3937</v>
      </c>
      <c r="M1187" t="s">
        <v>3935</v>
      </c>
      <c r="N1187">
        <v>252</v>
      </c>
      <c r="O1187" t="s">
        <v>3938</v>
      </c>
    </row>
    <row r="1188" spans="1:15" ht="14.5">
      <c r="A1188" t="s">
        <v>29</v>
      </c>
      <c r="B1188">
        <v>1156602</v>
      </c>
      <c r="C1188">
        <v>1157114</v>
      </c>
      <c r="D1188">
        <v>1</v>
      </c>
      <c r="E1188" t="s">
        <v>47</v>
      </c>
      <c r="F1188" t="s">
        <v>3939</v>
      </c>
      <c r="G1188" t="s">
        <v>3940</v>
      </c>
      <c r="I1188" t="s">
        <v>49</v>
      </c>
      <c r="L1188" t="s">
        <v>3941</v>
      </c>
      <c r="M1188" t="s">
        <v>3939</v>
      </c>
      <c r="N1188">
        <v>170</v>
      </c>
      <c r="O1188" t="s">
        <v>3942</v>
      </c>
    </row>
    <row r="1189" spans="1:15" ht="14.5">
      <c r="A1189" t="s">
        <v>29</v>
      </c>
      <c r="B1189">
        <v>1157296</v>
      </c>
      <c r="C1189">
        <v>1158240</v>
      </c>
      <c r="D1189">
        <v>1</v>
      </c>
      <c r="E1189" t="s">
        <v>47</v>
      </c>
      <c r="F1189" t="s">
        <v>3943</v>
      </c>
      <c r="G1189" t="s">
        <v>3944</v>
      </c>
      <c r="I1189" t="s">
        <v>49</v>
      </c>
      <c r="L1189" t="s">
        <v>3945</v>
      </c>
      <c r="M1189" t="s">
        <v>3943</v>
      </c>
      <c r="N1189">
        <v>314</v>
      </c>
      <c r="O1189" t="s">
        <v>3946</v>
      </c>
    </row>
    <row r="1190" spans="1:15" ht="14.5">
      <c r="A1190" t="s">
        <v>29</v>
      </c>
      <c r="B1190">
        <v>1158249</v>
      </c>
      <c r="C1190">
        <v>1158926</v>
      </c>
      <c r="D1190">
        <v>1</v>
      </c>
      <c r="E1190" t="s">
        <v>47</v>
      </c>
      <c r="F1190" t="s">
        <v>1661</v>
      </c>
      <c r="G1190" t="s">
        <v>3947</v>
      </c>
      <c r="I1190" t="s">
        <v>49</v>
      </c>
      <c r="L1190" t="s">
        <v>3948</v>
      </c>
      <c r="M1190" t="s">
        <v>1661</v>
      </c>
      <c r="N1190">
        <v>225</v>
      </c>
      <c r="O1190" t="s">
        <v>3949</v>
      </c>
    </row>
    <row r="1191" spans="1:15" ht="14.5">
      <c r="A1191" t="s">
        <v>29</v>
      </c>
      <c r="B1191">
        <v>1159024</v>
      </c>
      <c r="C1191">
        <v>1159782</v>
      </c>
      <c r="D1191">
        <v>1</v>
      </c>
      <c r="E1191" t="s">
        <v>47</v>
      </c>
      <c r="F1191" t="s">
        <v>3950</v>
      </c>
      <c r="G1191" t="s">
        <v>3951</v>
      </c>
      <c r="I1191" t="s">
        <v>49</v>
      </c>
      <c r="L1191" t="s">
        <v>3952</v>
      </c>
      <c r="M1191" t="s">
        <v>3950</v>
      </c>
      <c r="N1191">
        <v>252</v>
      </c>
      <c r="O1191" t="s">
        <v>3953</v>
      </c>
    </row>
    <row r="1192" spans="1:15" ht="14.5">
      <c r="A1192" t="s">
        <v>29</v>
      </c>
      <c r="B1192">
        <v>1159820</v>
      </c>
      <c r="C1192">
        <v>1161325</v>
      </c>
      <c r="D1192">
        <v>1</v>
      </c>
      <c r="E1192" t="s">
        <v>47</v>
      </c>
      <c r="F1192" t="s">
        <v>3954</v>
      </c>
      <c r="G1192" t="s">
        <v>3955</v>
      </c>
      <c r="I1192" t="s">
        <v>49</v>
      </c>
      <c r="L1192" t="s">
        <v>3956</v>
      </c>
      <c r="M1192" t="s">
        <v>3954</v>
      </c>
      <c r="N1192">
        <v>501</v>
      </c>
      <c r="O1192" t="s">
        <v>3957</v>
      </c>
    </row>
    <row r="1193" spans="1:15" ht="14.5">
      <c r="A1193" t="s">
        <v>29</v>
      </c>
      <c r="B1193">
        <v>1161822</v>
      </c>
      <c r="C1193">
        <v>1162340</v>
      </c>
      <c r="D1193">
        <v>1</v>
      </c>
      <c r="E1193" t="s">
        <v>47</v>
      </c>
      <c r="F1193" t="s">
        <v>3958</v>
      </c>
      <c r="G1193" t="s">
        <v>3959</v>
      </c>
      <c r="I1193" t="s">
        <v>49</v>
      </c>
      <c r="L1193" t="s">
        <v>3960</v>
      </c>
      <c r="M1193" t="s">
        <v>3958</v>
      </c>
      <c r="N1193">
        <v>172</v>
      </c>
      <c r="O1193" t="s">
        <v>3961</v>
      </c>
    </row>
    <row r="1194" spans="1:15" ht="14.5">
      <c r="A1194" t="s">
        <v>29</v>
      </c>
      <c r="B1194">
        <v>1162470</v>
      </c>
      <c r="C1194">
        <v>1162976</v>
      </c>
      <c r="D1194">
        <v>1</v>
      </c>
      <c r="E1194" t="s">
        <v>47</v>
      </c>
      <c r="F1194" t="s">
        <v>3962</v>
      </c>
      <c r="G1194" t="s">
        <v>3963</v>
      </c>
      <c r="I1194" t="s">
        <v>49</v>
      </c>
      <c r="L1194" t="s">
        <v>3964</v>
      </c>
      <c r="M1194" t="s">
        <v>3962</v>
      </c>
      <c r="N1194">
        <v>168</v>
      </c>
      <c r="O1194" t="s">
        <v>3965</v>
      </c>
    </row>
    <row r="1195" spans="1:15" ht="14.5">
      <c r="A1195" t="s">
        <v>29</v>
      </c>
      <c r="B1195">
        <v>1162976</v>
      </c>
      <c r="C1195">
        <v>1163146</v>
      </c>
      <c r="D1195">
        <v>1</v>
      </c>
      <c r="E1195" t="s">
        <v>47</v>
      </c>
      <c r="F1195" t="s">
        <v>1259</v>
      </c>
      <c r="I1195" t="s">
        <v>49</v>
      </c>
      <c r="L1195" t="s">
        <v>3966</v>
      </c>
      <c r="M1195" t="s">
        <v>1259</v>
      </c>
      <c r="N1195">
        <v>56</v>
      </c>
      <c r="O1195" t="s">
        <v>3967</v>
      </c>
    </row>
    <row r="1196" spans="1:15" ht="14.5">
      <c r="A1196" t="s">
        <v>29</v>
      </c>
      <c r="B1196">
        <v>1163178</v>
      </c>
      <c r="C1196">
        <v>1164410</v>
      </c>
      <c r="D1196">
        <v>1</v>
      </c>
      <c r="E1196" t="s">
        <v>47</v>
      </c>
      <c r="F1196" t="s">
        <v>3968</v>
      </c>
      <c r="G1196" t="s">
        <v>3969</v>
      </c>
      <c r="I1196" t="s">
        <v>49</v>
      </c>
      <c r="L1196" t="s">
        <v>3970</v>
      </c>
      <c r="M1196" t="s">
        <v>3968</v>
      </c>
      <c r="N1196">
        <v>410</v>
      </c>
      <c r="O1196" t="s">
        <v>3971</v>
      </c>
    </row>
    <row r="1197" spans="1:15" ht="14.5">
      <c r="A1197" t="s">
        <v>29</v>
      </c>
      <c r="B1197">
        <v>1164419</v>
      </c>
      <c r="C1197">
        <v>1165006</v>
      </c>
      <c r="D1197">
        <v>1</v>
      </c>
      <c r="E1197" t="s">
        <v>47</v>
      </c>
      <c r="F1197" t="s">
        <v>3972</v>
      </c>
      <c r="G1197" t="s">
        <v>3973</v>
      </c>
      <c r="I1197" t="s">
        <v>49</v>
      </c>
      <c r="L1197" t="s">
        <v>3974</v>
      </c>
      <c r="M1197" t="s">
        <v>3972</v>
      </c>
      <c r="N1197">
        <v>195</v>
      </c>
      <c r="O1197" t="s">
        <v>3975</v>
      </c>
    </row>
    <row r="1198" spans="1:15" ht="14.5">
      <c r="A1198" t="s">
        <v>29</v>
      </c>
      <c r="B1198">
        <v>1165017</v>
      </c>
      <c r="C1198">
        <v>1165397</v>
      </c>
      <c r="D1198">
        <v>1</v>
      </c>
      <c r="E1198" t="s">
        <v>47</v>
      </c>
      <c r="F1198" t="s">
        <v>3976</v>
      </c>
      <c r="G1198" t="s">
        <v>3977</v>
      </c>
      <c r="I1198" t="s">
        <v>49</v>
      </c>
      <c r="L1198" t="s">
        <v>3978</v>
      </c>
      <c r="M1198" t="s">
        <v>3976</v>
      </c>
      <c r="N1198">
        <v>126</v>
      </c>
      <c r="O1198" t="s">
        <v>3979</v>
      </c>
    </row>
    <row r="1199" spans="1:15" ht="14.5">
      <c r="A1199" t="s">
        <v>29</v>
      </c>
      <c r="B1199">
        <v>1165449</v>
      </c>
      <c r="C1199">
        <v>1166339</v>
      </c>
      <c r="D1199">
        <v>1</v>
      </c>
      <c r="E1199" t="s">
        <v>47</v>
      </c>
      <c r="F1199" t="s">
        <v>3980</v>
      </c>
      <c r="G1199" t="s">
        <v>3981</v>
      </c>
      <c r="I1199" t="s">
        <v>49</v>
      </c>
      <c r="L1199" t="s">
        <v>3982</v>
      </c>
      <c r="M1199" t="s">
        <v>3980</v>
      </c>
      <c r="N1199">
        <v>296</v>
      </c>
      <c r="O1199" t="s">
        <v>3983</v>
      </c>
    </row>
    <row r="1200" spans="1:15" ht="14.5">
      <c r="A1200" t="s">
        <v>29</v>
      </c>
      <c r="B1200">
        <v>1166336</v>
      </c>
      <c r="C1200">
        <v>1167313</v>
      </c>
      <c r="D1200">
        <v>1</v>
      </c>
      <c r="E1200" t="s">
        <v>47</v>
      </c>
      <c r="F1200" t="s">
        <v>413</v>
      </c>
      <c r="I1200" t="s">
        <v>49</v>
      </c>
      <c r="L1200" t="s">
        <v>3984</v>
      </c>
      <c r="M1200" t="s">
        <v>413</v>
      </c>
      <c r="N1200">
        <v>325</v>
      </c>
      <c r="O1200" t="s">
        <v>3985</v>
      </c>
    </row>
    <row r="1201" spans="1:15" ht="14.5">
      <c r="A1201" t="s">
        <v>29</v>
      </c>
      <c r="B1201">
        <v>1167310</v>
      </c>
      <c r="C1201">
        <v>1168221</v>
      </c>
      <c r="D1201">
        <v>1</v>
      </c>
      <c r="E1201" t="s">
        <v>47</v>
      </c>
      <c r="F1201" t="s">
        <v>3986</v>
      </c>
      <c r="G1201" t="s">
        <v>3987</v>
      </c>
      <c r="I1201" t="s">
        <v>49</v>
      </c>
      <c r="L1201" t="s">
        <v>3988</v>
      </c>
      <c r="M1201" t="s">
        <v>3986</v>
      </c>
      <c r="N1201">
        <v>303</v>
      </c>
      <c r="O1201" t="s">
        <v>3989</v>
      </c>
    </row>
    <row r="1202" spans="1:15" ht="14.5">
      <c r="A1202" t="s">
        <v>29</v>
      </c>
      <c r="B1202">
        <v>1168255</v>
      </c>
      <c r="C1202">
        <v>1169223</v>
      </c>
      <c r="D1202">
        <v>1</v>
      </c>
      <c r="E1202" t="s">
        <v>76</v>
      </c>
      <c r="F1202" t="s">
        <v>3990</v>
      </c>
      <c r="G1202" t="s">
        <v>3991</v>
      </c>
      <c r="I1202" t="s">
        <v>49</v>
      </c>
      <c r="L1202" t="s">
        <v>3992</v>
      </c>
      <c r="M1202" t="s">
        <v>3990</v>
      </c>
      <c r="N1202">
        <v>322</v>
      </c>
      <c r="O1202" t="s">
        <v>3993</v>
      </c>
    </row>
    <row r="1203" spans="1:15" ht="14.5">
      <c r="A1203" t="s">
        <v>29</v>
      </c>
      <c r="B1203">
        <v>1169359</v>
      </c>
      <c r="C1203">
        <v>1170216</v>
      </c>
      <c r="D1203">
        <v>1</v>
      </c>
      <c r="E1203" t="s">
        <v>47</v>
      </c>
      <c r="F1203" t="s">
        <v>3994</v>
      </c>
      <c r="G1203" t="s">
        <v>3995</v>
      </c>
      <c r="I1203" t="s">
        <v>49</v>
      </c>
      <c r="L1203" t="s">
        <v>3996</v>
      </c>
      <c r="M1203" t="s">
        <v>3994</v>
      </c>
      <c r="N1203">
        <v>285</v>
      </c>
      <c r="O1203" t="s">
        <v>3997</v>
      </c>
    </row>
    <row r="1204" spans="1:15" ht="14.5">
      <c r="A1204" t="s">
        <v>29</v>
      </c>
      <c r="B1204">
        <v>1170203</v>
      </c>
      <c r="C1204">
        <v>1170982</v>
      </c>
      <c r="D1204">
        <v>1</v>
      </c>
      <c r="E1204" t="s">
        <v>47</v>
      </c>
      <c r="F1204" t="s">
        <v>571</v>
      </c>
      <c r="I1204" t="s">
        <v>49</v>
      </c>
      <c r="L1204" t="s">
        <v>3998</v>
      </c>
      <c r="M1204" t="s">
        <v>571</v>
      </c>
      <c r="N1204">
        <v>259</v>
      </c>
      <c r="O1204" t="s">
        <v>3999</v>
      </c>
    </row>
    <row r="1205" spans="1:15" ht="14.5">
      <c r="A1205" t="s">
        <v>29</v>
      </c>
      <c r="B1205">
        <v>1171006</v>
      </c>
      <c r="C1205">
        <v>1172358</v>
      </c>
      <c r="D1205">
        <v>1</v>
      </c>
      <c r="E1205" t="s">
        <v>47</v>
      </c>
      <c r="F1205" t="s">
        <v>4000</v>
      </c>
      <c r="G1205" t="s">
        <v>4001</v>
      </c>
      <c r="I1205" t="s">
        <v>49</v>
      </c>
      <c r="L1205" t="s">
        <v>4002</v>
      </c>
      <c r="M1205" t="s">
        <v>4000</v>
      </c>
      <c r="N1205">
        <v>450</v>
      </c>
      <c r="O1205" t="s">
        <v>4003</v>
      </c>
    </row>
    <row r="1206" spans="1:15" ht="14.5">
      <c r="A1206" t="s">
        <v>29</v>
      </c>
      <c r="B1206">
        <v>1172534</v>
      </c>
      <c r="C1206">
        <v>1172806</v>
      </c>
      <c r="D1206">
        <v>1</v>
      </c>
      <c r="E1206" t="s">
        <v>47</v>
      </c>
      <c r="F1206" t="s">
        <v>483</v>
      </c>
      <c r="I1206" t="s">
        <v>49</v>
      </c>
      <c r="L1206" t="s">
        <v>4004</v>
      </c>
      <c r="M1206" t="s">
        <v>483</v>
      </c>
      <c r="N1206">
        <v>90</v>
      </c>
      <c r="O1206" t="s">
        <v>4005</v>
      </c>
    </row>
    <row r="1207" spans="1:15" ht="14.5">
      <c r="A1207" t="s">
        <v>29</v>
      </c>
      <c r="B1207">
        <v>1172808</v>
      </c>
      <c r="C1207">
        <v>1173656</v>
      </c>
      <c r="D1207">
        <v>1</v>
      </c>
      <c r="E1207" t="s">
        <v>47</v>
      </c>
      <c r="F1207" t="s">
        <v>4006</v>
      </c>
      <c r="I1207" t="s">
        <v>49</v>
      </c>
      <c r="L1207" t="s">
        <v>4007</v>
      </c>
      <c r="M1207" t="s">
        <v>4006</v>
      </c>
      <c r="N1207">
        <v>282</v>
      </c>
      <c r="O1207" t="s">
        <v>4008</v>
      </c>
    </row>
    <row r="1208" spans="1:15" ht="14.5">
      <c r="A1208" t="s">
        <v>29</v>
      </c>
      <c r="B1208">
        <v>1173933</v>
      </c>
      <c r="C1208">
        <v>1174700</v>
      </c>
      <c r="D1208">
        <v>1</v>
      </c>
      <c r="E1208" t="s">
        <v>47</v>
      </c>
      <c r="F1208" t="s">
        <v>4009</v>
      </c>
      <c r="G1208" t="s">
        <v>4010</v>
      </c>
      <c r="I1208" t="s">
        <v>49</v>
      </c>
      <c r="L1208" t="s">
        <v>4011</v>
      </c>
      <c r="M1208" t="s">
        <v>4009</v>
      </c>
      <c r="N1208">
        <v>255</v>
      </c>
      <c r="O1208" t="s">
        <v>4012</v>
      </c>
    </row>
    <row r="1209" spans="1:15" ht="14.5">
      <c r="A1209" t="s">
        <v>29</v>
      </c>
      <c r="B1209">
        <v>1174697</v>
      </c>
      <c r="C1209">
        <v>1175896</v>
      </c>
      <c r="D1209">
        <v>1</v>
      </c>
      <c r="E1209" t="s">
        <v>47</v>
      </c>
      <c r="F1209" t="s">
        <v>4013</v>
      </c>
      <c r="G1209" t="s">
        <v>4014</v>
      </c>
      <c r="I1209" t="s">
        <v>49</v>
      </c>
      <c r="L1209" t="s">
        <v>4015</v>
      </c>
      <c r="M1209" t="s">
        <v>4013</v>
      </c>
      <c r="N1209">
        <v>399</v>
      </c>
      <c r="O1209" t="s">
        <v>4016</v>
      </c>
    </row>
    <row r="1210" spans="1:15" ht="14.5">
      <c r="A1210" t="s">
        <v>29</v>
      </c>
      <c r="B1210">
        <v>1175893</v>
      </c>
      <c r="C1210">
        <v>1177764</v>
      </c>
      <c r="D1210">
        <v>1</v>
      </c>
      <c r="E1210" t="s">
        <v>47</v>
      </c>
      <c r="F1210" t="s">
        <v>4017</v>
      </c>
      <c r="I1210" t="s">
        <v>49</v>
      </c>
      <c r="L1210" t="s">
        <v>4018</v>
      </c>
      <c r="M1210" t="s">
        <v>4017</v>
      </c>
      <c r="N1210">
        <v>623</v>
      </c>
      <c r="O1210" t="s">
        <v>4019</v>
      </c>
    </row>
    <row r="1211" spans="1:15" ht="14.5">
      <c r="A1211" t="s">
        <v>29</v>
      </c>
      <c r="B1211">
        <v>1177907</v>
      </c>
      <c r="C1211">
        <v>1179091</v>
      </c>
      <c r="D1211">
        <v>1</v>
      </c>
      <c r="E1211" t="s">
        <v>76</v>
      </c>
      <c r="F1211" t="s">
        <v>4020</v>
      </c>
      <c r="G1211" t="s">
        <v>4021</v>
      </c>
      <c r="I1211" t="s">
        <v>49</v>
      </c>
      <c r="L1211" t="s">
        <v>4022</v>
      </c>
      <c r="M1211" t="s">
        <v>4020</v>
      </c>
      <c r="N1211">
        <v>394</v>
      </c>
      <c r="O1211" t="s">
        <v>4023</v>
      </c>
    </row>
    <row r="1212" spans="1:15" ht="14.5">
      <c r="A1212" t="s">
        <v>29</v>
      </c>
      <c r="B1212">
        <v>1179395</v>
      </c>
      <c r="C1212">
        <v>1182091</v>
      </c>
      <c r="D1212">
        <v>1</v>
      </c>
      <c r="E1212" t="s">
        <v>47</v>
      </c>
      <c r="F1212" t="s">
        <v>4024</v>
      </c>
      <c r="G1212" t="s">
        <v>4025</v>
      </c>
      <c r="I1212" t="s">
        <v>49</v>
      </c>
      <c r="L1212" t="s">
        <v>4026</v>
      </c>
      <c r="M1212" t="s">
        <v>4024</v>
      </c>
      <c r="N1212">
        <v>898</v>
      </c>
      <c r="O1212" t="s">
        <v>4027</v>
      </c>
    </row>
    <row r="1213" spans="1:15" ht="14.5">
      <c r="A1213" t="s">
        <v>29</v>
      </c>
      <c r="B1213">
        <v>1182104</v>
      </c>
      <c r="C1213">
        <v>1182895</v>
      </c>
      <c r="D1213">
        <v>1</v>
      </c>
      <c r="E1213" t="s">
        <v>47</v>
      </c>
      <c r="F1213" t="s">
        <v>4028</v>
      </c>
      <c r="G1213" t="s">
        <v>4029</v>
      </c>
      <c r="I1213" t="s">
        <v>49</v>
      </c>
      <c r="L1213" t="s">
        <v>4030</v>
      </c>
      <c r="M1213" t="s">
        <v>4028</v>
      </c>
      <c r="N1213">
        <v>263</v>
      </c>
      <c r="O1213" t="s">
        <v>4031</v>
      </c>
    </row>
    <row r="1214" spans="1:15" ht="14.5">
      <c r="A1214" t="s">
        <v>29</v>
      </c>
      <c r="B1214">
        <v>1183011</v>
      </c>
      <c r="C1214">
        <v>1183421</v>
      </c>
      <c r="D1214">
        <v>1</v>
      </c>
      <c r="E1214" t="s">
        <v>47</v>
      </c>
      <c r="F1214" t="s">
        <v>4032</v>
      </c>
      <c r="G1214" t="s">
        <v>4033</v>
      </c>
      <c r="I1214" t="s">
        <v>49</v>
      </c>
      <c r="L1214" t="s">
        <v>4034</v>
      </c>
      <c r="M1214" t="s">
        <v>4032</v>
      </c>
      <c r="N1214">
        <v>136</v>
      </c>
      <c r="O1214" t="s">
        <v>4035</v>
      </c>
    </row>
    <row r="1215" spans="1:15" ht="14.5">
      <c r="A1215" t="s">
        <v>29</v>
      </c>
      <c r="B1215">
        <v>1183433</v>
      </c>
      <c r="C1215">
        <v>1185028</v>
      </c>
      <c r="D1215">
        <v>1</v>
      </c>
      <c r="E1215" t="s">
        <v>47</v>
      </c>
      <c r="F1215" t="s">
        <v>65</v>
      </c>
      <c r="I1215" t="s">
        <v>49</v>
      </c>
      <c r="L1215" t="s">
        <v>4036</v>
      </c>
      <c r="M1215" t="s">
        <v>65</v>
      </c>
      <c r="N1215">
        <v>531</v>
      </c>
      <c r="O1215" t="s">
        <v>4037</v>
      </c>
    </row>
    <row r="1216" spans="1:15" ht="14.5">
      <c r="A1216" t="s">
        <v>29</v>
      </c>
      <c r="B1216">
        <v>1185095</v>
      </c>
      <c r="C1216">
        <v>1185259</v>
      </c>
      <c r="D1216">
        <v>1</v>
      </c>
      <c r="E1216" t="s">
        <v>47</v>
      </c>
      <c r="F1216" t="s">
        <v>176</v>
      </c>
      <c r="I1216" t="s">
        <v>49</v>
      </c>
      <c r="L1216" t="s">
        <v>4038</v>
      </c>
      <c r="M1216" t="s">
        <v>176</v>
      </c>
      <c r="N1216">
        <v>54</v>
      </c>
      <c r="O1216" t="s">
        <v>4039</v>
      </c>
    </row>
    <row r="1217" spans="1:15" ht="14.5">
      <c r="A1217" t="s">
        <v>29</v>
      </c>
      <c r="B1217">
        <v>1185338</v>
      </c>
      <c r="C1217">
        <v>1186066</v>
      </c>
      <c r="D1217">
        <v>1</v>
      </c>
      <c r="E1217" t="s">
        <v>47</v>
      </c>
      <c r="F1217" t="s">
        <v>4040</v>
      </c>
      <c r="G1217" t="s">
        <v>4041</v>
      </c>
      <c r="I1217" t="s">
        <v>49</v>
      </c>
      <c r="L1217" t="s">
        <v>4042</v>
      </c>
      <c r="M1217" t="s">
        <v>4040</v>
      </c>
      <c r="N1217">
        <v>242</v>
      </c>
      <c r="O1217" t="s">
        <v>4043</v>
      </c>
    </row>
    <row r="1218" spans="1:15" ht="14.5">
      <c r="A1218" t="s">
        <v>29</v>
      </c>
      <c r="B1218">
        <v>1186343</v>
      </c>
      <c r="C1218">
        <v>1186891</v>
      </c>
      <c r="D1218">
        <v>1</v>
      </c>
      <c r="E1218" t="s">
        <v>76</v>
      </c>
      <c r="F1218" t="s">
        <v>4044</v>
      </c>
      <c r="I1218" t="s">
        <v>49</v>
      </c>
      <c r="L1218" t="s">
        <v>4045</v>
      </c>
      <c r="M1218" t="s">
        <v>4044</v>
      </c>
      <c r="N1218">
        <v>182</v>
      </c>
      <c r="O1218" t="s">
        <v>4046</v>
      </c>
    </row>
    <row r="1219" spans="1:15" ht="14.5">
      <c r="A1219" t="s">
        <v>29</v>
      </c>
      <c r="B1219">
        <v>1187269</v>
      </c>
      <c r="C1219">
        <v>1187700</v>
      </c>
      <c r="D1219">
        <v>1</v>
      </c>
      <c r="E1219" t="s">
        <v>47</v>
      </c>
      <c r="F1219" t="s">
        <v>4047</v>
      </c>
      <c r="I1219" t="s">
        <v>49</v>
      </c>
      <c r="L1219" t="s">
        <v>4048</v>
      </c>
      <c r="M1219" t="s">
        <v>4047</v>
      </c>
      <c r="N1219">
        <v>143</v>
      </c>
      <c r="O1219" t="s">
        <v>4049</v>
      </c>
    </row>
    <row r="1220" spans="1:15" ht="14.5">
      <c r="A1220" t="s">
        <v>29</v>
      </c>
      <c r="B1220">
        <v>1187697</v>
      </c>
      <c r="C1220">
        <v>1188884</v>
      </c>
      <c r="D1220">
        <v>1</v>
      </c>
      <c r="E1220" t="s">
        <v>47</v>
      </c>
      <c r="F1220" t="s">
        <v>4050</v>
      </c>
      <c r="I1220" t="s">
        <v>49</v>
      </c>
      <c r="L1220" t="s">
        <v>4051</v>
      </c>
      <c r="M1220" t="s">
        <v>4050</v>
      </c>
      <c r="N1220">
        <v>395</v>
      </c>
      <c r="O1220" t="s">
        <v>4052</v>
      </c>
    </row>
    <row r="1221" spans="1:15" ht="14.5">
      <c r="A1221" t="s">
        <v>29</v>
      </c>
      <c r="B1221">
        <v>1188877</v>
      </c>
      <c r="C1221">
        <v>1189242</v>
      </c>
      <c r="D1221">
        <v>1</v>
      </c>
      <c r="E1221" t="s">
        <v>47</v>
      </c>
      <c r="F1221" t="s">
        <v>4053</v>
      </c>
      <c r="I1221" t="s">
        <v>49</v>
      </c>
      <c r="L1221" t="s">
        <v>4054</v>
      </c>
      <c r="M1221" t="s">
        <v>4053</v>
      </c>
      <c r="N1221">
        <v>121</v>
      </c>
      <c r="O1221" t="s">
        <v>4055</v>
      </c>
    </row>
    <row r="1222" spans="1:15" ht="14.5">
      <c r="A1222" t="s">
        <v>29</v>
      </c>
      <c r="B1222">
        <v>1189261</v>
      </c>
      <c r="C1222">
        <v>1190604</v>
      </c>
      <c r="D1222">
        <v>1</v>
      </c>
      <c r="E1222" t="s">
        <v>47</v>
      </c>
      <c r="F1222" t="s">
        <v>4056</v>
      </c>
      <c r="G1222" t="s">
        <v>4057</v>
      </c>
      <c r="I1222" t="s">
        <v>49</v>
      </c>
      <c r="L1222" t="s">
        <v>4058</v>
      </c>
      <c r="M1222" t="s">
        <v>4056</v>
      </c>
      <c r="N1222">
        <v>447</v>
      </c>
      <c r="O1222" t="s">
        <v>4059</v>
      </c>
    </row>
    <row r="1223" spans="1:15" ht="14.5">
      <c r="A1223" t="s">
        <v>29</v>
      </c>
      <c r="B1223">
        <v>1190757</v>
      </c>
      <c r="C1223">
        <v>1191047</v>
      </c>
      <c r="D1223">
        <v>1</v>
      </c>
      <c r="E1223" t="s">
        <v>47</v>
      </c>
      <c r="F1223" t="s">
        <v>4060</v>
      </c>
      <c r="G1223" t="s">
        <v>4061</v>
      </c>
      <c r="I1223" t="s">
        <v>49</v>
      </c>
      <c r="L1223" t="s">
        <v>4062</v>
      </c>
      <c r="M1223" t="s">
        <v>4060</v>
      </c>
      <c r="N1223">
        <v>96</v>
      </c>
      <c r="O1223" t="s">
        <v>4063</v>
      </c>
    </row>
    <row r="1224" spans="1:15" ht="14.5">
      <c r="A1224" t="s">
        <v>29</v>
      </c>
      <c r="B1224">
        <v>1191059</v>
      </c>
      <c r="C1224">
        <v>1191529</v>
      </c>
      <c r="D1224">
        <v>1</v>
      </c>
      <c r="E1224" t="s">
        <v>47</v>
      </c>
      <c r="F1224" t="s">
        <v>4064</v>
      </c>
      <c r="G1224" t="s">
        <v>4065</v>
      </c>
      <c r="I1224" t="s">
        <v>49</v>
      </c>
      <c r="L1224" t="s">
        <v>4066</v>
      </c>
      <c r="M1224" t="s">
        <v>4064</v>
      </c>
      <c r="N1224">
        <v>156</v>
      </c>
      <c r="O1224" t="s">
        <v>4067</v>
      </c>
    </row>
    <row r="1225" spans="1:15" ht="14.5">
      <c r="A1225" t="s">
        <v>29</v>
      </c>
      <c r="B1225">
        <v>1191561</v>
      </c>
      <c r="C1225">
        <v>1191800</v>
      </c>
      <c r="D1225">
        <v>1</v>
      </c>
      <c r="E1225" t="s">
        <v>47</v>
      </c>
      <c r="F1225" t="s">
        <v>4068</v>
      </c>
      <c r="G1225" t="s">
        <v>4069</v>
      </c>
      <c r="I1225" t="s">
        <v>49</v>
      </c>
      <c r="L1225" t="s">
        <v>4070</v>
      </c>
      <c r="M1225" t="s">
        <v>4068</v>
      </c>
      <c r="N1225">
        <v>79</v>
      </c>
      <c r="O1225" t="s">
        <v>4071</v>
      </c>
    </row>
    <row r="1226" spans="1:15" ht="14.5">
      <c r="A1226" t="s">
        <v>29</v>
      </c>
      <c r="B1226">
        <v>1192095</v>
      </c>
      <c r="C1226">
        <v>1193495</v>
      </c>
      <c r="D1226">
        <v>1</v>
      </c>
      <c r="E1226" t="s">
        <v>47</v>
      </c>
      <c r="F1226" t="s">
        <v>4072</v>
      </c>
      <c r="I1226" t="s">
        <v>49</v>
      </c>
      <c r="L1226" t="s">
        <v>4073</v>
      </c>
      <c r="M1226" t="s">
        <v>4072</v>
      </c>
      <c r="N1226">
        <v>466</v>
      </c>
      <c r="O1226" t="s">
        <v>4074</v>
      </c>
    </row>
    <row r="1227" spans="1:15" ht="14.5">
      <c r="A1227" t="s">
        <v>29</v>
      </c>
      <c r="B1227">
        <v>1193497</v>
      </c>
      <c r="C1227">
        <v>1193856</v>
      </c>
      <c r="D1227">
        <v>1</v>
      </c>
      <c r="E1227" t="s">
        <v>47</v>
      </c>
      <c r="F1227" t="s">
        <v>4075</v>
      </c>
      <c r="G1227" t="s">
        <v>4076</v>
      </c>
      <c r="I1227" t="s">
        <v>49</v>
      </c>
      <c r="L1227" t="s">
        <v>4077</v>
      </c>
      <c r="M1227" t="s">
        <v>4075</v>
      </c>
      <c r="N1227">
        <v>119</v>
      </c>
      <c r="O1227" t="s">
        <v>4078</v>
      </c>
    </row>
    <row r="1228" spans="1:15" ht="14.5">
      <c r="A1228" t="s">
        <v>29</v>
      </c>
      <c r="B1228">
        <v>1193910</v>
      </c>
      <c r="C1228">
        <v>1194659</v>
      </c>
      <c r="D1228">
        <v>1</v>
      </c>
      <c r="E1228" t="s">
        <v>47</v>
      </c>
      <c r="F1228" t="s">
        <v>4079</v>
      </c>
      <c r="I1228" t="s">
        <v>49</v>
      </c>
      <c r="L1228" t="s">
        <v>4080</v>
      </c>
      <c r="M1228" t="s">
        <v>4079</v>
      </c>
      <c r="N1228">
        <v>249</v>
      </c>
      <c r="O1228" t="s">
        <v>4081</v>
      </c>
    </row>
    <row r="1229" spans="1:15" ht="14.5">
      <c r="A1229" t="s">
        <v>29</v>
      </c>
      <c r="B1229">
        <v>1194649</v>
      </c>
      <c r="C1229">
        <v>1194948</v>
      </c>
      <c r="D1229">
        <v>1</v>
      </c>
      <c r="E1229" t="s">
        <v>47</v>
      </c>
      <c r="F1229" t="s">
        <v>4082</v>
      </c>
      <c r="I1229" t="s">
        <v>49</v>
      </c>
      <c r="L1229" t="s">
        <v>4083</v>
      </c>
      <c r="M1229" t="s">
        <v>4082</v>
      </c>
      <c r="N1229">
        <v>99</v>
      </c>
      <c r="O1229" t="s">
        <v>4084</v>
      </c>
    </row>
    <row r="1230" spans="1:15" ht="14.5">
      <c r="A1230" t="s">
        <v>29</v>
      </c>
      <c r="B1230">
        <v>1195019</v>
      </c>
      <c r="C1230">
        <v>1195954</v>
      </c>
      <c r="D1230">
        <v>1</v>
      </c>
      <c r="E1230" t="s">
        <v>47</v>
      </c>
      <c r="F1230" t="s">
        <v>4085</v>
      </c>
      <c r="G1230" t="s">
        <v>4086</v>
      </c>
      <c r="I1230" t="s">
        <v>49</v>
      </c>
      <c r="L1230" t="s">
        <v>4087</v>
      </c>
      <c r="M1230" t="s">
        <v>4085</v>
      </c>
      <c r="N1230">
        <v>311</v>
      </c>
      <c r="O1230" t="s">
        <v>4088</v>
      </c>
    </row>
    <row r="1231" spans="1:15" ht="14.5">
      <c r="A1231" t="s">
        <v>29</v>
      </c>
      <c r="B1231">
        <v>1196040</v>
      </c>
      <c r="C1231">
        <v>1196552</v>
      </c>
      <c r="D1231">
        <v>1</v>
      </c>
      <c r="E1231" t="s">
        <v>47</v>
      </c>
      <c r="F1231" t="s">
        <v>4089</v>
      </c>
      <c r="G1231" t="s">
        <v>4090</v>
      </c>
      <c r="I1231" t="s">
        <v>49</v>
      </c>
      <c r="L1231" t="s">
        <v>4091</v>
      </c>
      <c r="M1231" t="s">
        <v>4089</v>
      </c>
      <c r="N1231">
        <v>170</v>
      </c>
      <c r="O1231" t="s">
        <v>4092</v>
      </c>
    </row>
    <row r="1232" spans="1:15" ht="14.5">
      <c r="A1232" t="s">
        <v>29</v>
      </c>
      <c r="B1232">
        <v>1196589</v>
      </c>
      <c r="C1232">
        <v>1196903</v>
      </c>
      <c r="D1232">
        <v>1</v>
      </c>
      <c r="E1232" t="s">
        <v>47</v>
      </c>
      <c r="F1232" t="s">
        <v>4093</v>
      </c>
      <c r="I1232" t="s">
        <v>49</v>
      </c>
      <c r="L1232" t="s">
        <v>4094</v>
      </c>
      <c r="M1232" t="s">
        <v>4093</v>
      </c>
      <c r="N1232">
        <v>104</v>
      </c>
      <c r="O1232" t="s">
        <v>4095</v>
      </c>
    </row>
    <row r="1233" spans="1:15" ht="14.5">
      <c r="A1233" t="s">
        <v>29</v>
      </c>
      <c r="B1233">
        <v>1196900</v>
      </c>
      <c r="C1233">
        <v>1197184</v>
      </c>
      <c r="D1233">
        <v>1</v>
      </c>
      <c r="E1233" t="s">
        <v>47</v>
      </c>
      <c r="F1233" t="s">
        <v>4093</v>
      </c>
      <c r="I1233" t="s">
        <v>49</v>
      </c>
      <c r="L1233" t="s">
        <v>4096</v>
      </c>
      <c r="M1233" t="s">
        <v>4093</v>
      </c>
      <c r="N1233">
        <v>94</v>
      </c>
      <c r="O1233" t="s">
        <v>4097</v>
      </c>
    </row>
    <row r="1234" spans="1:15" ht="14.5">
      <c r="A1234" t="s">
        <v>29</v>
      </c>
      <c r="B1234">
        <v>1197285</v>
      </c>
      <c r="C1234">
        <v>1197479</v>
      </c>
      <c r="D1234">
        <v>1</v>
      </c>
      <c r="E1234" t="s">
        <v>47</v>
      </c>
      <c r="F1234" t="s">
        <v>3246</v>
      </c>
      <c r="I1234" t="s">
        <v>49</v>
      </c>
      <c r="L1234" t="s">
        <v>4098</v>
      </c>
      <c r="M1234" t="s">
        <v>3246</v>
      </c>
      <c r="N1234">
        <v>64</v>
      </c>
      <c r="O1234" t="s">
        <v>4099</v>
      </c>
    </row>
    <row r="1235" spans="1:15" ht="14.5">
      <c r="A1235" t="s">
        <v>29</v>
      </c>
      <c r="B1235">
        <v>1197525</v>
      </c>
      <c r="C1235">
        <v>1198970</v>
      </c>
      <c r="D1235">
        <v>1</v>
      </c>
      <c r="E1235" t="s">
        <v>76</v>
      </c>
      <c r="F1235" t="s">
        <v>4100</v>
      </c>
      <c r="G1235" t="s">
        <v>4101</v>
      </c>
      <c r="I1235" t="s">
        <v>49</v>
      </c>
      <c r="L1235" t="s">
        <v>4102</v>
      </c>
      <c r="M1235" t="s">
        <v>4100</v>
      </c>
      <c r="N1235">
        <v>481</v>
      </c>
      <c r="O1235" t="s">
        <v>4103</v>
      </c>
    </row>
    <row r="1236" spans="1:15" ht="14.5">
      <c r="A1236" t="s">
        <v>29</v>
      </c>
      <c r="B1236">
        <v>1199076</v>
      </c>
      <c r="C1236">
        <v>1200698</v>
      </c>
      <c r="D1236">
        <v>1</v>
      </c>
      <c r="E1236" t="s">
        <v>47</v>
      </c>
      <c r="F1236" t="s">
        <v>4104</v>
      </c>
      <c r="G1236" t="s">
        <v>4105</v>
      </c>
      <c r="I1236" t="s">
        <v>49</v>
      </c>
      <c r="L1236" t="s">
        <v>4106</v>
      </c>
      <c r="M1236" t="s">
        <v>4104</v>
      </c>
      <c r="N1236">
        <v>540</v>
      </c>
      <c r="O1236" t="s">
        <v>4107</v>
      </c>
    </row>
    <row r="1237" spans="1:15" ht="14.5">
      <c r="A1237" t="s">
        <v>29</v>
      </c>
      <c r="B1237">
        <v>1200901</v>
      </c>
      <c r="C1237">
        <v>1202859</v>
      </c>
      <c r="D1237">
        <v>1</v>
      </c>
      <c r="E1237" t="s">
        <v>47</v>
      </c>
      <c r="F1237" t="s">
        <v>4108</v>
      </c>
      <c r="G1237" t="s">
        <v>4109</v>
      </c>
      <c r="I1237" t="s">
        <v>49</v>
      </c>
      <c r="L1237" t="s">
        <v>4110</v>
      </c>
      <c r="M1237" t="s">
        <v>4108</v>
      </c>
      <c r="N1237">
        <v>652</v>
      </c>
      <c r="O1237" t="s">
        <v>4111</v>
      </c>
    </row>
    <row r="1238" spans="1:15" ht="14.5">
      <c r="A1238" t="s">
        <v>29</v>
      </c>
      <c r="B1238">
        <v>1203031</v>
      </c>
      <c r="C1238">
        <v>1203591</v>
      </c>
      <c r="D1238">
        <v>1</v>
      </c>
      <c r="E1238" t="s">
        <v>47</v>
      </c>
      <c r="F1238" t="s">
        <v>140</v>
      </c>
      <c r="G1238" t="s">
        <v>4112</v>
      </c>
      <c r="I1238" t="s">
        <v>49</v>
      </c>
      <c r="L1238" t="s">
        <v>4113</v>
      </c>
      <c r="M1238" t="s">
        <v>140</v>
      </c>
      <c r="N1238">
        <v>186</v>
      </c>
      <c r="O1238" t="s">
        <v>4114</v>
      </c>
    </row>
    <row r="1239" spans="1:15" ht="14.5">
      <c r="A1239" t="s">
        <v>29</v>
      </c>
      <c r="B1239">
        <v>1203592</v>
      </c>
      <c r="C1239">
        <v>1203966</v>
      </c>
      <c r="D1239">
        <v>1</v>
      </c>
      <c r="E1239" t="s">
        <v>47</v>
      </c>
      <c r="F1239" t="s">
        <v>4115</v>
      </c>
      <c r="G1239" t="s">
        <v>4116</v>
      </c>
      <c r="I1239" t="s">
        <v>49</v>
      </c>
      <c r="L1239" t="s">
        <v>4117</v>
      </c>
      <c r="M1239" t="s">
        <v>4115</v>
      </c>
      <c r="N1239">
        <v>124</v>
      </c>
      <c r="O1239" t="s">
        <v>4118</v>
      </c>
    </row>
    <row r="1240" spans="1:15" ht="14.5">
      <c r="A1240" t="s">
        <v>29</v>
      </c>
      <c r="B1240">
        <v>1203991</v>
      </c>
      <c r="C1240">
        <v>1204713</v>
      </c>
      <c r="D1240">
        <v>1</v>
      </c>
      <c r="E1240" t="s">
        <v>47</v>
      </c>
      <c r="F1240" t="s">
        <v>218</v>
      </c>
      <c r="G1240" t="s">
        <v>4119</v>
      </c>
      <c r="I1240" t="s">
        <v>49</v>
      </c>
      <c r="L1240" t="s">
        <v>4120</v>
      </c>
      <c r="M1240" t="s">
        <v>218</v>
      </c>
      <c r="N1240">
        <v>240</v>
      </c>
      <c r="O1240" t="s">
        <v>4121</v>
      </c>
    </row>
    <row r="1241" spans="1:15" ht="14.5">
      <c r="A1241" t="s">
        <v>29</v>
      </c>
      <c r="B1241">
        <v>1204871</v>
      </c>
      <c r="C1241">
        <v>1205965</v>
      </c>
      <c r="D1241">
        <v>1</v>
      </c>
      <c r="E1241" t="s">
        <v>47</v>
      </c>
      <c r="F1241" t="s">
        <v>4122</v>
      </c>
      <c r="G1241" t="s">
        <v>4123</v>
      </c>
      <c r="I1241" t="s">
        <v>49</v>
      </c>
      <c r="L1241" t="s">
        <v>4124</v>
      </c>
      <c r="M1241" t="s">
        <v>4122</v>
      </c>
      <c r="N1241">
        <v>364</v>
      </c>
      <c r="O1241" t="s">
        <v>4125</v>
      </c>
    </row>
    <row r="1242" spans="1:15" ht="14.5">
      <c r="A1242" t="s">
        <v>29</v>
      </c>
      <c r="B1242">
        <v>1205973</v>
      </c>
      <c r="C1242">
        <v>1207139</v>
      </c>
      <c r="D1242">
        <v>1</v>
      </c>
      <c r="E1242" t="s">
        <v>47</v>
      </c>
      <c r="F1242" t="s">
        <v>4126</v>
      </c>
      <c r="G1242" t="s">
        <v>4127</v>
      </c>
      <c r="I1242" t="s">
        <v>49</v>
      </c>
      <c r="L1242" t="s">
        <v>4128</v>
      </c>
      <c r="M1242" t="s">
        <v>4126</v>
      </c>
      <c r="N1242">
        <v>388</v>
      </c>
      <c r="O1242" t="s">
        <v>4129</v>
      </c>
    </row>
    <row r="1243" spans="1:15" ht="14.5">
      <c r="A1243" t="s">
        <v>29</v>
      </c>
      <c r="B1243">
        <v>1207232</v>
      </c>
      <c r="C1243">
        <v>1210330</v>
      </c>
      <c r="D1243">
        <v>1</v>
      </c>
      <c r="E1243" t="s">
        <v>47</v>
      </c>
      <c r="F1243" t="s">
        <v>4130</v>
      </c>
      <c r="I1243" t="s">
        <v>49</v>
      </c>
      <c r="L1243" t="s">
        <v>4131</v>
      </c>
      <c r="M1243" t="s">
        <v>4130</v>
      </c>
      <c r="N1243">
        <v>1032</v>
      </c>
      <c r="O1243" t="s">
        <v>4132</v>
      </c>
    </row>
    <row r="1244" spans="1:15" ht="14.5">
      <c r="A1244" t="s">
        <v>29</v>
      </c>
      <c r="B1244">
        <v>1210378</v>
      </c>
      <c r="C1244">
        <v>1210995</v>
      </c>
      <c r="D1244">
        <v>1</v>
      </c>
      <c r="E1244" t="s">
        <v>47</v>
      </c>
      <c r="F1244" t="s">
        <v>4133</v>
      </c>
      <c r="I1244" t="s">
        <v>49</v>
      </c>
      <c r="L1244" t="s">
        <v>4134</v>
      </c>
      <c r="M1244" t="s">
        <v>4133</v>
      </c>
      <c r="N1244">
        <v>205</v>
      </c>
      <c r="O1244" t="s">
        <v>4135</v>
      </c>
    </row>
    <row r="1245" spans="1:15" ht="14.5">
      <c r="A1245" t="s">
        <v>29</v>
      </c>
      <c r="B1245">
        <v>1211006</v>
      </c>
      <c r="C1245">
        <v>1212340</v>
      </c>
      <c r="D1245">
        <v>1</v>
      </c>
      <c r="E1245" t="s">
        <v>47</v>
      </c>
      <c r="F1245" t="s">
        <v>4136</v>
      </c>
      <c r="G1245" t="s">
        <v>4137</v>
      </c>
      <c r="I1245" t="s">
        <v>49</v>
      </c>
      <c r="L1245" t="s">
        <v>4138</v>
      </c>
      <c r="M1245" t="s">
        <v>4136</v>
      </c>
      <c r="N1245">
        <v>444</v>
      </c>
      <c r="O1245" t="s">
        <v>4139</v>
      </c>
    </row>
    <row r="1246" spans="1:15" ht="14.5">
      <c r="A1246" t="s">
        <v>29</v>
      </c>
      <c r="B1246">
        <v>1212350</v>
      </c>
      <c r="C1246">
        <v>1212814</v>
      </c>
      <c r="D1246">
        <v>1</v>
      </c>
      <c r="E1246" t="s">
        <v>47</v>
      </c>
      <c r="F1246" t="s">
        <v>1040</v>
      </c>
      <c r="I1246" t="s">
        <v>49</v>
      </c>
      <c r="L1246" t="s">
        <v>4140</v>
      </c>
      <c r="M1246" t="s">
        <v>1040</v>
      </c>
      <c r="N1246">
        <v>154</v>
      </c>
      <c r="O1246" t="s">
        <v>4141</v>
      </c>
    </row>
    <row r="1247" spans="1:15" ht="14.5">
      <c r="A1247" t="s">
        <v>29</v>
      </c>
      <c r="B1247">
        <v>1212811</v>
      </c>
      <c r="C1247">
        <v>1213305</v>
      </c>
      <c r="D1247">
        <v>1</v>
      </c>
      <c r="E1247" t="s">
        <v>47</v>
      </c>
      <c r="F1247" t="s">
        <v>1040</v>
      </c>
      <c r="I1247" t="s">
        <v>49</v>
      </c>
      <c r="L1247" t="s">
        <v>4142</v>
      </c>
      <c r="M1247" t="s">
        <v>1040</v>
      </c>
      <c r="N1247">
        <v>164</v>
      </c>
      <c r="O1247" t="s">
        <v>4143</v>
      </c>
    </row>
    <row r="1248" spans="1:15" ht="14.5">
      <c r="A1248" t="s">
        <v>29</v>
      </c>
      <c r="B1248">
        <v>1213386</v>
      </c>
      <c r="C1248">
        <v>1215041</v>
      </c>
      <c r="D1248">
        <v>1</v>
      </c>
      <c r="E1248" t="s">
        <v>47</v>
      </c>
      <c r="F1248" t="s">
        <v>4144</v>
      </c>
      <c r="G1248" t="s">
        <v>4145</v>
      </c>
      <c r="I1248" t="s">
        <v>49</v>
      </c>
      <c r="L1248" t="s">
        <v>4146</v>
      </c>
      <c r="M1248" t="s">
        <v>4144</v>
      </c>
      <c r="N1248">
        <v>551</v>
      </c>
      <c r="O1248" t="s">
        <v>4147</v>
      </c>
    </row>
    <row r="1249" spans="1:15" ht="14.5">
      <c r="A1249" t="s">
        <v>29</v>
      </c>
      <c r="B1249">
        <v>1215112</v>
      </c>
      <c r="C1249">
        <v>1215594</v>
      </c>
      <c r="D1249">
        <v>1</v>
      </c>
      <c r="E1249" t="s">
        <v>47</v>
      </c>
      <c r="F1249" t="s">
        <v>4148</v>
      </c>
      <c r="G1249" t="s">
        <v>4149</v>
      </c>
      <c r="I1249" t="s">
        <v>49</v>
      </c>
      <c r="L1249" t="s">
        <v>4150</v>
      </c>
      <c r="M1249" t="s">
        <v>4148</v>
      </c>
      <c r="N1249">
        <v>160</v>
      </c>
      <c r="O1249" t="s">
        <v>4151</v>
      </c>
    </row>
    <row r="1250" spans="1:15" ht="14.5">
      <c r="A1250" t="s">
        <v>29</v>
      </c>
      <c r="B1250">
        <v>1215651</v>
      </c>
      <c r="C1250">
        <v>1215974</v>
      </c>
      <c r="D1250">
        <v>1</v>
      </c>
      <c r="E1250" t="s">
        <v>76</v>
      </c>
      <c r="F1250" t="s">
        <v>1369</v>
      </c>
      <c r="I1250" t="s">
        <v>49</v>
      </c>
      <c r="L1250" t="s">
        <v>4152</v>
      </c>
      <c r="M1250" t="s">
        <v>1369</v>
      </c>
      <c r="N1250">
        <v>107</v>
      </c>
      <c r="O1250" t="s">
        <v>4153</v>
      </c>
    </row>
    <row r="1251" spans="1:15" ht="14.5">
      <c r="A1251" t="s">
        <v>29</v>
      </c>
      <c r="B1251">
        <v>1216095</v>
      </c>
      <c r="C1251">
        <v>1216493</v>
      </c>
      <c r="D1251">
        <v>1</v>
      </c>
      <c r="E1251" t="s">
        <v>47</v>
      </c>
      <c r="F1251" t="s">
        <v>842</v>
      </c>
      <c r="I1251" t="s">
        <v>49</v>
      </c>
      <c r="L1251" t="s">
        <v>4154</v>
      </c>
      <c r="M1251" t="s">
        <v>842</v>
      </c>
      <c r="N1251">
        <v>132</v>
      </c>
      <c r="O1251" t="s">
        <v>4155</v>
      </c>
    </row>
    <row r="1252" spans="1:15" ht="14.5">
      <c r="A1252" t="s">
        <v>29</v>
      </c>
      <c r="B1252">
        <v>1216938</v>
      </c>
      <c r="C1252">
        <v>1217945</v>
      </c>
      <c r="D1252">
        <v>1</v>
      </c>
      <c r="E1252" t="s">
        <v>47</v>
      </c>
      <c r="F1252" t="s">
        <v>4156</v>
      </c>
      <c r="I1252" t="s">
        <v>49</v>
      </c>
      <c r="L1252" t="s">
        <v>4157</v>
      </c>
      <c r="M1252" t="s">
        <v>4156</v>
      </c>
      <c r="N1252">
        <v>335</v>
      </c>
      <c r="O1252" t="s">
        <v>4158</v>
      </c>
    </row>
    <row r="1253" spans="1:15" ht="14.5">
      <c r="A1253" t="s">
        <v>29</v>
      </c>
      <c r="B1253">
        <v>1218020</v>
      </c>
      <c r="C1253">
        <v>1218220</v>
      </c>
      <c r="D1253">
        <v>1</v>
      </c>
      <c r="E1253" t="s">
        <v>47</v>
      </c>
      <c r="F1253" t="s">
        <v>4159</v>
      </c>
      <c r="G1253" t="s">
        <v>4160</v>
      </c>
      <c r="I1253" t="s">
        <v>49</v>
      </c>
      <c r="L1253" t="s">
        <v>4161</v>
      </c>
      <c r="M1253" t="s">
        <v>4159</v>
      </c>
      <c r="N1253">
        <v>66</v>
      </c>
      <c r="O1253" t="s">
        <v>4162</v>
      </c>
    </row>
    <row r="1254" spans="1:15" ht="14.5">
      <c r="A1254" t="s">
        <v>29</v>
      </c>
      <c r="B1254">
        <v>1218255</v>
      </c>
      <c r="C1254">
        <v>1218971</v>
      </c>
      <c r="D1254">
        <v>1</v>
      </c>
      <c r="E1254" t="s">
        <v>47</v>
      </c>
      <c r="F1254" t="s">
        <v>4163</v>
      </c>
      <c r="G1254" t="s">
        <v>4164</v>
      </c>
      <c r="I1254" t="s">
        <v>49</v>
      </c>
      <c r="L1254" t="s">
        <v>4165</v>
      </c>
      <c r="M1254" t="s">
        <v>4163</v>
      </c>
      <c r="N1254">
        <v>238</v>
      </c>
      <c r="O1254" t="s">
        <v>4166</v>
      </c>
    </row>
    <row r="1255" spans="1:15" ht="14.5">
      <c r="A1255" t="s">
        <v>29</v>
      </c>
      <c r="B1255">
        <v>1218985</v>
      </c>
      <c r="C1255">
        <v>1219479</v>
      </c>
      <c r="D1255">
        <v>1</v>
      </c>
      <c r="E1255" t="s">
        <v>47</v>
      </c>
      <c r="F1255" t="s">
        <v>4167</v>
      </c>
      <c r="G1255" t="s">
        <v>4168</v>
      </c>
      <c r="I1255" t="s">
        <v>49</v>
      </c>
      <c r="L1255" t="s">
        <v>4169</v>
      </c>
      <c r="M1255" t="s">
        <v>4167</v>
      </c>
      <c r="N1255">
        <v>164</v>
      </c>
      <c r="O1255" t="s">
        <v>4170</v>
      </c>
    </row>
    <row r="1256" spans="1:15" ht="14.5">
      <c r="A1256" t="s">
        <v>29</v>
      </c>
      <c r="B1256">
        <v>1219479</v>
      </c>
      <c r="C1256">
        <v>1220015</v>
      </c>
      <c r="D1256">
        <v>1</v>
      </c>
      <c r="E1256" t="s">
        <v>47</v>
      </c>
      <c r="F1256" t="s">
        <v>4171</v>
      </c>
      <c r="G1256" t="s">
        <v>4172</v>
      </c>
      <c r="I1256" t="s">
        <v>49</v>
      </c>
      <c r="L1256" t="s">
        <v>4173</v>
      </c>
      <c r="M1256" t="s">
        <v>4171</v>
      </c>
      <c r="N1256">
        <v>178</v>
      </c>
      <c r="O1256" t="s">
        <v>4174</v>
      </c>
    </row>
    <row r="1257" spans="1:15" ht="14.5">
      <c r="A1257" t="s">
        <v>29</v>
      </c>
      <c r="B1257">
        <v>1220030</v>
      </c>
      <c r="C1257">
        <v>1221535</v>
      </c>
      <c r="D1257">
        <v>1</v>
      </c>
      <c r="E1257" t="s">
        <v>47</v>
      </c>
      <c r="F1257" t="s">
        <v>4175</v>
      </c>
      <c r="G1257" t="s">
        <v>4176</v>
      </c>
      <c r="I1257" t="s">
        <v>49</v>
      </c>
      <c r="L1257" t="s">
        <v>4177</v>
      </c>
      <c r="M1257" t="s">
        <v>4175</v>
      </c>
      <c r="N1257">
        <v>501</v>
      </c>
      <c r="O1257" t="s">
        <v>4178</v>
      </c>
    </row>
    <row r="1258" spans="1:15" ht="14.5">
      <c r="A1258" t="s">
        <v>29</v>
      </c>
      <c r="B1258">
        <v>1221551</v>
      </c>
      <c r="C1258">
        <v>1222429</v>
      </c>
      <c r="D1258">
        <v>1</v>
      </c>
      <c r="E1258" t="s">
        <v>47</v>
      </c>
      <c r="F1258" t="s">
        <v>4179</v>
      </c>
      <c r="G1258" t="s">
        <v>4180</v>
      </c>
      <c r="I1258" t="s">
        <v>49</v>
      </c>
      <c r="L1258" t="s">
        <v>4181</v>
      </c>
      <c r="M1258" t="s">
        <v>4179</v>
      </c>
      <c r="N1258">
        <v>292</v>
      </c>
      <c r="O1258" t="s">
        <v>4182</v>
      </c>
    </row>
    <row r="1259" spans="1:15" ht="14.5">
      <c r="A1259" t="s">
        <v>29</v>
      </c>
      <c r="B1259">
        <v>1222515</v>
      </c>
      <c r="C1259">
        <v>1223921</v>
      </c>
      <c r="D1259">
        <v>1</v>
      </c>
      <c r="E1259" t="s">
        <v>47</v>
      </c>
      <c r="F1259" t="s">
        <v>4183</v>
      </c>
      <c r="G1259" t="s">
        <v>4184</v>
      </c>
      <c r="I1259" t="s">
        <v>49</v>
      </c>
      <c r="L1259" t="s">
        <v>4185</v>
      </c>
      <c r="M1259" t="s">
        <v>4183</v>
      </c>
      <c r="N1259">
        <v>468</v>
      </c>
      <c r="O1259" t="s">
        <v>4186</v>
      </c>
    </row>
    <row r="1260" spans="1:15" ht="14.5">
      <c r="A1260" t="s">
        <v>29</v>
      </c>
      <c r="B1260">
        <v>1223932</v>
      </c>
      <c r="C1260">
        <v>1224351</v>
      </c>
      <c r="D1260">
        <v>1</v>
      </c>
      <c r="E1260" t="s">
        <v>47</v>
      </c>
      <c r="F1260" t="s">
        <v>4187</v>
      </c>
      <c r="G1260" t="s">
        <v>4188</v>
      </c>
      <c r="I1260" t="s">
        <v>49</v>
      </c>
      <c r="L1260" t="s">
        <v>4189</v>
      </c>
      <c r="M1260" t="s">
        <v>4187</v>
      </c>
      <c r="N1260">
        <v>139</v>
      </c>
      <c r="O1260" t="s">
        <v>4190</v>
      </c>
    </row>
    <row r="1261" spans="1:15" ht="14.5">
      <c r="A1261" t="s">
        <v>29</v>
      </c>
      <c r="B1261">
        <v>1224396</v>
      </c>
      <c r="C1261">
        <v>1225409</v>
      </c>
      <c r="D1261">
        <v>1</v>
      </c>
      <c r="E1261" t="s">
        <v>76</v>
      </c>
      <c r="F1261" t="s">
        <v>4191</v>
      </c>
      <c r="G1261" t="s">
        <v>4192</v>
      </c>
      <c r="I1261" t="s">
        <v>49</v>
      </c>
      <c r="L1261" t="s">
        <v>4193</v>
      </c>
      <c r="M1261" t="s">
        <v>4191</v>
      </c>
      <c r="N1261">
        <v>337</v>
      </c>
      <c r="O1261" t="s">
        <v>4194</v>
      </c>
    </row>
    <row r="1262" spans="1:15" ht="14.5">
      <c r="A1262" t="s">
        <v>29</v>
      </c>
      <c r="B1262">
        <v>1225553</v>
      </c>
      <c r="C1262">
        <v>1226719</v>
      </c>
      <c r="D1262">
        <v>1</v>
      </c>
      <c r="E1262" t="s">
        <v>47</v>
      </c>
      <c r="F1262" t="s">
        <v>4195</v>
      </c>
      <c r="G1262" t="s">
        <v>4196</v>
      </c>
      <c r="I1262" t="s">
        <v>49</v>
      </c>
      <c r="L1262" t="s">
        <v>4197</v>
      </c>
      <c r="M1262" t="s">
        <v>4195</v>
      </c>
      <c r="N1262">
        <v>388</v>
      </c>
      <c r="O1262" t="s">
        <v>4198</v>
      </c>
    </row>
    <row r="1263" spans="1:15" ht="14.5">
      <c r="A1263" t="s">
        <v>29</v>
      </c>
      <c r="B1263">
        <v>1226709</v>
      </c>
      <c r="C1263">
        <v>1227938</v>
      </c>
      <c r="D1263">
        <v>1</v>
      </c>
      <c r="E1263" t="s">
        <v>47</v>
      </c>
      <c r="F1263" t="s">
        <v>4199</v>
      </c>
      <c r="I1263" t="s">
        <v>49</v>
      </c>
      <c r="L1263" t="s">
        <v>4200</v>
      </c>
      <c r="M1263" t="s">
        <v>4199</v>
      </c>
      <c r="N1263">
        <v>409</v>
      </c>
      <c r="O1263" t="s">
        <v>4201</v>
      </c>
    </row>
    <row r="1264" spans="1:15" ht="14.5">
      <c r="A1264" t="s">
        <v>29</v>
      </c>
      <c r="B1264">
        <v>1228084</v>
      </c>
      <c r="C1264">
        <v>1228725</v>
      </c>
      <c r="D1264">
        <v>1</v>
      </c>
      <c r="E1264" t="s">
        <v>47</v>
      </c>
      <c r="F1264" t="s">
        <v>1294</v>
      </c>
      <c r="G1264" t="s">
        <v>4202</v>
      </c>
      <c r="I1264" t="s">
        <v>49</v>
      </c>
      <c r="L1264" t="s">
        <v>4203</v>
      </c>
      <c r="M1264" t="s">
        <v>1294</v>
      </c>
      <c r="N1264">
        <v>213</v>
      </c>
      <c r="O1264" t="s">
        <v>4204</v>
      </c>
    </row>
    <row r="1265" spans="1:15" ht="14.5">
      <c r="A1265" t="s">
        <v>29</v>
      </c>
      <c r="B1265">
        <v>1228735</v>
      </c>
      <c r="C1265">
        <v>1229364</v>
      </c>
      <c r="D1265">
        <v>1</v>
      </c>
      <c r="E1265" t="s">
        <v>47</v>
      </c>
      <c r="F1265" t="s">
        <v>4205</v>
      </c>
      <c r="G1265" t="s">
        <v>4206</v>
      </c>
      <c r="I1265" t="s">
        <v>49</v>
      </c>
      <c r="L1265" t="s">
        <v>4207</v>
      </c>
      <c r="M1265" t="s">
        <v>4205</v>
      </c>
      <c r="N1265">
        <v>209</v>
      </c>
      <c r="O1265" t="s">
        <v>4208</v>
      </c>
    </row>
    <row r="1266" spans="1:15" ht="14.5">
      <c r="A1266" t="s">
        <v>29</v>
      </c>
      <c r="B1266">
        <v>1229377</v>
      </c>
      <c r="C1266">
        <v>1230213</v>
      </c>
      <c r="D1266">
        <v>1</v>
      </c>
      <c r="E1266" t="s">
        <v>47</v>
      </c>
      <c r="F1266" t="s">
        <v>4209</v>
      </c>
      <c r="G1266" t="s">
        <v>4210</v>
      </c>
      <c r="I1266" t="s">
        <v>49</v>
      </c>
      <c r="L1266" t="s">
        <v>4211</v>
      </c>
      <c r="M1266" t="s">
        <v>4209</v>
      </c>
      <c r="N1266">
        <v>278</v>
      </c>
      <c r="O1266" t="s">
        <v>4212</v>
      </c>
    </row>
    <row r="1267" spans="1:15" ht="14.5">
      <c r="A1267" t="s">
        <v>29</v>
      </c>
      <c r="B1267">
        <v>1230491</v>
      </c>
      <c r="C1267">
        <v>1230838</v>
      </c>
      <c r="D1267">
        <v>1</v>
      </c>
      <c r="E1267" t="s">
        <v>76</v>
      </c>
      <c r="F1267" t="s">
        <v>4213</v>
      </c>
      <c r="I1267" t="s">
        <v>49</v>
      </c>
      <c r="L1267" t="s">
        <v>4214</v>
      </c>
      <c r="M1267" t="s">
        <v>4213</v>
      </c>
      <c r="N1267">
        <v>115</v>
      </c>
      <c r="O1267" t="s">
        <v>4215</v>
      </c>
    </row>
    <row r="1268" spans="1:15" ht="14.5">
      <c r="A1268" t="s">
        <v>29</v>
      </c>
      <c r="B1268">
        <v>1230949</v>
      </c>
      <c r="C1268">
        <v>1232667</v>
      </c>
      <c r="D1268">
        <v>1</v>
      </c>
      <c r="E1268" t="s">
        <v>76</v>
      </c>
      <c r="F1268" t="s">
        <v>4216</v>
      </c>
      <c r="G1268" t="s">
        <v>4217</v>
      </c>
      <c r="I1268" t="s">
        <v>49</v>
      </c>
      <c r="L1268" t="s">
        <v>4218</v>
      </c>
      <c r="M1268" t="s">
        <v>4216</v>
      </c>
      <c r="N1268">
        <v>572</v>
      </c>
      <c r="O1268" t="s">
        <v>4219</v>
      </c>
    </row>
    <row r="1269" spans="1:15" ht="14.5">
      <c r="A1269" t="s">
        <v>29</v>
      </c>
      <c r="B1269">
        <v>1233213</v>
      </c>
      <c r="C1269">
        <v>1233746</v>
      </c>
      <c r="D1269">
        <v>1</v>
      </c>
      <c r="E1269" t="s">
        <v>47</v>
      </c>
      <c r="F1269" t="s">
        <v>206</v>
      </c>
      <c r="I1269" t="s">
        <v>49</v>
      </c>
      <c r="L1269" t="s">
        <v>4220</v>
      </c>
      <c r="M1269" t="s">
        <v>206</v>
      </c>
      <c r="N1269">
        <v>177</v>
      </c>
      <c r="O1269" t="s">
        <v>4221</v>
      </c>
    </row>
    <row r="1270" spans="1:15" ht="14.5">
      <c r="A1270" t="s">
        <v>29</v>
      </c>
      <c r="B1270">
        <v>1234104</v>
      </c>
      <c r="C1270">
        <v>1234358</v>
      </c>
      <c r="D1270">
        <v>1</v>
      </c>
      <c r="E1270" t="s">
        <v>47</v>
      </c>
      <c r="F1270" t="s">
        <v>176</v>
      </c>
      <c r="I1270" t="s">
        <v>49</v>
      </c>
      <c r="L1270" t="s">
        <v>4222</v>
      </c>
      <c r="M1270" t="s">
        <v>176</v>
      </c>
      <c r="N1270">
        <v>84</v>
      </c>
      <c r="O1270" t="s">
        <v>4223</v>
      </c>
    </row>
    <row r="1271" spans="1:15" ht="14.5">
      <c r="A1271" t="s">
        <v>29</v>
      </c>
      <c r="B1271">
        <v>1234469</v>
      </c>
      <c r="C1271">
        <v>1235575</v>
      </c>
      <c r="D1271">
        <v>1</v>
      </c>
      <c r="E1271" t="s">
        <v>47</v>
      </c>
      <c r="F1271" t="s">
        <v>4224</v>
      </c>
      <c r="G1271" t="s">
        <v>4225</v>
      </c>
      <c r="I1271" t="s">
        <v>49</v>
      </c>
      <c r="L1271" t="s">
        <v>4226</v>
      </c>
      <c r="M1271" t="s">
        <v>4224</v>
      </c>
      <c r="N1271">
        <v>368</v>
      </c>
      <c r="O1271" t="s">
        <v>4227</v>
      </c>
    </row>
    <row r="1272" spans="1:15" ht="14.5">
      <c r="A1272" t="s">
        <v>29</v>
      </c>
      <c r="B1272">
        <v>1235533</v>
      </c>
      <c r="C1272">
        <v>1236213</v>
      </c>
      <c r="D1272">
        <v>1</v>
      </c>
      <c r="E1272" t="s">
        <v>47</v>
      </c>
      <c r="F1272" t="s">
        <v>1360</v>
      </c>
      <c r="I1272" t="s">
        <v>49</v>
      </c>
      <c r="L1272" t="s">
        <v>4228</v>
      </c>
      <c r="M1272" t="s">
        <v>1360</v>
      </c>
      <c r="N1272">
        <v>226</v>
      </c>
      <c r="O1272" t="s">
        <v>4229</v>
      </c>
    </row>
    <row r="1273" spans="1:15" ht="14.5">
      <c r="A1273" t="s">
        <v>29</v>
      </c>
      <c r="B1273">
        <v>1236436</v>
      </c>
      <c r="C1273">
        <v>1237305</v>
      </c>
      <c r="D1273">
        <v>1</v>
      </c>
      <c r="E1273" t="s">
        <v>47</v>
      </c>
      <c r="F1273" t="s">
        <v>4230</v>
      </c>
      <c r="G1273" t="s">
        <v>4231</v>
      </c>
      <c r="I1273" t="s">
        <v>49</v>
      </c>
      <c r="L1273" t="s">
        <v>4232</v>
      </c>
      <c r="M1273" t="s">
        <v>4230</v>
      </c>
      <c r="N1273">
        <v>289</v>
      </c>
      <c r="O1273" t="s">
        <v>4233</v>
      </c>
    </row>
    <row r="1274" spans="1:15" ht="14.5">
      <c r="A1274" t="s">
        <v>29</v>
      </c>
      <c r="B1274">
        <v>1238181</v>
      </c>
      <c r="C1274">
        <v>1239377</v>
      </c>
      <c r="D1274">
        <v>1</v>
      </c>
      <c r="E1274" t="s">
        <v>47</v>
      </c>
      <c r="F1274" t="s">
        <v>4234</v>
      </c>
      <c r="G1274" t="s">
        <v>4235</v>
      </c>
      <c r="I1274" t="s">
        <v>49</v>
      </c>
      <c r="L1274" t="s">
        <v>4236</v>
      </c>
      <c r="M1274" t="s">
        <v>4234</v>
      </c>
      <c r="N1274">
        <v>398</v>
      </c>
      <c r="O1274" t="s">
        <v>4237</v>
      </c>
    </row>
    <row r="1275" spans="1:15" ht="14.5">
      <c r="A1275" t="s">
        <v>29</v>
      </c>
      <c r="B1275">
        <v>1239761</v>
      </c>
      <c r="C1275">
        <v>1240267</v>
      </c>
      <c r="D1275">
        <v>1</v>
      </c>
      <c r="E1275" t="s">
        <v>47</v>
      </c>
      <c r="F1275" t="s">
        <v>483</v>
      </c>
      <c r="I1275" t="s">
        <v>49</v>
      </c>
      <c r="L1275" t="s">
        <v>4238</v>
      </c>
      <c r="M1275" t="s">
        <v>483</v>
      </c>
      <c r="N1275">
        <v>168</v>
      </c>
      <c r="O1275" t="s">
        <v>4239</v>
      </c>
    </row>
    <row r="1276" spans="1:15" ht="14.5">
      <c r="A1276" t="s">
        <v>29</v>
      </c>
      <c r="B1276">
        <v>1240299</v>
      </c>
      <c r="C1276">
        <v>1240712</v>
      </c>
      <c r="D1276">
        <v>1</v>
      </c>
      <c r="E1276" t="s">
        <v>47</v>
      </c>
      <c r="F1276" t="s">
        <v>483</v>
      </c>
      <c r="I1276" t="s">
        <v>49</v>
      </c>
      <c r="L1276" t="s">
        <v>4240</v>
      </c>
      <c r="M1276" t="s">
        <v>483</v>
      </c>
      <c r="N1276">
        <v>137</v>
      </c>
      <c r="O1276" t="s">
        <v>4241</v>
      </c>
    </row>
    <row r="1277" spans="1:15" ht="14.5">
      <c r="A1277" t="s">
        <v>29</v>
      </c>
      <c r="B1277">
        <v>1240871</v>
      </c>
      <c r="C1277">
        <v>1241953</v>
      </c>
      <c r="D1277">
        <v>1</v>
      </c>
      <c r="E1277" t="s">
        <v>76</v>
      </c>
      <c r="F1277" t="s">
        <v>3918</v>
      </c>
      <c r="G1277" t="s">
        <v>4242</v>
      </c>
      <c r="I1277" t="s">
        <v>49</v>
      </c>
      <c r="L1277" t="s">
        <v>4243</v>
      </c>
      <c r="M1277" t="s">
        <v>3918</v>
      </c>
      <c r="N1277">
        <v>360</v>
      </c>
      <c r="O1277" t="s">
        <v>4244</v>
      </c>
    </row>
    <row r="1278" spans="1:15" ht="14.5">
      <c r="A1278" t="s">
        <v>29</v>
      </c>
      <c r="B1278">
        <v>1241950</v>
      </c>
      <c r="C1278">
        <v>1242927</v>
      </c>
      <c r="D1278">
        <v>1</v>
      </c>
      <c r="E1278" t="s">
        <v>76</v>
      </c>
      <c r="F1278" t="s">
        <v>3658</v>
      </c>
      <c r="G1278" t="s">
        <v>4245</v>
      </c>
      <c r="I1278" t="s">
        <v>49</v>
      </c>
      <c r="L1278" t="s">
        <v>4246</v>
      </c>
      <c r="M1278" t="s">
        <v>3658</v>
      </c>
      <c r="N1278">
        <v>325</v>
      </c>
      <c r="O1278" t="s">
        <v>4247</v>
      </c>
    </row>
    <row r="1279" spans="1:15" ht="14.5">
      <c r="A1279" t="s">
        <v>29</v>
      </c>
      <c r="B1279">
        <v>1243142</v>
      </c>
      <c r="C1279">
        <v>1243519</v>
      </c>
      <c r="D1279">
        <v>1</v>
      </c>
      <c r="E1279" t="s">
        <v>47</v>
      </c>
      <c r="F1279" t="s">
        <v>1529</v>
      </c>
      <c r="I1279" t="s">
        <v>49</v>
      </c>
      <c r="L1279" t="s">
        <v>4248</v>
      </c>
      <c r="M1279" t="s">
        <v>1529</v>
      </c>
      <c r="N1279">
        <v>125</v>
      </c>
      <c r="O1279" t="s">
        <v>4249</v>
      </c>
    </row>
    <row r="1280" spans="1:15" ht="14.5">
      <c r="A1280" t="s">
        <v>29</v>
      </c>
      <c r="B1280">
        <v>1243703</v>
      </c>
      <c r="C1280">
        <v>1245145</v>
      </c>
      <c r="D1280">
        <v>1</v>
      </c>
      <c r="E1280" t="s">
        <v>47</v>
      </c>
      <c r="F1280" t="s">
        <v>4250</v>
      </c>
      <c r="G1280" t="s">
        <v>4251</v>
      </c>
      <c r="I1280" t="s">
        <v>49</v>
      </c>
      <c r="L1280" t="s">
        <v>4252</v>
      </c>
      <c r="M1280" t="s">
        <v>4250</v>
      </c>
      <c r="N1280">
        <v>480</v>
      </c>
      <c r="O1280" t="s">
        <v>4253</v>
      </c>
    </row>
    <row r="1281" spans="1:15" ht="14.5">
      <c r="A1281" t="s">
        <v>29</v>
      </c>
      <c r="B1281">
        <v>1245259</v>
      </c>
      <c r="C1281">
        <v>1246101</v>
      </c>
      <c r="D1281">
        <v>1</v>
      </c>
      <c r="E1281" t="s">
        <v>47</v>
      </c>
      <c r="F1281" t="s">
        <v>4254</v>
      </c>
      <c r="G1281" t="s">
        <v>4255</v>
      </c>
      <c r="I1281" t="s">
        <v>49</v>
      </c>
      <c r="L1281" t="s">
        <v>4256</v>
      </c>
      <c r="M1281" t="s">
        <v>4254</v>
      </c>
      <c r="N1281">
        <v>280</v>
      </c>
      <c r="O1281" t="s">
        <v>4257</v>
      </c>
    </row>
    <row r="1282" spans="1:15" ht="14.5">
      <c r="A1282" t="s">
        <v>29</v>
      </c>
      <c r="B1282">
        <v>1246374</v>
      </c>
      <c r="C1282">
        <v>1246658</v>
      </c>
      <c r="D1282">
        <v>1</v>
      </c>
      <c r="E1282" t="s">
        <v>47</v>
      </c>
      <c r="F1282" t="s">
        <v>176</v>
      </c>
      <c r="I1282" t="s">
        <v>49</v>
      </c>
      <c r="L1282" t="s">
        <v>4258</v>
      </c>
      <c r="M1282" t="s">
        <v>176</v>
      </c>
      <c r="N1282">
        <v>94</v>
      </c>
      <c r="O1282" t="s">
        <v>4259</v>
      </c>
    </row>
    <row r="1283" spans="1:15" ht="14.5">
      <c r="A1283" t="s">
        <v>29</v>
      </c>
      <c r="B1283">
        <v>1246625</v>
      </c>
      <c r="C1283">
        <v>1246951</v>
      </c>
      <c r="D1283">
        <v>1</v>
      </c>
      <c r="E1283" t="s">
        <v>47</v>
      </c>
      <c r="F1283" t="s">
        <v>176</v>
      </c>
      <c r="I1283" t="s">
        <v>49</v>
      </c>
      <c r="L1283" t="s">
        <v>4260</v>
      </c>
      <c r="M1283" t="s">
        <v>176</v>
      </c>
      <c r="N1283">
        <v>108</v>
      </c>
      <c r="O1283" t="s">
        <v>4261</v>
      </c>
    </row>
    <row r="1284" spans="1:15" ht="14.5">
      <c r="A1284" t="s">
        <v>29</v>
      </c>
      <c r="B1284">
        <v>1247320</v>
      </c>
      <c r="C1284">
        <v>1248237</v>
      </c>
      <c r="D1284">
        <v>1</v>
      </c>
      <c r="E1284" t="s">
        <v>47</v>
      </c>
      <c r="F1284" t="s">
        <v>4262</v>
      </c>
      <c r="G1284" t="s">
        <v>4263</v>
      </c>
      <c r="I1284" t="s">
        <v>49</v>
      </c>
      <c r="L1284" t="s">
        <v>4264</v>
      </c>
      <c r="M1284" t="s">
        <v>4262</v>
      </c>
      <c r="N1284">
        <v>305</v>
      </c>
      <c r="O1284" t="s">
        <v>4265</v>
      </c>
    </row>
    <row r="1285" spans="1:15" ht="14.5">
      <c r="A1285" t="s">
        <v>29</v>
      </c>
      <c r="B1285">
        <v>1248497</v>
      </c>
      <c r="C1285">
        <v>1250533</v>
      </c>
      <c r="D1285">
        <v>1</v>
      </c>
      <c r="E1285" t="s">
        <v>47</v>
      </c>
      <c r="F1285" t="s">
        <v>4266</v>
      </c>
      <c r="G1285" t="s">
        <v>4267</v>
      </c>
      <c r="I1285" t="s">
        <v>49</v>
      </c>
      <c r="L1285" t="s">
        <v>4268</v>
      </c>
      <c r="M1285" t="s">
        <v>4266</v>
      </c>
      <c r="N1285">
        <v>678</v>
      </c>
      <c r="O1285" t="s">
        <v>4269</v>
      </c>
    </row>
    <row r="1286" spans="1:15" ht="14.5">
      <c r="A1286" t="s">
        <v>29</v>
      </c>
      <c r="B1286">
        <v>1250575</v>
      </c>
      <c r="C1286">
        <v>1250832</v>
      </c>
      <c r="D1286">
        <v>1</v>
      </c>
      <c r="E1286" t="s">
        <v>47</v>
      </c>
      <c r="F1286" t="s">
        <v>4270</v>
      </c>
      <c r="G1286" t="s">
        <v>4271</v>
      </c>
      <c r="I1286" t="s">
        <v>49</v>
      </c>
      <c r="L1286" t="s">
        <v>4272</v>
      </c>
      <c r="M1286" t="s">
        <v>4270</v>
      </c>
      <c r="N1286">
        <v>85</v>
      </c>
      <c r="O1286" t="s">
        <v>4273</v>
      </c>
    </row>
    <row r="1287" spans="1:15" ht="14.5">
      <c r="A1287" t="s">
        <v>29</v>
      </c>
      <c r="B1287">
        <v>1251055</v>
      </c>
      <c r="C1287">
        <v>1252299</v>
      </c>
      <c r="D1287">
        <v>1</v>
      </c>
      <c r="E1287" t="s">
        <v>76</v>
      </c>
      <c r="F1287" t="s">
        <v>4274</v>
      </c>
      <c r="G1287" t="s">
        <v>4275</v>
      </c>
      <c r="I1287" t="s">
        <v>49</v>
      </c>
      <c r="L1287" t="s">
        <v>4276</v>
      </c>
      <c r="M1287" t="s">
        <v>4274</v>
      </c>
      <c r="N1287">
        <v>414</v>
      </c>
      <c r="O1287" t="s">
        <v>4277</v>
      </c>
    </row>
    <row r="1288" spans="1:15" ht="14.5">
      <c r="A1288" t="s">
        <v>29</v>
      </c>
      <c r="B1288">
        <v>1252317</v>
      </c>
      <c r="C1288">
        <v>1252922</v>
      </c>
      <c r="D1288">
        <v>1</v>
      </c>
      <c r="E1288" t="s">
        <v>76</v>
      </c>
      <c r="F1288" t="s">
        <v>4278</v>
      </c>
      <c r="G1288" t="s">
        <v>4279</v>
      </c>
      <c r="I1288" t="s">
        <v>49</v>
      </c>
      <c r="L1288" t="s">
        <v>4280</v>
      </c>
      <c r="M1288" t="s">
        <v>4278</v>
      </c>
      <c r="N1288">
        <v>201</v>
      </c>
      <c r="O1288" t="s">
        <v>4281</v>
      </c>
    </row>
    <row r="1289" spans="1:15" ht="14.5">
      <c r="A1289" t="s">
        <v>29</v>
      </c>
      <c r="B1289">
        <v>1252982</v>
      </c>
      <c r="C1289">
        <v>1253905</v>
      </c>
      <c r="D1289">
        <v>1</v>
      </c>
      <c r="E1289" t="s">
        <v>76</v>
      </c>
      <c r="F1289" t="s">
        <v>4282</v>
      </c>
      <c r="G1289" t="s">
        <v>4283</v>
      </c>
      <c r="I1289" t="s">
        <v>49</v>
      </c>
      <c r="L1289" t="s">
        <v>4284</v>
      </c>
      <c r="M1289" t="s">
        <v>4282</v>
      </c>
      <c r="N1289">
        <v>307</v>
      </c>
      <c r="O1289" t="s">
        <v>4285</v>
      </c>
    </row>
    <row r="1290" spans="1:15" ht="14.5">
      <c r="A1290" t="s">
        <v>29</v>
      </c>
      <c r="B1290">
        <v>1254200</v>
      </c>
      <c r="C1290">
        <v>1255579</v>
      </c>
      <c r="D1290">
        <v>1</v>
      </c>
      <c r="E1290" t="s">
        <v>47</v>
      </c>
      <c r="F1290" t="s">
        <v>4286</v>
      </c>
      <c r="I1290" t="s">
        <v>49</v>
      </c>
      <c r="L1290" t="s">
        <v>4287</v>
      </c>
      <c r="M1290" t="s">
        <v>4286</v>
      </c>
      <c r="N1290">
        <v>459</v>
      </c>
      <c r="O1290" t="s">
        <v>4288</v>
      </c>
    </row>
    <row r="1291" spans="1:15" ht="14.5">
      <c r="A1291" t="s">
        <v>29</v>
      </c>
      <c r="B1291">
        <v>1255731</v>
      </c>
      <c r="C1291">
        <v>1256606</v>
      </c>
      <c r="D1291">
        <v>1</v>
      </c>
      <c r="E1291" t="s">
        <v>47</v>
      </c>
      <c r="F1291" t="s">
        <v>4289</v>
      </c>
      <c r="G1291" t="s">
        <v>4290</v>
      </c>
      <c r="I1291" t="s">
        <v>49</v>
      </c>
      <c r="L1291" t="s">
        <v>4291</v>
      </c>
      <c r="M1291" t="s">
        <v>4289</v>
      </c>
      <c r="N1291">
        <v>291</v>
      </c>
      <c r="O1291" t="s">
        <v>4292</v>
      </c>
    </row>
    <row r="1292" spans="1:15" ht="14.5">
      <c r="A1292" t="s">
        <v>29</v>
      </c>
      <c r="B1292">
        <v>1256607</v>
      </c>
      <c r="C1292">
        <v>1257188</v>
      </c>
      <c r="D1292">
        <v>1</v>
      </c>
      <c r="E1292" t="s">
        <v>47</v>
      </c>
      <c r="F1292" t="s">
        <v>4293</v>
      </c>
      <c r="G1292" t="s">
        <v>4294</v>
      </c>
      <c r="I1292" t="s">
        <v>49</v>
      </c>
      <c r="L1292" t="s">
        <v>4295</v>
      </c>
      <c r="M1292" t="s">
        <v>4293</v>
      </c>
      <c r="N1292">
        <v>193</v>
      </c>
      <c r="O1292" t="s">
        <v>4296</v>
      </c>
    </row>
    <row r="1293" spans="1:15" ht="14.5">
      <c r="A1293" t="s">
        <v>29</v>
      </c>
      <c r="B1293">
        <v>1257209</v>
      </c>
      <c r="C1293">
        <v>1257856</v>
      </c>
      <c r="D1293">
        <v>1</v>
      </c>
      <c r="E1293" t="s">
        <v>76</v>
      </c>
      <c r="F1293" t="s">
        <v>4297</v>
      </c>
      <c r="G1293" t="s">
        <v>4298</v>
      </c>
      <c r="I1293" t="s">
        <v>49</v>
      </c>
      <c r="L1293" t="s">
        <v>4299</v>
      </c>
      <c r="M1293" t="s">
        <v>4297</v>
      </c>
      <c r="N1293">
        <v>215</v>
      </c>
      <c r="O1293" t="s">
        <v>4300</v>
      </c>
    </row>
    <row r="1294" spans="1:15" ht="14.5">
      <c r="A1294" t="s">
        <v>29</v>
      </c>
      <c r="B1294">
        <v>1257853</v>
      </c>
      <c r="C1294">
        <v>1258299</v>
      </c>
      <c r="D1294">
        <v>1</v>
      </c>
      <c r="E1294" t="s">
        <v>76</v>
      </c>
      <c r="F1294" t="s">
        <v>4301</v>
      </c>
      <c r="I1294" t="s">
        <v>49</v>
      </c>
      <c r="L1294" t="s">
        <v>4302</v>
      </c>
      <c r="M1294" t="s">
        <v>4301</v>
      </c>
      <c r="N1294">
        <v>148</v>
      </c>
      <c r="O1294" t="s">
        <v>4303</v>
      </c>
    </row>
    <row r="1295" spans="1:15" ht="14.5">
      <c r="A1295" t="s">
        <v>29</v>
      </c>
      <c r="B1295">
        <v>1258434</v>
      </c>
      <c r="C1295">
        <v>1258928</v>
      </c>
      <c r="D1295">
        <v>1</v>
      </c>
      <c r="E1295" t="s">
        <v>47</v>
      </c>
      <c r="F1295" t="s">
        <v>845</v>
      </c>
      <c r="I1295" t="s">
        <v>49</v>
      </c>
      <c r="L1295" t="s">
        <v>4304</v>
      </c>
      <c r="M1295" t="s">
        <v>845</v>
      </c>
      <c r="N1295">
        <v>164</v>
      </c>
      <c r="O1295" t="s">
        <v>4305</v>
      </c>
    </row>
    <row r="1296" spans="1:15" ht="14.5">
      <c r="A1296" t="s">
        <v>29</v>
      </c>
      <c r="B1296">
        <v>1258928</v>
      </c>
      <c r="C1296">
        <v>1259440</v>
      </c>
      <c r="D1296">
        <v>1</v>
      </c>
      <c r="E1296" t="s">
        <v>47</v>
      </c>
      <c r="F1296" t="s">
        <v>4306</v>
      </c>
      <c r="G1296" t="s">
        <v>4307</v>
      </c>
      <c r="I1296" t="s">
        <v>49</v>
      </c>
      <c r="L1296" t="s">
        <v>4308</v>
      </c>
      <c r="M1296" t="s">
        <v>4306</v>
      </c>
      <c r="N1296">
        <v>170</v>
      </c>
      <c r="O1296" t="s">
        <v>4309</v>
      </c>
    </row>
    <row r="1297" spans="1:15" ht="14.5">
      <c r="A1297" t="s">
        <v>29</v>
      </c>
      <c r="B1297">
        <v>1259453</v>
      </c>
      <c r="C1297">
        <v>1259809</v>
      </c>
      <c r="D1297">
        <v>1</v>
      </c>
      <c r="E1297" t="s">
        <v>47</v>
      </c>
      <c r="F1297" t="s">
        <v>4310</v>
      </c>
      <c r="G1297" t="s">
        <v>4311</v>
      </c>
      <c r="I1297" t="s">
        <v>49</v>
      </c>
      <c r="L1297" t="s">
        <v>4312</v>
      </c>
      <c r="M1297" t="s">
        <v>4310</v>
      </c>
      <c r="N1297">
        <v>118</v>
      </c>
      <c r="O1297" t="s">
        <v>4313</v>
      </c>
    </row>
    <row r="1298" spans="1:15" ht="14.5">
      <c r="A1298" t="s">
        <v>29</v>
      </c>
      <c r="B1298">
        <v>1259967</v>
      </c>
      <c r="C1298">
        <v>1260767</v>
      </c>
      <c r="D1298">
        <v>1</v>
      </c>
      <c r="E1298" t="s">
        <v>47</v>
      </c>
      <c r="F1298" t="s">
        <v>4314</v>
      </c>
      <c r="G1298" t="s">
        <v>4315</v>
      </c>
      <c r="I1298" t="s">
        <v>49</v>
      </c>
      <c r="L1298" t="s">
        <v>4316</v>
      </c>
      <c r="M1298" t="s">
        <v>4314</v>
      </c>
      <c r="N1298">
        <v>266</v>
      </c>
      <c r="O1298" t="s">
        <v>4317</v>
      </c>
    </row>
    <row r="1299" spans="1:15" ht="14.5">
      <c r="A1299" t="s">
        <v>29</v>
      </c>
      <c r="B1299">
        <v>1260767</v>
      </c>
      <c r="C1299">
        <v>1261510</v>
      </c>
      <c r="D1299">
        <v>1</v>
      </c>
      <c r="E1299" t="s">
        <v>47</v>
      </c>
      <c r="F1299" t="s">
        <v>4318</v>
      </c>
      <c r="G1299" t="s">
        <v>4319</v>
      </c>
      <c r="I1299" t="s">
        <v>49</v>
      </c>
      <c r="L1299" t="s">
        <v>4320</v>
      </c>
      <c r="M1299" t="s">
        <v>4318</v>
      </c>
      <c r="N1299">
        <v>247</v>
      </c>
      <c r="O1299" t="s">
        <v>4321</v>
      </c>
    </row>
    <row r="1300" spans="1:15" ht="14.5">
      <c r="A1300" t="s">
        <v>29</v>
      </c>
      <c r="B1300">
        <v>1261588</v>
      </c>
      <c r="C1300">
        <v>1261812</v>
      </c>
      <c r="D1300">
        <v>1</v>
      </c>
      <c r="E1300" t="s">
        <v>47</v>
      </c>
      <c r="F1300" t="s">
        <v>1259</v>
      </c>
      <c r="I1300" t="s">
        <v>49</v>
      </c>
      <c r="L1300" t="s">
        <v>4322</v>
      </c>
      <c r="M1300" t="s">
        <v>1259</v>
      </c>
      <c r="N1300">
        <v>74</v>
      </c>
      <c r="O1300" t="s">
        <v>4323</v>
      </c>
    </row>
    <row r="1301" spans="1:15" ht="14.5">
      <c r="A1301" t="s">
        <v>29</v>
      </c>
      <c r="B1301">
        <v>1261878</v>
      </c>
      <c r="C1301">
        <v>1262789</v>
      </c>
      <c r="D1301">
        <v>1</v>
      </c>
      <c r="E1301" t="s">
        <v>47</v>
      </c>
      <c r="F1301" t="s">
        <v>3990</v>
      </c>
      <c r="G1301" t="s">
        <v>4324</v>
      </c>
      <c r="I1301" t="s">
        <v>49</v>
      </c>
      <c r="L1301" t="s">
        <v>4325</v>
      </c>
      <c r="M1301" t="s">
        <v>3990</v>
      </c>
      <c r="N1301">
        <v>303</v>
      </c>
      <c r="O1301" t="s">
        <v>4326</v>
      </c>
    </row>
    <row r="1302" spans="1:15" ht="14.5">
      <c r="A1302" t="s">
        <v>29</v>
      </c>
      <c r="B1302">
        <v>1262828</v>
      </c>
      <c r="C1302">
        <v>1263556</v>
      </c>
      <c r="D1302">
        <v>1</v>
      </c>
      <c r="E1302" t="s">
        <v>76</v>
      </c>
      <c r="F1302" t="s">
        <v>4327</v>
      </c>
      <c r="I1302" t="s">
        <v>49</v>
      </c>
      <c r="L1302" t="s">
        <v>4328</v>
      </c>
      <c r="M1302" t="s">
        <v>4327</v>
      </c>
      <c r="N1302">
        <v>242</v>
      </c>
      <c r="O1302" t="s">
        <v>4329</v>
      </c>
    </row>
    <row r="1303" spans="1:15" ht="14.5">
      <c r="A1303" t="s">
        <v>29</v>
      </c>
      <c r="B1303">
        <v>1263601</v>
      </c>
      <c r="C1303">
        <v>1264212</v>
      </c>
      <c r="D1303">
        <v>1</v>
      </c>
      <c r="E1303" t="s">
        <v>76</v>
      </c>
      <c r="F1303" t="s">
        <v>4330</v>
      </c>
      <c r="G1303" t="s">
        <v>4331</v>
      </c>
      <c r="I1303" t="s">
        <v>49</v>
      </c>
      <c r="L1303" t="s">
        <v>4332</v>
      </c>
      <c r="M1303" t="s">
        <v>4330</v>
      </c>
      <c r="N1303">
        <v>203</v>
      </c>
      <c r="O1303" t="s">
        <v>4333</v>
      </c>
    </row>
    <row r="1304" spans="1:15" ht="14.5">
      <c r="A1304" t="s">
        <v>29</v>
      </c>
      <c r="B1304">
        <v>1264735</v>
      </c>
      <c r="C1304">
        <v>1265451</v>
      </c>
      <c r="D1304">
        <v>1</v>
      </c>
      <c r="E1304" t="s">
        <v>47</v>
      </c>
      <c r="F1304" t="s">
        <v>4334</v>
      </c>
      <c r="I1304" t="s">
        <v>49</v>
      </c>
      <c r="L1304" t="s">
        <v>4335</v>
      </c>
      <c r="M1304" t="s">
        <v>4334</v>
      </c>
      <c r="N1304">
        <v>238</v>
      </c>
      <c r="O1304" t="s">
        <v>4336</v>
      </c>
    </row>
    <row r="1305" spans="1:15" ht="14.5">
      <c r="A1305" t="s">
        <v>29</v>
      </c>
      <c r="B1305">
        <v>1265452</v>
      </c>
      <c r="C1305">
        <v>1265706</v>
      </c>
      <c r="D1305">
        <v>1</v>
      </c>
      <c r="E1305" t="s">
        <v>47</v>
      </c>
      <c r="F1305" t="s">
        <v>4334</v>
      </c>
      <c r="I1305" t="s">
        <v>49</v>
      </c>
      <c r="L1305" t="s">
        <v>4337</v>
      </c>
      <c r="M1305" t="s">
        <v>4334</v>
      </c>
      <c r="N1305">
        <v>84</v>
      </c>
      <c r="O1305" t="s">
        <v>4338</v>
      </c>
    </row>
    <row r="1306" spans="1:15" ht="14.5">
      <c r="A1306" t="s">
        <v>29</v>
      </c>
      <c r="B1306">
        <v>1265810</v>
      </c>
      <c r="C1306">
        <v>1266637</v>
      </c>
      <c r="D1306">
        <v>1</v>
      </c>
      <c r="E1306" t="s">
        <v>47</v>
      </c>
      <c r="F1306" t="s">
        <v>4339</v>
      </c>
      <c r="G1306" t="s">
        <v>4340</v>
      </c>
      <c r="I1306" t="s">
        <v>49</v>
      </c>
      <c r="L1306" t="s">
        <v>4341</v>
      </c>
      <c r="M1306" t="s">
        <v>4339</v>
      </c>
      <c r="N1306">
        <v>275</v>
      </c>
      <c r="O1306" t="s">
        <v>4342</v>
      </c>
    </row>
    <row r="1307" spans="1:15" ht="14.5">
      <c r="A1307" t="s">
        <v>29</v>
      </c>
      <c r="B1307">
        <v>1266639</v>
      </c>
      <c r="C1307">
        <v>1267274</v>
      </c>
      <c r="D1307">
        <v>1</v>
      </c>
      <c r="E1307" t="s">
        <v>47</v>
      </c>
      <c r="F1307" t="s">
        <v>4343</v>
      </c>
      <c r="I1307" t="s">
        <v>49</v>
      </c>
      <c r="L1307" t="s">
        <v>4344</v>
      </c>
      <c r="M1307" t="s">
        <v>4343</v>
      </c>
      <c r="N1307">
        <v>211</v>
      </c>
      <c r="O1307" t="s">
        <v>4345</v>
      </c>
    </row>
    <row r="1308" spans="1:15" ht="14.5">
      <c r="A1308" t="s">
        <v>29</v>
      </c>
      <c r="B1308">
        <v>1267358</v>
      </c>
      <c r="C1308">
        <v>1268083</v>
      </c>
      <c r="D1308">
        <v>1</v>
      </c>
      <c r="E1308" t="s">
        <v>47</v>
      </c>
      <c r="F1308" t="s">
        <v>4346</v>
      </c>
      <c r="G1308" t="s">
        <v>4347</v>
      </c>
      <c r="I1308" t="s">
        <v>49</v>
      </c>
      <c r="L1308" t="s">
        <v>4348</v>
      </c>
      <c r="M1308" t="s">
        <v>4346</v>
      </c>
      <c r="N1308">
        <v>241</v>
      </c>
      <c r="O1308" t="s">
        <v>4349</v>
      </c>
    </row>
    <row r="1309" spans="1:15" ht="14.5">
      <c r="A1309" t="s">
        <v>29</v>
      </c>
      <c r="B1309">
        <v>1268080</v>
      </c>
      <c r="C1309">
        <v>1269015</v>
      </c>
      <c r="D1309">
        <v>1</v>
      </c>
      <c r="E1309" t="s">
        <v>47</v>
      </c>
      <c r="F1309" t="s">
        <v>1745</v>
      </c>
      <c r="I1309" t="s">
        <v>49</v>
      </c>
      <c r="L1309" t="s">
        <v>4350</v>
      </c>
      <c r="M1309" t="s">
        <v>1745</v>
      </c>
      <c r="N1309">
        <v>311</v>
      </c>
      <c r="O1309" t="s">
        <v>4351</v>
      </c>
    </row>
    <row r="1310" spans="1:15" ht="14.5">
      <c r="A1310" t="s">
        <v>29</v>
      </c>
      <c r="B1310">
        <v>1269024</v>
      </c>
      <c r="C1310">
        <v>1269920</v>
      </c>
      <c r="D1310">
        <v>1</v>
      </c>
      <c r="E1310" t="s">
        <v>47</v>
      </c>
      <c r="F1310" t="s">
        <v>65</v>
      </c>
      <c r="G1310" t="s">
        <v>4352</v>
      </c>
      <c r="I1310" t="s">
        <v>49</v>
      </c>
      <c r="L1310" t="s">
        <v>4353</v>
      </c>
      <c r="M1310" t="s">
        <v>65</v>
      </c>
      <c r="N1310">
        <v>298</v>
      </c>
      <c r="O1310" t="s">
        <v>4354</v>
      </c>
    </row>
    <row r="1311" spans="1:15" ht="14.5">
      <c r="A1311" t="s">
        <v>29</v>
      </c>
      <c r="B1311">
        <v>1269963</v>
      </c>
      <c r="C1311">
        <v>1270661</v>
      </c>
      <c r="D1311">
        <v>1</v>
      </c>
      <c r="E1311" t="s">
        <v>76</v>
      </c>
      <c r="F1311" t="s">
        <v>1425</v>
      </c>
      <c r="G1311" t="s">
        <v>4355</v>
      </c>
      <c r="I1311" t="s">
        <v>49</v>
      </c>
      <c r="L1311" t="s">
        <v>4356</v>
      </c>
      <c r="M1311" t="s">
        <v>1425</v>
      </c>
      <c r="N1311">
        <v>232</v>
      </c>
      <c r="O1311" t="s">
        <v>4357</v>
      </c>
    </row>
    <row r="1312" spans="1:15" ht="14.5">
      <c r="A1312" t="s">
        <v>29</v>
      </c>
      <c r="B1312">
        <v>1270803</v>
      </c>
      <c r="C1312">
        <v>1272365</v>
      </c>
      <c r="D1312">
        <v>1</v>
      </c>
      <c r="E1312" t="s">
        <v>47</v>
      </c>
      <c r="F1312" t="s">
        <v>4358</v>
      </c>
      <c r="G1312" t="s">
        <v>4359</v>
      </c>
      <c r="I1312" t="s">
        <v>49</v>
      </c>
      <c r="L1312" t="s">
        <v>4360</v>
      </c>
      <c r="M1312" t="s">
        <v>4358</v>
      </c>
      <c r="N1312">
        <v>520</v>
      </c>
      <c r="O1312" t="s">
        <v>4361</v>
      </c>
    </row>
    <row r="1313" spans="1:15" ht="14.5">
      <c r="A1313" t="s">
        <v>29</v>
      </c>
      <c r="B1313">
        <v>1272669</v>
      </c>
      <c r="C1313">
        <v>1272854</v>
      </c>
      <c r="D1313">
        <v>1</v>
      </c>
      <c r="E1313" t="s">
        <v>47</v>
      </c>
      <c r="F1313" t="s">
        <v>4362</v>
      </c>
      <c r="I1313" t="s">
        <v>49</v>
      </c>
      <c r="L1313" t="s">
        <v>4363</v>
      </c>
      <c r="M1313" t="s">
        <v>4362</v>
      </c>
      <c r="N1313">
        <v>61</v>
      </c>
      <c r="O1313" t="s">
        <v>4364</v>
      </c>
    </row>
    <row r="1314" spans="1:15" ht="14.5">
      <c r="A1314" t="s">
        <v>29</v>
      </c>
      <c r="B1314">
        <v>1272835</v>
      </c>
      <c r="C1314">
        <v>1273122</v>
      </c>
      <c r="D1314">
        <v>1</v>
      </c>
      <c r="E1314" t="s">
        <v>47</v>
      </c>
      <c r="F1314" t="s">
        <v>4365</v>
      </c>
      <c r="I1314" t="s">
        <v>49</v>
      </c>
      <c r="L1314" t="s">
        <v>4366</v>
      </c>
      <c r="M1314" t="s">
        <v>4365</v>
      </c>
      <c r="N1314">
        <v>95</v>
      </c>
      <c r="O1314" t="s">
        <v>4367</v>
      </c>
    </row>
    <row r="1315" spans="1:15" ht="14.5">
      <c r="A1315" t="s">
        <v>29</v>
      </c>
      <c r="B1315">
        <v>1273454</v>
      </c>
      <c r="C1315">
        <v>1274251</v>
      </c>
      <c r="D1315">
        <v>1</v>
      </c>
      <c r="E1315" t="s">
        <v>47</v>
      </c>
      <c r="F1315" t="s">
        <v>1878</v>
      </c>
      <c r="I1315" t="s">
        <v>49</v>
      </c>
      <c r="L1315" t="s">
        <v>4368</v>
      </c>
      <c r="M1315" t="s">
        <v>1878</v>
      </c>
      <c r="N1315">
        <v>265</v>
      </c>
      <c r="O1315" t="s">
        <v>4369</v>
      </c>
    </row>
    <row r="1316" spans="1:15" ht="14.5">
      <c r="A1316" t="s">
        <v>29</v>
      </c>
      <c r="B1316">
        <v>1274845</v>
      </c>
      <c r="C1316">
        <v>1275003</v>
      </c>
      <c r="D1316">
        <v>1</v>
      </c>
      <c r="E1316" t="s">
        <v>47</v>
      </c>
      <c r="F1316" t="s">
        <v>483</v>
      </c>
      <c r="I1316" t="s">
        <v>49</v>
      </c>
      <c r="L1316" t="s">
        <v>4370</v>
      </c>
      <c r="M1316" t="s">
        <v>483</v>
      </c>
      <c r="N1316">
        <v>52</v>
      </c>
      <c r="O1316" t="s">
        <v>4371</v>
      </c>
    </row>
    <row r="1317" spans="1:15" ht="14.5">
      <c r="A1317" t="s">
        <v>29</v>
      </c>
      <c r="B1317">
        <v>1275458</v>
      </c>
      <c r="C1317">
        <v>1276822</v>
      </c>
      <c r="D1317">
        <v>1</v>
      </c>
      <c r="E1317" t="s">
        <v>76</v>
      </c>
      <c r="F1317" t="s">
        <v>4372</v>
      </c>
      <c r="G1317" t="s">
        <v>4373</v>
      </c>
      <c r="I1317" t="s">
        <v>49</v>
      </c>
      <c r="L1317" t="s">
        <v>4374</v>
      </c>
      <c r="M1317" t="s">
        <v>4372</v>
      </c>
      <c r="N1317">
        <v>454</v>
      </c>
      <c r="O1317" t="s">
        <v>4375</v>
      </c>
    </row>
    <row r="1318" spans="1:15" ht="14.5">
      <c r="A1318" t="s">
        <v>29</v>
      </c>
      <c r="B1318">
        <v>1276810</v>
      </c>
      <c r="C1318">
        <v>1277505</v>
      </c>
      <c r="D1318">
        <v>1</v>
      </c>
      <c r="E1318" t="s">
        <v>76</v>
      </c>
      <c r="F1318" t="s">
        <v>4376</v>
      </c>
      <c r="G1318" t="s">
        <v>4377</v>
      </c>
      <c r="I1318" t="s">
        <v>49</v>
      </c>
      <c r="L1318" t="s">
        <v>4378</v>
      </c>
      <c r="M1318" t="s">
        <v>4376</v>
      </c>
      <c r="N1318">
        <v>231</v>
      </c>
      <c r="O1318" t="s">
        <v>4379</v>
      </c>
    </row>
    <row r="1319" spans="1:15" ht="14.5">
      <c r="A1319" t="s">
        <v>29</v>
      </c>
      <c r="B1319">
        <v>1277505</v>
      </c>
      <c r="C1319">
        <v>1278089</v>
      </c>
      <c r="D1319">
        <v>1</v>
      </c>
      <c r="E1319" t="s">
        <v>76</v>
      </c>
      <c r="F1319" t="s">
        <v>436</v>
      </c>
      <c r="I1319" t="s">
        <v>49</v>
      </c>
      <c r="L1319" t="s">
        <v>4380</v>
      </c>
      <c r="M1319" t="s">
        <v>436</v>
      </c>
      <c r="N1319">
        <v>194</v>
      </c>
      <c r="O1319" t="s">
        <v>4381</v>
      </c>
    </row>
    <row r="1320" spans="1:15" ht="14.5">
      <c r="A1320" t="s">
        <v>29</v>
      </c>
      <c r="B1320">
        <v>1278100</v>
      </c>
      <c r="C1320">
        <v>1279821</v>
      </c>
      <c r="D1320">
        <v>1</v>
      </c>
      <c r="E1320" t="s">
        <v>76</v>
      </c>
      <c r="F1320" t="s">
        <v>218</v>
      </c>
      <c r="G1320" t="s">
        <v>4382</v>
      </c>
      <c r="I1320" t="s">
        <v>49</v>
      </c>
      <c r="L1320" t="s">
        <v>4383</v>
      </c>
      <c r="M1320" t="s">
        <v>218</v>
      </c>
      <c r="N1320">
        <v>573</v>
      </c>
      <c r="O1320" t="s">
        <v>4384</v>
      </c>
    </row>
    <row r="1321" spans="1:15" ht="14.5">
      <c r="A1321" t="s">
        <v>29</v>
      </c>
      <c r="B1321">
        <v>1279805</v>
      </c>
      <c r="C1321">
        <v>1281559</v>
      </c>
      <c r="D1321">
        <v>1</v>
      </c>
      <c r="E1321" t="s">
        <v>76</v>
      </c>
      <c r="F1321" t="s">
        <v>2320</v>
      </c>
      <c r="G1321" t="s">
        <v>4385</v>
      </c>
      <c r="I1321" t="s">
        <v>49</v>
      </c>
      <c r="L1321" t="s">
        <v>4386</v>
      </c>
      <c r="M1321" t="s">
        <v>2320</v>
      </c>
      <c r="N1321">
        <v>584</v>
      </c>
      <c r="O1321" t="s">
        <v>4387</v>
      </c>
    </row>
    <row r="1322" spans="1:15" ht="14.5">
      <c r="A1322" t="s">
        <v>29</v>
      </c>
      <c r="B1322">
        <v>1281719</v>
      </c>
      <c r="C1322">
        <v>1282711</v>
      </c>
      <c r="D1322">
        <v>1</v>
      </c>
      <c r="E1322" t="s">
        <v>47</v>
      </c>
      <c r="F1322" t="s">
        <v>4388</v>
      </c>
      <c r="G1322" t="s">
        <v>4389</v>
      </c>
      <c r="I1322" t="s">
        <v>49</v>
      </c>
      <c r="L1322" t="s">
        <v>4390</v>
      </c>
      <c r="M1322" t="s">
        <v>4388</v>
      </c>
      <c r="N1322">
        <v>330</v>
      </c>
      <c r="O1322" t="s">
        <v>4391</v>
      </c>
    </row>
    <row r="1323" spans="1:15" ht="14.5">
      <c r="A1323" t="s">
        <v>29</v>
      </c>
      <c r="B1323">
        <v>1283236</v>
      </c>
      <c r="C1323">
        <v>1284414</v>
      </c>
      <c r="D1323">
        <v>1</v>
      </c>
      <c r="E1323" t="s">
        <v>76</v>
      </c>
      <c r="F1323" t="s">
        <v>4392</v>
      </c>
      <c r="G1323" t="s">
        <v>4393</v>
      </c>
      <c r="I1323" t="s">
        <v>49</v>
      </c>
      <c r="L1323" t="s">
        <v>4394</v>
      </c>
      <c r="M1323" t="s">
        <v>4392</v>
      </c>
      <c r="N1323">
        <v>392</v>
      </c>
      <c r="O1323" t="s">
        <v>4395</v>
      </c>
    </row>
    <row r="1324" spans="1:15" ht="14.5">
      <c r="A1324" t="s">
        <v>29</v>
      </c>
      <c r="B1324">
        <v>1284411</v>
      </c>
      <c r="C1324">
        <v>1284602</v>
      </c>
      <c r="D1324">
        <v>1</v>
      </c>
      <c r="E1324" t="s">
        <v>76</v>
      </c>
      <c r="F1324" t="s">
        <v>4396</v>
      </c>
      <c r="I1324" t="s">
        <v>49</v>
      </c>
      <c r="L1324" t="s">
        <v>4397</v>
      </c>
      <c r="M1324" t="s">
        <v>4396</v>
      </c>
      <c r="N1324">
        <v>63</v>
      </c>
      <c r="O1324" t="s">
        <v>4398</v>
      </c>
    </row>
    <row r="1325" spans="1:15" ht="14.5">
      <c r="A1325" t="s">
        <v>29</v>
      </c>
      <c r="B1325">
        <v>1284786</v>
      </c>
      <c r="C1325">
        <v>1284968</v>
      </c>
      <c r="D1325">
        <v>1</v>
      </c>
      <c r="E1325" t="s">
        <v>76</v>
      </c>
      <c r="F1325" t="s">
        <v>4399</v>
      </c>
      <c r="I1325" t="s">
        <v>49</v>
      </c>
      <c r="L1325" t="s">
        <v>4400</v>
      </c>
      <c r="M1325" t="s">
        <v>4399</v>
      </c>
      <c r="N1325">
        <v>60</v>
      </c>
      <c r="O1325" t="s">
        <v>4401</v>
      </c>
    </row>
    <row r="1326" spans="1:15" ht="14.5">
      <c r="A1326" t="s">
        <v>29</v>
      </c>
      <c r="B1326">
        <v>1285592</v>
      </c>
      <c r="C1326">
        <v>1286878</v>
      </c>
      <c r="D1326">
        <v>1</v>
      </c>
      <c r="E1326" t="s">
        <v>47</v>
      </c>
      <c r="F1326" t="s">
        <v>4402</v>
      </c>
      <c r="G1326" t="s">
        <v>4403</v>
      </c>
      <c r="I1326" t="s">
        <v>49</v>
      </c>
      <c r="L1326" t="s">
        <v>4404</v>
      </c>
      <c r="M1326" t="s">
        <v>4402</v>
      </c>
      <c r="N1326">
        <v>428</v>
      </c>
      <c r="O1326" t="s">
        <v>4405</v>
      </c>
    </row>
    <row r="1327" spans="1:15" ht="14.5">
      <c r="A1327" t="s">
        <v>29</v>
      </c>
      <c r="B1327">
        <v>1287442</v>
      </c>
      <c r="C1327">
        <v>1288167</v>
      </c>
      <c r="D1327">
        <v>1</v>
      </c>
      <c r="E1327" t="s">
        <v>47</v>
      </c>
      <c r="F1327" t="s">
        <v>4406</v>
      </c>
      <c r="I1327" t="s">
        <v>49</v>
      </c>
      <c r="L1327" t="s">
        <v>4407</v>
      </c>
      <c r="M1327" t="s">
        <v>4406</v>
      </c>
      <c r="N1327">
        <v>241</v>
      </c>
      <c r="O1327" t="s">
        <v>4408</v>
      </c>
    </row>
    <row r="1328" spans="1:15" ht="14.5">
      <c r="A1328" t="s">
        <v>29</v>
      </c>
      <c r="B1328">
        <v>1288660</v>
      </c>
      <c r="C1328">
        <v>1289379</v>
      </c>
      <c r="D1328">
        <v>1</v>
      </c>
      <c r="E1328" t="s">
        <v>47</v>
      </c>
      <c r="F1328" t="s">
        <v>3328</v>
      </c>
      <c r="G1328" t="s">
        <v>4409</v>
      </c>
      <c r="I1328" t="s">
        <v>49</v>
      </c>
      <c r="L1328" t="s">
        <v>4410</v>
      </c>
      <c r="M1328" t="s">
        <v>3328</v>
      </c>
      <c r="N1328">
        <v>239</v>
      </c>
      <c r="O1328" t="s">
        <v>4411</v>
      </c>
    </row>
    <row r="1329" spans="1:15" ht="14.5">
      <c r="A1329" t="s">
        <v>29</v>
      </c>
      <c r="B1329">
        <v>1289569</v>
      </c>
      <c r="C1329">
        <v>1289898</v>
      </c>
      <c r="D1329">
        <v>1</v>
      </c>
      <c r="E1329" t="s">
        <v>47</v>
      </c>
      <c r="F1329" t="s">
        <v>176</v>
      </c>
      <c r="I1329" t="s">
        <v>49</v>
      </c>
      <c r="L1329" t="s">
        <v>4412</v>
      </c>
      <c r="M1329" t="s">
        <v>176</v>
      </c>
      <c r="N1329">
        <v>109</v>
      </c>
      <c r="O1329" t="s">
        <v>4413</v>
      </c>
    </row>
    <row r="1330" spans="1:15" ht="14.5">
      <c r="A1330" t="s">
        <v>29</v>
      </c>
      <c r="B1330">
        <v>1290503</v>
      </c>
      <c r="C1330">
        <v>1290712</v>
      </c>
      <c r="D1330">
        <v>1</v>
      </c>
      <c r="E1330" t="s">
        <v>47</v>
      </c>
      <c r="F1330" t="s">
        <v>4414</v>
      </c>
      <c r="I1330" t="s">
        <v>49</v>
      </c>
      <c r="L1330" t="s">
        <v>4415</v>
      </c>
      <c r="M1330" t="s">
        <v>4414</v>
      </c>
      <c r="N1330">
        <v>69</v>
      </c>
      <c r="O1330" t="s">
        <v>4416</v>
      </c>
    </row>
    <row r="1331" spans="1:15" ht="14.5">
      <c r="A1331" t="s">
        <v>29</v>
      </c>
      <c r="B1331">
        <v>1290702</v>
      </c>
      <c r="C1331">
        <v>1291190</v>
      </c>
      <c r="D1331">
        <v>1</v>
      </c>
      <c r="E1331" t="s">
        <v>47</v>
      </c>
      <c r="F1331" t="s">
        <v>176</v>
      </c>
      <c r="I1331" t="s">
        <v>49</v>
      </c>
      <c r="L1331" t="s">
        <v>4417</v>
      </c>
      <c r="M1331" t="s">
        <v>176</v>
      </c>
      <c r="N1331">
        <v>162</v>
      </c>
      <c r="O1331" t="s">
        <v>4418</v>
      </c>
    </row>
    <row r="1332" spans="1:15" ht="14.5">
      <c r="A1332" t="s">
        <v>29</v>
      </c>
      <c r="B1332">
        <v>1291306</v>
      </c>
      <c r="C1332">
        <v>1292766</v>
      </c>
      <c r="D1332">
        <v>1</v>
      </c>
      <c r="E1332" t="s">
        <v>47</v>
      </c>
      <c r="F1332" t="s">
        <v>4419</v>
      </c>
      <c r="I1332" t="s">
        <v>49</v>
      </c>
      <c r="L1332" t="s">
        <v>4420</v>
      </c>
      <c r="M1332" t="s">
        <v>4419</v>
      </c>
      <c r="N1332">
        <v>486</v>
      </c>
      <c r="O1332" t="s">
        <v>4421</v>
      </c>
    </row>
    <row r="1333" spans="1:15" ht="14.5">
      <c r="A1333" t="s">
        <v>29</v>
      </c>
      <c r="B1333">
        <v>1292763</v>
      </c>
      <c r="C1333">
        <v>1293587</v>
      </c>
      <c r="D1333">
        <v>1</v>
      </c>
      <c r="E1333" t="s">
        <v>47</v>
      </c>
      <c r="F1333" t="s">
        <v>4422</v>
      </c>
      <c r="G1333" t="s">
        <v>4423</v>
      </c>
      <c r="I1333" t="s">
        <v>49</v>
      </c>
      <c r="L1333" t="s">
        <v>4424</v>
      </c>
      <c r="M1333" t="s">
        <v>4422</v>
      </c>
      <c r="N1333">
        <v>274</v>
      </c>
      <c r="O1333" t="s">
        <v>4425</v>
      </c>
    </row>
    <row r="1334" spans="1:15" ht="14.5">
      <c r="A1334" t="s">
        <v>29</v>
      </c>
      <c r="B1334">
        <v>1293834</v>
      </c>
      <c r="C1334">
        <v>1294385</v>
      </c>
      <c r="D1334">
        <v>1</v>
      </c>
      <c r="E1334" t="s">
        <v>47</v>
      </c>
      <c r="F1334" t="s">
        <v>1040</v>
      </c>
      <c r="G1334" t="s">
        <v>4426</v>
      </c>
      <c r="I1334" t="s">
        <v>49</v>
      </c>
      <c r="L1334" t="s">
        <v>4427</v>
      </c>
      <c r="M1334" t="s">
        <v>1040</v>
      </c>
      <c r="N1334">
        <v>183</v>
      </c>
      <c r="O1334" t="s">
        <v>4428</v>
      </c>
    </row>
    <row r="1335" spans="1:15" ht="14.5">
      <c r="A1335" t="s">
        <v>29</v>
      </c>
      <c r="B1335">
        <v>1295002</v>
      </c>
      <c r="C1335">
        <v>1295103</v>
      </c>
      <c r="D1335">
        <v>1</v>
      </c>
      <c r="E1335" t="s">
        <v>47</v>
      </c>
      <c r="F1335" t="s">
        <v>176</v>
      </c>
      <c r="I1335" t="s">
        <v>49</v>
      </c>
      <c r="L1335" t="s">
        <v>4429</v>
      </c>
      <c r="M1335" t="s">
        <v>176</v>
      </c>
      <c r="N1335">
        <v>33</v>
      </c>
      <c r="O1335" t="s">
        <v>4430</v>
      </c>
    </row>
    <row r="1336" spans="1:15" ht="14.5">
      <c r="A1336" t="s">
        <v>29</v>
      </c>
      <c r="B1336">
        <v>1295846</v>
      </c>
      <c r="C1336">
        <v>1296235</v>
      </c>
      <c r="D1336">
        <v>1</v>
      </c>
      <c r="E1336" t="s">
        <v>47</v>
      </c>
      <c r="F1336" t="s">
        <v>4431</v>
      </c>
      <c r="G1336" t="s">
        <v>4432</v>
      </c>
      <c r="I1336" t="s">
        <v>49</v>
      </c>
      <c r="L1336" t="s">
        <v>4433</v>
      </c>
      <c r="M1336" t="s">
        <v>4431</v>
      </c>
      <c r="N1336">
        <v>129</v>
      </c>
      <c r="O1336" t="s">
        <v>4434</v>
      </c>
    </row>
    <row r="1337" spans="1:15" ht="14.5">
      <c r="A1337" t="s">
        <v>29</v>
      </c>
      <c r="B1337">
        <v>1296811</v>
      </c>
      <c r="C1337">
        <v>1297839</v>
      </c>
      <c r="D1337">
        <v>1</v>
      </c>
      <c r="E1337" t="s">
        <v>76</v>
      </c>
      <c r="F1337" t="s">
        <v>4435</v>
      </c>
      <c r="G1337" t="s">
        <v>4436</v>
      </c>
      <c r="I1337" t="s">
        <v>49</v>
      </c>
      <c r="L1337" t="s">
        <v>4437</v>
      </c>
      <c r="M1337" t="s">
        <v>4435</v>
      </c>
      <c r="N1337">
        <v>342</v>
      </c>
      <c r="O1337" t="s">
        <v>4438</v>
      </c>
    </row>
    <row r="1338" spans="1:15" ht="14.5">
      <c r="A1338" t="s">
        <v>29</v>
      </c>
      <c r="B1338">
        <v>1297990</v>
      </c>
      <c r="C1338">
        <v>1298697</v>
      </c>
      <c r="D1338">
        <v>1</v>
      </c>
      <c r="E1338" t="s">
        <v>47</v>
      </c>
      <c r="F1338" t="s">
        <v>4439</v>
      </c>
      <c r="G1338" t="s">
        <v>4440</v>
      </c>
      <c r="I1338" t="s">
        <v>49</v>
      </c>
      <c r="L1338" t="s">
        <v>4441</v>
      </c>
      <c r="M1338" t="s">
        <v>4439</v>
      </c>
      <c r="N1338">
        <v>235</v>
      </c>
      <c r="O1338" t="s">
        <v>4442</v>
      </c>
    </row>
    <row r="1339" spans="1:15" ht="14.5">
      <c r="A1339" t="s">
        <v>29</v>
      </c>
      <c r="B1339">
        <v>1298837</v>
      </c>
      <c r="C1339">
        <v>1299013</v>
      </c>
      <c r="D1339">
        <v>1</v>
      </c>
      <c r="E1339" t="s">
        <v>47</v>
      </c>
      <c r="F1339" t="s">
        <v>4443</v>
      </c>
      <c r="G1339" t="s">
        <v>4444</v>
      </c>
      <c r="I1339" t="s">
        <v>49</v>
      </c>
      <c r="L1339" t="s">
        <v>4445</v>
      </c>
      <c r="M1339" t="s">
        <v>4443</v>
      </c>
      <c r="N1339">
        <v>58</v>
      </c>
      <c r="O1339" t="s">
        <v>4446</v>
      </c>
    </row>
    <row r="1340" spans="1:15" ht="14.5">
      <c r="A1340" t="s">
        <v>29</v>
      </c>
      <c r="B1340">
        <v>1299143</v>
      </c>
      <c r="C1340">
        <v>1300078</v>
      </c>
      <c r="D1340">
        <v>1</v>
      </c>
      <c r="E1340" t="s">
        <v>47</v>
      </c>
      <c r="F1340" t="s">
        <v>4447</v>
      </c>
      <c r="G1340" t="s">
        <v>4448</v>
      </c>
      <c r="I1340" t="s">
        <v>49</v>
      </c>
      <c r="L1340" t="s">
        <v>4449</v>
      </c>
      <c r="M1340" t="s">
        <v>4447</v>
      </c>
      <c r="N1340">
        <v>311</v>
      </c>
      <c r="O1340" t="s">
        <v>4450</v>
      </c>
    </row>
    <row r="1341" spans="1:15" ht="14.5">
      <c r="A1341" t="s">
        <v>29</v>
      </c>
      <c r="B1341">
        <v>1300071</v>
      </c>
      <c r="C1341">
        <v>1300859</v>
      </c>
      <c r="D1341">
        <v>1</v>
      </c>
      <c r="E1341" t="s">
        <v>47</v>
      </c>
      <c r="F1341" t="s">
        <v>4451</v>
      </c>
      <c r="G1341" t="s">
        <v>4452</v>
      </c>
      <c r="I1341" t="s">
        <v>49</v>
      </c>
      <c r="L1341" t="s">
        <v>4453</v>
      </c>
      <c r="M1341" t="s">
        <v>4451</v>
      </c>
      <c r="N1341">
        <v>262</v>
      </c>
      <c r="O1341" t="s">
        <v>4454</v>
      </c>
    </row>
    <row r="1342" spans="1:15" ht="14.5">
      <c r="A1342" t="s">
        <v>29</v>
      </c>
      <c r="B1342">
        <v>1300860</v>
      </c>
      <c r="C1342">
        <v>1301243</v>
      </c>
      <c r="D1342">
        <v>1</v>
      </c>
      <c r="E1342" t="s">
        <v>47</v>
      </c>
      <c r="F1342" t="s">
        <v>4455</v>
      </c>
      <c r="I1342" t="s">
        <v>49</v>
      </c>
      <c r="L1342" t="s">
        <v>4456</v>
      </c>
      <c r="M1342" t="s">
        <v>4455</v>
      </c>
      <c r="N1342">
        <v>127</v>
      </c>
      <c r="O1342" t="s">
        <v>4457</v>
      </c>
    </row>
    <row r="1343" spans="1:15" ht="14.5">
      <c r="A1343" t="s">
        <v>29</v>
      </c>
      <c r="B1343">
        <v>1301259</v>
      </c>
      <c r="C1343">
        <v>1301648</v>
      </c>
      <c r="D1343">
        <v>1</v>
      </c>
      <c r="E1343" t="s">
        <v>47</v>
      </c>
      <c r="F1343" t="s">
        <v>4458</v>
      </c>
      <c r="I1343" t="s">
        <v>49</v>
      </c>
      <c r="L1343" t="s">
        <v>4459</v>
      </c>
      <c r="M1343" t="s">
        <v>4458</v>
      </c>
      <c r="N1343">
        <v>129</v>
      </c>
      <c r="O1343" t="s">
        <v>4460</v>
      </c>
    </row>
    <row r="1344" spans="1:15" ht="14.5">
      <c r="A1344" t="s">
        <v>29</v>
      </c>
      <c r="B1344">
        <v>1301732</v>
      </c>
      <c r="C1344">
        <v>1302862</v>
      </c>
      <c r="D1344">
        <v>1</v>
      </c>
      <c r="E1344" t="s">
        <v>47</v>
      </c>
      <c r="F1344" t="s">
        <v>4461</v>
      </c>
      <c r="G1344" t="s">
        <v>4462</v>
      </c>
      <c r="I1344" t="s">
        <v>49</v>
      </c>
      <c r="L1344" t="s">
        <v>4463</v>
      </c>
      <c r="M1344" t="s">
        <v>4461</v>
      </c>
      <c r="N1344">
        <v>376</v>
      </c>
      <c r="O1344" t="s">
        <v>4464</v>
      </c>
    </row>
    <row r="1345" spans="1:15" ht="14.5">
      <c r="A1345" t="s">
        <v>29</v>
      </c>
      <c r="B1345">
        <v>1302867</v>
      </c>
      <c r="C1345">
        <v>1303604</v>
      </c>
      <c r="D1345">
        <v>1</v>
      </c>
      <c r="E1345" t="s">
        <v>47</v>
      </c>
      <c r="F1345" t="s">
        <v>4465</v>
      </c>
      <c r="I1345" t="s">
        <v>49</v>
      </c>
      <c r="L1345" t="s">
        <v>4466</v>
      </c>
      <c r="M1345" t="s">
        <v>4465</v>
      </c>
      <c r="N1345">
        <v>245</v>
      </c>
      <c r="O1345" t="s">
        <v>4467</v>
      </c>
    </row>
    <row r="1346" spans="1:15" ht="14.5">
      <c r="A1346" t="s">
        <v>29</v>
      </c>
      <c r="B1346">
        <v>1303615</v>
      </c>
      <c r="C1346">
        <v>1304388</v>
      </c>
      <c r="D1346">
        <v>1</v>
      </c>
      <c r="E1346" t="s">
        <v>47</v>
      </c>
      <c r="F1346" t="s">
        <v>4468</v>
      </c>
      <c r="G1346" t="s">
        <v>4469</v>
      </c>
      <c r="I1346" t="s">
        <v>49</v>
      </c>
      <c r="L1346" t="s">
        <v>4470</v>
      </c>
      <c r="M1346" t="s">
        <v>4468</v>
      </c>
      <c r="N1346">
        <v>257</v>
      </c>
      <c r="O1346" t="s">
        <v>4471</v>
      </c>
    </row>
    <row r="1347" spans="1:15" ht="14.5">
      <c r="A1347" t="s">
        <v>29</v>
      </c>
      <c r="B1347">
        <v>1304378</v>
      </c>
      <c r="C1347">
        <v>1304995</v>
      </c>
      <c r="D1347">
        <v>1</v>
      </c>
      <c r="E1347" t="s">
        <v>47</v>
      </c>
      <c r="F1347" t="s">
        <v>769</v>
      </c>
      <c r="I1347" t="s">
        <v>49</v>
      </c>
      <c r="L1347" t="s">
        <v>4472</v>
      </c>
      <c r="M1347" t="s">
        <v>769</v>
      </c>
      <c r="N1347">
        <v>205</v>
      </c>
      <c r="O1347" t="s">
        <v>4473</v>
      </c>
    </row>
    <row r="1348" spans="1:15" ht="14.5">
      <c r="A1348" t="s">
        <v>29</v>
      </c>
      <c r="B1348">
        <v>1305205</v>
      </c>
      <c r="C1348">
        <v>1305606</v>
      </c>
      <c r="D1348">
        <v>1</v>
      </c>
      <c r="E1348" t="s">
        <v>47</v>
      </c>
      <c r="F1348" t="s">
        <v>1069</v>
      </c>
      <c r="G1348" t="s">
        <v>4474</v>
      </c>
      <c r="I1348" t="s">
        <v>49</v>
      </c>
      <c r="L1348" t="s">
        <v>4475</v>
      </c>
      <c r="M1348" t="s">
        <v>1069</v>
      </c>
      <c r="N1348">
        <v>133</v>
      </c>
      <c r="O1348" t="s">
        <v>4476</v>
      </c>
    </row>
    <row r="1349" spans="1:15" ht="14.5">
      <c r="A1349" t="s">
        <v>29</v>
      </c>
      <c r="B1349">
        <v>1305606</v>
      </c>
      <c r="C1349">
        <v>1305884</v>
      </c>
      <c r="D1349">
        <v>1</v>
      </c>
      <c r="E1349" t="s">
        <v>47</v>
      </c>
      <c r="F1349" t="s">
        <v>2875</v>
      </c>
      <c r="I1349" t="s">
        <v>49</v>
      </c>
      <c r="L1349" t="s">
        <v>4477</v>
      </c>
      <c r="M1349" t="s">
        <v>2875</v>
      </c>
      <c r="N1349">
        <v>92</v>
      </c>
      <c r="O1349" t="s">
        <v>4478</v>
      </c>
    </row>
    <row r="1350" spans="1:15" ht="14.5">
      <c r="A1350" t="s">
        <v>29</v>
      </c>
      <c r="B1350">
        <v>1305874</v>
      </c>
      <c r="C1350">
        <v>1306647</v>
      </c>
      <c r="D1350">
        <v>1</v>
      </c>
      <c r="E1350" t="s">
        <v>47</v>
      </c>
      <c r="F1350" t="s">
        <v>4479</v>
      </c>
      <c r="G1350" t="s">
        <v>4480</v>
      </c>
      <c r="I1350" t="s">
        <v>49</v>
      </c>
      <c r="L1350" t="s">
        <v>4481</v>
      </c>
      <c r="M1350" t="s">
        <v>4479</v>
      </c>
      <c r="N1350">
        <v>257</v>
      </c>
      <c r="O1350" t="s">
        <v>4482</v>
      </c>
    </row>
    <row r="1351" spans="1:15" ht="14.5">
      <c r="A1351" t="s">
        <v>29</v>
      </c>
      <c r="B1351">
        <v>1306648</v>
      </c>
      <c r="C1351">
        <v>1307952</v>
      </c>
      <c r="D1351">
        <v>1</v>
      </c>
      <c r="E1351" t="s">
        <v>47</v>
      </c>
      <c r="F1351" t="s">
        <v>4483</v>
      </c>
      <c r="G1351" t="s">
        <v>4484</v>
      </c>
      <c r="I1351" t="s">
        <v>49</v>
      </c>
      <c r="L1351" t="s">
        <v>4485</v>
      </c>
      <c r="M1351" t="s">
        <v>4483</v>
      </c>
      <c r="N1351">
        <v>434</v>
      </c>
      <c r="O1351" t="s">
        <v>4486</v>
      </c>
    </row>
    <row r="1352" spans="1:15" ht="14.5">
      <c r="A1352" t="s">
        <v>29</v>
      </c>
      <c r="B1352">
        <v>1308526</v>
      </c>
      <c r="C1352">
        <v>1309404</v>
      </c>
      <c r="D1352">
        <v>1</v>
      </c>
      <c r="E1352" t="s">
        <v>47</v>
      </c>
      <c r="F1352" t="s">
        <v>4487</v>
      </c>
      <c r="G1352" t="s">
        <v>4488</v>
      </c>
      <c r="I1352" t="s">
        <v>49</v>
      </c>
      <c r="L1352" t="s">
        <v>4489</v>
      </c>
      <c r="M1352" t="s">
        <v>4487</v>
      </c>
      <c r="N1352">
        <v>292</v>
      </c>
      <c r="O1352" t="s">
        <v>4490</v>
      </c>
    </row>
    <row r="1353" spans="1:15" ht="14.5">
      <c r="A1353" t="s">
        <v>29</v>
      </c>
      <c r="B1353">
        <v>1309404</v>
      </c>
      <c r="C1353">
        <v>1310321</v>
      </c>
      <c r="D1353">
        <v>1</v>
      </c>
      <c r="E1353" t="s">
        <v>47</v>
      </c>
      <c r="F1353" t="s">
        <v>4491</v>
      </c>
      <c r="G1353" t="s">
        <v>4492</v>
      </c>
      <c r="I1353" t="s">
        <v>49</v>
      </c>
      <c r="L1353" t="s">
        <v>4493</v>
      </c>
      <c r="M1353" t="s">
        <v>4491</v>
      </c>
      <c r="N1353">
        <v>305</v>
      </c>
      <c r="O1353" t="s">
        <v>4494</v>
      </c>
    </row>
    <row r="1354" spans="1:15" ht="14.5">
      <c r="A1354" t="s">
        <v>29</v>
      </c>
      <c r="B1354">
        <v>1310311</v>
      </c>
      <c r="C1354">
        <v>1311195</v>
      </c>
      <c r="D1354">
        <v>1</v>
      </c>
      <c r="E1354" t="s">
        <v>47</v>
      </c>
      <c r="F1354" t="s">
        <v>4495</v>
      </c>
      <c r="G1354" t="s">
        <v>4496</v>
      </c>
      <c r="I1354" t="s">
        <v>49</v>
      </c>
      <c r="L1354" t="s">
        <v>4497</v>
      </c>
      <c r="M1354" t="s">
        <v>4495</v>
      </c>
      <c r="N1354">
        <v>294</v>
      </c>
      <c r="O1354" t="s">
        <v>4498</v>
      </c>
    </row>
    <row r="1355" spans="1:15" ht="14.5">
      <c r="A1355" t="s">
        <v>29</v>
      </c>
      <c r="B1355">
        <v>1311206</v>
      </c>
      <c r="C1355">
        <v>1312009</v>
      </c>
      <c r="D1355">
        <v>1</v>
      </c>
      <c r="E1355" t="s">
        <v>47</v>
      </c>
      <c r="F1355" t="s">
        <v>4499</v>
      </c>
      <c r="G1355" t="s">
        <v>4500</v>
      </c>
      <c r="I1355" t="s">
        <v>49</v>
      </c>
      <c r="L1355" t="s">
        <v>4501</v>
      </c>
      <c r="M1355" t="s">
        <v>4499</v>
      </c>
      <c r="N1355">
        <v>267</v>
      </c>
      <c r="O1355" t="s">
        <v>4502</v>
      </c>
    </row>
    <row r="1356" spans="1:15" ht="14.5">
      <c r="A1356" t="s">
        <v>29</v>
      </c>
      <c r="B1356">
        <v>1312022</v>
      </c>
      <c r="C1356">
        <v>1312780</v>
      </c>
      <c r="D1356">
        <v>1</v>
      </c>
      <c r="E1356" t="s">
        <v>47</v>
      </c>
      <c r="F1356" t="s">
        <v>4503</v>
      </c>
      <c r="G1356" t="s">
        <v>4504</v>
      </c>
      <c r="I1356" t="s">
        <v>49</v>
      </c>
      <c r="L1356" t="s">
        <v>4505</v>
      </c>
      <c r="M1356" t="s">
        <v>4503</v>
      </c>
      <c r="N1356">
        <v>252</v>
      </c>
      <c r="O1356" t="s">
        <v>4506</v>
      </c>
    </row>
    <row r="1357" spans="1:15" ht="14.5">
      <c r="A1357" t="s">
        <v>29</v>
      </c>
      <c r="B1357">
        <v>1312792</v>
      </c>
      <c r="C1357">
        <v>1313445</v>
      </c>
      <c r="D1357">
        <v>1</v>
      </c>
      <c r="E1357" t="s">
        <v>47</v>
      </c>
      <c r="F1357" t="s">
        <v>2277</v>
      </c>
      <c r="G1357" t="s">
        <v>4507</v>
      </c>
      <c r="I1357" t="s">
        <v>49</v>
      </c>
      <c r="L1357" t="s">
        <v>4508</v>
      </c>
      <c r="M1357" t="s">
        <v>2277</v>
      </c>
      <c r="N1357">
        <v>217</v>
      </c>
      <c r="O1357" t="s">
        <v>4509</v>
      </c>
    </row>
    <row r="1358" spans="1:15" ht="14.5">
      <c r="A1358" t="s">
        <v>29</v>
      </c>
      <c r="B1358">
        <v>1313602</v>
      </c>
      <c r="C1358">
        <v>1314417</v>
      </c>
      <c r="D1358">
        <v>1</v>
      </c>
      <c r="E1358" t="s">
        <v>47</v>
      </c>
      <c r="F1358" t="s">
        <v>1162</v>
      </c>
      <c r="G1358" t="s">
        <v>4510</v>
      </c>
      <c r="I1358" t="s">
        <v>49</v>
      </c>
      <c r="L1358" t="s">
        <v>4511</v>
      </c>
      <c r="M1358" t="s">
        <v>1162</v>
      </c>
      <c r="N1358">
        <v>271</v>
      </c>
      <c r="O1358" t="s">
        <v>4512</v>
      </c>
    </row>
    <row r="1359" spans="1:15" ht="14.5">
      <c r="A1359" t="s">
        <v>29</v>
      </c>
      <c r="B1359">
        <v>1314437</v>
      </c>
      <c r="C1359">
        <v>1315708</v>
      </c>
      <c r="D1359">
        <v>1</v>
      </c>
      <c r="E1359" t="s">
        <v>76</v>
      </c>
      <c r="F1359" t="s">
        <v>607</v>
      </c>
      <c r="G1359" t="s">
        <v>4513</v>
      </c>
      <c r="I1359" t="s">
        <v>49</v>
      </c>
      <c r="L1359" t="s">
        <v>4514</v>
      </c>
      <c r="M1359" t="s">
        <v>607</v>
      </c>
      <c r="N1359">
        <v>423</v>
      </c>
      <c r="O1359" t="s">
        <v>4515</v>
      </c>
    </row>
    <row r="1360" spans="1:15" ht="14.5">
      <c r="A1360" t="s">
        <v>29</v>
      </c>
      <c r="B1360">
        <v>1315910</v>
      </c>
      <c r="C1360">
        <v>1316581</v>
      </c>
      <c r="D1360">
        <v>1</v>
      </c>
      <c r="E1360" t="s">
        <v>47</v>
      </c>
      <c r="F1360" t="s">
        <v>4516</v>
      </c>
      <c r="G1360" t="s">
        <v>4517</v>
      </c>
      <c r="I1360" t="s">
        <v>49</v>
      </c>
      <c r="L1360" t="s">
        <v>4518</v>
      </c>
      <c r="M1360" t="s">
        <v>4516</v>
      </c>
      <c r="N1360">
        <v>223</v>
      </c>
      <c r="O1360" t="s">
        <v>4519</v>
      </c>
    </row>
    <row r="1361" spans="1:15" ht="14.5">
      <c r="A1361" t="s">
        <v>29</v>
      </c>
      <c r="B1361">
        <v>1316591</v>
      </c>
      <c r="C1361">
        <v>1317343</v>
      </c>
      <c r="D1361">
        <v>1</v>
      </c>
      <c r="E1361" t="s">
        <v>47</v>
      </c>
      <c r="F1361" t="s">
        <v>4520</v>
      </c>
      <c r="I1361" t="s">
        <v>49</v>
      </c>
      <c r="L1361" t="s">
        <v>4521</v>
      </c>
      <c r="M1361" t="s">
        <v>4520</v>
      </c>
      <c r="N1361">
        <v>250</v>
      </c>
      <c r="O1361" t="s">
        <v>4522</v>
      </c>
    </row>
    <row r="1362" spans="1:15" ht="14.5">
      <c r="A1362" t="s">
        <v>29</v>
      </c>
      <c r="B1362">
        <v>1317455</v>
      </c>
      <c r="C1362">
        <v>1318360</v>
      </c>
      <c r="D1362">
        <v>1</v>
      </c>
      <c r="E1362" t="s">
        <v>47</v>
      </c>
      <c r="F1362" t="s">
        <v>4523</v>
      </c>
      <c r="G1362" t="s">
        <v>4524</v>
      </c>
      <c r="I1362" t="s">
        <v>49</v>
      </c>
      <c r="L1362" t="s">
        <v>4525</v>
      </c>
      <c r="M1362" t="s">
        <v>4523</v>
      </c>
      <c r="N1362">
        <v>301</v>
      </c>
      <c r="O1362" t="s">
        <v>4526</v>
      </c>
    </row>
    <row r="1363" spans="1:15" ht="14.5">
      <c r="A1363" t="s">
        <v>29</v>
      </c>
      <c r="B1363">
        <v>1318520</v>
      </c>
      <c r="C1363">
        <v>1319677</v>
      </c>
      <c r="D1363">
        <v>1</v>
      </c>
      <c r="E1363" t="s">
        <v>47</v>
      </c>
      <c r="F1363" t="s">
        <v>4527</v>
      </c>
      <c r="G1363" t="s">
        <v>4528</v>
      </c>
      <c r="I1363" t="s">
        <v>49</v>
      </c>
      <c r="L1363" t="s">
        <v>4529</v>
      </c>
      <c r="M1363" t="s">
        <v>4527</v>
      </c>
      <c r="N1363">
        <v>385</v>
      </c>
      <c r="O1363" t="s">
        <v>4530</v>
      </c>
    </row>
    <row r="1364" spans="1:15" ht="14.5">
      <c r="A1364" t="s">
        <v>29</v>
      </c>
      <c r="B1364">
        <v>1319658</v>
      </c>
      <c r="C1364">
        <v>1320464</v>
      </c>
      <c r="D1364">
        <v>1</v>
      </c>
      <c r="E1364" t="s">
        <v>47</v>
      </c>
      <c r="F1364" t="s">
        <v>4531</v>
      </c>
      <c r="G1364" t="s">
        <v>4532</v>
      </c>
      <c r="I1364" t="s">
        <v>49</v>
      </c>
      <c r="L1364" t="s">
        <v>4533</v>
      </c>
      <c r="M1364" t="s">
        <v>4531</v>
      </c>
      <c r="N1364">
        <v>268</v>
      </c>
      <c r="O1364" t="s">
        <v>4534</v>
      </c>
    </row>
    <row r="1365" spans="1:15" ht="14.5">
      <c r="A1365" t="s">
        <v>29</v>
      </c>
      <c r="B1365">
        <v>1320461</v>
      </c>
      <c r="C1365">
        <v>1321234</v>
      </c>
      <c r="D1365">
        <v>1</v>
      </c>
      <c r="E1365" t="s">
        <v>47</v>
      </c>
      <c r="F1365" t="s">
        <v>4531</v>
      </c>
      <c r="G1365" t="s">
        <v>4535</v>
      </c>
      <c r="I1365" t="s">
        <v>49</v>
      </c>
      <c r="L1365" t="s">
        <v>4536</v>
      </c>
      <c r="M1365" t="s">
        <v>4531</v>
      </c>
      <c r="N1365">
        <v>257</v>
      </c>
      <c r="O1365" t="s">
        <v>4537</v>
      </c>
    </row>
    <row r="1366" spans="1:15" ht="14.5">
      <c r="A1366" t="s">
        <v>29</v>
      </c>
      <c r="B1366">
        <v>1321231</v>
      </c>
      <c r="C1366">
        <v>1322301</v>
      </c>
      <c r="D1366">
        <v>1</v>
      </c>
      <c r="E1366" t="s">
        <v>47</v>
      </c>
      <c r="F1366" t="s">
        <v>4538</v>
      </c>
      <c r="G1366" t="s">
        <v>4539</v>
      </c>
      <c r="I1366" t="s">
        <v>49</v>
      </c>
      <c r="L1366" t="s">
        <v>4540</v>
      </c>
      <c r="M1366" t="s">
        <v>4538</v>
      </c>
      <c r="N1366">
        <v>356</v>
      </c>
      <c r="O1366" t="s">
        <v>4541</v>
      </c>
    </row>
    <row r="1367" spans="1:15" ht="14.5">
      <c r="A1367" t="s">
        <v>29</v>
      </c>
      <c r="B1367">
        <v>1323068</v>
      </c>
      <c r="C1367">
        <v>1323553</v>
      </c>
      <c r="D1367">
        <v>1</v>
      </c>
      <c r="E1367" t="s">
        <v>47</v>
      </c>
      <c r="F1367" t="s">
        <v>4542</v>
      </c>
      <c r="I1367" t="s">
        <v>49</v>
      </c>
      <c r="L1367" t="s">
        <v>4543</v>
      </c>
      <c r="M1367" t="s">
        <v>4542</v>
      </c>
      <c r="N1367">
        <v>161</v>
      </c>
      <c r="O1367" t="s">
        <v>4544</v>
      </c>
    </row>
    <row r="1368" spans="1:15" ht="14.5">
      <c r="A1368" t="s">
        <v>29</v>
      </c>
      <c r="B1368">
        <v>1323575</v>
      </c>
      <c r="C1368">
        <v>1326193</v>
      </c>
      <c r="D1368">
        <v>1</v>
      </c>
      <c r="E1368" t="s">
        <v>47</v>
      </c>
      <c r="F1368" t="s">
        <v>4545</v>
      </c>
      <c r="G1368" t="s">
        <v>4546</v>
      </c>
      <c r="I1368" t="s">
        <v>49</v>
      </c>
      <c r="L1368" t="s">
        <v>4547</v>
      </c>
      <c r="M1368" t="s">
        <v>4545</v>
      </c>
      <c r="N1368">
        <v>872</v>
      </c>
      <c r="O1368" t="s">
        <v>4548</v>
      </c>
    </row>
    <row r="1369" spans="1:15" ht="14.5">
      <c r="A1369" t="s">
        <v>29</v>
      </c>
      <c r="B1369">
        <v>1326282</v>
      </c>
      <c r="C1369">
        <v>1327736</v>
      </c>
      <c r="D1369">
        <v>1</v>
      </c>
      <c r="E1369" t="s">
        <v>76</v>
      </c>
      <c r="F1369" t="s">
        <v>4549</v>
      </c>
      <c r="G1369" t="s">
        <v>4550</v>
      </c>
      <c r="I1369" t="s">
        <v>49</v>
      </c>
      <c r="L1369" t="s">
        <v>4551</v>
      </c>
      <c r="M1369" t="s">
        <v>4549</v>
      </c>
      <c r="N1369">
        <v>484</v>
      </c>
      <c r="O1369" t="s">
        <v>4552</v>
      </c>
    </row>
    <row r="1370" spans="1:15" ht="14.5">
      <c r="A1370" t="s">
        <v>29</v>
      </c>
      <c r="B1370">
        <v>1327915</v>
      </c>
      <c r="C1370">
        <v>1328664</v>
      </c>
      <c r="D1370">
        <v>1</v>
      </c>
      <c r="E1370" t="s">
        <v>47</v>
      </c>
      <c r="F1370" t="s">
        <v>218</v>
      </c>
      <c r="G1370" t="s">
        <v>4553</v>
      </c>
      <c r="I1370" t="s">
        <v>49</v>
      </c>
      <c r="L1370" t="s">
        <v>4554</v>
      </c>
      <c r="M1370" t="s">
        <v>218</v>
      </c>
      <c r="N1370">
        <v>249</v>
      </c>
      <c r="O1370" t="s">
        <v>4555</v>
      </c>
    </row>
    <row r="1371" spans="1:15" ht="14.5">
      <c r="A1371" t="s">
        <v>29</v>
      </c>
      <c r="B1371">
        <v>1328645</v>
      </c>
      <c r="C1371">
        <v>1330279</v>
      </c>
      <c r="D1371">
        <v>1</v>
      </c>
      <c r="E1371" t="s">
        <v>47</v>
      </c>
      <c r="F1371" t="s">
        <v>3266</v>
      </c>
      <c r="I1371" t="s">
        <v>49</v>
      </c>
      <c r="L1371" t="s">
        <v>4556</v>
      </c>
      <c r="M1371" t="s">
        <v>3266</v>
      </c>
      <c r="N1371">
        <v>544</v>
      </c>
      <c r="O1371" t="s">
        <v>4557</v>
      </c>
    </row>
    <row r="1372" spans="1:15" ht="14.5">
      <c r="A1372" t="s">
        <v>29</v>
      </c>
      <c r="B1372">
        <v>1330966</v>
      </c>
      <c r="C1372">
        <v>1332129</v>
      </c>
      <c r="D1372">
        <v>1</v>
      </c>
      <c r="E1372" t="s">
        <v>47</v>
      </c>
      <c r="F1372" t="s">
        <v>4558</v>
      </c>
      <c r="G1372" t="s">
        <v>4559</v>
      </c>
      <c r="I1372" t="s">
        <v>49</v>
      </c>
      <c r="L1372" t="s">
        <v>4560</v>
      </c>
      <c r="M1372" t="s">
        <v>4558</v>
      </c>
      <c r="N1372">
        <v>387</v>
      </c>
      <c r="O1372" t="s">
        <v>4561</v>
      </c>
    </row>
    <row r="1373" spans="1:15" ht="14.5">
      <c r="A1373" t="s">
        <v>29</v>
      </c>
      <c r="B1373">
        <v>1332126</v>
      </c>
      <c r="C1373">
        <v>1332803</v>
      </c>
      <c r="D1373">
        <v>1</v>
      </c>
      <c r="E1373" t="s">
        <v>47</v>
      </c>
      <c r="F1373" t="s">
        <v>4562</v>
      </c>
      <c r="G1373" t="s">
        <v>4563</v>
      </c>
      <c r="I1373" t="s">
        <v>49</v>
      </c>
      <c r="L1373" t="s">
        <v>4564</v>
      </c>
      <c r="M1373" t="s">
        <v>4562</v>
      </c>
      <c r="N1373">
        <v>225</v>
      </c>
      <c r="O1373" t="s">
        <v>4565</v>
      </c>
    </row>
    <row r="1374" spans="1:15" ht="14.5">
      <c r="A1374" t="s">
        <v>29</v>
      </c>
      <c r="B1374">
        <v>1332793</v>
      </c>
      <c r="C1374">
        <v>1333647</v>
      </c>
      <c r="D1374">
        <v>1</v>
      </c>
      <c r="E1374" t="s">
        <v>47</v>
      </c>
      <c r="F1374" t="s">
        <v>4566</v>
      </c>
      <c r="G1374" t="s">
        <v>4567</v>
      </c>
      <c r="I1374" t="s">
        <v>49</v>
      </c>
      <c r="L1374" t="s">
        <v>4568</v>
      </c>
      <c r="M1374" t="s">
        <v>4566</v>
      </c>
      <c r="N1374">
        <v>284</v>
      </c>
      <c r="O1374" t="s">
        <v>4569</v>
      </c>
    </row>
    <row r="1375" spans="1:15" ht="14.5">
      <c r="A1375" t="s">
        <v>29</v>
      </c>
      <c r="B1375">
        <v>1333666</v>
      </c>
      <c r="C1375">
        <v>1334733</v>
      </c>
      <c r="D1375">
        <v>1</v>
      </c>
      <c r="E1375" t="s">
        <v>47</v>
      </c>
      <c r="F1375" t="s">
        <v>853</v>
      </c>
      <c r="G1375" t="s">
        <v>4570</v>
      </c>
      <c r="I1375" t="s">
        <v>49</v>
      </c>
      <c r="L1375" t="s">
        <v>4571</v>
      </c>
      <c r="M1375" t="s">
        <v>853</v>
      </c>
      <c r="N1375">
        <v>355</v>
      </c>
      <c r="O1375" t="s">
        <v>4572</v>
      </c>
    </row>
    <row r="1376" spans="1:15" ht="14.5">
      <c r="A1376" t="s">
        <v>29</v>
      </c>
      <c r="B1376">
        <v>1334743</v>
      </c>
      <c r="C1376">
        <v>1335909</v>
      </c>
      <c r="D1376">
        <v>1</v>
      </c>
      <c r="E1376" t="s">
        <v>47</v>
      </c>
      <c r="F1376" t="s">
        <v>4573</v>
      </c>
      <c r="G1376" t="s">
        <v>4574</v>
      </c>
      <c r="I1376" t="s">
        <v>49</v>
      </c>
      <c r="L1376" t="s">
        <v>4575</v>
      </c>
      <c r="M1376" t="s">
        <v>4573</v>
      </c>
      <c r="N1376">
        <v>388</v>
      </c>
      <c r="O1376" t="s">
        <v>4576</v>
      </c>
    </row>
    <row r="1377" spans="1:15" ht="14.5">
      <c r="A1377" t="s">
        <v>29</v>
      </c>
      <c r="B1377">
        <v>1335919</v>
      </c>
      <c r="C1377">
        <v>1337022</v>
      </c>
      <c r="D1377">
        <v>1</v>
      </c>
      <c r="E1377" t="s">
        <v>47</v>
      </c>
      <c r="F1377" t="s">
        <v>4577</v>
      </c>
      <c r="G1377" t="s">
        <v>4578</v>
      </c>
      <c r="I1377" t="s">
        <v>49</v>
      </c>
      <c r="L1377" t="s">
        <v>4579</v>
      </c>
      <c r="M1377" t="s">
        <v>4577</v>
      </c>
      <c r="N1377">
        <v>367</v>
      </c>
      <c r="O1377" t="s">
        <v>4580</v>
      </c>
    </row>
    <row r="1378" spans="1:15" ht="14.5">
      <c r="A1378" t="s">
        <v>29</v>
      </c>
      <c r="B1378">
        <v>1337033</v>
      </c>
      <c r="C1378">
        <v>1337371</v>
      </c>
      <c r="D1378">
        <v>1</v>
      </c>
      <c r="E1378" t="s">
        <v>47</v>
      </c>
      <c r="F1378" t="s">
        <v>4581</v>
      </c>
      <c r="I1378" t="s">
        <v>49</v>
      </c>
      <c r="L1378" t="s">
        <v>4582</v>
      </c>
      <c r="M1378" t="s">
        <v>4581</v>
      </c>
      <c r="N1378">
        <v>112</v>
      </c>
      <c r="O1378" t="s">
        <v>4583</v>
      </c>
    </row>
    <row r="1379" spans="1:15" ht="14.5">
      <c r="A1379" t="s">
        <v>29</v>
      </c>
      <c r="B1379">
        <v>1337463</v>
      </c>
      <c r="C1379">
        <v>1338746</v>
      </c>
      <c r="D1379">
        <v>1</v>
      </c>
      <c r="E1379" t="s">
        <v>47</v>
      </c>
      <c r="F1379" t="s">
        <v>4584</v>
      </c>
      <c r="G1379" t="s">
        <v>4585</v>
      </c>
      <c r="I1379" t="s">
        <v>49</v>
      </c>
      <c r="L1379" t="s">
        <v>4586</v>
      </c>
      <c r="M1379" t="s">
        <v>4584</v>
      </c>
      <c r="N1379">
        <v>427</v>
      </c>
      <c r="O1379" t="s">
        <v>4587</v>
      </c>
    </row>
    <row r="1380" spans="1:15" ht="14.5">
      <c r="A1380" t="s">
        <v>29</v>
      </c>
      <c r="B1380">
        <v>1338739</v>
      </c>
      <c r="C1380">
        <v>1339215</v>
      </c>
      <c r="D1380">
        <v>1</v>
      </c>
      <c r="E1380" t="s">
        <v>47</v>
      </c>
      <c r="F1380" t="s">
        <v>4588</v>
      </c>
      <c r="G1380" t="s">
        <v>4589</v>
      </c>
      <c r="I1380" t="s">
        <v>49</v>
      </c>
      <c r="L1380" t="s">
        <v>4590</v>
      </c>
      <c r="M1380" t="s">
        <v>4588</v>
      </c>
      <c r="N1380">
        <v>158</v>
      </c>
      <c r="O1380" t="s">
        <v>4591</v>
      </c>
    </row>
    <row r="1381" spans="1:15" ht="14.5">
      <c r="A1381" t="s">
        <v>29</v>
      </c>
      <c r="B1381">
        <v>1339212</v>
      </c>
      <c r="C1381">
        <v>1340060</v>
      </c>
      <c r="D1381">
        <v>1</v>
      </c>
      <c r="E1381" t="s">
        <v>47</v>
      </c>
      <c r="F1381" t="s">
        <v>4592</v>
      </c>
      <c r="G1381" t="s">
        <v>4593</v>
      </c>
      <c r="I1381" t="s">
        <v>49</v>
      </c>
      <c r="L1381" t="s">
        <v>4594</v>
      </c>
      <c r="M1381" t="s">
        <v>4592</v>
      </c>
      <c r="N1381">
        <v>282</v>
      </c>
      <c r="O1381" t="s">
        <v>4595</v>
      </c>
    </row>
    <row r="1382" spans="1:15" ht="14.5">
      <c r="A1382" t="s">
        <v>29</v>
      </c>
      <c r="B1382">
        <v>1340057</v>
      </c>
      <c r="C1382">
        <v>1341331</v>
      </c>
      <c r="D1382">
        <v>1</v>
      </c>
      <c r="E1382" t="s">
        <v>47</v>
      </c>
      <c r="F1382" t="s">
        <v>4596</v>
      </c>
      <c r="G1382" t="s">
        <v>4597</v>
      </c>
      <c r="I1382" t="s">
        <v>49</v>
      </c>
      <c r="L1382" t="s">
        <v>4598</v>
      </c>
      <c r="M1382" t="s">
        <v>4596</v>
      </c>
      <c r="N1382">
        <v>424</v>
      </c>
      <c r="O1382" t="s">
        <v>4599</v>
      </c>
    </row>
    <row r="1383" spans="1:15" ht="14.5">
      <c r="A1383" t="s">
        <v>29</v>
      </c>
      <c r="B1383">
        <v>1341619</v>
      </c>
      <c r="C1383">
        <v>1342455</v>
      </c>
      <c r="D1383">
        <v>1</v>
      </c>
      <c r="E1383" t="s">
        <v>47</v>
      </c>
      <c r="F1383" t="s">
        <v>4600</v>
      </c>
      <c r="G1383" t="s">
        <v>4601</v>
      </c>
      <c r="I1383" t="s">
        <v>49</v>
      </c>
      <c r="L1383" t="s">
        <v>4602</v>
      </c>
      <c r="M1383" t="s">
        <v>4600</v>
      </c>
      <c r="N1383">
        <v>278</v>
      </c>
      <c r="O1383" t="s">
        <v>4603</v>
      </c>
    </row>
    <row r="1384" spans="1:15" ht="14.5">
      <c r="A1384" t="s">
        <v>29</v>
      </c>
      <c r="B1384">
        <v>1342445</v>
      </c>
      <c r="C1384">
        <v>1343548</v>
      </c>
      <c r="D1384">
        <v>1</v>
      </c>
      <c r="E1384" t="s">
        <v>47</v>
      </c>
      <c r="F1384" t="s">
        <v>255</v>
      </c>
      <c r="G1384" t="s">
        <v>4604</v>
      </c>
      <c r="I1384" t="s">
        <v>49</v>
      </c>
      <c r="L1384" t="s">
        <v>4605</v>
      </c>
      <c r="M1384" t="s">
        <v>255</v>
      </c>
      <c r="N1384">
        <v>367</v>
      </c>
      <c r="O1384" t="s">
        <v>4606</v>
      </c>
    </row>
    <row r="1385" spans="1:15" ht="14.5">
      <c r="A1385" t="s">
        <v>29</v>
      </c>
      <c r="B1385">
        <v>1343550</v>
      </c>
      <c r="C1385">
        <v>1344536</v>
      </c>
      <c r="D1385">
        <v>1</v>
      </c>
      <c r="E1385" t="s">
        <v>47</v>
      </c>
      <c r="F1385" t="s">
        <v>255</v>
      </c>
      <c r="G1385" t="s">
        <v>4607</v>
      </c>
      <c r="I1385" t="s">
        <v>49</v>
      </c>
      <c r="L1385" t="s">
        <v>4608</v>
      </c>
      <c r="M1385" t="s">
        <v>255</v>
      </c>
      <c r="N1385">
        <v>328</v>
      </c>
      <c r="O1385" t="s">
        <v>4609</v>
      </c>
    </row>
    <row r="1386" spans="1:15" ht="14.5">
      <c r="A1386" t="s">
        <v>29</v>
      </c>
      <c r="B1386">
        <v>1344552</v>
      </c>
      <c r="C1386">
        <v>1345985</v>
      </c>
      <c r="D1386">
        <v>1</v>
      </c>
      <c r="E1386" t="s">
        <v>47</v>
      </c>
      <c r="F1386" t="s">
        <v>176</v>
      </c>
      <c r="I1386" t="s">
        <v>49</v>
      </c>
      <c r="L1386" t="s">
        <v>4610</v>
      </c>
      <c r="M1386" t="s">
        <v>176</v>
      </c>
      <c r="N1386">
        <v>477</v>
      </c>
      <c r="O1386" t="s">
        <v>4611</v>
      </c>
    </row>
    <row r="1387" spans="1:15" ht="14.5">
      <c r="A1387" t="s">
        <v>29</v>
      </c>
      <c r="B1387">
        <v>1346014</v>
      </c>
      <c r="C1387">
        <v>1347048</v>
      </c>
      <c r="D1387">
        <v>1</v>
      </c>
      <c r="E1387" t="s">
        <v>47</v>
      </c>
      <c r="F1387" t="s">
        <v>176</v>
      </c>
      <c r="I1387" t="s">
        <v>49</v>
      </c>
      <c r="L1387" t="s">
        <v>4612</v>
      </c>
      <c r="M1387" t="s">
        <v>176</v>
      </c>
      <c r="N1387">
        <v>344</v>
      </c>
      <c r="O1387" t="s">
        <v>4613</v>
      </c>
    </row>
    <row r="1388" spans="1:15" ht="14.5">
      <c r="A1388" t="s">
        <v>29</v>
      </c>
      <c r="B1388">
        <v>1347248</v>
      </c>
      <c r="C1388">
        <v>1347985</v>
      </c>
      <c r="D1388">
        <v>1</v>
      </c>
      <c r="E1388" t="s">
        <v>47</v>
      </c>
      <c r="F1388" t="s">
        <v>4614</v>
      </c>
      <c r="G1388" t="s">
        <v>4615</v>
      </c>
      <c r="I1388" t="s">
        <v>49</v>
      </c>
      <c r="L1388" t="s">
        <v>4616</v>
      </c>
      <c r="M1388" t="s">
        <v>4614</v>
      </c>
      <c r="N1388">
        <v>245</v>
      </c>
      <c r="O1388" t="s">
        <v>4617</v>
      </c>
    </row>
    <row r="1389" spans="1:15" ht="14.5">
      <c r="A1389" t="s">
        <v>29</v>
      </c>
      <c r="B1389">
        <v>1348136</v>
      </c>
      <c r="C1389">
        <v>1349422</v>
      </c>
      <c r="D1389">
        <v>1</v>
      </c>
      <c r="E1389" t="s">
        <v>47</v>
      </c>
      <c r="F1389" t="s">
        <v>4618</v>
      </c>
      <c r="G1389" t="s">
        <v>4619</v>
      </c>
      <c r="I1389" t="s">
        <v>49</v>
      </c>
      <c r="L1389" t="s">
        <v>4620</v>
      </c>
      <c r="M1389" t="s">
        <v>4618</v>
      </c>
      <c r="N1389">
        <v>428</v>
      </c>
      <c r="O1389" t="s">
        <v>4621</v>
      </c>
    </row>
    <row r="1390" spans="1:15" ht="14.5">
      <c r="A1390" t="s">
        <v>29</v>
      </c>
      <c r="B1390">
        <v>1349424</v>
      </c>
      <c r="C1390">
        <v>1350293</v>
      </c>
      <c r="D1390">
        <v>1</v>
      </c>
      <c r="E1390" t="s">
        <v>47</v>
      </c>
      <c r="F1390" t="s">
        <v>148</v>
      </c>
      <c r="G1390" t="s">
        <v>4622</v>
      </c>
      <c r="I1390" t="s">
        <v>49</v>
      </c>
      <c r="L1390" t="s">
        <v>4623</v>
      </c>
      <c r="M1390" t="s">
        <v>148</v>
      </c>
      <c r="N1390">
        <v>289</v>
      </c>
      <c r="O1390" t="s">
        <v>4624</v>
      </c>
    </row>
    <row r="1391" spans="1:15" ht="14.5">
      <c r="A1391" t="s">
        <v>29</v>
      </c>
      <c r="B1391">
        <v>1350309</v>
      </c>
      <c r="C1391">
        <v>1350740</v>
      </c>
      <c r="D1391">
        <v>1</v>
      </c>
      <c r="E1391" t="s">
        <v>47</v>
      </c>
      <c r="F1391" t="s">
        <v>1369</v>
      </c>
      <c r="I1391" t="s">
        <v>49</v>
      </c>
      <c r="L1391" t="s">
        <v>4625</v>
      </c>
      <c r="M1391" t="s">
        <v>1369</v>
      </c>
      <c r="N1391">
        <v>143</v>
      </c>
      <c r="O1391" t="s">
        <v>4626</v>
      </c>
    </row>
    <row r="1392" spans="1:15" ht="14.5">
      <c r="A1392" t="s">
        <v>29</v>
      </c>
      <c r="B1392">
        <v>1350769</v>
      </c>
      <c r="C1392">
        <v>1351707</v>
      </c>
      <c r="D1392">
        <v>1</v>
      </c>
      <c r="E1392" t="s">
        <v>47</v>
      </c>
      <c r="F1392" t="s">
        <v>4627</v>
      </c>
      <c r="G1392" t="s">
        <v>4628</v>
      </c>
      <c r="I1392" t="s">
        <v>49</v>
      </c>
      <c r="L1392" t="s">
        <v>4629</v>
      </c>
      <c r="M1392" t="s">
        <v>4627</v>
      </c>
      <c r="N1392">
        <v>312</v>
      </c>
      <c r="O1392" t="s">
        <v>4630</v>
      </c>
    </row>
    <row r="1393" spans="1:15" ht="14.5">
      <c r="A1393" t="s">
        <v>29</v>
      </c>
      <c r="B1393">
        <v>1351765</v>
      </c>
      <c r="C1393">
        <v>1353489</v>
      </c>
      <c r="D1393">
        <v>1</v>
      </c>
      <c r="E1393" t="s">
        <v>47</v>
      </c>
      <c r="F1393" t="s">
        <v>2320</v>
      </c>
      <c r="G1393" t="s">
        <v>4631</v>
      </c>
      <c r="I1393" t="s">
        <v>49</v>
      </c>
      <c r="L1393" t="s">
        <v>4632</v>
      </c>
      <c r="M1393" t="s">
        <v>2320</v>
      </c>
      <c r="N1393">
        <v>574</v>
      </c>
      <c r="O1393" t="s">
        <v>4633</v>
      </c>
    </row>
    <row r="1394" spans="1:15" ht="14.5">
      <c r="A1394" t="s">
        <v>29</v>
      </c>
      <c r="B1394">
        <v>1353491</v>
      </c>
      <c r="C1394">
        <v>1355239</v>
      </c>
      <c r="D1394">
        <v>1</v>
      </c>
      <c r="E1394" t="s">
        <v>47</v>
      </c>
      <c r="F1394" t="s">
        <v>2320</v>
      </c>
      <c r="G1394" t="s">
        <v>4634</v>
      </c>
      <c r="I1394" t="s">
        <v>49</v>
      </c>
      <c r="L1394" t="s">
        <v>4635</v>
      </c>
      <c r="M1394" t="s">
        <v>2320</v>
      </c>
      <c r="N1394">
        <v>582</v>
      </c>
      <c r="O1394" t="s">
        <v>4636</v>
      </c>
    </row>
    <row r="1395" spans="1:15" ht="14.5">
      <c r="A1395" t="s">
        <v>29</v>
      </c>
      <c r="B1395">
        <v>1355334</v>
      </c>
      <c r="C1395">
        <v>1356755</v>
      </c>
      <c r="D1395">
        <v>1</v>
      </c>
      <c r="E1395" t="s">
        <v>47</v>
      </c>
      <c r="F1395" t="s">
        <v>1369</v>
      </c>
      <c r="G1395" t="s">
        <v>4637</v>
      </c>
      <c r="I1395" t="s">
        <v>49</v>
      </c>
      <c r="L1395" t="s">
        <v>4638</v>
      </c>
      <c r="M1395" t="s">
        <v>1369</v>
      </c>
      <c r="N1395">
        <v>473</v>
      </c>
      <c r="O1395" t="s">
        <v>4639</v>
      </c>
    </row>
    <row r="1396" spans="1:15" ht="14.5">
      <c r="A1396" t="s">
        <v>29</v>
      </c>
      <c r="B1396">
        <v>1357005</v>
      </c>
      <c r="C1396">
        <v>1357505</v>
      </c>
      <c r="D1396">
        <v>1</v>
      </c>
      <c r="E1396" t="s">
        <v>47</v>
      </c>
      <c r="F1396" t="s">
        <v>4640</v>
      </c>
      <c r="G1396" t="s">
        <v>4641</v>
      </c>
      <c r="I1396" t="s">
        <v>49</v>
      </c>
      <c r="L1396" t="s">
        <v>4642</v>
      </c>
      <c r="M1396" t="s">
        <v>4640</v>
      </c>
      <c r="N1396">
        <v>166</v>
      </c>
      <c r="O1396" t="s">
        <v>4643</v>
      </c>
    </row>
    <row r="1397" spans="1:15" ht="14.5">
      <c r="A1397" t="s">
        <v>29</v>
      </c>
      <c r="B1397">
        <v>1357581</v>
      </c>
      <c r="C1397">
        <v>1357949</v>
      </c>
      <c r="D1397">
        <v>1</v>
      </c>
      <c r="E1397" t="s">
        <v>47</v>
      </c>
      <c r="F1397" t="s">
        <v>4644</v>
      </c>
      <c r="G1397" t="s">
        <v>4645</v>
      </c>
      <c r="I1397" t="s">
        <v>49</v>
      </c>
      <c r="L1397" t="s">
        <v>4646</v>
      </c>
      <c r="M1397" t="s">
        <v>4644</v>
      </c>
      <c r="N1397">
        <v>122</v>
      </c>
      <c r="O1397" t="s">
        <v>4647</v>
      </c>
    </row>
    <row r="1398" spans="1:15" ht="14.5">
      <c r="A1398" t="s">
        <v>29</v>
      </c>
      <c r="B1398">
        <v>1358136</v>
      </c>
      <c r="C1398">
        <v>1358309</v>
      </c>
      <c r="D1398">
        <v>1</v>
      </c>
      <c r="E1398" t="s">
        <v>47</v>
      </c>
      <c r="F1398" t="s">
        <v>4648</v>
      </c>
      <c r="I1398" t="s">
        <v>49</v>
      </c>
      <c r="L1398" t="s">
        <v>4649</v>
      </c>
      <c r="M1398" t="s">
        <v>4648</v>
      </c>
      <c r="N1398">
        <v>57</v>
      </c>
      <c r="O1398" t="s">
        <v>4650</v>
      </c>
    </row>
    <row r="1399" spans="1:15" ht="14.5">
      <c r="A1399" t="s">
        <v>29</v>
      </c>
      <c r="B1399">
        <v>1358306</v>
      </c>
      <c r="C1399">
        <v>1358902</v>
      </c>
      <c r="D1399">
        <v>1</v>
      </c>
      <c r="E1399" t="s">
        <v>47</v>
      </c>
      <c r="F1399" t="s">
        <v>4651</v>
      </c>
      <c r="I1399" t="s">
        <v>49</v>
      </c>
      <c r="L1399" t="s">
        <v>4652</v>
      </c>
      <c r="M1399" t="s">
        <v>4651</v>
      </c>
      <c r="N1399">
        <v>198</v>
      </c>
      <c r="O1399" t="s">
        <v>4653</v>
      </c>
    </row>
    <row r="1400" spans="1:15" ht="14.5">
      <c r="A1400" t="s">
        <v>29</v>
      </c>
      <c r="B1400">
        <v>1359077</v>
      </c>
      <c r="C1400">
        <v>1359178</v>
      </c>
      <c r="D1400">
        <v>1</v>
      </c>
      <c r="E1400" t="s">
        <v>47</v>
      </c>
      <c r="F1400" t="s">
        <v>176</v>
      </c>
      <c r="I1400" t="s">
        <v>49</v>
      </c>
      <c r="L1400" t="s">
        <v>4654</v>
      </c>
      <c r="M1400" t="s">
        <v>176</v>
      </c>
      <c r="N1400">
        <v>33</v>
      </c>
      <c r="O1400" t="s">
        <v>4655</v>
      </c>
    </row>
    <row r="1401" spans="1:15" ht="14.5">
      <c r="A1401" t="s">
        <v>29</v>
      </c>
      <c r="B1401">
        <v>1359175</v>
      </c>
      <c r="C1401">
        <v>1360263</v>
      </c>
      <c r="D1401">
        <v>1</v>
      </c>
      <c r="E1401" t="s">
        <v>47</v>
      </c>
      <c r="F1401" t="s">
        <v>4656</v>
      </c>
      <c r="G1401" t="s">
        <v>4657</v>
      </c>
      <c r="I1401" t="s">
        <v>49</v>
      </c>
      <c r="L1401" t="s">
        <v>4658</v>
      </c>
      <c r="M1401" t="s">
        <v>4656</v>
      </c>
      <c r="N1401">
        <v>362</v>
      </c>
      <c r="O1401" t="s">
        <v>4659</v>
      </c>
    </row>
    <row r="1402" spans="1:15" ht="14.5">
      <c r="A1402" t="s">
        <v>29</v>
      </c>
      <c r="B1402">
        <v>1360302</v>
      </c>
      <c r="C1402">
        <v>1360574</v>
      </c>
      <c r="D1402">
        <v>1</v>
      </c>
      <c r="E1402" t="s">
        <v>47</v>
      </c>
      <c r="F1402" t="s">
        <v>4660</v>
      </c>
      <c r="G1402" t="s">
        <v>4661</v>
      </c>
      <c r="I1402" t="s">
        <v>49</v>
      </c>
      <c r="L1402" t="s">
        <v>4662</v>
      </c>
      <c r="M1402" t="s">
        <v>4660</v>
      </c>
      <c r="N1402">
        <v>90</v>
      </c>
      <c r="O1402" t="s">
        <v>4663</v>
      </c>
    </row>
    <row r="1403" spans="1:15" ht="14.5">
      <c r="A1403" t="s">
        <v>29</v>
      </c>
      <c r="B1403">
        <v>1360558</v>
      </c>
      <c r="C1403">
        <v>1361007</v>
      </c>
      <c r="D1403">
        <v>1</v>
      </c>
      <c r="E1403" t="s">
        <v>47</v>
      </c>
      <c r="F1403" t="s">
        <v>4664</v>
      </c>
      <c r="I1403" t="s">
        <v>49</v>
      </c>
      <c r="L1403" t="s">
        <v>4665</v>
      </c>
      <c r="M1403" t="s">
        <v>4664</v>
      </c>
      <c r="N1403">
        <v>149</v>
      </c>
      <c r="O1403" t="s">
        <v>4666</v>
      </c>
    </row>
    <row r="1404" spans="1:15" ht="14.5">
      <c r="A1404" t="s">
        <v>29</v>
      </c>
      <c r="B1404">
        <v>1361000</v>
      </c>
      <c r="C1404">
        <v>1361380</v>
      </c>
      <c r="D1404">
        <v>1</v>
      </c>
      <c r="E1404" t="s">
        <v>47</v>
      </c>
      <c r="F1404" t="s">
        <v>4667</v>
      </c>
      <c r="G1404" t="s">
        <v>4668</v>
      </c>
      <c r="I1404" t="s">
        <v>49</v>
      </c>
      <c r="L1404" t="s">
        <v>4669</v>
      </c>
      <c r="M1404" t="s">
        <v>4667</v>
      </c>
      <c r="N1404">
        <v>126</v>
      </c>
      <c r="O1404" t="s">
        <v>4670</v>
      </c>
    </row>
    <row r="1405" spans="1:15" ht="14.5">
      <c r="A1405" t="s">
        <v>29</v>
      </c>
      <c r="B1405">
        <v>1361393</v>
      </c>
      <c r="C1405">
        <v>1361626</v>
      </c>
      <c r="D1405">
        <v>1</v>
      </c>
      <c r="E1405" t="s">
        <v>47</v>
      </c>
      <c r="F1405" t="s">
        <v>4664</v>
      </c>
      <c r="I1405" t="s">
        <v>49</v>
      </c>
      <c r="L1405" t="s">
        <v>4671</v>
      </c>
      <c r="M1405" t="s">
        <v>4664</v>
      </c>
      <c r="N1405">
        <v>77</v>
      </c>
      <c r="O1405" t="s">
        <v>4672</v>
      </c>
    </row>
    <row r="1406" spans="1:15" ht="14.5">
      <c r="A1406" t="s">
        <v>29</v>
      </c>
      <c r="B1406">
        <v>1361629</v>
      </c>
      <c r="C1406">
        <v>1362216</v>
      </c>
      <c r="D1406">
        <v>1</v>
      </c>
      <c r="E1406" t="s">
        <v>47</v>
      </c>
      <c r="F1406" t="s">
        <v>4673</v>
      </c>
      <c r="I1406" t="s">
        <v>49</v>
      </c>
      <c r="L1406" t="s">
        <v>4674</v>
      </c>
      <c r="M1406" t="s">
        <v>4673</v>
      </c>
      <c r="N1406">
        <v>195</v>
      </c>
      <c r="O1406" t="s">
        <v>4675</v>
      </c>
    </row>
    <row r="1407" spans="1:15" ht="14.5">
      <c r="A1407" t="s">
        <v>29</v>
      </c>
      <c r="B1407">
        <v>1362346</v>
      </c>
      <c r="C1407">
        <v>1362936</v>
      </c>
      <c r="D1407">
        <v>1</v>
      </c>
      <c r="E1407" t="s">
        <v>47</v>
      </c>
      <c r="F1407" t="s">
        <v>4664</v>
      </c>
      <c r="I1407" t="s">
        <v>49</v>
      </c>
      <c r="L1407" t="s">
        <v>4676</v>
      </c>
      <c r="M1407" t="s">
        <v>4664</v>
      </c>
      <c r="N1407">
        <v>196</v>
      </c>
      <c r="O1407" t="s">
        <v>4677</v>
      </c>
    </row>
    <row r="1408" spans="1:15" ht="14.5">
      <c r="A1408" t="s">
        <v>29</v>
      </c>
      <c r="B1408">
        <v>1362936</v>
      </c>
      <c r="C1408">
        <v>1363772</v>
      </c>
      <c r="D1408">
        <v>1</v>
      </c>
      <c r="E1408" t="s">
        <v>47</v>
      </c>
      <c r="F1408" t="s">
        <v>4678</v>
      </c>
      <c r="I1408" t="s">
        <v>49</v>
      </c>
      <c r="L1408" t="s">
        <v>4679</v>
      </c>
      <c r="M1408" t="s">
        <v>4678</v>
      </c>
      <c r="N1408">
        <v>278</v>
      </c>
      <c r="O1408" t="s">
        <v>4680</v>
      </c>
    </row>
    <row r="1409" spans="1:15" ht="14.5">
      <c r="A1409" t="s">
        <v>29</v>
      </c>
      <c r="B1409">
        <v>1364055</v>
      </c>
      <c r="C1409">
        <v>1364276</v>
      </c>
      <c r="D1409">
        <v>1</v>
      </c>
      <c r="E1409" t="s">
        <v>47</v>
      </c>
      <c r="F1409" t="s">
        <v>4681</v>
      </c>
      <c r="I1409" t="s">
        <v>49</v>
      </c>
      <c r="L1409" t="s">
        <v>4682</v>
      </c>
      <c r="M1409" t="s">
        <v>4681</v>
      </c>
      <c r="N1409">
        <v>73</v>
      </c>
      <c r="O1409" t="s">
        <v>4683</v>
      </c>
    </row>
    <row r="1410" spans="1:15" ht="14.5">
      <c r="A1410" t="s">
        <v>29</v>
      </c>
      <c r="B1410">
        <v>1364859</v>
      </c>
      <c r="C1410">
        <v>1365122</v>
      </c>
      <c r="D1410">
        <v>1</v>
      </c>
      <c r="E1410" t="s">
        <v>47</v>
      </c>
      <c r="F1410" t="s">
        <v>1490</v>
      </c>
      <c r="I1410" t="s">
        <v>49</v>
      </c>
      <c r="L1410" t="s">
        <v>4684</v>
      </c>
      <c r="M1410" t="s">
        <v>1490</v>
      </c>
      <c r="N1410">
        <v>87</v>
      </c>
      <c r="O1410" t="s">
        <v>4685</v>
      </c>
    </row>
    <row r="1411" spans="1:15" ht="14.5">
      <c r="A1411" t="s">
        <v>29</v>
      </c>
      <c r="B1411">
        <v>1365169</v>
      </c>
      <c r="C1411">
        <v>1365867</v>
      </c>
      <c r="D1411">
        <v>1</v>
      </c>
      <c r="E1411" t="s">
        <v>47</v>
      </c>
      <c r="F1411" t="s">
        <v>3662</v>
      </c>
      <c r="G1411" t="s">
        <v>4686</v>
      </c>
      <c r="I1411" t="s">
        <v>49</v>
      </c>
      <c r="L1411" t="s">
        <v>4687</v>
      </c>
      <c r="M1411" t="s">
        <v>3662</v>
      </c>
      <c r="N1411">
        <v>232</v>
      </c>
      <c r="O1411" t="s">
        <v>4688</v>
      </c>
    </row>
    <row r="1412" spans="1:15" ht="14.5">
      <c r="A1412" t="s">
        <v>29</v>
      </c>
      <c r="B1412">
        <v>1365891</v>
      </c>
      <c r="C1412">
        <v>1366814</v>
      </c>
      <c r="D1412">
        <v>1</v>
      </c>
      <c r="E1412" t="s">
        <v>47</v>
      </c>
      <c r="F1412" t="s">
        <v>4689</v>
      </c>
      <c r="G1412" t="s">
        <v>4690</v>
      </c>
      <c r="I1412" t="s">
        <v>49</v>
      </c>
      <c r="L1412" t="s">
        <v>4691</v>
      </c>
      <c r="M1412" t="s">
        <v>4689</v>
      </c>
      <c r="N1412">
        <v>307</v>
      </c>
      <c r="O1412" t="s">
        <v>4692</v>
      </c>
    </row>
    <row r="1413" spans="1:15" ht="14.5">
      <c r="A1413" t="s">
        <v>29</v>
      </c>
      <c r="B1413">
        <v>1366896</v>
      </c>
      <c r="C1413">
        <v>1368524</v>
      </c>
      <c r="D1413">
        <v>1</v>
      </c>
      <c r="E1413" t="s">
        <v>47</v>
      </c>
      <c r="F1413" t="s">
        <v>4693</v>
      </c>
      <c r="G1413" t="s">
        <v>4694</v>
      </c>
      <c r="I1413" t="s">
        <v>49</v>
      </c>
      <c r="L1413" t="s">
        <v>4695</v>
      </c>
      <c r="M1413" t="s">
        <v>4693</v>
      </c>
      <c r="N1413">
        <v>542</v>
      </c>
      <c r="O1413" t="s">
        <v>4696</v>
      </c>
    </row>
    <row r="1414" spans="1:15" ht="14.5">
      <c r="A1414" t="s">
        <v>29</v>
      </c>
      <c r="B1414">
        <v>1368633</v>
      </c>
      <c r="C1414">
        <v>1369583</v>
      </c>
      <c r="D1414">
        <v>1</v>
      </c>
      <c r="E1414" t="s">
        <v>47</v>
      </c>
      <c r="F1414" t="s">
        <v>2942</v>
      </c>
      <c r="G1414" t="s">
        <v>4697</v>
      </c>
      <c r="I1414" t="s">
        <v>49</v>
      </c>
      <c r="L1414" t="s">
        <v>4698</v>
      </c>
      <c r="M1414" t="s">
        <v>2942</v>
      </c>
      <c r="N1414">
        <v>316</v>
      </c>
      <c r="O1414" t="s">
        <v>4699</v>
      </c>
    </row>
    <row r="1415" spans="1:15" ht="14.5">
      <c r="A1415" t="s">
        <v>29</v>
      </c>
      <c r="B1415">
        <v>1369600</v>
      </c>
      <c r="C1415">
        <v>1370451</v>
      </c>
      <c r="D1415">
        <v>1</v>
      </c>
      <c r="E1415" t="s">
        <v>47</v>
      </c>
      <c r="F1415" t="s">
        <v>4700</v>
      </c>
      <c r="G1415" t="s">
        <v>4701</v>
      </c>
      <c r="I1415" t="s">
        <v>49</v>
      </c>
      <c r="L1415" t="s">
        <v>4702</v>
      </c>
      <c r="M1415" t="s">
        <v>4700</v>
      </c>
      <c r="N1415">
        <v>283</v>
      </c>
      <c r="O1415" t="s">
        <v>4703</v>
      </c>
    </row>
    <row r="1416" spans="1:15" ht="14.5">
      <c r="A1416" t="s">
        <v>29</v>
      </c>
      <c r="B1416">
        <v>1370464</v>
      </c>
      <c r="C1416">
        <v>1372446</v>
      </c>
      <c r="D1416">
        <v>1</v>
      </c>
      <c r="E1416" t="s">
        <v>47</v>
      </c>
      <c r="F1416" t="s">
        <v>218</v>
      </c>
      <c r="G1416" t="s">
        <v>4704</v>
      </c>
      <c r="I1416" t="s">
        <v>49</v>
      </c>
      <c r="L1416" t="s">
        <v>4705</v>
      </c>
      <c r="M1416" t="s">
        <v>218</v>
      </c>
      <c r="N1416">
        <v>660</v>
      </c>
      <c r="O1416" t="s">
        <v>4706</v>
      </c>
    </row>
    <row r="1417" spans="1:15" ht="14.5">
      <c r="A1417" t="s">
        <v>29</v>
      </c>
      <c r="B1417">
        <v>1372456</v>
      </c>
      <c r="C1417">
        <v>1373865</v>
      </c>
      <c r="D1417">
        <v>1</v>
      </c>
      <c r="E1417" t="s">
        <v>47</v>
      </c>
      <c r="F1417" t="s">
        <v>176</v>
      </c>
      <c r="I1417" t="s">
        <v>49</v>
      </c>
      <c r="L1417" t="s">
        <v>4707</v>
      </c>
      <c r="M1417" t="s">
        <v>176</v>
      </c>
      <c r="N1417">
        <v>469</v>
      </c>
      <c r="O1417" t="s">
        <v>4708</v>
      </c>
    </row>
    <row r="1418" spans="1:15" ht="14.5">
      <c r="A1418" t="s">
        <v>29</v>
      </c>
      <c r="B1418">
        <v>1373870</v>
      </c>
      <c r="C1418">
        <v>1374358</v>
      </c>
      <c r="D1418">
        <v>1</v>
      </c>
      <c r="E1418" t="s">
        <v>47</v>
      </c>
      <c r="F1418" t="s">
        <v>4709</v>
      </c>
      <c r="G1418" t="s">
        <v>4710</v>
      </c>
      <c r="I1418" t="s">
        <v>49</v>
      </c>
      <c r="L1418" t="s">
        <v>4711</v>
      </c>
      <c r="M1418" t="s">
        <v>4709</v>
      </c>
      <c r="N1418">
        <v>162</v>
      </c>
      <c r="O1418" t="s">
        <v>4712</v>
      </c>
    </row>
    <row r="1419" spans="1:15" ht="14.5">
      <c r="A1419" t="s">
        <v>29</v>
      </c>
      <c r="B1419">
        <v>1374646</v>
      </c>
      <c r="C1419">
        <v>1375053</v>
      </c>
      <c r="D1419">
        <v>1</v>
      </c>
      <c r="E1419" t="s">
        <v>47</v>
      </c>
      <c r="F1419" t="s">
        <v>4713</v>
      </c>
      <c r="G1419" t="s">
        <v>4714</v>
      </c>
      <c r="I1419" t="s">
        <v>49</v>
      </c>
      <c r="L1419" t="s">
        <v>4715</v>
      </c>
      <c r="M1419" t="s">
        <v>4713</v>
      </c>
      <c r="N1419">
        <v>135</v>
      </c>
      <c r="O1419" t="s">
        <v>4716</v>
      </c>
    </row>
    <row r="1420" spans="1:15" ht="14.5">
      <c r="A1420" t="s">
        <v>29</v>
      </c>
      <c r="B1420">
        <v>1375085</v>
      </c>
      <c r="C1420">
        <v>1376002</v>
      </c>
      <c r="D1420">
        <v>1</v>
      </c>
      <c r="E1420" t="s">
        <v>47</v>
      </c>
      <c r="F1420" t="s">
        <v>3688</v>
      </c>
      <c r="G1420" t="s">
        <v>4717</v>
      </c>
      <c r="I1420" t="s">
        <v>49</v>
      </c>
      <c r="L1420" t="s">
        <v>4718</v>
      </c>
      <c r="M1420" t="s">
        <v>3688</v>
      </c>
      <c r="N1420">
        <v>305</v>
      </c>
      <c r="O1420" t="s">
        <v>4719</v>
      </c>
    </row>
    <row r="1421" spans="1:15" ht="14.5">
      <c r="A1421" t="s">
        <v>29</v>
      </c>
      <c r="B1421">
        <v>1376020</v>
      </c>
      <c r="C1421">
        <v>1376223</v>
      </c>
      <c r="D1421">
        <v>1</v>
      </c>
      <c r="E1421" t="s">
        <v>47</v>
      </c>
      <c r="F1421" t="s">
        <v>4720</v>
      </c>
      <c r="I1421" t="s">
        <v>49</v>
      </c>
      <c r="L1421" t="s">
        <v>4721</v>
      </c>
      <c r="M1421" t="s">
        <v>4720</v>
      </c>
      <c r="N1421">
        <v>67</v>
      </c>
      <c r="O1421" t="s">
        <v>4722</v>
      </c>
    </row>
    <row r="1422" spans="1:15" ht="14.5">
      <c r="A1422" t="s">
        <v>29</v>
      </c>
      <c r="B1422">
        <v>1376373</v>
      </c>
      <c r="C1422">
        <v>1376828</v>
      </c>
      <c r="D1422">
        <v>1</v>
      </c>
      <c r="E1422" t="s">
        <v>76</v>
      </c>
      <c r="F1422" t="s">
        <v>483</v>
      </c>
      <c r="I1422" t="s">
        <v>49</v>
      </c>
      <c r="L1422" t="s">
        <v>4723</v>
      </c>
      <c r="M1422" t="s">
        <v>483</v>
      </c>
      <c r="N1422">
        <v>151</v>
      </c>
      <c r="O1422" t="s">
        <v>4724</v>
      </c>
    </row>
    <row r="1423" spans="1:15" ht="14.5">
      <c r="A1423" t="s">
        <v>29</v>
      </c>
      <c r="B1423">
        <v>1377005</v>
      </c>
      <c r="C1423">
        <v>1378351</v>
      </c>
      <c r="D1423">
        <v>1</v>
      </c>
      <c r="E1423" t="s">
        <v>47</v>
      </c>
      <c r="F1423" t="s">
        <v>77</v>
      </c>
      <c r="I1423" t="s">
        <v>49</v>
      </c>
      <c r="L1423" t="s">
        <v>4725</v>
      </c>
      <c r="M1423" t="s">
        <v>77</v>
      </c>
      <c r="N1423">
        <v>448</v>
      </c>
      <c r="O1423" t="s">
        <v>4726</v>
      </c>
    </row>
    <row r="1424" spans="1:15" ht="14.5">
      <c r="A1424" t="s">
        <v>29</v>
      </c>
      <c r="B1424">
        <v>1378492</v>
      </c>
      <c r="C1424">
        <v>1378677</v>
      </c>
      <c r="D1424">
        <v>1</v>
      </c>
      <c r="E1424" t="s">
        <v>76</v>
      </c>
      <c r="F1424" t="s">
        <v>483</v>
      </c>
      <c r="I1424" t="s">
        <v>49</v>
      </c>
      <c r="L1424" t="s">
        <v>4727</v>
      </c>
      <c r="M1424" t="s">
        <v>483</v>
      </c>
      <c r="N1424">
        <v>61</v>
      </c>
      <c r="O1424" t="s">
        <v>4728</v>
      </c>
    </row>
    <row r="1425" spans="1:15" ht="14.5">
      <c r="A1425" t="s">
        <v>29</v>
      </c>
      <c r="B1425">
        <v>1378950</v>
      </c>
      <c r="C1425">
        <v>1379591</v>
      </c>
      <c r="D1425">
        <v>1</v>
      </c>
      <c r="E1425" t="s">
        <v>47</v>
      </c>
      <c r="F1425" t="s">
        <v>4729</v>
      </c>
      <c r="G1425" t="s">
        <v>4730</v>
      </c>
      <c r="I1425" t="s">
        <v>49</v>
      </c>
      <c r="L1425" t="s">
        <v>4731</v>
      </c>
      <c r="M1425" t="s">
        <v>4729</v>
      </c>
      <c r="N1425">
        <v>213</v>
      </c>
      <c r="O1425" t="s">
        <v>4732</v>
      </c>
    </row>
    <row r="1426" spans="1:15" ht="14.5">
      <c r="A1426" t="s">
        <v>29</v>
      </c>
      <c r="B1426">
        <v>1379604</v>
      </c>
      <c r="C1426">
        <v>1379774</v>
      </c>
      <c r="D1426">
        <v>1</v>
      </c>
      <c r="E1426" t="s">
        <v>47</v>
      </c>
      <c r="F1426" t="s">
        <v>218</v>
      </c>
      <c r="I1426" t="s">
        <v>49</v>
      </c>
      <c r="L1426" t="s">
        <v>4733</v>
      </c>
      <c r="M1426" t="s">
        <v>218</v>
      </c>
      <c r="N1426">
        <v>56</v>
      </c>
      <c r="O1426" t="s">
        <v>4734</v>
      </c>
    </row>
    <row r="1427" spans="1:15" ht="14.5">
      <c r="A1427" t="s">
        <v>29</v>
      </c>
      <c r="B1427">
        <v>1380270</v>
      </c>
      <c r="C1427">
        <v>1381616</v>
      </c>
      <c r="D1427">
        <v>1</v>
      </c>
      <c r="E1427" t="s">
        <v>76</v>
      </c>
      <c r="F1427" t="s">
        <v>4735</v>
      </c>
      <c r="G1427" t="s">
        <v>4736</v>
      </c>
      <c r="I1427" t="s">
        <v>49</v>
      </c>
      <c r="L1427" t="s">
        <v>4737</v>
      </c>
      <c r="M1427" t="s">
        <v>4735</v>
      </c>
      <c r="N1427">
        <v>448</v>
      </c>
      <c r="O1427" t="s">
        <v>4738</v>
      </c>
    </row>
    <row r="1428" spans="1:15" ht="14.5">
      <c r="A1428" t="s">
        <v>29</v>
      </c>
      <c r="B1428">
        <v>1382160</v>
      </c>
      <c r="C1428">
        <v>1382564</v>
      </c>
      <c r="D1428">
        <v>1</v>
      </c>
      <c r="E1428" t="s">
        <v>47</v>
      </c>
      <c r="F1428" t="s">
        <v>483</v>
      </c>
      <c r="I1428" t="s">
        <v>49</v>
      </c>
      <c r="L1428" t="s">
        <v>4739</v>
      </c>
      <c r="M1428" t="s">
        <v>483</v>
      </c>
      <c r="N1428">
        <v>134</v>
      </c>
      <c r="O1428" t="s">
        <v>4740</v>
      </c>
    </row>
    <row r="1429" spans="1:15" ht="14.5">
      <c r="A1429" t="s">
        <v>29</v>
      </c>
      <c r="B1429">
        <v>1382616</v>
      </c>
      <c r="C1429">
        <v>1383245</v>
      </c>
      <c r="D1429">
        <v>1</v>
      </c>
      <c r="E1429" t="s">
        <v>47</v>
      </c>
      <c r="F1429" t="s">
        <v>4741</v>
      </c>
      <c r="G1429" t="s">
        <v>4742</v>
      </c>
      <c r="I1429" t="s">
        <v>49</v>
      </c>
      <c r="L1429" t="s">
        <v>4743</v>
      </c>
      <c r="M1429" t="s">
        <v>4741</v>
      </c>
      <c r="N1429">
        <v>209</v>
      </c>
      <c r="O1429" t="s">
        <v>4744</v>
      </c>
    </row>
    <row r="1430" spans="1:15" ht="14.5">
      <c r="A1430" t="s">
        <v>29</v>
      </c>
      <c r="B1430">
        <v>1383383</v>
      </c>
      <c r="C1430">
        <v>1383619</v>
      </c>
      <c r="D1430">
        <v>1</v>
      </c>
      <c r="E1430" t="s">
        <v>47</v>
      </c>
      <c r="F1430" t="s">
        <v>4741</v>
      </c>
      <c r="G1430" t="s">
        <v>4745</v>
      </c>
      <c r="I1430" t="s">
        <v>49</v>
      </c>
      <c r="L1430" t="s">
        <v>4746</v>
      </c>
      <c r="M1430" t="s">
        <v>4741</v>
      </c>
      <c r="N1430">
        <v>78</v>
      </c>
      <c r="O1430" t="s">
        <v>4747</v>
      </c>
    </row>
    <row r="1431" spans="1:15" ht="14.5">
      <c r="A1431" t="s">
        <v>29</v>
      </c>
      <c r="B1431">
        <v>1383627</v>
      </c>
      <c r="C1431">
        <v>1384172</v>
      </c>
      <c r="D1431">
        <v>1</v>
      </c>
      <c r="E1431" t="s">
        <v>47</v>
      </c>
      <c r="F1431" t="s">
        <v>4748</v>
      </c>
      <c r="I1431" t="s">
        <v>49</v>
      </c>
      <c r="L1431" t="s">
        <v>4749</v>
      </c>
      <c r="M1431" t="s">
        <v>4748</v>
      </c>
      <c r="N1431">
        <v>181</v>
      </c>
      <c r="O1431" t="s">
        <v>4750</v>
      </c>
    </row>
    <row r="1432" spans="1:15" ht="14.5">
      <c r="A1432" t="s">
        <v>29</v>
      </c>
      <c r="B1432">
        <v>1384229</v>
      </c>
      <c r="C1432">
        <v>1384471</v>
      </c>
      <c r="D1432">
        <v>1</v>
      </c>
      <c r="E1432" t="s">
        <v>76</v>
      </c>
      <c r="F1432" t="s">
        <v>4751</v>
      </c>
      <c r="G1432" t="s">
        <v>4752</v>
      </c>
      <c r="I1432" t="s">
        <v>49</v>
      </c>
      <c r="L1432" t="s">
        <v>4753</v>
      </c>
      <c r="M1432" t="s">
        <v>4751</v>
      </c>
      <c r="N1432">
        <v>80</v>
      </c>
      <c r="O1432" t="s">
        <v>4754</v>
      </c>
    </row>
    <row r="1433" spans="1:15" ht="14.5">
      <c r="A1433" t="s">
        <v>29</v>
      </c>
      <c r="B1433">
        <v>1384567</v>
      </c>
      <c r="C1433">
        <v>1385502</v>
      </c>
      <c r="D1433">
        <v>1</v>
      </c>
      <c r="E1433" t="s">
        <v>76</v>
      </c>
      <c r="F1433" t="s">
        <v>4755</v>
      </c>
      <c r="G1433" t="s">
        <v>4756</v>
      </c>
      <c r="I1433" t="s">
        <v>49</v>
      </c>
      <c r="L1433" t="s">
        <v>4757</v>
      </c>
      <c r="M1433" t="s">
        <v>4755</v>
      </c>
      <c r="N1433">
        <v>311</v>
      </c>
      <c r="O1433" t="s">
        <v>4758</v>
      </c>
    </row>
    <row r="1434" spans="1:15" ht="14.5">
      <c r="A1434" t="s">
        <v>29</v>
      </c>
      <c r="B1434">
        <v>1385606</v>
      </c>
      <c r="C1434">
        <v>1386049</v>
      </c>
      <c r="D1434">
        <v>1</v>
      </c>
      <c r="E1434" t="s">
        <v>47</v>
      </c>
      <c r="F1434" t="s">
        <v>4759</v>
      </c>
      <c r="I1434" t="s">
        <v>49</v>
      </c>
      <c r="L1434" t="s">
        <v>4760</v>
      </c>
      <c r="M1434" t="s">
        <v>4759</v>
      </c>
      <c r="N1434">
        <v>147</v>
      </c>
      <c r="O1434" t="s">
        <v>4761</v>
      </c>
    </row>
    <row r="1435" spans="1:15" ht="14.5">
      <c r="A1435" t="s">
        <v>29</v>
      </c>
      <c r="B1435">
        <v>1386165</v>
      </c>
      <c r="C1435">
        <v>1386431</v>
      </c>
      <c r="D1435">
        <v>1</v>
      </c>
      <c r="E1435" t="s">
        <v>47</v>
      </c>
      <c r="F1435" t="s">
        <v>4762</v>
      </c>
      <c r="I1435" t="s">
        <v>49</v>
      </c>
      <c r="L1435" t="s">
        <v>4763</v>
      </c>
      <c r="M1435" t="s">
        <v>4762</v>
      </c>
      <c r="N1435">
        <v>88</v>
      </c>
      <c r="O1435" t="s">
        <v>4764</v>
      </c>
    </row>
    <row r="1436" spans="1:15" ht="14.5">
      <c r="A1436" t="s">
        <v>29</v>
      </c>
      <c r="B1436">
        <v>1386428</v>
      </c>
      <c r="C1436">
        <v>1386802</v>
      </c>
      <c r="D1436">
        <v>1</v>
      </c>
      <c r="E1436" t="s">
        <v>47</v>
      </c>
      <c r="F1436" t="s">
        <v>4765</v>
      </c>
      <c r="G1436" t="s">
        <v>4766</v>
      </c>
      <c r="I1436" t="s">
        <v>49</v>
      </c>
      <c r="L1436" t="s">
        <v>4767</v>
      </c>
      <c r="M1436" t="s">
        <v>4765</v>
      </c>
      <c r="N1436">
        <v>124</v>
      </c>
      <c r="O1436" t="s">
        <v>4768</v>
      </c>
    </row>
    <row r="1437" spans="1:15" ht="14.5">
      <c r="A1437" t="s">
        <v>29</v>
      </c>
      <c r="B1437">
        <v>1386796</v>
      </c>
      <c r="C1437">
        <v>1387125</v>
      </c>
      <c r="D1437">
        <v>1</v>
      </c>
      <c r="E1437" t="s">
        <v>47</v>
      </c>
      <c r="F1437" t="s">
        <v>4765</v>
      </c>
      <c r="G1437" t="s">
        <v>4769</v>
      </c>
      <c r="I1437" t="s">
        <v>49</v>
      </c>
      <c r="L1437" t="s">
        <v>4770</v>
      </c>
      <c r="M1437" t="s">
        <v>4765</v>
      </c>
      <c r="N1437">
        <v>109</v>
      </c>
      <c r="O1437" t="s">
        <v>4771</v>
      </c>
    </row>
    <row r="1438" spans="1:15" ht="14.5">
      <c r="A1438" t="s">
        <v>29</v>
      </c>
      <c r="B1438">
        <v>1387244</v>
      </c>
      <c r="C1438">
        <v>1387591</v>
      </c>
      <c r="D1438">
        <v>1</v>
      </c>
      <c r="E1438" t="s">
        <v>47</v>
      </c>
      <c r="F1438" t="s">
        <v>4772</v>
      </c>
      <c r="G1438" t="s">
        <v>4773</v>
      </c>
      <c r="I1438" t="s">
        <v>49</v>
      </c>
      <c r="L1438" t="s">
        <v>4774</v>
      </c>
      <c r="M1438" t="s">
        <v>4772</v>
      </c>
      <c r="N1438">
        <v>115</v>
      </c>
      <c r="O1438" t="s">
        <v>4775</v>
      </c>
    </row>
    <row r="1439" spans="1:15" ht="14.5">
      <c r="A1439" t="s">
        <v>29</v>
      </c>
      <c r="B1439">
        <v>1387633</v>
      </c>
      <c r="C1439">
        <v>1387704</v>
      </c>
      <c r="D1439">
        <v>1</v>
      </c>
      <c r="E1439" t="s">
        <v>47</v>
      </c>
      <c r="F1439" t="s">
        <v>1793</v>
      </c>
      <c r="I1439" t="s">
        <v>1724</v>
      </c>
      <c r="O1439" t="s">
        <v>4776</v>
      </c>
    </row>
    <row r="1440" spans="1:15" ht="14.5">
      <c r="A1440" t="s">
        <v>29</v>
      </c>
      <c r="B1440">
        <v>1387870</v>
      </c>
      <c r="C1440">
        <v>1388868</v>
      </c>
      <c r="D1440">
        <v>1</v>
      </c>
      <c r="E1440" t="s">
        <v>76</v>
      </c>
      <c r="F1440" t="s">
        <v>4777</v>
      </c>
      <c r="I1440" t="s">
        <v>49</v>
      </c>
      <c r="L1440" t="s">
        <v>4778</v>
      </c>
      <c r="M1440" t="s">
        <v>4777</v>
      </c>
      <c r="N1440">
        <v>332</v>
      </c>
      <c r="O1440" t="s">
        <v>4779</v>
      </c>
    </row>
    <row r="1441" spans="1:15" ht="14.5">
      <c r="A1441" t="s">
        <v>29</v>
      </c>
      <c r="B1441">
        <v>1388911</v>
      </c>
      <c r="C1441">
        <v>1389717</v>
      </c>
      <c r="D1441">
        <v>1</v>
      </c>
      <c r="E1441" t="s">
        <v>76</v>
      </c>
      <c r="F1441" t="s">
        <v>4339</v>
      </c>
      <c r="I1441" t="s">
        <v>49</v>
      </c>
      <c r="L1441" t="s">
        <v>4780</v>
      </c>
      <c r="M1441" t="s">
        <v>4339</v>
      </c>
      <c r="N1441">
        <v>268</v>
      </c>
      <c r="O1441" t="s">
        <v>4781</v>
      </c>
    </row>
    <row r="1442" spans="1:15" ht="14.5">
      <c r="A1442" t="s">
        <v>29</v>
      </c>
      <c r="B1442">
        <v>1389730</v>
      </c>
      <c r="C1442">
        <v>1391034</v>
      </c>
      <c r="D1442">
        <v>1</v>
      </c>
      <c r="E1442" t="s">
        <v>76</v>
      </c>
      <c r="F1442" t="s">
        <v>4782</v>
      </c>
      <c r="I1442" t="s">
        <v>49</v>
      </c>
      <c r="L1442" t="s">
        <v>4783</v>
      </c>
      <c r="M1442" t="s">
        <v>4782</v>
      </c>
      <c r="N1442">
        <v>434</v>
      </c>
      <c r="O1442" t="s">
        <v>4784</v>
      </c>
    </row>
    <row r="1443" spans="1:15" ht="14.5">
      <c r="A1443" t="s">
        <v>29</v>
      </c>
      <c r="B1443">
        <v>1391106</v>
      </c>
      <c r="C1443">
        <v>1391483</v>
      </c>
      <c r="D1443">
        <v>1</v>
      </c>
      <c r="E1443" t="s">
        <v>47</v>
      </c>
      <c r="F1443" t="s">
        <v>2875</v>
      </c>
      <c r="I1443" t="s">
        <v>49</v>
      </c>
      <c r="L1443" t="s">
        <v>4785</v>
      </c>
      <c r="M1443" t="s">
        <v>2875</v>
      </c>
      <c r="N1443">
        <v>125</v>
      </c>
      <c r="O1443" t="s">
        <v>4786</v>
      </c>
    </row>
    <row r="1444" spans="1:15" ht="14.5">
      <c r="A1444" t="s">
        <v>29</v>
      </c>
      <c r="B1444">
        <v>1391574</v>
      </c>
      <c r="C1444">
        <v>1391906</v>
      </c>
      <c r="D1444">
        <v>1</v>
      </c>
      <c r="E1444" t="s">
        <v>47</v>
      </c>
      <c r="F1444" t="s">
        <v>607</v>
      </c>
      <c r="I1444" t="s">
        <v>49</v>
      </c>
      <c r="L1444" t="s">
        <v>4787</v>
      </c>
      <c r="M1444" t="s">
        <v>607</v>
      </c>
      <c r="N1444">
        <v>110</v>
      </c>
      <c r="O1444" t="s">
        <v>4788</v>
      </c>
    </row>
    <row r="1445" spans="1:15" ht="14.5">
      <c r="A1445" t="s">
        <v>29</v>
      </c>
      <c r="B1445">
        <v>1391918</v>
      </c>
      <c r="C1445">
        <v>1393489</v>
      </c>
      <c r="D1445">
        <v>1</v>
      </c>
      <c r="E1445" t="s">
        <v>47</v>
      </c>
      <c r="F1445" t="s">
        <v>4789</v>
      </c>
      <c r="G1445" t="s">
        <v>4790</v>
      </c>
      <c r="I1445" t="s">
        <v>49</v>
      </c>
      <c r="L1445" t="s">
        <v>4791</v>
      </c>
      <c r="M1445" t="s">
        <v>4789</v>
      </c>
      <c r="N1445">
        <v>523</v>
      </c>
      <c r="O1445" t="s">
        <v>4792</v>
      </c>
    </row>
    <row r="1446" spans="1:15" ht="14.5">
      <c r="A1446" t="s">
        <v>29</v>
      </c>
      <c r="B1446">
        <v>1393684</v>
      </c>
      <c r="C1446">
        <v>1394967</v>
      </c>
      <c r="D1446">
        <v>1</v>
      </c>
      <c r="E1446" t="s">
        <v>76</v>
      </c>
      <c r="F1446" t="s">
        <v>4793</v>
      </c>
      <c r="G1446" t="s">
        <v>4794</v>
      </c>
      <c r="I1446" t="s">
        <v>49</v>
      </c>
      <c r="L1446" t="s">
        <v>4795</v>
      </c>
      <c r="M1446" t="s">
        <v>4793</v>
      </c>
      <c r="N1446">
        <v>427</v>
      </c>
      <c r="O1446" t="s">
        <v>4796</v>
      </c>
    </row>
    <row r="1447" spans="1:15" ht="14.5">
      <c r="A1447" t="s">
        <v>29</v>
      </c>
      <c r="B1447">
        <v>1395270</v>
      </c>
      <c r="C1447">
        <v>1395983</v>
      </c>
      <c r="D1447">
        <v>1</v>
      </c>
      <c r="E1447" t="s">
        <v>76</v>
      </c>
      <c r="F1447" t="s">
        <v>4797</v>
      </c>
      <c r="G1447" t="s">
        <v>4798</v>
      </c>
      <c r="I1447" t="s">
        <v>49</v>
      </c>
      <c r="L1447" t="s">
        <v>4799</v>
      </c>
      <c r="M1447" t="s">
        <v>4797</v>
      </c>
      <c r="N1447">
        <v>237</v>
      </c>
      <c r="O1447" t="s">
        <v>4800</v>
      </c>
    </row>
    <row r="1448" spans="1:15" ht="14.5">
      <c r="A1448" t="s">
        <v>29</v>
      </c>
      <c r="B1448">
        <v>1396077</v>
      </c>
      <c r="C1448">
        <v>1396637</v>
      </c>
      <c r="D1448">
        <v>1</v>
      </c>
      <c r="E1448" t="s">
        <v>47</v>
      </c>
      <c r="F1448" t="s">
        <v>4801</v>
      </c>
      <c r="G1448" t="s">
        <v>4802</v>
      </c>
      <c r="I1448" t="s">
        <v>49</v>
      </c>
      <c r="L1448" t="s">
        <v>4803</v>
      </c>
      <c r="M1448" t="s">
        <v>4801</v>
      </c>
      <c r="N1448">
        <v>186</v>
      </c>
      <c r="O1448" t="s">
        <v>4804</v>
      </c>
    </row>
    <row r="1449" spans="1:15" ht="14.5">
      <c r="A1449" t="s">
        <v>29</v>
      </c>
      <c r="B1449">
        <v>1396639</v>
      </c>
      <c r="C1449">
        <v>1397538</v>
      </c>
      <c r="D1449">
        <v>1</v>
      </c>
      <c r="E1449" t="s">
        <v>47</v>
      </c>
      <c r="F1449" t="s">
        <v>4805</v>
      </c>
      <c r="G1449" t="s">
        <v>4806</v>
      </c>
      <c r="I1449" t="s">
        <v>49</v>
      </c>
      <c r="L1449" t="s">
        <v>4807</v>
      </c>
      <c r="M1449" t="s">
        <v>4805</v>
      </c>
      <c r="N1449">
        <v>299</v>
      </c>
      <c r="O1449" t="s">
        <v>4808</v>
      </c>
    </row>
    <row r="1450" spans="1:15" ht="14.5">
      <c r="A1450" t="s">
        <v>29</v>
      </c>
      <c r="B1450">
        <v>1397582</v>
      </c>
      <c r="C1450">
        <v>1399141</v>
      </c>
      <c r="D1450">
        <v>1</v>
      </c>
      <c r="E1450" t="s">
        <v>76</v>
      </c>
      <c r="F1450" t="s">
        <v>218</v>
      </c>
      <c r="G1450" t="s">
        <v>4809</v>
      </c>
      <c r="I1450" t="s">
        <v>49</v>
      </c>
      <c r="L1450" t="s">
        <v>4810</v>
      </c>
      <c r="M1450" t="s">
        <v>218</v>
      </c>
      <c r="N1450">
        <v>519</v>
      </c>
      <c r="O1450" t="s">
        <v>4811</v>
      </c>
    </row>
    <row r="1451" spans="1:15" ht="14.5">
      <c r="A1451" t="s">
        <v>29</v>
      </c>
      <c r="B1451">
        <v>1399866</v>
      </c>
      <c r="C1451">
        <v>1400408</v>
      </c>
      <c r="D1451">
        <v>1</v>
      </c>
      <c r="E1451" t="s">
        <v>47</v>
      </c>
      <c r="F1451" t="s">
        <v>4812</v>
      </c>
      <c r="I1451" t="s">
        <v>49</v>
      </c>
      <c r="L1451" t="s">
        <v>4813</v>
      </c>
      <c r="M1451" t="s">
        <v>4812</v>
      </c>
      <c r="N1451">
        <v>180</v>
      </c>
      <c r="O1451" t="s">
        <v>4814</v>
      </c>
    </row>
    <row r="1452" spans="1:15" ht="14.5">
      <c r="A1452" t="s">
        <v>29</v>
      </c>
      <c r="B1452">
        <v>1400408</v>
      </c>
      <c r="C1452">
        <v>1401037</v>
      </c>
      <c r="D1452">
        <v>1</v>
      </c>
      <c r="E1452" t="s">
        <v>47</v>
      </c>
      <c r="F1452" t="s">
        <v>4815</v>
      </c>
      <c r="G1452" t="s">
        <v>4816</v>
      </c>
      <c r="I1452" t="s">
        <v>49</v>
      </c>
      <c r="L1452" t="s">
        <v>4817</v>
      </c>
      <c r="M1452" t="s">
        <v>4815</v>
      </c>
      <c r="N1452">
        <v>209</v>
      </c>
      <c r="O1452" t="s">
        <v>4818</v>
      </c>
    </row>
    <row r="1453" spans="1:15" ht="14.5">
      <c r="A1453" t="s">
        <v>29</v>
      </c>
      <c r="B1453">
        <v>1401248</v>
      </c>
      <c r="C1453">
        <v>1401769</v>
      </c>
      <c r="D1453">
        <v>1</v>
      </c>
      <c r="E1453" t="s">
        <v>47</v>
      </c>
      <c r="F1453" t="s">
        <v>4819</v>
      </c>
      <c r="G1453" t="s">
        <v>4820</v>
      </c>
      <c r="I1453" t="s">
        <v>49</v>
      </c>
      <c r="L1453" t="s">
        <v>4821</v>
      </c>
      <c r="M1453" t="s">
        <v>4819</v>
      </c>
      <c r="N1453">
        <v>173</v>
      </c>
      <c r="O1453" t="s">
        <v>4822</v>
      </c>
    </row>
    <row r="1454" spans="1:15" ht="14.5">
      <c r="A1454" t="s">
        <v>29</v>
      </c>
      <c r="B1454">
        <v>1401788</v>
      </c>
      <c r="C1454">
        <v>1402711</v>
      </c>
      <c r="D1454">
        <v>1</v>
      </c>
      <c r="E1454" t="s">
        <v>47</v>
      </c>
      <c r="F1454" t="s">
        <v>4823</v>
      </c>
      <c r="G1454" t="s">
        <v>4824</v>
      </c>
      <c r="I1454" t="s">
        <v>49</v>
      </c>
      <c r="L1454" t="s">
        <v>4825</v>
      </c>
      <c r="M1454" t="s">
        <v>4823</v>
      </c>
      <c r="N1454">
        <v>307</v>
      </c>
      <c r="O1454" t="s">
        <v>4826</v>
      </c>
    </row>
    <row r="1455" spans="1:15" ht="14.5">
      <c r="A1455" t="s">
        <v>29</v>
      </c>
      <c r="B1455">
        <v>1402761</v>
      </c>
      <c r="C1455">
        <v>1403840</v>
      </c>
      <c r="D1455">
        <v>1</v>
      </c>
      <c r="E1455" t="s">
        <v>47</v>
      </c>
      <c r="F1455" t="s">
        <v>4827</v>
      </c>
      <c r="G1455" t="s">
        <v>4828</v>
      </c>
      <c r="I1455" t="s">
        <v>49</v>
      </c>
      <c r="L1455" t="s">
        <v>4829</v>
      </c>
      <c r="M1455" t="s">
        <v>4827</v>
      </c>
      <c r="N1455">
        <v>359</v>
      </c>
      <c r="O1455" t="s">
        <v>4830</v>
      </c>
    </row>
    <row r="1456" spans="1:15" ht="14.5">
      <c r="A1456" t="s">
        <v>29</v>
      </c>
      <c r="B1456">
        <v>1404153</v>
      </c>
      <c r="C1456">
        <v>1407329</v>
      </c>
      <c r="D1456">
        <v>1</v>
      </c>
      <c r="E1456" t="s">
        <v>47</v>
      </c>
      <c r="F1456" t="s">
        <v>4831</v>
      </c>
      <c r="G1456" t="s">
        <v>4832</v>
      </c>
      <c r="I1456" t="s">
        <v>49</v>
      </c>
      <c r="L1456" t="s">
        <v>4833</v>
      </c>
      <c r="M1456" t="s">
        <v>4831</v>
      </c>
      <c r="N1456">
        <v>1058</v>
      </c>
      <c r="O1456" t="s">
        <v>4834</v>
      </c>
    </row>
    <row r="1457" spans="1:15" ht="14.5">
      <c r="A1457" t="s">
        <v>29</v>
      </c>
      <c r="B1457">
        <v>1407604</v>
      </c>
      <c r="C1457">
        <v>1408266</v>
      </c>
      <c r="D1457">
        <v>1</v>
      </c>
      <c r="E1457" t="s">
        <v>76</v>
      </c>
      <c r="F1457" t="s">
        <v>4835</v>
      </c>
      <c r="G1457" t="s">
        <v>4836</v>
      </c>
      <c r="I1457" t="s">
        <v>49</v>
      </c>
      <c r="L1457" t="s">
        <v>4837</v>
      </c>
      <c r="M1457" t="s">
        <v>4835</v>
      </c>
      <c r="N1457">
        <v>220</v>
      </c>
      <c r="O1457" t="s">
        <v>4838</v>
      </c>
    </row>
    <row r="1458" spans="1:15" ht="14.5">
      <c r="A1458" t="s">
        <v>29</v>
      </c>
      <c r="B1458">
        <v>1408212</v>
      </c>
      <c r="C1458">
        <v>1408412</v>
      </c>
      <c r="D1458">
        <v>1</v>
      </c>
      <c r="E1458" t="s">
        <v>76</v>
      </c>
      <c r="F1458" t="s">
        <v>4835</v>
      </c>
      <c r="G1458" t="s">
        <v>4839</v>
      </c>
      <c r="I1458" t="s">
        <v>49</v>
      </c>
      <c r="L1458" t="s">
        <v>4840</v>
      </c>
      <c r="M1458" t="s">
        <v>4835</v>
      </c>
      <c r="N1458">
        <v>66</v>
      </c>
      <c r="O1458" t="s">
        <v>4841</v>
      </c>
    </row>
    <row r="1459" spans="1:15" ht="14.5">
      <c r="A1459" t="s">
        <v>29</v>
      </c>
      <c r="B1459">
        <v>1408414</v>
      </c>
      <c r="C1459">
        <v>1409217</v>
      </c>
      <c r="D1459">
        <v>1</v>
      </c>
      <c r="E1459" t="s">
        <v>76</v>
      </c>
      <c r="F1459" t="s">
        <v>4842</v>
      </c>
      <c r="G1459" t="s">
        <v>4843</v>
      </c>
      <c r="I1459" t="s">
        <v>49</v>
      </c>
      <c r="L1459" t="s">
        <v>4844</v>
      </c>
      <c r="M1459" t="s">
        <v>4842</v>
      </c>
      <c r="N1459">
        <v>267</v>
      </c>
      <c r="O1459" t="s">
        <v>4845</v>
      </c>
    </row>
    <row r="1460" spans="1:15" ht="14.5">
      <c r="A1460" t="s">
        <v>29</v>
      </c>
      <c r="B1460">
        <v>1409227</v>
      </c>
      <c r="C1460">
        <v>1410714</v>
      </c>
      <c r="D1460">
        <v>1</v>
      </c>
      <c r="E1460" t="s">
        <v>76</v>
      </c>
      <c r="F1460" t="s">
        <v>4846</v>
      </c>
      <c r="G1460" t="s">
        <v>4847</v>
      </c>
      <c r="I1460" t="s">
        <v>49</v>
      </c>
      <c r="L1460" t="s">
        <v>4848</v>
      </c>
      <c r="M1460" t="s">
        <v>4846</v>
      </c>
      <c r="N1460">
        <v>495</v>
      </c>
      <c r="O1460" t="s">
        <v>4849</v>
      </c>
    </row>
    <row r="1461" spans="1:15" ht="14.5">
      <c r="A1461" t="s">
        <v>29</v>
      </c>
      <c r="B1461">
        <v>1411050</v>
      </c>
      <c r="C1461">
        <v>1411757</v>
      </c>
      <c r="D1461">
        <v>1</v>
      </c>
      <c r="E1461" t="s">
        <v>47</v>
      </c>
      <c r="F1461" t="s">
        <v>4850</v>
      </c>
      <c r="G1461" t="s">
        <v>4851</v>
      </c>
      <c r="I1461" t="s">
        <v>49</v>
      </c>
      <c r="L1461" t="s">
        <v>4852</v>
      </c>
      <c r="M1461" t="s">
        <v>4850</v>
      </c>
      <c r="N1461">
        <v>235</v>
      </c>
      <c r="O1461" t="s">
        <v>4853</v>
      </c>
    </row>
    <row r="1462" spans="1:15" ht="14.5">
      <c r="A1462" t="s">
        <v>29</v>
      </c>
      <c r="B1462">
        <v>1411762</v>
      </c>
      <c r="C1462">
        <v>1412784</v>
      </c>
      <c r="D1462">
        <v>1</v>
      </c>
      <c r="E1462" t="s">
        <v>47</v>
      </c>
      <c r="F1462" t="s">
        <v>3069</v>
      </c>
      <c r="G1462" t="s">
        <v>4854</v>
      </c>
      <c r="I1462" t="s">
        <v>49</v>
      </c>
      <c r="L1462" t="s">
        <v>4855</v>
      </c>
      <c r="M1462" t="s">
        <v>3069</v>
      </c>
      <c r="N1462">
        <v>340</v>
      </c>
      <c r="O1462" t="s">
        <v>4856</v>
      </c>
    </row>
    <row r="1463" spans="1:15" ht="14.5">
      <c r="A1463" t="s">
        <v>29</v>
      </c>
      <c r="B1463">
        <v>1412801</v>
      </c>
      <c r="C1463">
        <v>1413670</v>
      </c>
      <c r="D1463">
        <v>1</v>
      </c>
      <c r="E1463" t="s">
        <v>47</v>
      </c>
      <c r="F1463" t="s">
        <v>4857</v>
      </c>
      <c r="I1463" t="s">
        <v>49</v>
      </c>
      <c r="L1463" t="s">
        <v>4858</v>
      </c>
      <c r="M1463" t="s">
        <v>4857</v>
      </c>
      <c r="N1463">
        <v>289</v>
      </c>
      <c r="O1463" t="s">
        <v>4859</v>
      </c>
    </row>
    <row r="1464" spans="1:15" ht="14.5">
      <c r="A1464" t="s">
        <v>29</v>
      </c>
      <c r="B1464">
        <v>1413660</v>
      </c>
      <c r="C1464">
        <v>1414538</v>
      </c>
      <c r="D1464">
        <v>1</v>
      </c>
      <c r="E1464" t="s">
        <v>47</v>
      </c>
      <c r="F1464" t="s">
        <v>2240</v>
      </c>
      <c r="I1464" t="s">
        <v>49</v>
      </c>
      <c r="L1464" t="s">
        <v>4860</v>
      </c>
      <c r="M1464" t="s">
        <v>2240</v>
      </c>
      <c r="N1464">
        <v>292</v>
      </c>
      <c r="O1464" t="s">
        <v>4861</v>
      </c>
    </row>
    <row r="1465" spans="1:15" ht="14.5">
      <c r="A1465" t="s">
        <v>29</v>
      </c>
      <c r="B1465">
        <v>1414550</v>
      </c>
      <c r="C1465">
        <v>1415239</v>
      </c>
      <c r="D1465">
        <v>1</v>
      </c>
      <c r="E1465" t="s">
        <v>47</v>
      </c>
      <c r="F1465" t="s">
        <v>4862</v>
      </c>
      <c r="G1465" t="s">
        <v>4863</v>
      </c>
      <c r="I1465" t="s">
        <v>49</v>
      </c>
      <c r="L1465" t="s">
        <v>4864</v>
      </c>
      <c r="M1465" t="s">
        <v>4862</v>
      </c>
      <c r="N1465">
        <v>229</v>
      </c>
      <c r="O1465" t="s">
        <v>4865</v>
      </c>
    </row>
    <row r="1466" spans="1:15" ht="14.5">
      <c r="A1466" t="s">
        <v>29</v>
      </c>
      <c r="B1466">
        <v>1415325</v>
      </c>
      <c r="C1466">
        <v>1416173</v>
      </c>
      <c r="D1466">
        <v>1</v>
      </c>
      <c r="E1466" t="s">
        <v>47</v>
      </c>
      <c r="F1466" t="s">
        <v>4866</v>
      </c>
      <c r="G1466" t="s">
        <v>4867</v>
      </c>
      <c r="I1466" t="s">
        <v>49</v>
      </c>
      <c r="L1466" t="s">
        <v>4868</v>
      </c>
      <c r="M1466" t="s">
        <v>4866</v>
      </c>
      <c r="N1466">
        <v>282</v>
      </c>
      <c r="O1466" t="s">
        <v>4869</v>
      </c>
    </row>
    <row r="1467" spans="1:15" ht="14.5">
      <c r="A1467" t="s">
        <v>29</v>
      </c>
      <c r="B1467">
        <v>1417055</v>
      </c>
      <c r="C1467">
        <v>1418098</v>
      </c>
      <c r="D1467">
        <v>1</v>
      </c>
      <c r="E1467" t="s">
        <v>47</v>
      </c>
      <c r="F1467" t="s">
        <v>65</v>
      </c>
      <c r="I1467" t="s">
        <v>49</v>
      </c>
      <c r="L1467" t="s">
        <v>4870</v>
      </c>
      <c r="M1467" t="s">
        <v>65</v>
      </c>
      <c r="N1467">
        <v>347</v>
      </c>
      <c r="O1467" t="s">
        <v>4871</v>
      </c>
    </row>
    <row r="1468" spans="1:15" ht="14.5">
      <c r="A1468" t="s">
        <v>29</v>
      </c>
      <c r="B1468">
        <v>1418265</v>
      </c>
      <c r="C1468">
        <v>1420352</v>
      </c>
      <c r="D1468">
        <v>1</v>
      </c>
      <c r="E1468" t="s">
        <v>47</v>
      </c>
      <c r="F1468" t="s">
        <v>4872</v>
      </c>
      <c r="G1468" t="s">
        <v>4873</v>
      </c>
      <c r="I1468" t="s">
        <v>49</v>
      </c>
      <c r="L1468" t="s">
        <v>4874</v>
      </c>
      <c r="M1468" t="s">
        <v>4872</v>
      </c>
      <c r="N1468">
        <v>695</v>
      </c>
      <c r="O1468" t="s">
        <v>4875</v>
      </c>
    </row>
    <row r="1469" spans="1:15" ht="14.5">
      <c r="A1469" t="s">
        <v>29</v>
      </c>
      <c r="B1469">
        <v>1420458</v>
      </c>
      <c r="C1469">
        <v>1420817</v>
      </c>
      <c r="D1469">
        <v>1</v>
      </c>
      <c r="E1469" t="s">
        <v>47</v>
      </c>
      <c r="F1469" t="s">
        <v>4876</v>
      </c>
      <c r="G1469" t="s">
        <v>4877</v>
      </c>
      <c r="I1469" t="s">
        <v>49</v>
      </c>
      <c r="L1469" t="s">
        <v>4878</v>
      </c>
      <c r="M1469" t="s">
        <v>4876</v>
      </c>
      <c r="N1469">
        <v>119</v>
      </c>
      <c r="O1469" t="s">
        <v>4879</v>
      </c>
    </row>
    <row r="1470" spans="1:15" ht="14.5">
      <c r="A1470" t="s">
        <v>29</v>
      </c>
      <c r="B1470">
        <v>1420910</v>
      </c>
      <c r="C1470">
        <v>1421542</v>
      </c>
      <c r="D1470">
        <v>1</v>
      </c>
      <c r="E1470" t="s">
        <v>47</v>
      </c>
      <c r="F1470" t="s">
        <v>4880</v>
      </c>
      <c r="G1470" t="s">
        <v>4881</v>
      </c>
      <c r="I1470" t="s">
        <v>49</v>
      </c>
      <c r="L1470" t="s">
        <v>4882</v>
      </c>
      <c r="M1470" t="s">
        <v>4880</v>
      </c>
      <c r="N1470">
        <v>210</v>
      </c>
      <c r="O1470" t="s">
        <v>4883</v>
      </c>
    </row>
    <row r="1471" spans="1:15" ht="14.5">
      <c r="A1471" t="s">
        <v>29</v>
      </c>
      <c r="B1471">
        <v>1421586</v>
      </c>
      <c r="C1471">
        <v>1421753</v>
      </c>
      <c r="D1471">
        <v>1</v>
      </c>
      <c r="E1471" t="s">
        <v>47</v>
      </c>
      <c r="F1471" t="s">
        <v>4884</v>
      </c>
      <c r="I1471" t="s">
        <v>49</v>
      </c>
      <c r="L1471" t="s">
        <v>4885</v>
      </c>
      <c r="M1471" t="s">
        <v>4884</v>
      </c>
      <c r="N1471">
        <v>55</v>
      </c>
      <c r="O1471" t="s">
        <v>4886</v>
      </c>
    </row>
    <row r="1472" spans="1:15" ht="14.5">
      <c r="A1472" t="s">
        <v>29</v>
      </c>
      <c r="B1472">
        <v>1421784</v>
      </c>
      <c r="C1472">
        <v>1422242</v>
      </c>
      <c r="D1472">
        <v>1</v>
      </c>
      <c r="E1472" t="s">
        <v>47</v>
      </c>
      <c r="F1472" t="s">
        <v>4884</v>
      </c>
      <c r="I1472" t="s">
        <v>49</v>
      </c>
      <c r="L1472" t="s">
        <v>4887</v>
      </c>
      <c r="M1472" t="s">
        <v>4884</v>
      </c>
      <c r="N1472">
        <v>152</v>
      </c>
      <c r="O1472" t="s">
        <v>4888</v>
      </c>
    </row>
    <row r="1473" spans="1:15" ht="14.5">
      <c r="A1473" t="s">
        <v>29</v>
      </c>
      <c r="B1473">
        <v>1422261</v>
      </c>
      <c r="C1473">
        <v>1422893</v>
      </c>
      <c r="D1473">
        <v>1</v>
      </c>
      <c r="E1473" t="s">
        <v>47</v>
      </c>
      <c r="F1473" t="s">
        <v>4889</v>
      </c>
      <c r="G1473" t="s">
        <v>4890</v>
      </c>
      <c r="I1473" t="s">
        <v>49</v>
      </c>
      <c r="L1473" t="s">
        <v>4891</v>
      </c>
      <c r="M1473" t="s">
        <v>4889</v>
      </c>
      <c r="N1473">
        <v>210</v>
      </c>
      <c r="O1473" t="s">
        <v>4892</v>
      </c>
    </row>
    <row r="1474" spans="1:15" ht="14.5">
      <c r="A1474" t="s">
        <v>29</v>
      </c>
      <c r="B1474">
        <v>1422936</v>
      </c>
      <c r="C1474">
        <v>1423355</v>
      </c>
      <c r="D1474">
        <v>1</v>
      </c>
      <c r="E1474" t="s">
        <v>47</v>
      </c>
      <c r="F1474" t="s">
        <v>4889</v>
      </c>
      <c r="G1474" t="s">
        <v>4893</v>
      </c>
      <c r="I1474" t="s">
        <v>49</v>
      </c>
      <c r="L1474" t="s">
        <v>4894</v>
      </c>
      <c r="M1474" t="s">
        <v>4889</v>
      </c>
      <c r="N1474">
        <v>139</v>
      </c>
      <c r="O1474" t="s">
        <v>4895</v>
      </c>
    </row>
    <row r="1475" spans="1:15" ht="14.5">
      <c r="A1475" t="s">
        <v>29</v>
      </c>
      <c r="B1475">
        <v>1423367</v>
      </c>
      <c r="C1475">
        <v>1424404</v>
      </c>
      <c r="D1475">
        <v>1</v>
      </c>
      <c r="E1475" t="s">
        <v>47</v>
      </c>
      <c r="F1475" t="s">
        <v>4876</v>
      </c>
      <c r="G1475" t="s">
        <v>4896</v>
      </c>
      <c r="I1475" t="s">
        <v>49</v>
      </c>
      <c r="L1475" t="s">
        <v>4897</v>
      </c>
      <c r="M1475" t="s">
        <v>4876</v>
      </c>
      <c r="N1475">
        <v>345</v>
      </c>
      <c r="O1475" t="s">
        <v>4898</v>
      </c>
    </row>
    <row r="1476" spans="1:15" ht="14.5">
      <c r="A1476" t="s">
        <v>29</v>
      </c>
      <c r="B1476">
        <v>1424401</v>
      </c>
      <c r="C1476">
        <v>1424670</v>
      </c>
      <c r="D1476">
        <v>1</v>
      </c>
      <c r="E1476" t="s">
        <v>47</v>
      </c>
      <c r="F1476" t="s">
        <v>65</v>
      </c>
      <c r="I1476" t="s">
        <v>49</v>
      </c>
      <c r="L1476" t="s">
        <v>4899</v>
      </c>
      <c r="M1476" t="s">
        <v>65</v>
      </c>
      <c r="N1476">
        <v>89</v>
      </c>
      <c r="O1476" t="s">
        <v>4900</v>
      </c>
    </row>
    <row r="1477" spans="1:15" ht="14.5">
      <c r="A1477" t="s">
        <v>29</v>
      </c>
      <c r="B1477">
        <v>1424674</v>
      </c>
      <c r="C1477">
        <v>1425033</v>
      </c>
      <c r="D1477">
        <v>1</v>
      </c>
      <c r="E1477" t="s">
        <v>47</v>
      </c>
      <c r="F1477" t="s">
        <v>4901</v>
      </c>
      <c r="G1477" t="s">
        <v>4902</v>
      </c>
      <c r="I1477" t="s">
        <v>49</v>
      </c>
      <c r="L1477" t="s">
        <v>4903</v>
      </c>
      <c r="M1477" t="s">
        <v>4901</v>
      </c>
      <c r="N1477">
        <v>119</v>
      </c>
      <c r="O1477" t="s">
        <v>4904</v>
      </c>
    </row>
    <row r="1478" spans="1:15" ht="14.5">
      <c r="A1478" t="s">
        <v>29</v>
      </c>
      <c r="B1478">
        <v>1425649</v>
      </c>
      <c r="C1478">
        <v>1425819</v>
      </c>
      <c r="D1478">
        <v>1</v>
      </c>
      <c r="E1478" t="s">
        <v>47</v>
      </c>
      <c r="F1478" t="s">
        <v>4905</v>
      </c>
      <c r="I1478" t="s">
        <v>49</v>
      </c>
      <c r="L1478" t="s">
        <v>4906</v>
      </c>
      <c r="M1478" t="s">
        <v>4905</v>
      </c>
      <c r="N1478">
        <v>56</v>
      </c>
      <c r="O1478" t="s">
        <v>4907</v>
      </c>
    </row>
    <row r="1479" spans="1:15" ht="14.5">
      <c r="A1479" t="s">
        <v>29</v>
      </c>
      <c r="B1479">
        <v>1425982</v>
      </c>
      <c r="C1479">
        <v>1427913</v>
      </c>
      <c r="D1479">
        <v>1</v>
      </c>
      <c r="E1479" t="s">
        <v>47</v>
      </c>
      <c r="F1479" t="s">
        <v>4908</v>
      </c>
      <c r="G1479" t="s">
        <v>4909</v>
      </c>
      <c r="I1479" t="s">
        <v>49</v>
      </c>
      <c r="L1479" t="s">
        <v>4910</v>
      </c>
      <c r="M1479" t="s">
        <v>4908</v>
      </c>
      <c r="N1479">
        <v>643</v>
      </c>
      <c r="O1479" t="s">
        <v>4911</v>
      </c>
    </row>
    <row r="1480" spans="1:15" ht="14.5">
      <c r="A1480" t="s">
        <v>29</v>
      </c>
      <c r="B1480">
        <v>1427873</v>
      </c>
      <c r="C1480">
        <v>1429216</v>
      </c>
      <c r="D1480">
        <v>1</v>
      </c>
      <c r="E1480" t="s">
        <v>47</v>
      </c>
      <c r="F1480" t="s">
        <v>4912</v>
      </c>
      <c r="I1480" t="s">
        <v>49</v>
      </c>
      <c r="L1480" t="s">
        <v>4913</v>
      </c>
      <c r="M1480" t="s">
        <v>4912</v>
      </c>
      <c r="N1480">
        <v>447</v>
      </c>
      <c r="O1480" t="s">
        <v>4914</v>
      </c>
    </row>
    <row r="1481" spans="1:15" ht="14.5">
      <c r="A1481" t="s">
        <v>29</v>
      </c>
      <c r="B1481">
        <v>1429391</v>
      </c>
      <c r="C1481">
        <v>1430377</v>
      </c>
      <c r="D1481">
        <v>1</v>
      </c>
      <c r="E1481" t="s">
        <v>47</v>
      </c>
      <c r="F1481" t="s">
        <v>4915</v>
      </c>
      <c r="G1481" t="s">
        <v>4916</v>
      </c>
      <c r="I1481" t="s">
        <v>49</v>
      </c>
      <c r="L1481" t="s">
        <v>4917</v>
      </c>
      <c r="M1481" t="s">
        <v>4915</v>
      </c>
      <c r="N1481">
        <v>328</v>
      </c>
      <c r="O1481" t="s">
        <v>4918</v>
      </c>
    </row>
    <row r="1482" spans="1:15" ht="14.5">
      <c r="A1482" t="s">
        <v>29</v>
      </c>
      <c r="B1482">
        <v>1430440</v>
      </c>
      <c r="C1482">
        <v>1430513</v>
      </c>
      <c r="D1482">
        <v>1</v>
      </c>
      <c r="E1482" t="s">
        <v>47</v>
      </c>
      <c r="F1482" t="s">
        <v>1793</v>
      </c>
      <c r="I1482" t="s">
        <v>1724</v>
      </c>
      <c r="O1482" t="s">
        <v>4919</v>
      </c>
    </row>
    <row r="1483" spans="1:15" ht="14.5">
      <c r="A1483" t="s">
        <v>29</v>
      </c>
      <c r="B1483">
        <v>1430695</v>
      </c>
      <c r="C1483">
        <v>1431393</v>
      </c>
      <c r="D1483">
        <v>1</v>
      </c>
      <c r="E1483" t="s">
        <v>47</v>
      </c>
      <c r="F1483" t="s">
        <v>4920</v>
      </c>
      <c r="G1483" t="s">
        <v>4921</v>
      </c>
      <c r="I1483" t="s">
        <v>49</v>
      </c>
      <c r="L1483" t="s">
        <v>4922</v>
      </c>
      <c r="M1483" t="s">
        <v>4920</v>
      </c>
      <c r="N1483">
        <v>232</v>
      </c>
      <c r="O1483" t="s">
        <v>4923</v>
      </c>
    </row>
    <row r="1484" spans="1:15" ht="14.5">
      <c r="A1484" t="s">
        <v>29</v>
      </c>
      <c r="B1484">
        <v>1431384</v>
      </c>
      <c r="C1484">
        <v>1434923</v>
      </c>
      <c r="D1484">
        <v>1</v>
      </c>
      <c r="E1484" t="s">
        <v>47</v>
      </c>
      <c r="F1484" t="s">
        <v>4924</v>
      </c>
      <c r="G1484" t="s">
        <v>4925</v>
      </c>
      <c r="I1484" t="s">
        <v>49</v>
      </c>
      <c r="L1484" t="s">
        <v>4926</v>
      </c>
      <c r="M1484" t="s">
        <v>4924</v>
      </c>
      <c r="N1484">
        <v>1179</v>
      </c>
      <c r="O1484" t="s">
        <v>4927</v>
      </c>
    </row>
    <row r="1485" spans="1:15" ht="14.5">
      <c r="A1485" t="s">
        <v>29</v>
      </c>
      <c r="B1485">
        <v>1434920</v>
      </c>
      <c r="C1485">
        <v>1435714</v>
      </c>
      <c r="D1485">
        <v>1</v>
      </c>
      <c r="E1485" t="s">
        <v>47</v>
      </c>
      <c r="F1485" t="s">
        <v>741</v>
      </c>
      <c r="G1485" t="s">
        <v>4928</v>
      </c>
      <c r="I1485" t="s">
        <v>49</v>
      </c>
      <c r="L1485" t="s">
        <v>4929</v>
      </c>
      <c r="M1485" t="s">
        <v>741</v>
      </c>
      <c r="N1485">
        <v>264</v>
      </c>
      <c r="O1485" t="s">
        <v>4930</v>
      </c>
    </row>
    <row r="1486" spans="1:15" ht="14.5">
      <c r="A1486" t="s">
        <v>29</v>
      </c>
      <c r="B1486">
        <v>1435714</v>
      </c>
      <c r="C1486">
        <v>1436532</v>
      </c>
      <c r="D1486">
        <v>1</v>
      </c>
      <c r="E1486" t="s">
        <v>47</v>
      </c>
      <c r="F1486" t="s">
        <v>741</v>
      </c>
      <c r="G1486" t="s">
        <v>4931</v>
      </c>
      <c r="I1486" t="s">
        <v>49</v>
      </c>
      <c r="L1486" t="s">
        <v>4932</v>
      </c>
      <c r="M1486" t="s">
        <v>741</v>
      </c>
      <c r="N1486">
        <v>272</v>
      </c>
      <c r="O1486" t="s">
        <v>4933</v>
      </c>
    </row>
    <row r="1487" spans="1:15" ht="14.5">
      <c r="A1487" t="s">
        <v>29</v>
      </c>
      <c r="B1487">
        <v>1436536</v>
      </c>
      <c r="C1487">
        <v>1437813</v>
      </c>
      <c r="D1487">
        <v>1</v>
      </c>
      <c r="E1487" t="s">
        <v>47</v>
      </c>
      <c r="F1487" t="s">
        <v>4934</v>
      </c>
      <c r="G1487" t="s">
        <v>4935</v>
      </c>
      <c r="I1487" t="s">
        <v>49</v>
      </c>
      <c r="L1487" t="s">
        <v>4936</v>
      </c>
      <c r="M1487" t="s">
        <v>4934</v>
      </c>
      <c r="N1487">
        <v>425</v>
      </c>
      <c r="O1487" t="s">
        <v>4937</v>
      </c>
    </row>
    <row r="1488" spans="1:15" ht="14.5">
      <c r="A1488" t="s">
        <v>29</v>
      </c>
      <c r="B1488">
        <v>1437859</v>
      </c>
      <c r="C1488">
        <v>1439346</v>
      </c>
      <c r="D1488">
        <v>1</v>
      </c>
      <c r="E1488" t="s">
        <v>76</v>
      </c>
      <c r="F1488" t="s">
        <v>4938</v>
      </c>
      <c r="G1488" t="s">
        <v>4939</v>
      </c>
      <c r="I1488" t="s">
        <v>49</v>
      </c>
      <c r="L1488" t="s">
        <v>4940</v>
      </c>
      <c r="M1488" t="s">
        <v>4938</v>
      </c>
      <c r="N1488">
        <v>495</v>
      </c>
      <c r="O1488" t="s">
        <v>4941</v>
      </c>
    </row>
    <row r="1489" spans="1:15" ht="14.5">
      <c r="A1489" t="s">
        <v>29</v>
      </c>
      <c r="B1489">
        <v>1439495</v>
      </c>
      <c r="C1489">
        <v>1440235</v>
      </c>
      <c r="D1489">
        <v>1</v>
      </c>
      <c r="E1489" t="s">
        <v>76</v>
      </c>
      <c r="F1489" t="s">
        <v>4503</v>
      </c>
      <c r="G1489" t="s">
        <v>4942</v>
      </c>
      <c r="I1489" t="s">
        <v>49</v>
      </c>
      <c r="L1489" t="s">
        <v>4943</v>
      </c>
      <c r="M1489" t="s">
        <v>4503</v>
      </c>
      <c r="N1489">
        <v>246</v>
      </c>
      <c r="O1489" t="s">
        <v>4944</v>
      </c>
    </row>
    <row r="1490" spans="1:15" ht="14.5">
      <c r="A1490" t="s">
        <v>29</v>
      </c>
      <c r="B1490">
        <v>1440235</v>
      </c>
      <c r="C1490">
        <v>1442400</v>
      </c>
      <c r="D1490">
        <v>1</v>
      </c>
      <c r="E1490" t="s">
        <v>76</v>
      </c>
      <c r="F1490" t="s">
        <v>4945</v>
      </c>
      <c r="G1490" t="s">
        <v>4946</v>
      </c>
      <c r="I1490" t="s">
        <v>49</v>
      </c>
      <c r="L1490" t="s">
        <v>4947</v>
      </c>
      <c r="M1490" t="s">
        <v>4945</v>
      </c>
      <c r="N1490">
        <v>721</v>
      </c>
      <c r="O1490" t="s">
        <v>4948</v>
      </c>
    </row>
    <row r="1491" spans="1:15" ht="14.5">
      <c r="A1491" t="s">
        <v>29</v>
      </c>
      <c r="B1491">
        <v>1442573</v>
      </c>
      <c r="C1491">
        <v>1443526</v>
      </c>
      <c r="D1491">
        <v>1</v>
      </c>
      <c r="E1491" t="s">
        <v>47</v>
      </c>
      <c r="F1491" t="s">
        <v>290</v>
      </c>
      <c r="I1491" t="s">
        <v>49</v>
      </c>
      <c r="L1491" t="s">
        <v>4949</v>
      </c>
      <c r="M1491" t="s">
        <v>290</v>
      </c>
      <c r="N1491">
        <v>317</v>
      </c>
      <c r="O1491" t="s">
        <v>4950</v>
      </c>
    </row>
    <row r="1492" spans="1:15" ht="14.5">
      <c r="A1492" t="s">
        <v>29</v>
      </c>
      <c r="B1492">
        <v>1443603</v>
      </c>
      <c r="C1492">
        <v>1445591</v>
      </c>
      <c r="D1492">
        <v>1</v>
      </c>
      <c r="E1492" t="s">
        <v>47</v>
      </c>
      <c r="F1492" t="s">
        <v>4951</v>
      </c>
      <c r="G1492" t="s">
        <v>4952</v>
      </c>
      <c r="I1492" t="s">
        <v>49</v>
      </c>
      <c r="L1492" t="s">
        <v>4953</v>
      </c>
      <c r="M1492" t="s">
        <v>4951</v>
      </c>
      <c r="N1492">
        <v>662</v>
      </c>
      <c r="O1492" t="s">
        <v>4954</v>
      </c>
    </row>
    <row r="1493" spans="1:15" ht="14.5">
      <c r="A1493" t="s">
        <v>29</v>
      </c>
      <c r="B1493">
        <v>1445601</v>
      </c>
      <c r="C1493">
        <v>1445927</v>
      </c>
      <c r="D1493">
        <v>1</v>
      </c>
      <c r="E1493" t="s">
        <v>47</v>
      </c>
      <c r="F1493" t="s">
        <v>842</v>
      </c>
      <c r="I1493" t="s">
        <v>49</v>
      </c>
      <c r="L1493" t="s">
        <v>4955</v>
      </c>
      <c r="M1493" t="s">
        <v>842</v>
      </c>
      <c r="N1493">
        <v>108</v>
      </c>
      <c r="O1493" t="s">
        <v>4956</v>
      </c>
    </row>
    <row r="1494" spans="1:15" ht="14.5">
      <c r="A1494" t="s">
        <v>29</v>
      </c>
      <c r="B1494">
        <v>1445912</v>
      </c>
      <c r="C1494">
        <v>1446157</v>
      </c>
      <c r="D1494">
        <v>1</v>
      </c>
      <c r="E1494" t="s">
        <v>47</v>
      </c>
      <c r="F1494" t="s">
        <v>842</v>
      </c>
      <c r="I1494" t="s">
        <v>49</v>
      </c>
      <c r="L1494" t="s">
        <v>4957</v>
      </c>
      <c r="M1494" t="s">
        <v>842</v>
      </c>
      <c r="N1494">
        <v>81</v>
      </c>
      <c r="O1494" t="s">
        <v>4958</v>
      </c>
    </row>
    <row r="1495" spans="1:15" ht="14.5">
      <c r="A1495" t="s">
        <v>29</v>
      </c>
      <c r="B1495">
        <v>1446123</v>
      </c>
      <c r="C1495">
        <v>1446611</v>
      </c>
      <c r="D1495">
        <v>1</v>
      </c>
      <c r="E1495" t="s">
        <v>47</v>
      </c>
      <c r="F1495" t="s">
        <v>4959</v>
      </c>
      <c r="G1495" t="s">
        <v>4960</v>
      </c>
      <c r="I1495" t="s">
        <v>49</v>
      </c>
      <c r="L1495" t="s">
        <v>4961</v>
      </c>
      <c r="M1495" t="s">
        <v>4959</v>
      </c>
      <c r="N1495">
        <v>162</v>
      </c>
      <c r="O1495" t="s">
        <v>4962</v>
      </c>
    </row>
    <row r="1496" spans="1:15" ht="14.5">
      <c r="A1496" t="s">
        <v>29</v>
      </c>
      <c r="B1496">
        <v>1446685</v>
      </c>
      <c r="C1496">
        <v>1447152</v>
      </c>
      <c r="D1496">
        <v>1</v>
      </c>
      <c r="E1496" t="s">
        <v>47</v>
      </c>
      <c r="F1496" t="s">
        <v>4963</v>
      </c>
      <c r="G1496" t="s">
        <v>4964</v>
      </c>
      <c r="I1496" t="s">
        <v>49</v>
      </c>
      <c r="L1496" t="s">
        <v>4965</v>
      </c>
      <c r="M1496" t="s">
        <v>4963</v>
      </c>
      <c r="N1496">
        <v>155</v>
      </c>
      <c r="O1496" t="s">
        <v>4966</v>
      </c>
    </row>
    <row r="1497" spans="1:15" ht="14.5">
      <c r="A1497" t="s">
        <v>29</v>
      </c>
      <c r="B1497">
        <v>1447149</v>
      </c>
      <c r="C1497">
        <v>1447664</v>
      </c>
      <c r="D1497">
        <v>1</v>
      </c>
      <c r="E1497" t="s">
        <v>76</v>
      </c>
      <c r="F1497" t="s">
        <v>607</v>
      </c>
      <c r="G1497" t="s">
        <v>4967</v>
      </c>
      <c r="I1497" t="s">
        <v>49</v>
      </c>
      <c r="L1497" t="s">
        <v>4968</v>
      </c>
      <c r="M1497" t="s">
        <v>607</v>
      </c>
      <c r="N1497">
        <v>171</v>
      </c>
      <c r="O1497" t="s">
        <v>4969</v>
      </c>
    </row>
    <row r="1498" spans="1:15" ht="14.5">
      <c r="A1498" t="s">
        <v>29</v>
      </c>
      <c r="B1498">
        <v>1447676</v>
      </c>
      <c r="C1498">
        <v>1448203</v>
      </c>
      <c r="D1498">
        <v>1</v>
      </c>
      <c r="E1498" t="s">
        <v>76</v>
      </c>
      <c r="F1498" t="s">
        <v>65</v>
      </c>
      <c r="G1498" t="s">
        <v>4970</v>
      </c>
      <c r="I1498" t="s">
        <v>49</v>
      </c>
      <c r="L1498" t="s">
        <v>4971</v>
      </c>
      <c r="M1498" t="s">
        <v>65</v>
      </c>
      <c r="N1498">
        <v>175</v>
      </c>
      <c r="O1498" t="s">
        <v>4972</v>
      </c>
    </row>
    <row r="1499" spans="1:15" ht="14.5">
      <c r="A1499" t="s">
        <v>29</v>
      </c>
      <c r="B1499">
        <v>1448541</v>
      </c>
      <c r="C1499">
        <v>1449104</v>
      </c>
      <c r="D1499">
        <v>1</v>
      </c>
      <c r="E1499" t="s">
        <v>76</v>
      </c>
      <c r="F1499" t="s">
        <v>65</v>
      </c>
      <c r="G1499" t="s">
        <v>4973</v>
      </c>
      <c r="I1499" t="s">
        <v>49</v>
      </c>
      <c r="L1499" t="s">
        <v>4974</v>
      </c>
      <c r="M1499" t="s">
        <v>65</v>
      </c>
      <c r="N1499">
        <v>187</v>
      </c>
      <c r="O1499" t="s">
        <v>4975</v>
      </c>
    </row>
    <row r="1500" spans="1:15" ht="14.5">
      <c r="A1500" t="s">
        <v>29</v>
      </c>
      <c r="B1500">
        <v>1449088</v>
      </c>
      <c r="C1500">
        <v>1449639</v>
      </c>
      <c r="D1500">
        <v>1</v>
      </c>
      <c r="E1500" t="s">
        <v>76</v>
      </c>
      <c r="F1500" t="s">
        <v>4976</v>
      </c>
      <c r="G1500" t="s">
        <v>4977</v>
      </c>
      <c r="I1500" t="s">
        <v>49</v>
      </c>
      <c r="L1500" t="s">
        <v>4978</v>
      </c>
      <c r="M1500" t="s">
        <v>4976</v>
      </c>
      <c r="N1500">
        <v>183</v>
      </c>
      <c r="O1500" t="s">
        <v>4979</v>
      </c>
    </row>
    <row r="1501" spans="1:15" ht="14.5">
      <c r="A1501" t="s">
        <v>29</v>
      </c>
      <c r="B1501">
        <v>1449651</v>
      </c>
      <c r="C1501">
        <v>1450340</v>
      </c>
      <c r="D1501">
        <v>1</v>
      </c>
      <c r="E1501" t="s">
        <v>76</v>
      </c>
      <c r="F1501" t="s">
        <v>4980</v>
      </c>
      <c r="G1501" t="s">
        <v>4981</v>
      </c>
      <c r="I1501" t="s">
        <v>49</v>
      </c>
      <c r="L1501" t="s">
        <v>4982</v>
      </c>
      <c r="M1501" t="s">
        <v>4980</v>
      </c>
      <c r="N1501">
        <v>229</v>
      </c>
      <c r="O1501" t="s">
        <v>4983</v>
      </c>
    </row>
    <row r="1502" spans="1:15" ht="14.5">
      <c r="A1502" t="s">
        <v>29</v>
      </c>
      <c r="B1502">
        <v>1450570</v>
      </c>
      <c r="C1502">
        <v>1452240</v>
      </c>
      <c r="D1502">
        <v>1</v>
      </c>
      <c r="E1502" t="s">
        <v>47</v>
      </c>
      <c r="F1502" t="s">
        <v>4984</v>
      </c>
      <c r="G1502" t="s">
        <v>4985</v>
      </c>
      <c r="I1502" t="s">
        <v>49</v>
      </c>
      <c r="L1502" t="s">
        <v>4986</v>
      </c>
      <c r="M1502" t="s">
        <v>4984</v>
      </c>
      <c r="N1502">
        <v>556</v>
      </c>
      <c r="O1502" t="s">
        <v>4987</v>
      </c>
    </row>
    <row r="1503" spans="1:15" ht="14.5">
      <c r="A1503" t="s">
        <v>29</v>
      </c>
      <c r="B1503">
        <v>1452568</v>
      </c>
      <c r="C1503">
        <v>1453743</v>
      </c>
      <c r="D1503">
        <v>1</v>
      </c>
      <c r="E1503" t="s">
        <v>47</v>
      </c>
      <c r="F1503" t="s">
        <v>4988</v>
      </c>
      <c r="G1503" t="s">
        <v>4989</v>
      </c>
      <c r="I1503" t="s">
        <v>49</v>
      </c>
      <c r="L1503" t="s">
        <v>4990</v>
      </c>
      <c r="M1503" t="s">
        <v>4988</v>
      </c>
      <c r="N1503">
        <v>391</v>
      </c>
      <c r="O1503" t="s">
        <v>4991</v>
      </c>
    </row>
    <row r="1504" spans="1:15" ht="14.5">
      <c r="A1504" t="s">
        <v>29</v>
      </c>
      <c r="B1504">
        <v>1453799</v>
      </c>
      <c r="C1504">
        <v>1454503</v>
      </c>
      <c r="D1504">
        <v>1</v>
      </c>
      <c r="E1504" t="s">
        <v>47</v>
      </c>
      <c r="F1504" t="s">
        <v>1943</v>
      </c>
      <c r="G1504" t="s">
        <v>4992</v>
      </c>
      <c r="I1504" t="s">
        <v>49</v>
      </c>
      <c r="L1504" t="s">
        <v>4993</v>
      </c>
      <c r="M1504" t="s">
        <v>1943</v>
      </c>
      <c r="N1504">
        <v>234</v>
      </c>
      <c r="O1504" t="s">
        <v>4994</v>
      </c>
    </row>
    <row r="1505" spans="1:15" ht="14.5">
      <c r="A1505" t="s">
        <v>29</v>
      </c>
      <c r="B1505">
        <v>1454496</v>
      </c>
      <c r="C1505">
        <v>1455845</v>
      </c>
      <c r="D1505">
        <v>1</v>
      </c>
      <c r="E1505" t="s">
        <v>47</v>
      </c>
      <c r="F1505" t="s">
        <v>409</v>
      </c>
      <c r="G1505" t="s">
        <v>4995</v>
      </c>
      <c r="I1505" t="s">
        <v>49</v>
      </c>
      <c r="L1505" t="s">
        <v>4996</v>
      </c>
      <c r="M1505" t="s">
        <v>409</v>
      </c>
      <c r="N1505">
        <v>449</v>
      </c>
      <c r="O1505" t="s">
        <v>4997</v>
      </c>
    </row>
    <row r="1506" spans="1:15" ht="14.5">
      <c r="A1506" t="s">
        <v>29</v>
      </c>
      <c r="B1506">
        <v>1455847</v>
      </c>
      <c r="C1506">
        <v>1456656</v>
      </c>
      <c r="D1506">
        <v>1</v>
      </c>
      <c r="E1506" t="s">
        <v>47</v>
      </c>
      <c r="F1506" t="s">
        <v>3781</v>
      </c>
      <c r="G1506" t="s">
        <v>4998</v>
      </c>
      <c r="I1506" t="s">
        <v>49</v>
      </c>
      <c r="L1506" t="s">
        <v>4999</v>
      </c>
      <c r="M1506" t="s">
        <v>3781</v>
      </c>
      <c r="N1506">
        <v>269</v>
      </c>
      <c r="O1506" t="s">
        <v>5000</v>
      </c>
    </row>
    <row r="1507" spans="1:15" ht="14.5">
      <c r="A1507" t="s">
        <v>29</v>
      </c>
      <c r="B1507">
        <v>1456747</v>
      </c>
      <c r="C1507">
        <v>1456989</v>
      </c>
      <c r="D1507">
        <v>1</v>
      </c>
      <c r="E1507" t="s">
        <v>47</v>
      </c>
      <c r="F1507" t="s">
        <v>5001</v>
      </c>
      <c r="I1507" t="s">
        <v>49</v>
      </c>
      <c r="L1507" t="s">
        <v>5002</v>
      </c>
      <c r="M1507" t="s">
        <v>5001</v>
      </c>
      <c r="N1507">
        <v>80</v>
      </c>
      <c r="O1507" t="s">
        <v>5003</v>
      </c>
    </row>
    <row r="1508" spans="1:15" ht="14.5">
      <c r="A1508" t="s">
        <v>29</v>
      </c>
      <c r="B1508">
        <v>1456982</v>
      </c>
      <c r="C1508">
        <v>1457245</v>
      </c>
      <c r="D1508">
        <v>1</v>
      </c>
      <c r="E1508" t="s">
        <v>47</v>
      </c>
      <c r="F1508" t="s">
        <v>5004</v>
      </c>
      <c r="I1508" t="s">
        <v>49</v>
      </c>
      <c r="L1508" t="s">
        <v>5005</v>
      </c>
      <c r="M1508" t="s">
        <v>5004</v>
      </c>
      <c r="N1508">
        <v>87</v>
      </c>
      <c r="O1508" t="s">
        <v>5006</v>
      </c>
    </row>
    <row r="1509" spans="1:15" ht="14.5">
      <c r="A1509" t="s">
        <v>29</v>
      </c>
      <c r="B1509">
        <v>1457292</v>
      </c>
      <c r="C1509">
        <v>1458035</v>
      </c>
      <c r="D1509">
        <v>1</v>
      </c>
      <c r="E1509" t="s">
        <v>47</v>
      </c>
      <c r="F1509" t="s">
        <v>5007</v>
      </c>
      <c r="G1509" t="s">
        <v>5008</v>
      </c>
      <c r="I1509" t="s">
        <v>49</v>
      </c>
      <c r="L1509" t="s">
        <v>5009</v>
      </c>
      <c r="M1509" t="s">
        <v>5007</v>
      </c>
      <c r="N1509">
        <v>247</v>
      </c>
      <c r="O1509" t="s">
        <v>5010</v>
      </c>
    </row>
    <row r="1510" spans="1:15" ht="14.5">
      <c r="A1510" t="s">
        <v>29</v>
      </c>
      <c r="B1510">
        <v>1458325</v>
      </c>
      <c r="C1510">
        <v>1459311</v>
      </c>
      <c r="D1510">
        <v>1</v>
      </c>
      <c r="E1510" t="s">
        <v>76</v>
      </c>
      <c r="F1510" t="s">
        <v>5011</v>
      </c>
      <c r="G1510" t="s">
        <v>5012</v>
      </c>
      <c r="I1510" t="s">
        <v>49</v>
      </c>
      <c r="L1510" t="s">
        <v>5013</v>
      </c>
      <c r="M1510" t="s">
        <v>5011</v>
      </c>
      <c r="N1510">
        <v>328</v>
      </c>
      <c r="O1510" t="s">
        <v>5014</v>
      </c>
    </row>
    <row r="1511" spans="1:15" ht="14.5">
      <c r="A1511" t="s">
        <v>29</v>
      </c>
      <c r="B1511">
        <v>1459505</v>
      </c>
      <c r="C1511">
        <v>1461973</v>
      </c>
      <c r="D1511">
        <v>1</v>
      </c>
      <c r="E1511" t="s">
        <v>47</v>
      </c>
      <c r="F1511" t="s">
        <v>5015</v>
      </c>
      <c r="G1511" t="s">
        <v>5016</v>
      </c>
      <c r="I1511" t="s">
        <v>49</v>
      </c>
      <c r="L1511" t="s">
        <v>5017</v>
      </c>
      <c r="M1511" t="s">
        <v>5015</v>
      </c>
      <c r="N1511">
        <v>822</v>
      </c>
      <c r="O1511" t="s">
        <v>5018</v>
      </c>
    </row>
    <row r="1512" spans="1:15" ht="14.5">
      <c r="A1512" t="s">
        <v>29</v>
      </c>
      <c r="B1512">
        <v>1461973</v>
      </c>
      <c r="C1512">
        <v>1462716</v>
      </c>
      <c r="D1512">
        <v>1</v>
      </c>
      <c r="E1512" t="s">
        <v>47</v>
      </c>
      <c r="F1512" t="s">
        <v>5019</v>
      </c>
      <c r="G1512" t="s">
        <v>5020</v>
      </c>
      <c r="I1512" t="s">
        <v>49</v>
      </c>
      <c r="L1512" t="s">
        <v>5021</v>
      </c>
      <c r="M1512" t="s">
        <v>5019</v>
      </c>
      <c r="N1512">
        <v>247</v>
      </c>
      <c r="O1512" t="s">
        <v>5022</v>
      </c>
    </row>
    <row r="1513" spans="1:15" ht="14.5">
      <c r="A1513" t="s">
        <v>29</v>
      </c>
      <c r="B1513">
        <v>1462960</v>
      </c>
      <c r="C1513">
        <v>1463757</v>
      </c>
      <c r="D1513">
        <v>1</v>
      </c>
      <c r="E1513" t="s">
        <v>47</v>
      </c>
      <c r="F1513" t="s">
        <v>5023</v>
      </c>
      <c r="I1513" t="s">
        <v>49</v>
      </c>
      <c r="L1513" t="s">
        <v>5024</v>
      </c>
      <c r="M1513" t="s">
        <v>5023</v>
      </c>
      <c r="N1513">
        <v>265</v>
      </c>
      <c r="O1513" t="s">
        <v>5025</v>
      </c>
    </row>
    <row r="1514" spans="1:15" ht="14.5">
      <c r="A1514" t="s">
        <v>29</v>
      </c>
      <c r="B1514">
        <v>1463905</v>
      </c>
      <c r="C1514">
        <v>1464027</v>
      </c>
      <c r="D1514">
        <v>1</v>
      </c>
      <c r="E1514" t="s">
        <v>47</v>
      </c>
      <c r="F1514" t="s">
        <v>5026</v>
      </c>
      <c r="I1514" t="s">
        <v>49</v>
      </c>
      <c r="L1514" t="s">
        <v>5027</v>
      </c>
      <c r="M1514" t="s">
        <v>5026</v>
      </c>
      <c r="N1514">
        <v>40</v>
      </c>
      <c r="O1514" t="s">
        <v>5028</v>
      </c>
    </row>
    <row r="1515" spans="1:15" ht="14.5">
      <c r="A1515" t="s">
        <v>29</v>
      </c>
      <c r="B1515">
        <v>1464049</v>
      </c>
      <c r="C1515">
        <v>1465164</v>
      </c>
      <c r="D1515">
        <v>1</v>
      </c>
      <c r="E1515" t="s">
        <v>47</v>
      </c>
      <c r="F1515" t="s">
        <v>5026</v>
      </c>
      <c r="G1515" t="s">
        <v>5029</v>
      </c>
      <c r="I1515" t="s">
        <v>49</v>
      </c>
      <c r="L1515" t="s">
        <v>5030</v>
      </c>
      <c r="M1515" t="s">
        <v>5026</v>
      </c>
      <c r="N1515">
        <v>371</v>
      </c>
      <c r="O1515" t="s">
        <v>5031</v>
      </c>
    </row>
    <row r="1516" spans="1:15" ht="14.5">
      <c r="A1516" t="s">
        <v>29</v>
      </c>
      <c r="B1516">
        <v>1465260</v>
      </c>
      <c r="C1516">
        <v>1466534</v>
      </c>
      <c r="D1516">
        <v>1</v>
      </c>
      <c r="E1516" t="s">
        <v>47</v>
      </c>
      <c r="F1516" t="s">
        <v>5032</v>
      </c>
      <c r="I1516" t="s">
        <v>49</v>
      </c>
      <c r="L1516" t="s">
        <v>5033</v>
      </c>
      <c r="M1516" t="s">
        <v>5032</v>
      </c>
      <c r="N1516">
        <v>424</v>
      </c>
      <c r="O1516" t="s">
        <v>5034</v>
      </c>
    </row>
    <row r="1517" spans="1:15" ht="14.5">
      <c r="A1517" t="s">
        <v>29</v>
      </c>
      <c r="B1517">
        <v>1466544</v>
      </c>
      <c r="C1517">
        <v>1467422</v>
      </c>
      <c r="D1517">
        <v>1</v>
      </c>
      <c r="E1517" t="s">
        <v>47</v>
      </c>
      <c r="F1517" t="s">
        <v>5035</v>
      </c>
      <c r="G1517" t="s">
        <v>5036</v>
      </c>
      <c r="I1517" t="s">
        <v>49</v>
      </c>
      <c r="L1517" t="s">
        <v>5037</v>
      </c>
      <c r="M1517" t="s">
        <v>5035</v>
      </c>
      <c r="N1517">
        <v>292</v>
      </c>
      <c r="O1517" t="s">
        <v>5038</v>
      </c>
    </row>
    <row r="1518" spans="1:15" ht="14.5">
      <c r="A1518" t="s">
        <v>29</v>
      </c>
      <c r="B1518">
        <v>1467571</v>
      </c>
      <c r="C1518">
        <v>1467666</v>
      </c>
      <c r="D1518">
        <v>1</v>
      </c>
      <c r="E1518" t="s">
        <v>47</v>
      </c>
      <c r="F1518" t="s">
        <v>1297</v>
      </c>
      <c r="I1518" t="s">
        <v>49</v>
      </c>
      <c r="L1518" t="s">
        <v>5039</v>
      </c>
      <c r="M1518" t="s">
        <v>1297</v>
      </c>
      <c r="N1518">
        <v>31</v>
      </c>
      <c r="O1518" t="s">
        <v>5040</v>
      </c>
    </row>
    <row r="1519" spans="1:15" ht="14.5">
      <c r="A1519" t="s">
        <v>29</v>
      </c>
      <c r="B1519">
        <v>1467663</v>
      </c>
      <c r="C1519">
        <v>1467965</v>
      </c>
      <c r="D1519">
        <v>1</v>
      </c>
      <c r="E1519" t="s">
        <v>47</v>
      </c>
      <c r="F1519" t="s">
        <v>5041</v>
      </c>
      <c r="I1519" t="s">
        <v>49</v>
      </c>
      <c r="L1519" t="s">
        <v>5042</v>
      </c>
      <c r="M1519" t="s">
        <v>5041</v>
      </c>
      <c r="N1519">
        <v>100</v>
      </c>
      <c r="O1519" t="s">
        <v>5043</v>
      </c>
    </row>
    <row r="1520" spans="1:15" ht="14.5">
      <c r="A1520" t="s">
        <v>29</v>
      </c>
      <c r="B1520">
        <v>1468073</v>
      </c>
      <c r="C1520">
        <v>1468711</v>
      </c>
      <c r="D1520">
        <v>1</v>
      </c>
      <c r="E1520" t="s">
        <v>47</v>
      </c>
      <c r="F1520" t="s">
        <v>5044</v>
      </c>
      <c r="G1520" t="s">
        <v>5045</v>
      </c>
      <c r="I1520" t="s">
        <v>49</v>
      </c>
      <c r="L1520" t="s">
        <v>5046</v>
      </c>
      <c r="M1520" t="s">
        <v>5044</v>
      </c>
      <c r="N1520">
        <v>212</v>
      </c>
      <c r="O1520" t="s">
        <v>5047</v>
      </c>
    </row>
    <row r="1521" spans="1:15" ht="14.5">
      <c r="A1521" t="s">
        <v>29</v>
      </c>
      <c r="B1521">
        <v>1468839</v>
      </c>
      <c r="C1521">
        <v>1470179</v>
      </c>
      <c r="D1521">
        <v>1</v>
      </c>
      <c r="E1521" t="s">
        <v>47</v>
      </c>
      <c r="F1521" t="s">
        <v>5048</v>
      </c>
      <c r="G1521" t="s">
        <v>5049</v>
      </c>
      <c r="I1521" t="s">
        <v>49</v>
      </c>
      <c r="L1521" t="s">
        <v>5050</v>
      </c>
      <c r="M1521" t="s">
        <v>5048</v>
      </c>
      <c r="N1521">
        <v>446</v>
      </c>
      <c r="O1521" t="s">
        <v>5051</v>
      </c>
    </row>
    <row r="1522" spans="1:15" ht="14.5">
      <c r="A1522" t="s">
        <v>29</v>
      </c>
      <c r="B1522">
        <v>1470157</v>
      </c>
      <c r="C1522">
        <v>1470369</v>
      </c>
      <c r="D1522">
        <v>1</v>
      </c>
      <c r="E1522" t="s">
        <v>47</v>
      </c>
      <c r="F1522" t="s">
        <v>5052</v>
      </c>
      <c r="G1522" t="s">
        <v>5053</v>
      </c>
      <c r="I1522" t="s">
        <v>49</v>
      </c>
      <c r="L1522" t="s">
        <v>5054</v>
      </c>
      <c r="M1522" t="s">
        <v>5052</v>
      </c>
      <c r="N1522">
        <v>70</v>
      </c>
      <c r="O1522" t="s">
        <v>5055</v>
      </c>
    </row>
    <row r="1523" spans="1:15" ht="14.5">
      <c r="A1523" t="s">
        <v>29</v>
      </c>
      <c r="B1523">
        <v>1470366</v>
      </c>
      <c r="C1523">
        <v>1471241</v>
      </c>
      <c r="D1523">
        <v>1</v>
      </c>
      <c r="E1523" t="s">
        <v>47</v>
      </c>
      <c r="F1523" t="s">
        <v>5056</v>
      </c>
      <c r="G1523" t="s">
        <v>5057</v>
      </c>
      <c r="I1523" t="s">
        <v>49</v>
      </c>
      <c r="L1523" t="s">
        <v>5058</v>
      </c>
      <c r="M1523" t="s">
        <v>5056</v>
      </c>
      <c r="N1523">
        <v>291</v>
      </c>
      <c r="O1523" t="s">
        <v>5059</v>
      </c>
    </row>
    <row r="1524" spans="1:15" ht="14.5">
      <c r="A1524" t="s">
        <v>29</v>
      </c>
      <c r="B1524">
        <v>1471234</v>
      </c>
      <c r="C1524">
        <v>1472049</v>
      </c>
      <c r="D1524">
        <v>1</v>
      </c>
      <c r="E1524" t="s">
        <v>47</v>
      </c>
      <c r="F1524" t="s">
        <v>5060</v>
      </c>
      <c r="G1524" t="s">
        <v>5061</v>
      </c>
      <c r="I1524" t="s">
        <v>49</v>
      </c>
      <c r="L1524" t="s">
        <v>5062</v>
      </c>
      <c r="M1524" t="s">
        <v>5060</v>
      </c>
      <c r="N1524">
        <v>271</v>
      </c>
      <c r="O1524" t="s">
        <v>5063</v>
      </c>
    </row>
    <row r="1525" spans="1:15" ht="14.5">
      <c r="A1525" t="s">
        <v>29</v>
      </c>
      <c r="B1525">
        <v>1472081</v>
      </c>
      <c r="C1525">
        <v>1472473</v>
      </c>
      <c r="D1525">
        <v>1</v>
      </c>
      <c r="E1525" t="s">
        <v>47</v>
      </c>
      <c r="F1525" t="s">
        <v>5064</v>
      </c>
      <c r="G1525" t="s">
        <v>5065</v>
      </c>
      <c r="I1525" t="s">
        <v>49</v>
      </c>
      <c r="L1525" t="s">
        <v>5066</v>
      </c>
      <c r="M1525" t="s">
        <v>5064</v>
      </c>
      <c r="N1525">
        <v>130</v>
      </c>
      <c r="O1525" t="s">
        <v>5067</v>
      </c>
    </row>
    <row r="1526" spans="1:15" ht="14.5">
      <c r="A1526" t="s">
        <v>29</v>
      </c>
      <c r="B1526">
        <v>1472480</v>
      </c>
      <c r="C1526">
        <v>1474147</v>
      </c>
      <c r="D1526">
        <v>1</v>
      </c>
      <c r="E1526" t="s">
        <v>47</v>
      </c>
      <c r="F1526" t="s">
        <v>5068</v>
      </c>
      <c r="G1526" t="s">
        <v>5069</v>
      </c>
      <c r="I1526" t="s">
        <v>49</v>
      </c>
      <c r="L1526" t="s">
        <v>5070</v>
      </c>
      <c r="M1526" t="s">
        <v>5068</v>
      </c>
      <c r="N1526">
        <v>555</v>
      </c>
      <c r="O1526" t="s">
        <v>5071</v>
      </c>
    </row>
    <row r="1527" spans="1:15" ht="14.5">
      <c r="A1527" t="s">
        <v>29</v>
      </c>
      <c r="B1527">
        <v>1474149</v>
      </c>
      <c r="C1527">
        <v>1474877</v>
      </c>
      <c r="D1527">
        <v>1</v>
      </c>
      <c r="E1527" t="s">
        <v>47</v>
      </c>
      <c r="F1527" t="s">
        <v>5072</v>
      </c>
      <c r="G1527" t="s">
        <v>5073</v>
      </c>
      <c r="I1527" t="s">
        <v>49</v>
      </c>
      <c r="L1527" t="s">
        <v>5074</v>
      </c>
      <c r="M1527" t="s">
        <v>5072</v>
      </c>
      <c r="N1527">
        <v>242</v>
      </c>
      <c r="O1527" t="s">
        <v>5075</v>
      </c>
    </row>
    <row r="1528" spans="1:15" ht="14.5">
      <c r="A1528" t="s">
        <v>29</v>
      </c>
      <c r="B1528">
        <v>1474956</v>
      </c>
      <c r="C1528">
        <v>1476779</v>
      </c>
      <c r="D1528">
        <v>1</v>
      </c>
      <c r="E1528" t="s">
        <v>47</v>
      </c>
      <c r="F1528" t="s">
        <v>5076</v>
      </c>
      <c r="G1528" t="s">
        <v>5077</v>
      </c>
      <c r="I1528" t="s">
        <v>49</v>
      </c>
      <c r="L1528" t="s">
        <v>5078</v>
      </c>
      <c r="M1528" t="s">
        <v>5076</v>
      </c>
      <c r="N1528">
        <v>607</v>
      </c>
      <c r="O1528" t="s">
        <v>5079</v>
      </c>
    </row>
    <row r="1529" spans="1:15" ht="14.5">
      <c r="A1529" t="s">
        <v>29</v>
      </c>
      <c r="B1529">
        <v>1477191</v>
      </c>
      <c r="C1529">
        <v>1477295</v>
      </c>
      <c r="D1529">
        <v>1</v>
      </c>
      <c r="E1529" t="s">
        <v>47</v>
      </c>
      <c r="F1529" t="s">
        <v>2508</v>
      </c>
      <c r="I1529" t="s">
        <v>49</v>
      </c>
      <c r="L1529" t="s">
        <v>5080</v>
      </c>
      <c r="M1529" t="s">
        <v>2508</v>
      </c>
      <c r="N1529">
        <v>34</v>
      </c>
      <c r="O1529" t="s">
        <v>5081</v>
      </c>
    </row>
    <row r="1530" spans="1:15" ht="14.5">
      <c r="A1530" t="s">
        <v>29</v>
      </c>
      <c r="B1530">
        <v>1477362</v>
      </c>
      <c r="C1530">
        <v>1477667</v>
      </c>
      <c r="D1530">
        <v>1</v>
      </c>
      <c r="E1530" t="s">
        <v>47</v>
      </c>
      <c r="F1530" t="s">
        <v>1406</v>
      </c>
      <c r="I1530" t="s">
        <v>49</v>
      </c>
      <c r="L1530" t="s">
        <v>5082</v>
      </c>
      <c r="M1530" t="s">
        <v>1406</v>
      </c>
      <c r="N1530">
        <v>101</v>
      </c>
      <c r="O1530" t="s">
        <v>5083</v>
      </c>
    </row>
    <row r="1531" spans="1:15" ht="14.5">
      <c r="A1531" t="s">
        <v>29</v>
      </c>
      <c r="B1531">
        <v>1477705</v>
      </c>
      <c r="C1531">
        <v>1477995</v>
      </c>
      <c r="D1531">
        <v>1</v>
      </c>
      <c r="E1531" t="s">
        <v>47</v>
      </c>
      <c r="F1531" t="s">
        <v>5084</v>
      </c>
      <c r="I1531" t="s">
        <v>49</v>
      </c>
      <c r="L1531" t="s">
        <v>5085</v>
      </c>
      <c r="M1531" t="s">
        <v>5084</v>
      </c>
      <c r="N1531">
        <v>96</v>
      </c>
      <c r="O1531" t="s">
        <v>5086</v>
      </c>
    </row>
    <row r="1532" spans="1:15" ht="14.5">
      <c r="A1532" t="s">
        <v>29</v>
      </c>
      <c r="B1532">
        <v>1478015</v>
      </c>
      <c r="C1532">
        <v>1478338</v>
      </c>
      <c r="D1532">
        <v>1</v>
      </c>
      <c r="E1532" t="s">
        <v>47</v>
      </c>
      <c r="F1532" t="s">
        <v>5087</v>
      </c>
      <c r="I1532" t="s">
        <v>49</v>
      </c>
      <c r="L1532" t="s">
        <v>5088</v>
      </c>
      <c r="M1532" t="s">
        <v>5087</v>
      </c>
      <c r="N1532">
        <v>107</v>
      </c>
      <c r="O1532" t="s">
        <v>5089</v>
      </c>
    </row>
    <row r="1533" spans="1:15" ht="14.5">
      <c r="A1533" t="s">
        <v>29</v>
      </c>
      <c r="B1533">
        <v>1478356</v>
      </c>
      <c r="C1533">
        <v>1478820</v>
      </c>
      <c r="D1533">
        <v>1</v>
      </c>
      <c r="E1533" t="s">
        <v>47</v>
      </c>
      <c r="F1533" t="s">
        <v>483</v>
      </c>
      <c r="I1533" t="s">
        <v>49</v>
      </c>
      <c r="L1533" t="s">
        <v>5090</v>
      </c>
      <c r="M1533" t="s">
        <v>483</v>
      </c>
      <c r="N1533">
        <v>154</v>
      </c>
      <c r="O1533" t="s">
        <v>5091</v>
      </c>
    </row>
    <row r="1534" spans="1:15" ht="14.5">
      <c r="A1534" t="s">
        <v>29</v>
      </c>
      <c r="B1534">
        <v>1479012</v>
      </c>
      <c r="C1534">
        <v>1481303</v>
      </c>
      <c r="D1534">
        <v>1</v>
      </c>
      <c r="E1534" t="s">
        <v>47</v>
      </c>
      <c r="F1534" t="s">
        <v>5092</v>
      </c>
      <c r="G1534" t="s">
        <v>5093</v>
      </c>
      <c r="I1534" t="s">
        <v>49</v>
      </c>
      <c r="L1534" t="s">
        <v>5094</v>
      </c>
      <c r="M1534" t="s">
        <v>5092</v>
      </c>
      <c r="N1534">
        <v>763</v>
      </c>
      <c r="O1534" t="s">
        <v>5095</v>
      </c>
    </row>
    <row r="1535" spans="1:15" ht="14.5">
      <c r="A1535" t="s">
        <v>29</v>
      </c>
      <c r="B1535">
        <v>1481346</v>
      </c>
      <c r="C1535">
        <v>1482026</v>
      </c>
      <c r="D1535">
        <v>1</v>
      </c>
      <c r="E1535" t="s">
        <v>47</v>
      </c>
      <c r="F1535" t="s">
        <v>5096</v>
      </c>
      <c r="G1535" t="s">
        <v>5097</v>
      </c>
      <c r="I1535" t="s">
        <v>49</v>
      </c>
      <c r="L1535" t="s">
        <v>5098</v>
      </c>
      <c r="M1535" t="s">
        <v>5096</v>
      </c>
      <c r="N1535">
        <v>226</v>
      </c>
      <c r="O1535" t="s">
        <v>5099</v>
      </c>
    </row>
    <row r="1536" spans="1:15" ht="14.5">
      <c r="A1536" t="s">
        <v>29</v>
      </c>
      <c r="B1536">
        <v>1482023</v>
      </c>
      <c r="C1536">
        <v>1482712</v>
      </c>
      <c r="D1536">
        <v>1</v>
      </c>
      <c r="E1536" t="s">
        <v>76</v>
      </c>
      <c r="F1536" t="s">
        <v>5100</v>
      </c>
      <c r="I1536" t="s">
        <v>49</v>
      </c>
      <c r="L1536" t="s">
        <v>5101</v>
      </c>
      <c r="M1536" t="s">
        <v>5100</v>
      </c>
      <c r="N1536">
        <v>229</v>
      </c>
      <c r="O1536" t="s">
        <v>5102</v>
      </c>
    </row>
    <row r="1537" spans="1:15" ht="14.5">
      <c r="A1537" t="s">
        <v>29</v>
      </c>
      <c r="B1537">
        <v>1482730</v>
      </c>
      <c r="C1537">
        <v>1483371</v>
      </c>
      <c r="D1537">
        <v>1</v>
      </c>
      <c r="E1537" t="s">
        <v>76</v>
      </c>
      <c r="F1537" t="s">
        <v>1555</v>
      </c>
      <c r="G1537" t="s">
        <v>5103</v>
      </c>
      <c r="I1537" t="s">
        <v>49</v>
      </c>
      <c r="L1537" t="s">
        <v>5104</v>
      </c>
      <c r="M1537" t="s">
        <v>1555</v>
      </c>
      <c r="N1537">
        <v>213</v>
      </c>
      <c r="O1537" t="s">
        <v>5105</v>
      </c>
    </row>
    <row r="1538" spans="1:15" ht="14.5">
      <c r="A1538" t="s">
        <v>29</v>
      </c>
      <c r="B1538">
        <v>1483454</v>
      </c>
      <c r="C1538">
        <v>1483669</v>
      </c>
      <c r="D1538">
        <v>1</v>
      </c>
      <c r="E1538" t="s">
        <v>76</v>
      </c>
      <c r="F1538" t="s">
        <v>176</v>
      </c>
      <c r="I1538" t="s">
        <v>49</v>
      </c>
      <c r="L1538" t="s">
        <v>5106</v>
      </c>
      <c r="M1538" t="s">
        <v>176</v>
      </c>
      <c r="N1538">
        <v>71</v>
      </c>
      <c r="O1538" t="s">
        <v>5107</v>
      </c>
    </row>
    <row r="1539" spans="1:15" ht="14.5">
      <c r="A1539" t="s">
        <v>29</v>
      </c>
      <c r="B1539">
        <v>1483677</v>
      </c>
      <c r="C1539">
        <v>1484024</v>
      </c>
      <c r="D1539">
        <v>1</v>
      </c>
      <c r="E1539" t="s">
        <v>76</v>
      </c>
      <c r="F1539" t="s">
        <v>5108</v>
      </c>
      <c r="I1539" t="s">
        <v>49</v>
      </c>
      <c r="L1539" t="s">
        <v>5109</v>
      </c>
      <c r="M1539" t="s">
        <v>5108</v>
      </c>
      <c r="N1539">
        <v>115</v>
      </c>
      <c r="O1539" t="s">
        <v>5110</v>
      </c>
    </row>
    <row r="1540" spans="1:15" ht="14.5">
      <c r="A1540" t="s">
        <v>29</v>
      </c>
      <c r="B1540">
        <v>1484029</v>
      </c>
      <c r="C1540">
        <v>1485144</v>
      </c>
      <c r="D1540">
        <v>1</v>
      </c>
      <c r="E1540" t="s">
        <v>76</v>
      </c>
      <c r="F1540" t="s">
        <v>5111</v>
      </c>
      <c r="G1540" t="s">
        <v>5112</v>
      </c>
      <c r="I1540" t="s">
        <v>49</v>
      </c>
      <c r="L1540" t="s">
        <v>5113</v>
      </c>
      <c r="M1540" t="s">
        <v>5111</v>
      </c>
      <c r="N1540">
        <v>371</v>
      </c>
      <c r="O1540" t="s">
        <v>5114</v>
      </c>
    </row>
    <row r="1541" spans="1:15" ht="14.5">
      <c r="A1541" t="s">
        <v>29</v>
      </c>
      <c r="B1541">
        <v>1485154</v>
      </c>
      <c r="C1541">
        <v>1486113</v>
      </c>
      <c r="D1541">
        <v>1</v>
      </c>
      <c r="E1541" t="s">
        <v>76</v>
      </c>
      <c r="F1541" t="s">
        <v>1529</v>
      </c>
      <c r="G1541" t="s">
        <v>5115</v>
      </c>
      <c r="I1541" t="s">
        <v>49</v>
      </c>
      <c r="L1541" t="s">
        <v>5116</v>
      </c>
      <c r="M1541" t="s">
        <v>1529</v>
      </c>
      <c r="N1541">
        <v>319</v>
      </c>
      <c r="O1541" t="s">
        <v>5117</v>
      </c>
    </row>
    <row r="1542" spans="1:15" ht="14.5">
      <c r="A1542" t="s">
        <v>29</v>
      </c>
      <c r="B1542">
        <v>1486226</v>
      </c>
      <c r="C1542">
        <v>1486795</v>
      </c>
      <c r="D1542">
        <v>1</v>
      </c>
      <c r="E1542" t="s">
        <v>76</v>
      </c>
      <c r="F1542" t="s">
        <v>5118</v>
      </c>
      <c r="G1542" t="s">
        <v>5119</v>
      </c>
      <c r="I1542" t="s">
        <v>49</v>
      </c>
      <c r="L1542" t="s">
        <v>5120</v>
      </c>
      <c r="M1542" t="s">
        <v>5118</v>
      </c>
      <c r="N1542">
        <v>189</v>
      </c>
      <c r="O1542" t="s">
        <v>5121</v>
      </c>
    </row>
    <row r="1543" spans="1:15" ht="14.5">
      <c r="A1543" t="s">
        <v>29</v>
      </c>
      <c r="B1543">
        <v>1486923</v>
      </c>
      <c r="C1543">
        <v>1487594</v>
      </c>
      <c r="D1543">
        <v>1</v>
      </c>
      <c r="E1543" t="s">
        <v>47</v>
      </c>
      <c r="F1543" t="s">
        <v>5122</v>
      </c>
      <c r="G1543" t="s">
        <v>5123</v>
      </c>
      <c r="I1543" t="s">
        <v>49</v>
      </c>
      <c r="L1543" t="s">
        <v>5124</v>
      </c>
      <c r="M1543" t="s">
        <v>5122</v>
      </c>
      <c r="N1543">
        <v>223</v>
      </c>
      <c r="O1543" t="s">
        <v>5125</v>
      </c>
    </row>
    <row r="1544" spans="1:15" ht="14.5">
      <c r="A1544" t="s">
        <v>29</v>
      </c>
      <c r="B1544">
        <v>1487578</v>
      </c>
      <c r="C1544">
        <v>1488396</v>
      </c>
      <c r="D1544">
        <v>1</v>
      </c>
      <c r="E1544" t="s">
        <v>47</v>
      </c>
      <c r="F1544" t="s">
        <v>5126</v>
      </c>
      <c r="G1544" t="s">
        <v>5127</v>
      </c>
      <c r="I1544" t="s">
        <v>49</v>
      </c>
      <c r="L1544" t="s">
        <v>5128</v>
      </c>
      <c r="M1544" t="s">
        <v>5126</v>
      </c>
      <c r="N1544">
        <v>272</v>
      </c>
      <c r="O1544" t="s">
        <v>5129</v>
      </c>
    </row>
    <row r="1545" spans="1:15" ht="14.5">
      <c r="A1545" t="s">
        <v>29</v>
      </c>
      <c r="B1545">
        <v>1488393</v>
      </c>
      <c r="C1545">
        <v>1489289</v>
      </c>
      <c r="D1545">
        <v>1</v>
      </c>
      <c r="E1545" t="s">
        <v>47</v>
      </c>
      <c r="F1545" t="s">
        <v>5130</v>
      </c>
      <c r="G1545" t="s">
        <v>5131</v>
      </c>
      <c r="I1545" t="s">
        <v>49</v>
      </c>
      <c r="L1545" t="s">
        <v>5132</v>
      </c>
      <c r="M1545" t="s">
        <v>5130</v>
      </c>
      <c r="N1545">
        <v>298</v>
      </c>
      <c r="O1545" t="s">
        <v>5133</v>
      </c>
    </row>
    <row r="1546" spans="1:15" ht="14.5">
      <c r="A1546" t="s">
        <v>29</v>
      </c>
      <c r="B1546">
        <v>1489333</v>
      </c>
      <c r="C1546">
        <v>1490307</v>
      </c>
      <c r="D1546">
        <v>1</v>
      </c>
      <c r="E1546" t="s">
        <v>47</v>
      </c>
      <c r="F1546" t="s">
        <v>5134</v>
      </c>
      <c r="G1546" t="s">
        <v>5135</v>
      </c>
      <c r="I1546" t="s">
        <v>49</v>
      </c>
      <c r="L1546" t="s">
        <v>5136</v>
      </c>
      <c r="M1546" t="s">
        <v>5134</v>
      </c>
      <c r="N1546">
        <v>324</v>
      </c>
      <c r="O1546" t="s">
        <v>5137</v>
      </c>
    </row>
    <row r="1547" spans="1:15" ht="14.5">
      <c r="A1547" t="s">
        <v>29</v>
      </c>
      <c r="B1547">
        <v>1490623</v>
      </c>
      <c r="C1547">
        <v>1491009</v>
      </c>
      <c r="D1547">
        <v>1</v>
      </c>
      <c r="E1547" t="s">
        <v>76</v>
      </c>
      <c r="F1547" t="s">
        <v>483</v>
      </c>
      <c r="I1547" t="s">
        <v>49</v>
      </c>
      <c r="L1547" t="s">
        <v>5138</v>
      </c>
      <c r="M1547" t="s">
        <v>483</v>
      </c>
      <c r="N1547">
        <v>128</v>
      </c>
      <c r="O1547" t="s">
        <v>5139</v>
      </c>
    </row>
    <row r="1548" spans="1:15" ht="14.5">
      <c r="A1548" t="s">
        <v>29</v>
      </c>
      <c r="B1548">
        <v>1491182</v>
      </c>
      <c r="C1548">
        <v>1491700</v>
      </c>
      <c r="D1548">
        <v>1</v>
      </c>
      <c r="E1548" t="s">
        <v>76</v>
      </c>
      <c r="F1548" t="s">
        <v>206</v>
      </c>
      <c r="I1548" t="s">
        <v>49</v>
      </c>
      <c r="L1548" t="s">
        <v>5140</v>
      </c>
      <c r="M1548" t="s">
        <v>206</v>
      </c>
      <c r="N1548">
        <v>172</v>
      </c>
      <c r="O1548" t="s">
        <v>5141</v>
      </c>
    </row>
    <row r="1549" spans="1:15" ht="14.5">
      <c r="A1549" t="s">
        <v>29</v>
      </c>
      <c r="B1549">
        <v>1491919</v>
      </c>
      <c r="C1549">
        <v>1492218</v>
      </c>
      <c r="D1549">
        <v>1</v>
      </c>
      <c r="E1549" t="s">
        <v>76</v>
      </c>
      <c r="F1549" t="s">
        <v>2875</v>
      </c>
      <c r="I1549" t="s">
        <v>49</v>
      </c>
      <c r="L1549" t="s">
        <v>5142</v>
      </c>
      <c r="M1549" t="s">
        <v>2875</v>
      </c>
      <c r="N1549">
        <v>99</v>
      </c>
      <c r="O1549" t="s">
        <v>5143</v>
      </c>
    </row>
    <row r="1550" spans="1:15" ht="14.5">
      <c r="A1550" t="s">
        <v>29</v>
      </c>
      <c r="B1550">
        <v>1492709</v>
      </c>
      <c r="C1550">
        <v>1493287</v>
      </c>
      <c r="D1550">
        <v>1</v>
      </c>
      <c r="E1550" t="s">
        <v>47</v>
      </c>
      <c r="F1550" t="s">
        <v>218</v>
      </c>
      <c r="I1550" t="s">
        <v>49</v>
      </c>
      <c r="L1550" t="s">
        <v>5144</v>
      </c>
      <c r="M1550" t="s">
        <v>218</v>
      </c>
      <c r="N1550">
        <v>192</v>
      </c>
      <c r="O1550" t="s">
        <v>5145</v>
      </c>
    </row>
    <row r="1551" spans="1:15" ht="14.5">
      <c r="A1551" t="s">
        <v>29</v>
      </c>
      <c r="B1551">
        <v>1493505</v>
      </c>
      <c r="C1551">
        <v>1493819</v>
      </c>
      <c r="D1551">
        <v>1</v>
      </c>
      <c r="E1551" t="s">
        <v>47</v>
      </c>
      <c r="F1551" t="s">
        <v>5146</v>
      </c>
      <c r="G1551" t="s">
        <v>5147</v>
      </c>
      <c r="I1551" t="s">
        <v>49</v>
      </c>
      <c r="L1551" t="s">
        <v>5148</v>
      </c>
      <c r="M1551" t="s">
        <v>5146</v>
      </c>
      <c r="N1551">
        <v>104</v>
      </c>
      <c r="O1551" t="s">
        <v>5149</v>
      </c>
    </row>
    <row r="1552" spans="1:15" ht="14.5">
      <c r="A1552" t="s">
        <v>29</v>
      </c>
      <c r="B1552">
        <v>1493835</v>
      </c>
      <c r="C1552">
        <v>1494179</v>
      </c>
      <c r="D1552">
        <v>1</v>
      </c>
      <c r="E1552" t="s">
        <v>47</v>
      </c>
      <c r="F1552" t="s">
        <v>5150</v>
      </c>
      <c r="I1552" t="s">
        <v>49</v>
      </c>
      <c r="L1552" t="s">
        <v>5151</v>
      </c>
      <c r="M1552" t="s">
        <v>5150</v>
      </c>
      <c r="N1552">
        <v>114</v>
      </c>
      <c r="O1552" t="s">
        <v>5152</v>
      </c>
    </row>
    <row r="1553" spans="1:15" ht="14.5">
      <c r="A1553" t="s">
        <v>29</v>
      </c>
      <c r="B1553">
        <v>1494196</v>
      </c>
      <c r="C1553">
        <v>1494489</v>
      </c>
      <c r="D1553">
        <v>1</v>
      </c>
      <c r="E1553" t="s">
        <v>47</v>
      </c>
      <c r="F1553" t="s">
        <v>5153</v>
      </c>
      <c r="G1553" t="s">
        <v>5154</v>
      </c>
      <c r="I1553" t="s">
        <v>49</v>
      </c>
      <c r="L1553" t="s">
        <v>5155</v>
      </c>
      <c r="M1553" t="s">
        <v>5153</v>
      </c>
      <c r="N1553">
        <v>97</v>
      </c>
      <c r="O1553" t="s">
        <v>5156</v>
      </c>
    </row>
    <row r="1554" spans="1:15" ht="14.5">
      <c r="A1554" t="s">
        <v>29</v>
      </c>
      <c r="B1554">
        <v>1495442</v>
      </c>
      <c r="C1554">
        <v>1496359</v>
      </c>
      <c r="D1554">
        <v>1</v>
      </c>
      <c r="E1554" t="s">
        <v>47</v>
      </c>
      <c r="F1554" t="s">
        <v>5157</v>
      </c>
      <c r="G1554" t="s">
        <v>5158</v>
      </c>
      <c r="I1554" t="s">
        <v>49</v>
      </c>
      <c r="L1554" t="s">
        <v>5159</v>
      </c>
      <c r="M1554" t="s">
        <v>5157</v>
      </c>
      <c r="N1554">
        <v>305</v>
      </c>
      <c r="O1554" t="s">
        <v>5160</v>
      </c>
    </row>
    <row r="1555" spans="1:15" ht="14.5">
      <c r="A1555" t="s">
        <v>29</v>
      </c>
      <c r="B1555">
        <v>1496452</v>
      </c>
      <c r="C1555">
        <v>1497300</v>
      </c>
      <c r="D1555">
        <v>1</v>
      </c>
      <c r="E1555" t="s">
        <v>76</v>
      </c>
      <c r="F1555" t="s">
        <v>5161</v>
      </c>
      <c r="I1555" t="s">
        <v>49</v>
      </c>
      <c r="L1555" t="s">
        <v>5162</v>
      </c>
      <c r="M1555" t="s">
        <v>5161</v>
      </c>
      <c r="N1555">
        <v>282</v>
      </c>
      <c r="O1555" t="s">
        <v>5163</v>
      </c>
    </row>
    <row r="1556" spans="1:15" ht="14.5">
      <c r="A1556" t="s">
        <v>29</v>
      </c>
      <c r="B1556">
        <v>1497442</v>
      </c>
      <c r="C1556">
        <v>1498281</v>
      </c>
      <c r="D1556">
        <v>1</v>
      </c>
      <c r="E1556" t="s">
        <v>47</v>
      </c>
      <c r="F1556" t="s">
        <v>4006</v>
      </c>
      <c r="I1556" t="s">
        <v>49</v>
      </c>
      <c r="L1556" t="s">
        <v>5164</v>
      </c>
      <c r="M1556" t="s">
        <v>4006</v>
      </c>
      <c r="N1556">
        <v>279</v>
      </c>
      <c r="O1556" t="s">
        <v>5165</v>
      </c>
    </row>
    <row r="1557" spans="1:15" ht="14.5">
      <c r="A1557" t="s">
        <v>29</v>
      </c>
      <c r="B1557">
        <v>1498388</v>
      </c>
      <c r="C1557">
        <v>1498663</v>
      </c>
      <c r="D1557">
        <v>1</v>
      </c>
      <c r="E1557" t="s">
        <v>47</v>
      </c>
      <c r="F1557" t="s">
        <v>5166</v>
      </c>
      <c r="G1557" t="s">
        <v>5167</v>
      </c>
      <c r="I1557" t="s">
        <v>49</v>
      </c>
      <c r="L1557" t="s">
        <v>5168</v>
      </c>
      <c r="M1557" t="s">
        <v>5166</v>
      </c>
      <c r="N1557">
        <v>91</v>
      </c>
      <c r="O1557" t="s">
        <v>5169</v>
      </c>
    </row>
    <row r="1558" spans="1:15" ht="14.5">
      <c r="A1558" t="s">
        <v>29</v>
      </c>
      <c r="B1558">
        <v>1499090</v>
      </c>
      <c r="C1558">
        <v>1500991</v>
      </c>
      <c r="D1558">
        <v>1</v>
      </c>
      <c r="E1558" t="s">
        <v>47</v>
      </c>
      <c r="F1558" t="s">
        <v>218</v>
      </c>
      <c r="G1558" t="s">
        <v>5170</v>
      </c>
      <c r="I1558" t="s">
        <v>49</v>
      </c>
      <c r="L1558" t="s">
        <v>5171</v>
      </c>
      <c r="M1558" t="s">
        <v>218</v>
      </c>
      <c r="N1558">
        <v>633</v>
      </c>
      <c r="O1558" t="s">
        <v>5172</v>
      </c>
    </row>
    <row r="1559" spans="1:15" ht="14.5">
      <c r="A1559" t="s">
        <v>29</v>
      </c>
      <c r="B1559">
        <v>1500994</v>
      </c>
      <c r="C1559">
        <v>1501857</v>
      </c>
      <c r="D1559">
        <v>1</v>
      </c>
      <c r="E1559" t="s">
        <v>47</v>
      </c>
      <c r="F1559" t="s">
        <v>5173</v>
      </c>
      <c r="G1559" t="s">
        <v>5174</v>
      </c>
      <c r="I1559" t="s">
        <v>49</v>
      </c>
      <c r="L1559" t="s">
        <v>5175</v>
      </c>
      <c r="M1559" t="s">
        <v>5173</v>
      </c>
      <c r="N1559">
        <v>287</v>
      </c>
      <c r="O1559" t="s">
        <v>5176</v>
      </c>
    </row>
    <row r="1560" spans="1:15" ht="14.5">
      <c r="A1560" t="s">
        <v>29</v>
      </c>
      <c r="B1560">
        <v>1501937</v>
      </c>
      <c r="C1560">
        <v>1503115</v>
      </c>
      <c r="D1560">
        <v>1</v>
      </c>
      <c r="E1560" t="s">
        <v>47</v>
      </c>
      <c r="F1560" t="s">
        <v>5177</v>
      </c>
      <c r="I1560" t="s">
        <v>49</v>
      </c>
      <c r="L1560" t="s">
        <v>5178</v>
      </c>
      <c r="M1560" t="s">
        <v>5177</v>
      </c>
      <c r="N1560">
        <v>392</v>
      </c>
      <c r="O1560" t="s">
        <v>5179</v>
      </c>
    </row>
    <row r="1561" spans="1:15" ht="14.5">
      <c r="A1561" t="s">
        <v>29</v>
      </c>
      <c r="B1561">
        <v>1503208</v>
      </c>
      <c r="C1561">
        <v>1505166</v>
      </c>
      <c r="D1561">
        <v>1</v>
      </c>
      <c r="E1561" t="s">
        <v>47</v>
      </c>
      <c r="F1561" t="s">
        <v>5180</v>
      </c>
      <c r="G1561" t="s">
        <v>5181</v>
      </c>
      <c r="I1561" t="s">
        <v>49</v>
      </c>
      <c r="L1561" t="s">
        <v>5182</v>
      </c>
      <c r="M1561" t="s">
        <v>5180</v>
      </c>
      <c r="N1561">
        <v>652</v>
      </c>
      <c r="O1561" t="s">
        <v>5183</v>
      </c>
    </row>
    <row r="1562" spans="1:15" ht="14.5">
      <c r="A1562" t="s">
        <v>29</v>
      </c>
      <c r="B1562">
        <v>1505278</v>
      </c>
      <c r="C1562">
        <v>1507557</v>
      </c>
      <c r="D1562">
        <v>1</v>
      </c>
      <c r="E1562" t="s">
        <v>47</v>
      </c>
      <c r="F1562" t="s">
        <v>803</v>
      </c>
      <c r="G1562" t="s">
        <v>5184</v>
      </c>
      <c r="I1562" t="s">
        <v>49</v>
      </c>
      <c r="L1562" t="s">
        <v>5185</v>
      </c>
      <c r="M1562" t="s">
        <v>803</v>
      </c>
      <c r="N1562">
        <v>759</v>
      </c>
      <c r="O1562" t="s">
        <v>5186</v>
      </c>
    </row>
    <row r="1563" spans="1:15" ht="14.5">
      <c r="A1563" t="s">
        <v>29</v>
      </c>
      <c r="B1563">
        <v>1508101</v>
      </c>
      <c r="C1563">
        <v>1509525</v>
      </c>
      <c r="D1563">
        <v>1</v>
      </c>
      <c r="E1563" t="s">
        <v>47</v>
      </c>
      <c r="F1563" t="s">
        <v>5187</v>
      </c>
      <c r="G1563" t="s">
        <v>5188</v>
      </c>
      <c r="I1563" t="s">
        <v>49</v>
      </c>
      <c r="L1563" t="s">
        <v>5189</v>
      </c>
      <c r="M1563" t="s">
        <v>5187</v>
      </c>
      <c r="N1563">
        <v>474</v>
      </c>
      <c r="O1563" t="s">
        <v>5190</v>
      </c>
    </row>
    <row r="1564" spans="1:15" ht="14.5">
      <c r="A1564" t="s">
        <v>29</v>
      </c>
      <c r="B1564">
        <v>1510008</v>
      </c>
      <c r="C1564">
        <v>1511936</v>
      </c>
      <c r="D1564">
        <v>1</v>
      </c>
      <c r="E1564" t="s">
        <v>47</v>
      </c>
      <c r="F1564" t="s">
        <v>5191</v>
      </c>
      <c r="G1564" t="s">
        <v>5192</v>
      </c>
      <c r="I1564" t="s">
        <v>49</v>
      </c>
      <c r="L1564" t="s">
        <v>5193</v>
      </c>
      <c r="M1564" t="s">
        <v>5191</v>
      </c>
      <c r="N1564">
        <v>642</v>
      </c>
      <c r="O1564" t="s">
        <v>5194</v>
      </c>
    </row>
    <row r="1565" spans="1:15" ht="14.5">
      <c r="A1565" t="s">
        <v>29</v>
      </c>
      <c r="B1565">
        <v>1511926</v>
      </c>
      <c r="C1565">
        <v>1513068</v>
      </c>
      <c r="D1565">
        <v>1</v>
      </c>
      <c r="E1565" t="s">
        <v>47</v>
      </c>
      <c r="F1565" t="s">
        <v>5195</v>
      </c>
      <c r="G1565" t="s">
        <v>5196</v>
      </c>
      <c r="I1565" t="s">
        <v>49</v>
      </c>
      <c r="L1565" t="s">
        <v>5197</v>
      </c>
      <c r="M1565" t="s">
        <v>5195</v>
      </c>
      <c r="N1565">
        <v>380</v>
      </c>
      <c r="O1565" t="s">
        <v>5198</v>
      </c>
    </row>
    <row r="1566" spans="1:15" ht="14.5">
      <c r="A1566" t="s">
        <v>29</v>
      </c>
      <c r="B1566">
        <v>1513058</v>
      </c>
      <c r="C1566">
        <v>1513561</v>
      </c>
      <c r="D1566">
        <v>1</v>
      </c>
      <c r="E1566" t="s">
        <v>47</v>
      </c>
      <c r="F1566" t="s">
        <v>5199</v>
      </c>
      <c r="G1566" t="s">
        <v>5200</v>
      </c>
      <c r="I1566" t="s">
        <v>49</v>
      </c>
      <c r="L1566" t="s">
        <v>5201</v>
      </c>
      <c r="M1566" t="s">
        <v>5199</v>
      </c>
      <c r="N1566">
        <v>167</v>
      </c>
      <c r="O1566" t="s">
        <v>5202</v>
      </c>
    </row>
    <row r="1567" spans="1:15" ht="14.5">
      <c r="A1567" t="s">
        <v>29</v>
      </c>
      <c r="B1567">
        <v>1513552</v>
      </c>
      <c r="C1567">
        <v>1514196</v>
      </c>
      <c r="D1567">
        <v>1</v>
      </c>
      <c r="E1567" t="s">
        <v>47</v>
      </c>
      <c r="F1567" t="s">
        <v>5199</v>
      </c>
      <c r="G1567" t="s">
        <v>5203</v>
      </c>
      <c r="I1567" t="s">
        <v>49</v>
      </c>
      <c r="L1567" t="s">
        <v>5204</v>
      </c>
      <c r="M1567" t="s">
        <v>5199</v>
      </c>
      <c r="N1567">
        <v>214</v>
      </c>
      <c r="O1567" t="s">
        <v>5205</v>
      </c>
    </row>
    <row r="1568" spans="1:15" ht="14.5">
      <c r="A1568" t="s">
        <v>29</v>
      </c>
      <c r="B1568">
        <v>1514193</v>
      </c>
      <c r="C1568">
        <v>1515626</v>
      </c>
      <c r="D1568">
        <v>1</v>
      </c>
      <c r="E1568" t="s">
        <v>47</v>
      </c>
      <c r="F1568" t="s">
        <v>5206</v>
      </c>
      <c r="G1568" t="s">
        <v>5207</v>
      </c>
      <c r="I1568" t="s">
        <v>49</v>
      </c>
      <c r="L1568" t="s">
        <v>5208</v>
      </c>
      <c r="M1568" t="s">
        <v>5206</v>
      </c>
      <c r="N1568">
        <v>477</v>
      </c>
      <c r="O1568" t="s">
        <v>5209</v>
      </c>
    </row>
    <row r="1569" spans="1:15" ht="14.5">
      <c r="A1569" t="s">
        <v>29</v>
      </c>
      <c r="B1569">
        <v>1515685</v>
      </c>
      <c r="C1569">
        <v>1516056</v>
      </c>
      <c r="D1569">
        <v>1</v>
      </c>
      <c r="E1569" t="s">
        <v>47</v>
      </c>
      <c r="F1569" t="s">
        <v>5210</v>
      </c>
      <c r="G1569" t="s">
        <v>5211</v>
      </c>
      <c r="I1569" t="s">
        <v>49</v>
      </c>
      <c r="L1569" t="s">
        <v>5212</v>
      </c>
      <c r="M1569" t="s">
        <v>5210</v>
      </c>
      <c r="N1569">
        <v>123</v>
      </c>
      <c r="O1569" t="s">
        <v>5213</v>
      </c>
    </row>
    <row r="1570" spans="1:15" ht="14.5">
      <c r="A1570" t="s">
        <v>29</v>
      </c>
      <c r="B1570">
        <v>1516339</v>
      </c>
      <c r="C1570">
        <v>1517454</v>
      </c>
      <c r="D1570">
        <v>1</v>
      </c>
      <c r="E1570" t="s">
        <v>47</v>
      </c>
      <c r="F1570" t="s">
        <v>5214</v>
      </c>
      <c r="G1570" t="s">
        <v>5215</v>
      </c>
      <c r="I1570" t="s">
        <v>49</v>
      </c>
      <c r="L1570" t="s">
        <v>5216</v>
      </c>
      <c r="M1570" t="s">
        <v>5214</v>
      </c>
      <c r="N1570">
        <v>371</v>
      </c>
      <c r="O1570" t="s">
        <v>5217</v>
      </c>
    </row>
    <row r="1571" spans="1:15" ht="14.5">
      <c r="A1571" t="s">
        <v>29</v>
      </c>
      <c r="B1571">
        <v>1517451</v>
      </c>
      <c r="C1571">
        <v>1517897</v>
      </c>
      <c r="D1571">
        <v>1</v>
      </c>
      <c r="E1571" t="s">
        <v>76</v>
      </c>
      <c r="F1571" t="s">
        <v>5218</v>
      </c>
      <c r="I1571" t="s">
        <v>49</v>
      </c>
      <c r="L1571" t="s">
        <v>5219</v>
      </c>
      <c r="M1571" t="s">
        <v>5218</v>
      </c>
      <c r="N1571">
        <v>148</v>
      </c>
      <c r="O1571" t="s">
        <v>5220</v>
      </c>
    </row>
    <row r="1572" spans="1:15" ht="14.5">
      <c r="A1572" t="s">
        <v>29</v>
      </c>
      <c r="B1572">
        <v>1518061</v>
      </c>
      <c r="C1572">
        <v>1519365</v>
      </c>
      <c r="D1572">
        <v>1</v>
      </c>
      <c r="E1572" t="s">
        <v>47</v>
      </c>
      <c r="F1572" t="s">
        <v>5221</v>
      </c>
      <c r="G1572" t="s">
        <v>5222</v>
      </c>
      <c r="I1572" t="s">
        <v>49</v>
      </c>
      <c r="L1572" t="s">
        <v>5223</v>
      </c>
      <c r="M1572" t="s">
        <v>5221</v>
      </c>
      <c r="N1572">
        <v>434</v>
      </c>
      <c r="O1572" t="s">
        <v>5224</v>
      </c>
    </row>
    <row r="1573" spans="1:15" ht="14.5">
      <c r="A1573" t="s">
        <v>29</v>
      </c>
      <c r="B1573">
        <v>1520332</v>
      </c>
      <c r="C1573">
        <v>1520682</v>
      </c>
      <c r="D1573">
        <v>1</v>
      </c>
      <c r="E1573" t="s">
        <v>76</v>
      </c>
      <c r="F1573" t="s">
        <v>559</v>
      </c>
      <c r="I1573" t="s">
        <v>49</v>
      </c>
      <c r="L1573" t="s">
        <v>5225</v>
      </c>
      <c r="M1573" t="s">
        <v>559</v>
      </c>
      <c r="N1573">
        <v>116</v>
      </c>
      <c r="O1573" t="s">
        <v>5226</v>
      </c>
    </row>
    <row r="1574" spans="1:15" ht="14.5">
      <c r="A1574" t="s">
        <v>29</v>
      </c>
      <c r="B1574">
        <v>1521208</v>
      </c>
      <c r="C1574">
        <v>1524483</v>
      </c>
      <c r="D1574">
        <v>1</v>
      </c>
      <c r="E1574" t="s">
        <v>47</v>
      </c>
      <c r="F1574" t="s">
        <v>5227</v>
      </c>
      <c r="G1574" t="s">
        <v>5228</v>
      </c>
      <c r="I1574" t="s">
        <v>49</v>
      </c>
      <c r="L1574" t="s">
        <v>5229</v>
      </c>
      <c r="M1574" t="s">
        <v>5227</v>
      </c>
      <c r="N1574">
        <v>1091</v>
      </c>
      <c r="O1574" t="s">
        <v>5230</v>
      </c>
    </row>
    <row r="1575" spans="1:15" ht="14.5">
      <c r="A1575" t="s">
        <v>29</v>
      </c>
      <c r="B1575">
        <v>1524480</v>
      </c>
      <c r="C1575">
        <v>1528130</v>
      </c>
      <c r="D1575">
        <v>1</v>
      </c>
      <c r="E1575" t="s">
        <v>47</v>
      </c>
      <c r="F1575" t="s">
        <v>5231</v>
      </c>
      <c r="G1575" t="s">
        <v>5232</v>
      </c>
      <c r="I1575" t="s">
        <v>49</v>
      </c>
      <c r="L1575" t="s">
        <v>5233</v>
      </c>
      <c r="M1575" t="s">
        <v>5231</v>
      </c>
      <c r="N1575">
        <v>1216</v>
      </c>
      <c r="O1575" t="s">
        <v>5234</v>
      </c>
    </row>
    <row r="1576" spans="1:15" ht="14.5">
      <c r="A1576" t="s">
        <v>29</v>
      </c>
      <c r="B1576">
        <v>1528300</v>
      </c>
      <c r="C1576">
        <v>1529478</v>
      </c>
      <c r="D1576">
        <v>1</v>
      </c>
      <c r="E1576" t="s">
        <v>47</v>
      </c>
      <c r="F1576" t="s">
        <v>176</v>
      </c>
      <c r="I1576" t="s">
        <v>49</v>
      </c>
      <c r="L1576" t="s">
        <v>5235</v>
      </c>
      <c r="M1576" t="s">
        <v>176</v>
      </c>
      <c r="N1576">
        <v>392</v>
      </c>
      <c r="O1576" t="s">
        <v>5236</v>
      </c>
    </row>
    <row r="1577" spans="1:15" ht="14.5">
      <c r="A1577" t="s">
        <v>29</v>
      </c>
      <c r="B1577">
        <v>1529687</v>
      </c>
      <c r="C1577">
        <v>1536166</v>
      </c>
      <c r="D1577">
        <v>1</v>
      </c>
      <c r="E1577" t="s">
        <v>47</v>
      </c>
      <c r="F1577" t="s">
        <v>5237</v>
      </c>
      <c r="G1577" t="s">
        <v>5238</v>
      </c>
      <c r="I1577" t="s">
        <v>49</v>
      </c>
      <c r="L1577" t="s">
        <v>5239</v>
      </c>
      <c r="M1577" t="s">
        <v>5237</v>
      </c>
      <c r="N1577">
        <v>2159</v>
      </c>
      <c r="O1577" t="s">
        <v>5240</v>
      </c>
    </row>
    <row r="1578" spans="1:15" ht="14.5">
      <c r="A1578" t="s">
        <v>29</v>
      </c>
      <c r="B1578">
        <v>1536210</v>
      </c>
      <c r="C1578">
        <v>1541627</v>
      </c>
      <c r="D1578">
        <v>1</v>
      </c>
      <c r="E1578" t="s">
        <v>47</v>
      </c>
      <c r="F1578" t="s">
        <v>5241</v>
      </c>
      <c r="G1578" t="s">
        <v>5242</v>
      </c>
      <c r="I1578" t="s">
        <v>49</v>
      </c>
      <c r="L1578" t="s">
        <v>5243</v>
      </c>
      <c r="M1578" t="s">
        <v>5241</v>
      </c>
      <c r="N1578">
        <v>1805</v>
      </c>
      <c r="O1578" t="s">
        <v>5244</v>
      </c>
    </row>
    <row r="1579" spans="1:15" ht="14.5">
      <c r="A1579" t="s">
        <v>29</v>
      </c>
      <c r="B1579">
        <v>1541881</v>
      </c>
      <c r="C1579">
        <v>1542732</v>
      </c>
      <c r="D1579">
        <v>1</v>
      </c>
      <c r="E1579" t="s">
        <v>47</v>
      </c>
      <c r="F1579" t="s">
        <v>3453</v>
      </c>
      <c r="G1579" t="s">
        <v>5245</v>
      </c>
      <c r="I1579" t="s">
        <v>49</v>
      </c>
      <c r="L1579" t="s">
        <v>5246</v>
      </c>
      <c r="M1579" t="s">
        <v>3453</v>
      </c>
      <c r="N1579">
        <v>283</v>
      </c>
      <c r="O1579" t="s">
        <v>5247</v>
      </c>
    </row>
    <row r="1580" spans="1:15" ht="14.5">
      <c r="A1580" t="s">
        <v>29</v>
      </c>
      <c r="B1580">
        <v>1542719</v>
      </c>
      <c r="C1580">
        <v>1543498</v>
      </c>
      <c r="D1580">
        <v>1</v>
      </c>
      <c r="E1580" t="s">
        <v>47</v>
      </c>
      <c r="F1580" t="s">
        <v>5248</v>
      </c>
      <c r="G1580" t="s">
        <v>5249</v>
      </c>
      <c r="I1580" t="s">
        <v>49</v>
      </c>
      <c r="L1580" t="s">
        <v>5250</v>
      </c>
      <c r="M1580" t="s">
        <v>5248</v>
      </c>
      <c r="N1580">
        <v>259</v>
      </c>
      <c r="O1580" t="s">
        <v>5251</v>
      </c>
    </row>
    <row r="1581" spans="1:15" ht="14.5">
      <c r="A1581" t="s">
        <v>29</v>
      </c>
      <c r="B1581">
        <v>1543514</v>
      </c>
      <c r="C1581">
        <v>1545064</v>
      </c>
      <c r="D1581">
        <v>1</v>
      </c>
      <c r="E1581" t="s">
        <v>47</v>
      </c>
      <c r="F1581" t="s">
        <v>5252</v>
      </c>
      <c r="G1581" t="s">
        <v>5253</v>
      </c>
      <c r="I1581" t="s">
        <v>49</v>
      </c>
      <c r="L1581" t="s">
        <v>5254</v>
      </c>
      <c r="M1581" t="s">
        <v>5252</v>
      </c>
      <c r="N1581">
        <v>516</v>
      </c>
      <c r="O1581" t="s">
        <v>5255</v>
      </c>
    </row>
    <row r="1582" spans="1:15" ht="14.5">
      <c r="A1582" t="s">
        <v>29</v>
      </c>
      <c r="B1582">
        <v>1545544</v>
      </c>
      <c r="C1582">
        <v>1545657</v>
      </c>
      <c r="D1582">
        <v>1</v>
      </c>
      <c r="E1582" t="s">
        <v>76</v>
      </c>
      <c r="F1582" t="s">
        <v>176</v>
      </c>
      <c r="I1582" t="s">
        <v>49</v>
      </c>
      <c r="L1582" t="s">
        <v>5256</v>
      </c>
      <c r="M1582" t="s">
        <v>176</v>
      </c>
      <c r="N1582">
        <v>37</v>
      </c>
      <c r="O1582" t="s">
        <v>5257</v>
      </c>
    </row>
    <row r="1583" spans="1:15" ht="14.5">
      <c r="A1583" t="s">
        <v>29</v>
      </c>
      <c r="B1583">
        <v>1545773</v>
      </c>
      <c r="C1583">
        <v>1546669</v>
      </c>
      <c r="D1583">
        <v>1</v>
      </c>
      <c r="E1583" t="s">
        <v>76</v>
      </c>
      <c r="F1583" t="s">
        <v>176</v>
      </c>
      <c r="I1583" t="s">
        <v>49</v>
      </c>
      <c r="L1583" t="s">
        <v>5258</v>
      </c>
      <c r="M1583" t="s">
        <v>176</v>
      </c>
      <c r="N1583">
        <v>298</v>
      </c>
      <c r="O1583" t="s">
        <v>5259</v>
      </c>
    </row>
    <row r="1584" spans="1:15" ht="14.5">
      <c r="A1584" t="s">
        <v>29</v>
      </c>
      <c r="B1584">
        <v>1546814</v>
      </c>
      <c r="C1584">
        <v>1547170</v>
      </c>
      <c r="D1584">
        <v>1</v>
      </c>
      <c r="E1584" t="s">
        <v>47</v>
      </c>
      <c r="F1584" t="s">
        <v>176</v>
      </c>
      <c r="I1584" t="s">
        <v>49</v>
      </c>
      <c r="L1584" t="s">
        <v>5260</v>
      </c>
      <c r="M1584" t="s">
        <v>176</v>
      </c>
      <c r="N1584">
        <v>118</v>
      </c>
      <c r="O1584" t="s">
        <v>5261</v>
      </c>
    </row>
    <row r="1585" spans="1:15" ht="14.5">
      <c r="A1585" t="s">
        <v>29</v>
      </c>
      <c r="B1585">
        <v>1547245</v>
      </c>
      <c r="C1585">
        <v>1548561</v>
      </c>
      <c r="D1585">
        <v>1</v>
      </c>
      <c r="E1585" t="s">
        <v>76</v>
      </c>
      <c r="F1585" t="s">
        <v>3093</v>
      </c>
      <c r="G1585" t="s">
        <v>5262</v>
      </c>
      <c r="I1585" t="s">
        <v>49</v>
      </c>
      <c r="L1585" t="s">
        <v>5263</v>
      </c>
      <c r="M1585" t="s">
        <v>3093</v>
      </c>
      <c r="N1585">
        <v>438</v>
      </c>
      <c r="O1585" t="s">
        <v>5264</v>
      </c>
    </row>
    <row r="1586" spans="1:15" ht="14.5">
      <c r="A1586" t="s">
        <v>29</v>
      </c>
      <c r="B1586">
        <v>1548680</v>
      </c>
      <c r="C1586">
        <v>1549369</v>
      </c>
      <c r="D1586">
        <v>1</v>
      </c>
      <c r="E1586" t="s">
        <v>76</v>
      </c>
      <c r="F1586" t="s">
        <v>5265</v>
      </c>
      <c r="I1586" t="s">
        <v>49</v>
      </c>
      <c r="L1586" t="s">
        <v>5266</v>
      </c>
      <c r="M1586" t="s">
        <v>5265</v>
      </c>
      <c r="N1586">
        <v>229</v>
      </c>
      <c r="O1586" t="s">
        <v>5267</v>
      </c>
    </row>
    <row r="1587" spans="1:15" ht="14.5">
      <c r="A1587" t="s">
        <v>29</v>
      </c>
      <c r="B1587">
        <v>1549511</v>
      </c>
      <c r="C1587">
        <v>1550329</v>
      </c>
      <c r="D1587">
        <v>1</v>
      </c>
      <c r="E1587" t="s">
        <v>47</v>
      </c>
      <c r="F1587" t="s">
        <v>176</v>
      </c>
      <c r="I1587" t="s">
        <v>49</v>
      </c>
      <c r="L1587" t="s">
        <v>5268</v>
      </c>
      <c r="M1587" t="s">
        <v>176</v>
      </c>
      <c r="N1587">
        <v>272</v>
      </c>
      <c r="O1587" t="s">
        <v>5269</v>
      </c>
    </row>
    <row r="1588" spans="1:15" ht="14.5">
      <c r="A1588" t="s">
        <v>29</v>
      </c>
      <c r="B1588">
        <v>1550792</v>
      </c>
      <c r="C1588">
        <v>1551862</v>
      </c>
      <c r="D1588">
        <v>1</v>
      </c>
      <c r="E1588" t="s">
        <v>47</v>
      </c>
      <c r="F1588" t="s">
        <v>5270</v>
      </c>
      <c r="G1588" t="s">
        <v>5271</v>
      </c>
      <c r="I1588" t="s">
        <v>49</v>
      </c>
      <c r="L1588" t="s">
        <v>5272</v>
      </c>
      <c r="M1588" t="s">
        <v>5270</v>
      </c>
      <c r="N1588">
        <v>356</v>
      </c>
      <c r="O1588" t="s">
        <v>5273</v>
      </c>
    </row>
    <row r="1589" spans="1:15" ht="14.5">
      <c r="A1589" t="s">
        <v>29</v>
      </c>
      <c r="B1589">
        <v>1551935</v>
      </c>
      <c r="C1589">
        <v>1552924</v>
      </c>
      <c r="D1589">
        <v>1</v>
      </c>
      <c r="E1589" t="s">
        <v>76</v>
      </c>
      <c r="F1589" t="s">
        <v>5274</v>
      </c>
      <c r="G1589" t="s">
        <v>5275</v>
      </c>
      <c r="I1589" t="s">
        <v>49</v>
      </c>
      <c r="L1589" t="s">
        <v>5276</v>
      </c>
      <c r="M1589" t="s">
        <v>5274</v>
      </c>
      <c r="N1589">
        <v>329</v>
      </c>
      <c r="O1589" t="s">
        <v>5277</v>
      </c>
    </row>
    <row r="1590" spans="1:15" ht="14.5">
      <c r="A1590" t="s">
        <v>29</v>
      </c>
      <c r="B1590">
        <v>1552988</v>
      </c>
      <c r="C1590">
        <v>1554691</v>
      </c>
      <c r="D1590">
        <v>1</v>
      </c>
      <c r="E1590" t="s">
        <v>76</v>
      </c>
      <c r="F1590" t="s">
        <v>5278</v>
      </c>
      <c r="G1590" t="s">
        <v>5279</v>
      </c>
      <c r="I1590" t="s">
        <v>49</v>
      </c>
      <c r="L1590" t="s">
        <v>5280</v>
      </c>
      <c r="M1590" t="s">
        <v>5278</v>
      </c>
      <c r="N1590">
        <v>567</v>
      </c>
      <c r="O1590" t="s">
        <v>5281</v>
      </c>
    </row>
    <row r="1591" spans="1:15" ht="14.5">
      <c r="A1591" t="s">
        <v>29</v>
      </c>
      <c r="B1591">
        <v>1554737</v>
      </c>
      <c r="C1591">
        <v>1555780</v>
      </c>
      <c r="D1591">
        <v>1</v>
      </c>
      <c r="E1591" t="s">
        <v>76</v>
      </c>
      <c r="F1591" t="s">
        <v>5282</v>
      </c>
      <c r="G1591" t="s">
        <v>5283</v>
      </c>
      <c r="I1591" t="s">
        <v>49</v>
      </c>
      <c r="L1591" t="s">
        <v>5284</v>
      </c>
      <c r="M1591" t="s">
        <v>5282</v>
      </c>
      <c r="N1591">
        <v>347</v>
      </c>
      <c r="O1591" t="s">
        <v>5285</v>
      </c>
    </row>
    <row r="1592" spans="1:15" ht="14.5">
      <c r="A1592" t="s">
        <v>29</v>
      </c>
      <c r="B1592">
        <v>1555998</v>
      </c>
      <c r="C1592">
        <v>1556990</v>
      </c>
      <c r="D1592">
        <v>1</v>
      </c>
      <c r="E1592" t="s">
        <v>76</v>
      </c>
      <c r="F1592" t="s">
        <v>5286</v>
      </c>
      <c r="G1592" t="s">
        <v>5287</v>
      </c>
      <c r="I1592" t="s">
        <v>49</v>
      </c>
      <c r="L1592" t="s">
        <v>5288</v>
      </c>
      <c r="M1592" t="s">
        <v>5286</v>
      </c>
      <c r="N1592">
        <v>330</v>
      </c>
      <c r="O1592" t="s">
        <v>5289</v>
      </c>
    </row>
    <row r="1593" spans="1:15" ht="14.5">
      <c r="A1593" t="s">
        <v>29</v>
      </c>
      <c r="B1593">
        <v>1557006</v>
      </c>
      <c r="C1593">
        <v>1557974</v>
      </c>
      <c r="D1593">
        <v>1</v>
      </c>
      <c r="E1593" t="s">
        <v>76</v>
      </c>
      <c r="F1593" t="s">
        <v>5290</v>
      </c>
      <c r="G1593" t="s">
        <v>5291</v>
      </c>
      <c r="I1593" t="s">
        <v>49</v>
      </c>
      <c r="L1593" t="s">
        <v>5292</v>
      </c>
      <c r="M1593" t="s">
        <v>5290</v>
      </c>
      <c r="N1593">
        <v>322</v>
      </c>
      <c r="O1593" t="s">
        <v>5293</v>
      </c>
    </row>
    <row r="1594" spans="1:15" ht="14.5">
      <c r="A1594" t="s">
        <v>29</v>
      </c>
      <c r="B1594">
        <v>1558128</v>
      </c>
      <c r="C1594">
        <v>1559489</v>
      </c>
      <c r="D1594">
        <v>1</v>
      </c>
      <c r="E1594" t="s">
        <v>76</v>
      </c>
      <c r="F1594" t="s">
        <v>5294</v>
      </c>
      <c r="G1594" t="s">
        <v>5295</v>
      </c>
      <c r="I1594" t="s">
        <v>49</v>
      </c>
      <c r="L1594" t="s">
        <v>5296</v>
      </c>
      <c r="M1594" t="s">
        <v>5294</v>
      </c>
      <c r="N1594">
        <v>453</v>
      </c>
      <c r="O1594" t="s">
        <v>5297</v>
      </c>
    </row>
    <row r="1595" spans="1:15" ht="14.5">
      <c r="A1595" t="s">
        <v>29</v>
      </c>
      <c r="B1595">
        <v>1559500</v>
      </c>
      <c r="C1595">
        <v>1559760</v>
      </c>
      <c r="D1595">
        <v>1</v>
      </c>
      <c r="E1595" t="s">
        <v>76</v>
      </c>
      <c r="F1595" t="s">
        <v>176</v>
      </c>
      <c r="I1595" t="s">
        <v>49</v>
      </c>
      <c r="L1595" t="s">
        <v>5298</v>
      </c>
      <c r="M1595" t="s">
        <v>176</v>
      </c>
      <c r="N1595">
        <v>86</v>
      </c>
      <c r="O1595" t="s">
        <v>5299</v>
      </c>
    </row>
    <row r="1596" spans="1:15" ht="14.5">
      <c r="A1596" t="s">
        <v>29</v>
      </c>
      <c r="B1596">
        <v>1559774</v>
      </c>
      <c r="C1596">
        <v>1561042</v>
      </c>
      <c r="D1596">
        <v>1</v>
      </c>
      <c r="E1596" t="s">
        <v>76</v>
      </c>
      <c r="F1596" t="s">
        <v>5300</v>
      </c>
      <c r="G1596" t="s">
        <v>5301</v>
      </c>
      <c r="I1596" t="s">
        <v>49</v>
      </c>
      <c r="L1596" t="s">
        <v>5302</v>
      </c>
      <c r="M1596" t="s">
        <v>5300</v>
      </c>
      <c r="N1596">
        <v>422</v>
      </c>
      <c r="O1596" t="s">
        <v>5303</v>
      </c>
    </row>
    <row r="1597" spans="1:15" ht="14.5">
      <c r="A1597" t="s">
        <v>29</v>
      </c>
      <c r="B1597">
        <v>1561055</v>
      </c>
      <c r="C1597">
        <v>1561519</v>
      </c>
      <c r="D1597">
        <v>1</v>
      </c>
      <c r="E1597" t="s">
        <v>76</v>
      </c>
      <c r="F1597" t="s">
        <v>5304</v>
      </c>
      <c r="G1597" t="s">
        <v>5305</v>
      </c>
      <c r="I1597" t="s">
        <v>49</v>
      </c>
      <c r="L1597" t="s">
        <v>5306</v>
      </c>
      <c r="M1597" t="s">
        <v>5304</v>
      </c>
      <c r="N1597">
        <v>154</v>
      </c>
      <c r="O1597" t="s">
        <v>5307</v>
      </c>
    </row>
    <row r="1598" spans="1:15" ht="14.5">
      <c r="A1598" t="s">
        <v>29</v>
      </c>
      <c r="B1598">
        <v>1561529</v>
      </c>
      <c r="C1598">
        <v>1562182</v>
      </c>
      <c r="D1598">
        <v>1</v>
      </c>
      <c r="E1598" t="s">
        <v>76</v>
      </c>
      <c r="F1598" t="s">
        <v>5308</v>
      </c>
      <c r="G1598" t="s">
        <v>5309</v>
      </c>
      <c r="I1598" t="s">
        <v>49</v>
      </c>
      <c r="L1598" t="s">
        <v>5310</v>
      </c>
      <c r="M1598" t="s">
        <v>5308</v>
      </c>
      <c r="N1598">
        <v>217</v>
      </c>
      <c r="O1598" t="s">
        <v>5311</v>
      </c>
    </row>
    <row r="1599" spans="1:15" ht="14.5">
      <c r="A1599" t="s">
        <v>29</v>
      </c>
      <c r="B1599">
        <v>1562320</v>
      </c>
      <c r="C1599">
        <v>1562967</v>
      </c>
      <c r="D1599">
        <v>1</v>
      </c>
      <c r="E1599" t="s">
        <v>76</v>
      </c>
      <c r="F1599" t="s">
        <v>176</v>
      </c>
      <c r="I1599" t="s">
        <v>49</v>
      </c>
      <c r="L1599" t="s">
        <v>5312</v>
      </c>
      <c r="M1599" t="s">
        <v>176</v>
      </c>
      <c r="N1599">
        <v>215</v>
      </c>
      <c r="O1599" t="s">
        <v>5313</v>
      </c>
    </row>
    <row r="1600" spans="1:15" ht="14.5">
      <c r="A1600" t="s">
        <v>29</v>
      </c>
      <c r="B1600">
        <v>1562981</v>
      </c>
      <c r="C1600">
        <v>1563694</v>
      </c>
      <c r="D1600">
        <v>1</v>
      </c>
      <c r="E1600" t="s">
        <v>76</v>
      </c>
      <c r="F1600" t="s">
        <v>4072</v>
      </c>
      <c r="G1600" t="s">
        <v>5314</v>
      </c>
      <c r="I1600" t="s">
        <v>49</v>
      </c>
      <c r="L1600" t="s">
        <v>5315</v>
      </c>
      <c r="M1600" t="s">
        <v>4072</v>
      </c>
      <c r="N1600">
        <v>237</v>
      </c>
      <c r="O1600" t="s">
        <v>5316</v>
      </c>
    </row>
    <row r="1601" spans="1:15" ht="14.5">
      <c r="A1601" t="s">
        <v>29</v>
      </c>
      <c r="B1601">
        <v>1564152</v>
      </c>
      <c r="C1601">
        <v>1564310</v>
      </c>
      <c r="D1601">
        <v>1</v>
      </c>
      <c r="E1601" t="s">
        <v>76</v>
      </c>
      <c r="F1601" t="s">
        <v>5317</v>
      </c>
      <c r="G1601" t="s">
        <v>5318</v>
      </c>
      <c r="I1601" t="s">
        <v>49</v>
      </c>
      <c r="L1601" t="s">
        <v>5319</v>
      </c>
      <c r="M1601" t="s">
        <v>5317</v>
      </c>
      <c r="N1601">
        <v>52</v>
      </c>
      <c r="O1601" t="s">
        <v>5320</v>
      </c>
    </row>
    <row r="1602" spans="1:15" ht="14.5">
      <c r="A1602" t="s">
        <v>29</v>
      </c>
      <c r="B1602">
        <v>1564380</v>
      </c>
      <c r="C1602">
        <v>1564532</v>
      </c>
      <c r="D1602">
        <v>1</v>
      </c>
      <c r="E1602" t="s">
        <v>76</v>
      </c>
      <c r="F1602" t="s">
        <v>5321</v>
      </c>
      <c r="G1602" t="s">
        <v>5322</v>
      </c>
      <c r="I1602" t="s">
        <v>49</v>
      </c>
      <c r="L1602" t="s">
        <v>5323</v>
      </c>
      <c r="M1602" t="s">
        <v>5321</v>
      </c>
      <c r="N1602">
        <v>50</v>
      </c>
      <c r="O1602" t="s">
        <v>5324</v>
      </c>
    </row>
    <row r="1603" spans="1:15" ht="14.5">
      <c r="A1603" t="s">
        <v>29</v>
      </c>
      <c r="B1603">
        <v>1564954</v>
      </c>
      <c r="C1603">
        <v>1567488</v>
      </c>
      <c r="D1603">
        <v>1</v>
      </c>
      <c r="E1603" t="s">
        <v>76</v>
      </c>
      <c r="F1603" t="s">
        <v>5325</v>
      </c>
      <c r="G1603" t="s">
        <v>5326</v>
      </c>
      <c r="I1603" t="s">
        <v>49</v>
      </c>
      <c r="L1603" t="s">
        <v>5327</v>
      </c>
      <c r="M1603" t="s">
        <v>5325</v>
      </c>
      <c r="N1603">
        <v>844</v>
      </c>
      <c r="O1603" t="s">
        <v>5328</v>
      </c>
    </row>
    <row r="1604" spans="1:15" ht="14.5">
      <c r="A1604" t="s">
        <v>29</v>
      </c>
      <c r="B1604">
        <v>1567646</v>
      </c>
      <c r="C1604">
        <v>1570096</v>
      </c>
      <c r="D1604">
        <v>1</v>
      </c>
      <c r="E1604" t="s">
        <v>76</v>
      </c>
      <c r="F1604" t="s">
        <v>5329</v>
      </c>
      <c r="G1604" t="s">
        <v>5330</v>
      </c>
      <c r="I1604" t="s">
        <v>49</v>
      </c>
      <c r="L1604" t="s">
        <v>5331</v>
      </c>
      <c r="M1604" t="s">
        <v>5329</v>
      </c>
      <c r="N1604">
        <v>816</v>
      </c>
      <c r="O1604" t="s">
        <v>5332</v>
      </c>
    </row>
    <row r="1605" spans="1:15" ht="14.5">
      <c r="A1605" t="s">
        <v>29</v>
      </c>
      <c r="B1605">
        <v>1570351</v>
      </c>
      <c r="C1605">
        <v>1572075</v>
      </c>
      <c r="D1605">
        <v>1</v>
      </c>
      <c r="E1605" t="s">
        <v>76</v>
      </c>
      <c r="F1605" t="s">
        <v>5333</v>
      </c>
      <c r="G1605" t="s">
        <v>5334</v>
      </c>
      <c r="I1605" t="s">
        <v>49</v>
      </c>
      <c r="L1605" t="s">
        <v>5335</v>
      </c>
      <c r="M1605" t="s">
        <v>5333</v>
      </c>
      <c r="N1605">
        <v>574</v>
      </c>
      <c r="O1605" t="s">
        <v>5336</v>
      </c>
    </row>
    <row r="1606" spans="1:15" ht="14.5">
      <c r="A1606" t="s">
        <v>29</v>
      </c>
      <c r="B1606">
        <v>1572090</v>
      </c>
      <c r="C1606">
        <v>1572353</v>
      </c>
      <c r="D1606">
        <v>1</v>
      </c>
      <c r="E1606" t="s">
        <v>76</v>
      </c>
      <c r="F1606" t="s">
        <v>5337</v>
      </c>
      <c r="G1606" t="s">
        <v>5338</v>
      </c>
      <c r="I1606" t="s">
        <v>49</v>
      </c>
      <c r="L1606" t="s">
        <v>5339</v>
      </c>
      <c r="M1606" t="s">
        <v>5337</v>
      </c>
      <c r="N1606">
        <v>87</v>
      </c>
      <c r="O1606" t="s">
        <v>5340</v>
      </c>
    </row>
    <row r="1607" spans="1:15" ht="14.5">
      <c r="A1607" t="s">
        <v>29</v>
      </c>
      <c r="B1607">
        <v>1572704</v>
      </c>
      <c r="C1607">
        <v>1572922</v>
      </c>
      <c r="D1607">
        <v>1</v>
      </c>
      <c r="E1607" t="s">
        <v>47</v>
      </c>
      <c r="F1607" t="s">
        <v>5341</v>
      </c>
      <c r="G1607" t="s">
        <v>5342</v>
      </c>
      <c r="I1607" t="s">
        <v>49</v>
      </c>
      <c r="L1607" t="s">
        <v>5343</v>
      </c>
      <c r="M1607" t="s">
        <v>5341</v>
      </c>
      <c r="N1607">
        <v>72</v>
      </c>
      <c r="O1607" t="s">
        <v>5344</v>
      </c>
    </row>
    <row r="1608" spans="1:15" ht="14.5">
      <c r="A1608" t="s">
        <v>29</v>
      </c>
      <c r="B1608">
        <v>1573003</v>
      </c>
      <c r="C1608">
        <v>1575162</v>
      </c>
      <c r="D1608">
        <v>1</v>
      </c>
      <c r="E1608" t="s">
        <v>47</v>
      </c>
      <c r="F1608" t="s">
        <v>5345</v>
      </c>
      <c r="G1608" t="s">
        <v>5346</v>
      </c>
      <c r="I1608" t="s">
        <v>49</v>
      </c>
      <c r="L1608" t="s">
        <v>5347</v>
      </c>
      <c r="M1608" t="s">
        <v>5345</v>
      </c>
      <c r="N1608">
        <v>719</v>
      </c>
      <c r="O1608" t="s">
        <v>5348</v>
      </c>
    </row>
    <row r="1609" spans="1:15" ht="14.5">
      <c r="A1609" t="s">
        <v>29</v>
      </c>
      <c r="B1609">
        <v>1575350</v>
      </c>
      <c r="C1609">
        <v>1576312</v>
      </c>
      <c r="D1609">
        <v>1</v>
      </c>
      <c r="E1609" t="s">
        <v>47</v>
      </c>
      <c r="F1609" t="s">
        <v>5349</v>
      </c>
      <c r="G1609" t="s">
        <v>5350</v>
      </c>
      <c r="I1609" t="s">
        <v>49</v>
      </c>
      <c r="L1609" t="s">
        <v>5351</v>
      </c>
      <c r="M1609" t="s">
        <v>5349</v>
      </c>
      <c r="N1609">
        <v>320</v>
      </c>
      <c r="O1609" t="s">
        <v>5352</v>
      </c>
    </row>
    <row r="1610" spans="1:15" ht="14.5">
      <c r="A1610" t="s">
        <v>29</v>
      </c>
      <c r="B1610">
        <v>1576494</v>
      </c>
      <c r="C1610">
        <v>1577255</v>
      </c>
      <c r="D1610">
        <v>1</v>
      </c>
      <c r="E1610" t="s">
        <v>47</v>
      </c>
      <c r="F1610" t="s">
        <v>5353</v>
      </c>
      <c r="G1610" t="s">
        <v>5354</v>
      </c>
      <c r="I1610" t="s">
        <v>49</v>
      </c>
      <c r="L1610" t="s">
        <v>5355</v>
      </c>
      <c r="M1610" t="s">
        <v>5353</v>
      </c>
      <c r="N1610">
        <v>253</v>
      </c>
      <c r="O1610" t="s">
        <v>5356</v>
      </c>
    </row>
    <row r="1611" spans="1:15" ht="14.5">
      <c r="A1611" t="s">
        <v>29</v>
      </c>
      <c r="B1611">
        <v>1577836</v>
      </c>
      <c r="C1611">
        <v>1579242</v>
      </c>
      <c r="D1611">
        <v>1</v>
      </c>
      <c r="E1611" t="s">
        <v>76</v>
      </c>
      <c r="F1611" t="s">
        <v>168</v>
      </c>
      <c r="G1611" t="s">
        <v>5357</v>
      </c>
      <c r="I1611" t="s">
        <v>49</v>
      </c>
      <c r="L1611" t="s">
        <v>5358</v>
      </c>
      <c r="M1611" t="s">
        <v>168</v>
      </c>
      <c r="N1611">
        <v>468</v>
      </c>
      <c r="O1611" t="s">
        <v>5359</v>
      </c>
    </row>
    <row r="1612" spans="1:15" ht="14.5">
      <c r="A1612" t="s">
        <v>29</v>
      </c>
      <c r="B1612">
        <v>1579457</v>
      </c>
      <c r="C1612">
        <v>1581151</v>
      </c>
      <c r="D1612">
        <v>1</v>
      </c>
      <c r="E1612" t="s">
        <v>76</v>
      </c>
      <c r="F1612" t="s">
        <v>5360</v>
      </c>
      <c r="G1612" t="s">
        <v>5361</v>
      </c>
      <c r="I1612" t="s">
        <v>49</v>
      </c>
      <c r="L1612" t="s">
        <v>5362</v>
      </c>
      <c r="M1612" t="s">
        <v>5360</v>
      </c>
      <c r="N1612">
        <v>564</v>
      </c>
      <c r="O1612" t="s">
        <v>5363</v>
      </c>
    </row>
    <row r="1613" spans="1:15" ht="14.5">
      <c r="A1613" t="s">
        <v>29</v>
      </c>
      <c r="B1613">
        <v>1581153</v>
      </c>
      <c r="C1613">
        <v>1581470</v>
      </c>
      <c r="D1613">
        <v>1</v>
      </c>
      <c r="E1613" t="s">
        <v>76</v>
      </c>
      <c r="F1613" t="s">
        <v>5364</v>
      </c>
      <c r="G1613" t="s">
        <v>5365</v>
      </c>
      <c r="I1613" t="s">
        <v>49</v>
      </c>
      <c r="L1613" t="s">
        <v>5366</v>
      </c>
      <c r="M1613" t="s">
        <v>5364</v>
      </c>
      <c r="N1613">
        <v>105</v>
      </c>
      <c r="O1613" t="s">
        <v>5367</v>
      </c>
    </row>
    <row r="1614" spans="1:15" ht="14.5">
      <c r="A1614" t="s">
        <v>29</v>
      </c>
      <c r="B1614">
        <v>1581506</v>
      </c>
      <c r="C1614">
        <v>1582342</v>
      </c>
      <c r="D1614">
        <v>1</v>
      </c>
      <c r="E1614" t="s">
        <v>76</v>
      </c>
      <c r="F1614" t="s">
        <v>5368</v>
      </c>
      <c r="G1614" t="s">
        <v>5369</v>
      </c>
      <c r="I1614" t="s">
        <v>49</v>
      </c>
      <c r="L1614" t="s">
        <v>5370</v>
      </c>
      <c r="M1614" t="s">
        <v>5368</v>
      </c>
      <c r="N1614">
        <v>278</v>
      </c>
      <c r="O1614" t="s">
        <v>5371</v>
      </c>
    </row>
    <row r="1615" spans="1:15" ht="14.5">
      <c r="A1615" t="s">
        <v>29</v>
      </c>
      <c r="B1615">
        <v>1582740</v>
      </c>
      <c r="C1615">
        <v>1583357</v>
      </c>
      <c r="D1615">
        <v>1</v>
      </c>
      <c r="E1615" t="s">
        <v>76</v>
      </c>
      <c r="F1615" t="s">
        <v>176</v>
      </c>
      <c r="I1615" t="s">
        <v>49</v>
      </c>
      <c r="L1615" t="s">
        <v>5372</v>
      </c>
      <c r="M1615" t="s">
        <v>176</v>
      </c>
      <c r="N1615">
        <v>205</v>
      </c>
      <c r="O1615" t="s">
        <v>5373</v>
      </c>
    </row>
    <row r="1616" spans="1:15" ht="14.5">
      <c r="A1616" t="s">
        <v>29</v>
      </c>
      <c r="B1616">
        <v>1583616</v>
      </c>
      <c r="C1616">
        <v>1584596</v>
      </c>
      <c r="D1616">
        <v>1</v>
      </c>
      <c r="E1616" t="s">
        <v>76</v>
      </c>
      <c r="F1616" t="s">
        <v>5374</v>
      </c>
      <c r="G1616" t="s">
        <v>5375</v>
      </c>
      <c r="I1616" t="s">
        <v>49</v>
      </c>
      <c r="L1616" t="s">
        <v>5376</v>
      </c>
      <c r="M1616" t="s">
        <v>5374</v>
      </c>
      <c r="N1616">
        <v>326</v>
      </c>
      <c r="O1616" t="s">
        <v>5377</v>
      </c>
    </row>
    <row r="1617" spans="1:15" ht="14.5">
      <c r="A1617" t="s">
        <v>29</v>
      </c>
      <c r="B1617">
        <v>1584598</v>
      </c>
      <c r="C1617">
        <v>1585527</v>
      </c>
      <c r="D1617">
        <v>1</v>
      </c>
      <c r="E1617" t="s">
        <v>76</v>
      </c>
      <c r="F1617" t="s">
        <v>5378</v>
      </c>
      <c r="G1617" t="s">
        <v>5379</v>
      </c>
      <c r="I1617" t="s">
        <v>49</v>
      </c>
      <c r="L1617" t="s">
        <v>5380</v>
      </c>
      <c r="M1617" t="s">
        <v>5378</v>
      </c>
      <c r="N1617">
        <v>309</v>
      </c>
      <c r="O1617" t="s">
        <v>5381</v>
      </c>
    </row>
    <row r="1618" spans="1:15" ht="14.5">
      <c r="A1618" t="s">
        <v>29</v>
      </c>
      <c r="B1618">
        <v>1585538</v>
      </c>
      <c r="C1618">
        <v>1586053</v>
      </c>
      <c r="D1618">
        <v>1</v>
      </c>
      <c r="E1618" t="s">
        <v>76</v>
      </c>
      <c r="F1618" t="s">
        <v>650</v>
      </c>
      <c r="G1618" t="s">
        <v>5382</v>
      </c>
      <c r="I1618" t="s">
        <v>49</v>
      </c>
      <c r="L1618" t="s">
        <v>5383</v>
      </c>
      <c r="M1618" t="s">
        <v>650</v>
      </c>
      <c r="N1618">
        <v>171</v>
      </c>
      <c r="O1618" t="s">
        <v>5384</v>
      </c>
    </row>
    <row r="1619" spans="1:15" ht="14.5">
      <c r="A1619" t="s">
        <v>29</v>
      </c>
      <c r="B1619">
        <v>1586084</v>
      </c>
      <c r="C1619">
        <v>1586509</v>
      </c>
      <c r="D1619">
        <v>1</v>
      </c>
      <c r="E1619" t="s">
        <v>76</v>
      </c>
      <c r="F1619" t="s">
        <v>5385</v>
      </c>
      <c r="G1619" t="s">
        <v>5386</v>
      </c>
      <c r="I1619" t="s">
        <v>49</v>
      </c>
      <c r="L1619" t="s">
        <v>5387</v>
      </c>
      <c r="M1619" t="s">
        <v>5385</v>
      </c>
      <c r="N1619">
        <v>141</v>
      </c>
      <c r="O1619" t="s">
        <v>5388</v>
      </c>
    </row>
    <row r="1620" spans="1:15" ht="14.5">
      <c r="A1620" t="s">
        <v>29</v>
      </c>
      <c r="B1620">
        <v>1586667</v>
      </c>
      <c r="C1620">
        <v>1587011</v>
      </c>
      <c r="D1620">
        <v>1</v>
      </c>
      <c r="E1620" t="s">
        <v>76</v>
      </c>
      <c r="F1620" t="s">
        <v>5389</v>
      </c>
      <c r="I1620" t="s">
        <v>49</v>
      </c>
      <c r="L1620" t="s">
        <v>5390</v>
      </c>
      <c r="M1620" t="s">
        <v>5389</v>
      </c>
      <c r="N1620">
        <v>114</v>
      </c>
      <c r="O1620" t="s">
        <v>5391</v>
      </c>
    </row>
    <row r="1621" spans="1:15" ht="14.5">
      <c r="A1621" t="s">
        <v>29</v>
      </c>
      <c r="B1621">
        <v>1587180</v>
      </c>
      <c r="C1621">
        <v>1587479</v>
      </c>
      <c r="D1621">
        <v>1</v>
      </c>
      <c r="E1621" t="s">
        <v>76</v>
      </c>
      <c r="F1621" t="s">
        <v>1490</v>
      </c>
      <c r="I1621" t="s">
        <v>49</v>
      </c>
      <c r="L1621" t="s">
        <v>5392</v>
      </c>
      <c r="M1621" t="s">
        <v>1490</v>
      </c>
      <c r="N1621">
        <v>99</v>
      </c>
      <c r="O1621" t="s">
        <v>5393</v>
      </c>
    </row>
    <row r="1622" spans="1:15" ht="14.5">
      <c r="A1622" t="s">
        <v>29</v>
      </c>
      <c r="B1622">
        <v>1587596</v>
      </c>
      <c r="C1622">
        <v>1588267</v>
      </c>
      <c r="D1622">
        <v>1</v>
      </c>
      <c r="E1622" t="s">
        <v>76</v>
      </c>
      <c r="F1622" t="s">
        <v>5394</v>
      </c>
      <c r="G1622" t="s">
        <v>5395</v>
      </c>
      <c r="I1622" t="s">
        <v>49</v>
      </c>
      <c r="L1622" t="s">
        <v>5396</v>
      </c>
      <c r="M1622" t="s">
        <v>5394</v>
      </c>
      <c r="N1622">
        <v>223</v>
      </c>
      <c r="O1622" t="s">
        <v>5397</v>
      </c>
    </row>
    <row r="1623" spans="1:15" ht="14.5">
      <c r="A1623" t="s">
        <v>29</v>
      </c>
      <c r="B1623">
        <v>1588364</v>
      </c>
      <c r="C1623">
        <v>1589224</v>
      </c>
      <c r="D1623">
        <v>1</v>
      </c>
      <c r="E1623" t="s">
        <v>76</v>
      </c>
      <c r="F1623" t="s">
        <v>5398</v>
      </c>
      <c r="G1623" t="s">
        <v>5399</v>
      </c>
      <c r="I1623" t="s">
        <v>49</v>
      </c>
      <c r="L1623" t="s">
        <v>5400</v>
      </c>
      <c r="M1623" t="s">
        <v>5398</v>
      </c>
      <c r="N1623">
        <v>286</v>
      </c>
      <c r="O1623" t="s">
        <v>5401</v>
      </c>
    </row>
    <row r="1624" spans="1:15" ht="14.5">
      <c r="A1624" t="s">
        <v>29</v>
      </c>
      <c r="B1624">
        <v>1589240</v>
      </c>
      <c r="C1624">
        <v>1590517</v>
      </c>
      <c r="D1624">
        <v>1</v>
      </c>
      <c r="E1624" t="s">
        <v>76</v>
      </c>
      <c r="F1624" t="s">
        <v>5402</v>
      </c>
      <c r="I1624" t="s">
        <v>49</v>
      </c>
      <c r="L1624" t="s">
        <v>5403</v>
      </c>
      <c r="M1624" t="s">
        <v>5402</v>
      </c>
      <c r="N1624">
        <v>425</v>
      </c>
      <c r="O1624" t="s">
        <v>5404</v>
      </c>
    </row>
    <row r="1625" spans="1:15" ht="14.5">
      <c r="A1625" t="s">
        <v>29</v>
      </c>
      <c r="B1625">
        <v>1590510</v>
      </c>
      <c r="C1625">
        <v>1591061</v>
      </c>
      <c r="D1625">
        <v>1</v>
      </c>
      <c r="E1625" t="s">
        <v>76</v>
      </c>
      <c r="F1625" t="s">
        <v>842</v>
      </c>
      <c r="G1625" t="s">
        <v>5405</v>
      </c>
      <c r="I1625" t="s">
        <v>49</v>
      </c>
      <c r="L1625" t="s">
        <v>5406</v>
      </c>
      <c r="M1625" t="s">
        <v>842</v>
      </c>
      <c r="N1625">
        <v>183</v>
      </c>
      <c r="O1625" t="s">
        <v>5407</v>
      </c>
    </row>
    <row r="1626" spans="1:15" ht="14.5">
      <c r="A1626" t="s">
        <v>29</v>
      </c>
      <c r="B1626">
        <v>1591077</v>
      </c>
      <c r="C1626">
        <v>1592336</v>
      </c>
      <c r="D1626">
        <v>1</v>
      </c>
      <c r="E1626" t="s">
        <v>76</v>
      </c>
      <c r="F1626" t="s">
        <v>5408</v>
      </c>
      <c r="G1626" t="s">
        <v>5409</v>
      </c>
      <c r="I1626" t="s">
        <v>49</v>
      </c>
      <c r="L1626" t="s">
        <v>5410</v>
      </c>
      <c r="M1626" t="s">
        <v>5408</v>
      </c>
      <c r="N1626">
        <v>419</v>
      </c>
      <c r="O1626" t="s">
        <v>5411</v>
      </c>
    </row>
    <row r="1627" spans="1:15" ht="14.5">
      <c r="A1627" t="s">
        <v>29</v>
      </c>
      <c r="B1627">
        <v>1593644</v>
      </c>
      <c r="C1627">
        <v>1594873</v>
      </c>
      <c r="D1627">
        <v>1</v>
      </c>
      <c r="E1627" t="s">
        <v>47</v>
      </c>
      <c r="F1627" t="s">
        <v>483</v>
      </c>
      <c r="I1627" t="s">
        <v>49</v>
      </c>
      <c r="L1627" t="s">
        <v>5412</v>
      </c>
      <c r="M1627" t="s">
        <v>483</v>
      </c>
      <c r="N1627">
        <v>409</v>
      </c>
      <c r="O1627" t="s">
        <v>5413</v>
      </c>
    </row>
    <row r="1628" spans="1:15" ht="14.5">
      <c r="A1628" t="s">
        <v>29</v>
      </c>
      <c r="B1628">
        <v>1594923</v>
      </c>
      <c r="C1628">
        <v>1595081</v>
      </c>
      <c r="D1628">
        <v>1</v>
      </c>
      <c r="E1628" t="s">
        <v>76</v>
      </c>
      <c r="F1628" t="s">
        <v>1748</v>
      </c>
      <c r="I1628" t="s">
        <v>49</v>
      </c>
      <c r="L1628" t="s">
        <v>5414</v>
      </c>
      <c r="M1628" t="s">
        <v>1748</v>
      </c>
      <c r="N1628">
        <v>52</v>
      </c>
      <c r="O1628" t="s">
        <v>5415</v>
      </c>
    </row>
    <row r="1629" spans="1:15" ht="14.5">
      <c r="A1629" t="s">
        <v>29</v>
      </c>
      <c r="B1629">
        <v>1595091</v>
      </c>
      <c r="C1629">
        <v>1596401</v>
      </c>
      <c r="D1629">
        <v>1</v>
      </c>
      <c r="E1629" t="s">
        <v>76</v>
      </c>
      <c r="F1629" t="s">
        <v>3453</v>
      </c>
      <c r="G1629" t="s">
        <v>5416</v>
      </c>
      <c r="I1629" t="s">
        <v>49</v>
      </c>
      <c r="L1629" t="s">
        <v>5417</v>
      </c>
      <c r="M1629" t="s">
        <v>3453</v>
      </c>
      <c r="N1629">
        <v>436</v>
      </c>
      <c r="O1629" t="s">
        <v>5418</v>
      </c>
    </row>
    <row r="1630" spans="1:15" ht="14.5">
      <c r="A1630" t="s">
        <v>29</v>
      </c>
      <c r="B1630">
        <v>1596465</v>
      </c>
      <c r="C1630">
        <v>1596599</v>
      </c>
      <c r="D1630">
        <v>1</v>
      </c>
      <c r="E1630" t="s">
        <v>76</v>
      </c>
      <c r="F1630" t="s">
        <v>5419</v>
      </c>
      <c r="I1630" t="s">
        <v>49</v>
      </c>
      <c r="L1630" t="s">
        <v>5420</v>
      </c>
      <c r="M1630" t="s">
        <v>5419</v>
      </c>
      <c r="N1630">
        <v>44</v>
      </c>
      <c r="O1630" t="s">
        <v>5421</v>
      </c>
    </row>
    <row r="1631" spans="1:15" ht="14.5">
      <c r="A1631" t="s">
        <v>29</v>
      </c>
      <c r="B1631">
        <v>1596658</v>
      </c>
      <c r="C1631">
        <v>1596834</v>
      </c>
      <c r="D1631">
        <v>1</v>
      </c>
      <c r="E1631" t="s">
        <v>76</v>
      </c>
      <c r="F1631" t="s">
        <v>5422</v>
      </c>
      <c r="I1631" t="s">
        <v>49</v>
      </c>
      <c r="L1631" t="s">
        <v>5423</v>
      </c>
      <c r="M1631" t="s">
        <v>5422</v>
      </c>
      <c r="N1631">
        <v>58</v>
      </c>
      <c r="O1631" t="s">
        <v>5424</v>
      </c>
    </row>
    <row r="1632" spans="1:15" ht="14.5">
      <c r="A1632" t="s">
        <v>29</v>
      </c>
      <c r="B1632">
        <v>1596865</v>
      </c>
      <c r="C1632">
        <v>1598190</v>
      </c>
      <c r="D1632">
        <v>1</v>
      </c>
      <c r="E1632" t="s">
        <v>76</v>
      </c>
      <c r="F1632" t="s">
        <v>5425</v>
      </c>
      <c r="G1632" t="s">
        <v>5426</v>
      </c>
      <c r="I1632" t="s">
        <v>49</v>
      </c>
      <c r="L1632" t="s">
        <v>5427</v>
      </c>
      <c r="M1632" t="s">
        <v>5425</v>
      </c>
      <c r="N1632">
        <v>441</v>
      </c>
      <c r="O1632" t="s">
        <v>5428</v>
      </c>
    </row>
    <row r="1633" spans="1:15" ht="14.5">
      <c r="A1633" t="s">
        <v>29</v>
      </c>
      <c r="B1633">
        <v>1598206</v>
      </c>
      <c r="C1633">
        <v>1599249</v>
      </c>
      <c r="D1633">
        <v>1</v>
      </c>
      <c r="E1633" t="s">
        <v>76</v>
      </c>
      <c r="F1633" t="s">
        <v>5429</v>
      </c>
      <c r="G1633" t="s">
        <v>5430</v>
      </c>
      <c r="I1633" t="s">
        <v>49</v>
      </c>
      <c r="L1633" t="s">
        <v>5431</v>
      </c>
      <c r="M1633" t="s">
        <v>5429</v>
      </c>
      <c r="N1633">
        <v>347</v>
      </c>
      <c r="O1633" t="s">
        <v>5432</v>
      </c>
    </row>
    <row r="1634" spans="1:15" ht="14.5">
      <c r="A1634" t="s">
        <v>29</v>
      </c>
      <c r="B1634">
        <v>1599364</v>
      </c>
      <c r="C1634">
        <v>1599693</v>
      </c>
      <c r="D1634">
        <v>1</v>
      </c>
      <c r="E1634" t="s">
        <v>76</v>
      </c>
      <c r="F1634" t="s">
        <v>5433</v>
      </c>
      <c r="I1634" t="s">
        <v>49</v>
      </c>
      <c r="L1634" t="s">
        <v>5434</v>
      </c>
      <c r="M1634" t="s">
        <v>5433</v>
      </c>
      <c r="N1634">
        <v>109</v>
      </c>
      <c r="O1634" t="s">
        <v>5435</v>
      </c>
    </row>
    <row r="1635" spans="1:15" ht="14.5">
      <c r="A1635" t="s">
        <v>29</v>
      </c>
      <c r="B1635">
        <v>1599707</v>
      </c>
      <c r="C1635">
        <v>1600816</v>
      </c>
      <c r="D1635">
        <v>1</v>
      </c>
      <c r="E1635" t="s">
        <v>76</v>
      </c>
      <c r="F1635" t="s">
        <v>5436</v>
      </c>
      <c r="G1635" t="s">
        <v>5437</v>
      </c>
      <c r="I1635" t="s">
        <v>49</v>
      </c>
      <c r="L1635" t="s">
        <v>5438</v>
      </c>
      <c r="M1635" t="s">
        <v>5436</v>
      </c>
      <c r="N1635">
        <v>369</v>
      </c>
      <c r="O1635" t="s">
        <v>5439</v>
      </c>
    </row>
    <row r="1636" spans="1:15" ht="14.5">
      <c r="A1636" t="s">
        <v>29</v>
      </c>
      <c r="B1636">
        <v>1600819</v>
      </c>
      <c r="C1636">
        <v>1602579</v>
      </c>
      <c r="D1636">
        <v>1</v>
      </c>
      <c r="E1636" t="s">
        <v>76</v>
      </c>
      <c r="F1636" t="s">
        <v>5440</v>
      </c>
      <c r="G1636" t="s">
        <v>5441</v>
      </c>
      <c r="I1636" t="s">
        <v>49</v>
      </c>
      <c r="L1636" t="s">
        <v>5442</v>
      </c>
      <c r="M1636" t="s">
        <v>5440</v>
      </c>
      <c r="N1636">
        <v>586</v>
      </c>
      <c r="O1636" t="s">
        <v>5443</v>
      </c>
    </row>
    <row r="1637" spans="1:15" ht="14.5">
      <c r="A1637" t="s">
        <v>29</v>
      </c>
      <c r="B1637">
        <v>1602669</v>
      </c>
      <c r="C1637">
        <v>1603427</v>
      </c>
      <c r="D1637">
        <v>1</v>
      </c>
      <c r="E1637" t="s">
        <v>76</v>
      </c>
      <c r="F1637" t="s">
        <v>218</v>
      </c>
      <c r="G1637" t="s">
        <v>5444</v>
      </c>
      <c r="I1637" t="s">
        <v>49</v>
      </c>
      <c r="L1637" t="s">
        <v>5445</v>
      </c>
      <c r="M1637" t="s">
        <v>218</v>
      </c>
      <c r="N1637">
        <v>252</v>
      </c>
      <c r="O1637" t="s">
        <v>5446</v>
      </c>
    </row>
    <row r="1638" spans="1:15" ht="14.5">
      <c r="A1638" t="s">
        <v>29</v>
      </c>
      <c r="B1638">
        <v>1603424</v>
      </c>
      <c r="C1638">
        <v>1604290</v>
      </c>
      <c r="D1638">
        <v>1</v>
      </c>
      <c r="E1638" t="s">
        <v>76</v>
      </c>
      <c r="F1638" t="s">
        <v>5447</v>
      </c>
      <c r="I1638" t="s">
        <v>49</v>
      </c>
      <c r="L1638" t="s">
        <v>5448</v>
      </c>
      <c r="M1638" t="s">
        <v>5447</v>
      </c>
      <c r="N1638">
        <v>288</v>
      </c>
      <c r="O1638" t="s">
        <v>5449</v>
      </c>
    </row>
    <row r="1639" spans="1:15" ht="14.5">
      <c r="A1639" t="s">
        <v>29</v>
      </c>
      <c r="B1639">
        <v>1604359</v>
      </c>
      <c r="C1639">
        <v>1605363</v>
      </c>
      <c r="D1639">
        <v>1</v>
      </c>
      <c r="E1639" t="s">
        <v>76</v>
      </c>
      <c r="F1639" t="s">
        <v>2957</v>
      </c>
      <c r="I1639" t="s">
        <v>49</v>
      </c>
      <c r="L1639" t="s">
        <v>5450</v>
      </c>
      <c r="M1639" t="s">
        <v>2957</v>
      </c>
      <c r="N1639">
        <v>334</v>
      </c>
      <c r="O1639" t="s">
        <v>5451</v>
      </c>
    </row>
    <row r="1640" spans="1:15" ht="14.5">
      <c r="A1640" t="s">
        <v>29</v>
      </c>
      <c r="B1640">
        <v>1605776</v>
      </c>
      <c r="C1640">
        <v>1608472</v>
      </c>
      <c r="D1640">
        <v>1</v>
      </c>
      <c r="E1640" t="s">
        <v>76</v>
      </c>
      <c r="F1640" t="s">
        <v>5452</v>
      </c>
      <c r="G1640" t="s">
        <v>5453</v>
      </c>
      <c r="I1640" t="s">
        <v>49</v>
      </c>
      <c r="L1640" t="s">
        <v>5454</v>
      </c>
      <c r="M1640" t="s">
        <v>5452</v>
      </c>
      <c r="N1640">
        <v>898</v>
      </c>
      <c r="O1640" t="s">
        <v>5455</v>
      </c>
    </row>
    <row r="1641" spans="1:15" ht="14.5">
      <c r="A1641" t="s">
        <v>29</v>
      </c>
      <c r="B1641">
        <v>1608492</v>
      </c>
      <c r="C1641">
        <v>1609721</v>
      </c>
      <c r="D1641">
        <v>1</v>
      </c>
      <c r="E1641" t="s">
        <v>76</v>
      </c>
      <c r="F1641" t="s">
        <v>5456</v>
      </c>
      <c r="G1641" t="s">
        <v>5457</v>
      </c>
      <c r="I1641" t="s">
        <v>49</v>
      </c>
      <c r="L1641" t="s">
        <v>5458</v>
      </c>
      <c r="M1641" t="s">
        <v>5456</v>
      </c>
      <c r="N1641">
        <v>409</v>
      </c>
      <c r="O1641" t="s">
        <v>5459</v>
      </c>
    </row>
    <row r="1642" spans="1:15" ht="14.5">
      <c r="A1642" t="s">
        <v>29</v>
      </c>
      <c r="B1642">
        <v>1609985</v>
      </c>
      <c r="C1642">
        <v>1610179</v>
      </c>
      <c r="D1642">
        <v>1</v>
      </c>
      <c r="E1642" t="s">
        <v>76</v>
      </c>
      <c r="F1642" t="s">
        <v>1490</v>
      </c>
      <c r="I1642" t="s">
        <v>49</v>
      </c>
      <c r="L1642" t="s">
        <v>5460</v>
      </c>
      <c r="M1642" t="s">
        <v>1490</v>
      </c>
      <c r="N1642">
        <v>64</v>
      </c>
      <c r="O1642" t="s">
        <v>5461</v>
      </c>
    </row>
    <row r="1643" spans="1:15" ht="14.5">
      <c r="A1643" t="s">
        <v>29</v>
      </c>
      <c r="B1643">
        <v>1610627</v>
      </c>
      <c r="C1643">
        <v>1610848</v>
      </c>
      <c r="D1643">
        <v>1</v>
      </c>
      <c r="E1643" t="s">
        <v>76</v>
      </c>
      <c r="F1643" t="s">
        <v>5462</v>
      </c>
      <c r="G1643" t="s">
        <v>5463</v>
      </c>
      <c r="I1643" t="s">
        <v>49</v>
      </c>
      <c r="L1643" t="s">
        <v>5464</v>
      </c>
      <c r="M1643" t="s">
        <v>5462</v>
      </c>
      <c r="N1643">
        <v>73</v>
      </c>
      <c r="O1643" t="s">
        <v>5465</v>
      </c>
    </row>
    <row r="1644" spans="1:15" ht="14.5">
      <c r="A1644" t="s">
        <v>29</v>
      </c>
      <c r="B1644">
        <v>1611528</v>
      </c>
      <c r="C1644">
        <v>1612280</v>
      </c>
      <c r="D1644">
        <v>1</v>
      </c>
      <c r="E1644" t="s">
        <v>76</v>
      </c>
      <c r="F1644" t="s">
        <v>140</v>
      </c>
      <c r="I1644" t="s">
        <v>49</v>
      </c>
      <c r="L1644" t="s">
        <v>5466</v>
      </c>
      <c r="M1644" t="s">
        <v>140</v>
      </c>
      <c r="N1644">
        <v>250</v>
      </c>
      <c r="O1644" t="s">
        <v>5467</v>
      </c>
    </row>
    <row r="1645" spans="1:15" ht="14.5">
      <c r="A1645" t="s">
        <v>29</v>
      </c>
      <c r="B1645">
        <v>1612332</v>
      </c>
      <c r="C1645">
        <v>1612739</v>
      </c>
      <c r="D1645">
        <v>1</v>
      </c>
      <c r="E1645" t="s">
        <v>76</v>
      </c>
      <c r="F1645" t="s">
        <v>436</v>
      </c>
      <c r="I1645" t="s">
        <v>49</v>
      </c>
      <c r="L1645" t="s">
        <v>5468</v>
      </c>
      <c r="M1645" t="s">
        <v>436</v>
      </c>
      <c r="N1645">
        <v>135</v>
      </c>
      <c r="O1645" t="s">
        <v>5469</v>
      </c>
    </row>
    <row r="1646" spans="1:15" ht="14.5">
      <c r="A1646" t="s">
        <v>29</v>
      </c>
      <c r="B1646">
        <v>1612741</v>
      </c>
      <c r="C1646">
        <v>1613985</v>
      </c>
      <c r="D1646">
        <v>1</v>
      </c>
      <c r="E1646" t="s">
        <v>76</v>
      </c>
      <c r="F1646" t="s">
        <v>5470</v>
      </c>
      <c r="I1646" t="s">
        <v>49</v>
      </c>
      <c r="L1646" t="s">
        <v>5471</v>
      </c>
      <c r="M1646" t="s">
        <v>5470</v>
      </c>
      <c r="N1646">
        <v>414</v>
      </c>
      <c r="O1646" t="s">
        <v>5472</v>
      </c>
    </row>
    <row r="1647" spans="1:15" ht="14.5">
      <c r="A1647" t="s">
        <v>29</v>
      </c>
      <c r="B1647">
        <v>1614009</v>
      </c>
      <c r="C1647">
        <v>1615037</v>
      </c>
      <c r="D1647">
        <v>1</v>
      </c>
      <c r="E1647" t="s">
        <v>76</v>
      </c>
      <c r="F1647" t="s">
        <v>3857</v>
      </c>
      <c r="G1647" t="s">
        <v>5473</v>
      </c>
      <c r="I1647" t="s">
        <v>49</v>
      </c>
      <c r="L1647" t="s">
        <v>5474</v>
      </c>
      <c r="M1647" t="s">
        <v>3857</v>
      </c>
      <c r="N1647">
        <v>342</v>
      </c>
      <c r="O1647" t="s">
        <v>5475</v>
      </c>
    </row>
    <row r="1648" spans="1:15" ht="14.5">
      <c r="A1648" t="s">
        <v>29</v>
      </c>
      <c r="B1648">
        <v>1615039</v>
      </c>
      <c r="C1648">
        <v>1615710</v>
      </c>
      <c r="D1648">
        <v>1</v>
      </c>
      <c r="E1648" t="s">
        <v>76</v>
      </c>
      <c r="F1648" t="s">
        <v>176</v>
      </c>
      <c r="I1648" t="s">
        <v>49</v>
      </c>
      <c r="L1648" t="s">
        <v>5476</v>
      </c>
      <c r="M1648" t="s">
        <v>176</v>
      </c>
      <c r="N1648">
        <v>223</v>
      </c>
      <c r="O1648" t="s">
        <v>5477</v>
      </c>
    </row>
    <row r="1649" spans="1:15" ht="14.5">
      <c r="A1649" t="s">
        <v>29</v>
      </c>
      <c r="B1649">
        <v>1615713</v>
      </c>
      <c r="C1649">
        <v>1616807</v>
      </c>
      <c r="D1649">
        <v>1</v>
      </c>
      <c r="E1649" t="s">
        <v>76</v>
      </c>
      <c r="F1649" t="s">
        <v>176</v>
      </c>
      <c r="I1649" t="s">
        <v>49</v>
      </c>
      <c r="L1649" t="s">
        <v>5478</v>
      </c>
      <c r="M1649" t="s">
        <v>176</v>
      </c>
      <c r="N1649">
        <v>364</v>
      </c>
      <c r="O1649" t="s">
        <v>5479</v>
      </c>
    </row>
    <row r="1650" spans="1:15" ht="14.5">
      <c r="A1650" t="s">
        <v>29</v>
      </c>
      <c r="B1650">
        <v>1616811</v>
      </c>
      <c r="C1650">
        <v>1617341</v>
      </c>
      <c r="D1650">
        <v>1</v>
      </c>
      <c r="E1650" t="s">
        <v>76</v>
      </c>
      <c r="F1650" t="s">
        <v>176</v>
      </c>
      <c r="I1650" t="s">
        <v>49</v>
      </c>
      <c r="L1650" t="s">
        <v>5480</v>
      </c>
      <c r="M1650" t="s">
        <v>176</v>
      </c>
      <c r="N1650">
        <v>176</v>
      </c>
      <c r="O1650" t="s">
        <v>5481</v>
      </c>
    </row>
    <row r="1651" spans="1:15" ht="14.5">
      <c r="A1651" t="s">
        <v>29</v>
      </c>
      <c r="B1651">
        <v>1617338</v>
      </c>
      <c r="C1651">
        <v>1618039</v>
      </c>
      <c r="D1651">
        <v>1</v>
      </c>
      <c r="E1651" t="s">
        <v>76</v>
      </c>
      <c r="F1651" t="s">
        <v>176</v>
      </c>
      <c r="I1651" t="s">
        <v>49</v>
      </c>
      <c r="L1651" t="s">
        <v>5482</v>
      </c>
      <c r="M1651" t="s">
        <v>176</v>
      </c>
      <c r="N1651">
        <v>233</v>
      </c>
      <c r="O1651" t="s">
        <v>5483</v>
      </c>
    </row>
    <row r="1652" spans="1:15" ht="14.5">
      <c r="A1652" t="s">
        <v>29</v>
      </c>
      <c r="B1652">
        <v>1618047</v>
      </c>
      <c r="C1652">
        <v>1618877</v>
      </c>
      <c r="D1652">
        <v>1</v>
      </c>
      <c r="E1652" t="s">
        <v>76</v>
      </c>
      <c r="F1652" t="s">
        <v>5484</v>
      </c>
      <c r="I1652" t="s">
        <v>49</v>
      </c>
      <c r="L1652" t="s">
        <v>5485</v>
      </c>
      <c r="M1652" t="s">
        <v>5484</v>
      </c>
      <c r="N1652">
        <v>276</v>
      </c>
      <c r="O1652" t="s">
        <v>5486</v>
      </c>
    </row>
    <row r="1653" spans="1:15" ht="14.5">
      <c r="A1653" t="s">
        <v>29</v>
      </c>
      <c r="B1653">
        <v>1619173</v>
      </c>
      <c r="C1653">
        <v>1619685</v>
      </c>
      <c r="D1653">
        <v>1</v>
      </c>
      <c r="E1653" t="s">
        <v>47</v>
      </c>
      <c r="F1653" t="s">
        <v>5487</v>
      </c>
      <c r="I1653" t="s">
        <v>49</v>
      </c>
      <c r="L1653" t="s">
        <v>5488</v>
      </c>
      <c r="M1653" t="s">
        <v>5487</v>
      </c>
      <c r="N1653">
        <v>170</v>
      </c>
      <c r="O1653" t="s">
        <v>5489</v>
      </c>
    </row>
    <row r="1654" spans="1:15" ht="14.5">
      <c r="A1654" t="s">
        <v>29</v>
      </c>
      <c r="B1654">
        <v>1619642</v>
      </c>
      <c r="C1654">
        <v>1620025</v>
      </c>
      <c r="D1654">
        <v>1</v>
      </c>
      <c r="E1654" t="s">
        <v>47</v>
      </c>
      <c r="F1654" t="s">
        <v>2156</v>
      </c>
      <c r="I1654" t="s">
        <v>49</v>
      </c>
      <c r="L1654" t="s">
        <v>5490</v>
      </c>
      <c r="M1654" t="s">
        <v>2156</v>
      </c>
      <c r="N1654">
        <v>127</v>
      </c>
      <c r="O1654" t="s">
        <v>5491</v>
      </c>
    </row>
    <row r="1655" spans="1:15" ht="14.5">
      <c r="A1655" t="s">
        <v>29</v>
      </c>
      <c r="B1655">
        <v>1620070</v>
      </c>
      <c r="C1655">
        <v>1620774</v>
      </c>
      <c r="D1655">
        <v>1</v>
      </c>
      <c r="E1655" t="s">
        <v>76</v>
      </c>
      <c r="F1655" t="s">
        <v>5492</v>
      </c>
      <c r="I1655" t="s">
        <v>49</v>
      </c>
      <c r="L1655" t="s">
        <v>5493</v>
      </c>
      <c r="M1655" t="s">
        <v>5492</v>
      </c>
      <c r="N1655">
        <v>234</v>
      </c>
      <c r="O1655" t="s">
        <v>5494</v>
      </c>
    </row>
    <row r="1656" spans="1:15" ht="14.5">
      <c r="A1656" t="s">
        <v>29</v>
      </c>
      <c r="B1656">
        <v>1620889</v>
      </c>
      <c r="C1656">
        <v>1621935</v>
      </c>
      <c r="D1656">
        <v>1</v>
      </c>
      <c r="E1656" t="s">
        <v>76</v>
      </c>
      <c r="F1656" t="s">
        <v>5495</v>
      </c>
      <c r="I1656" t="s">
        <v>49</v>
      </c>
      <c r="L1656" t="s">
        <v>5496</v>
      </c>
      <c r="M1656" t="s">
        <v>5495</v>
      </c>
      <c r="N1656">
        <v>348</v>
      </c>
      <c r="O1656" t="s">
        <v>5497</v>
      </c>
    </row>
    <row r="1657" spans="1:15" ht="14.5">
      <c r="A1657" t="s">
        <v>29</v>
      </c>
      <c r="B1657">
        <v>1621922</v>
      </c>
      <c r="C1657">
        <v>1622149</v>
      </c>
      <c r="D1657">
        <v>1</v>
      </c>
      <c r="E1657" t="s">
        <v>76</v>
      </c>
      <c r="F1657" t="s">
        <v>5498</v>
      </c>
      <c r="I1657" t="s">
        <v>49</v>
      </c>
      <c r="L1657" t="s">
        <v>5499</v>
      </c>
      <c r="M1657" t="s">
        <v>5498</v>
      </c>
      <c r="N1657">
        <v>75</v>
      </c>
      <c r="O1657" t="s">
        <v>5500</v>
      </c>
    </row>
    <row r="1658" spans="1:15" ht="14.5">
      <c r="A1658" t="s">
        <v>29</v>
      </c>
      <c r="B1658">
        <v>1622296</v>
      </c>
      <c r="C1658">
        <v>1622655</v>
      </c>
      <c r="D1658">
        <v>1</v>
      </c>
      <c r="E1658" t="s">
        <v>76</v>
      </c>
      <c r="F1658" t="s">
        <v>5501</v>
      </c>
      <c r="I1658" t="s">
        <v>49</v>
      </c>
      <c r="L1658" t="s">
        <v>5502</v>
      </c>
      <c r="M1658" t="s">
        <v>5501</v>
      </c>
      <c r="N1658">
        <v>119</v>
      </c>
      <c r="O1658" t="s">
        <v>5503</v>
      </c>
    </row>
    <row r="1659" spans="1:15" ht="14.5">
      <c r="A1659" t="s">
        <v>29</v>
      </c>
      <c r="B1659">
        <v>1623474</v>
      </c>
      <c r="C1659">
        <v>1624631</v>
      </c>
      <c r="D1659">
        <v>1</v>
      </c>
      <c r="E1659" t="s">
        <v>76</v>
      </c>
      <c r="F1659" t="s">
        <v>5504</v>
      </c>
      <c r="I1659" t="s">
        <v>49</v>
      </c>
      <c r="L1659" t="s">
        <v>5505</v>
      </c>
      <c r="M1659" t="s">
        <v>5504</v>
      </c>
      <c r="N1659">
        <v>385</v>
      </c>
      <c r="O1659" t="s">
        <v>5506</v>
      </c>
    </row>
    <row r="1660" spans="1:15" ht="14.5">
      <c r="A1660" t="s">
        <v>29</v>
      </c>
      <c r="B1660">
        <v>1624659</v>
      </c>
      <c r="C1660">
        <v>1625420</v>
      </c>
      <c r="D1660">
        <v>1</v>
      </c>
      <c r="E1660" t="s">
        <v>76</v>
      </c>
      <c r="F1660" t="s">
        <v>5507</v>
      </c>
      <c r="G1660" t="s">
        <v>5508</v>
      </c>
      <c r="I1660" t="s">
        <v>49</v>
      </c>
      <c r="L1660" t="s">
        <v>5509</v>
      </c>
      <c r="M1660" t="s">
        <v>5507</v>
      </c>
      <c r="N1660">
        <v>253</v>
      </c>
      <c r="O1660" t="s">
        <v>5510</v>
      </c>
    </row>
    <row r="1661" spans="1:15" ht="14.5">
      <c r="A1661" t="s">
        <v>29</v>
      </c>
      <c r="B1661">
        <v>1625420</v>
      </c>
      <c r="C1661">
        <v>1625896</v>
      </c>
      <c r="D1661">
        <v>1</v>
      </c>
      <c r="E1661" t="s">
        <v>76</v>
      </c>
      <c r="F1661" t="s">
        <v>607</v>
      </c>
      <c r="G1661" t="s">
        <v>5511</v>
      </c>
      <c r="I1661" t="s">
        <v>49</v>
      </c>
      <c r="L1661" t="s">
        <v>5512</v>
      </c>
      <c r="M1661" t="s">
        <v>607</v>
      </c>
      <c r="N1661">
        <v>158</v>
      </c>
      <c r="O1661" t="s">
        <v>5513</v>
      </c>
    </row>
    <row r="1662" spans="1:15" ht="14.5">
      <c r="A1662" t="s">
        <v>29</v>
      </c>
      <c r="B1662">
        <v>1626341</v>
      </c>
      <c r="C1662">
        <v>1626796</v>
      </c>
      <c r="D1662">
        <v>1</v>
      </c>
      <c r="E1662" t="s">
        <v>76</v>
      </c>
      <c r="F1662" t="s">
        <v>176</v>
      </c>
      <c r="I1662" t="s">
        <v>49</v>
      </c>
      <c r="L1662" t="s">
        <v>5514</v>
      </c>
      <c r="M1662" t="s">
        <v>176</v>
      </c>
      <c r="N1662">
        <v>151</v>
      </c>
      <c r="O1662" t="s">
        <v>5515</v>
      </c>
    </row>
    <row r="1663" spans="1:15" ht="14.5">
      <c r="A1663" t="s">
        <v>29</v>
      </c>
      <c r="B1663">
        <v>1627071</v>
      </c>
      <c r="C1663">
        <v>1628477</v>
      </c>
      <c r="D1663">
        <v>1</v>
      </c>
      <c r="E1663" t="s">
        <v>76</v>
      </c>
      <c r="F1663" t="s">
        <v>5516</v>
      </c>
      <c r="G1663" t="s">
        <v>5517</v>
      </c>
      <c r="I1663" t="s">
        <v>49</v>
      </c>
      <c r="L1663" t="s">
        <v>5518</v>
      </c>
      <c r="M1663" t="s">
        <v>5516</v>
      </c>
      <c r="N1663">
        <v>468</v>
      </c>
      <c r="O1663" t="s">
        <v>5519</v>
      </c>
    </row>
    <row r="1664" spans="1:15" ht="14.5">
      <c r="A1664" t="s">
        <v>29</v>
      </c>
      <c r="B1664">
        <v>1628434</v>
      </c>
      <c r="C1664">
        <v>1628808</v>
      </c>
      <c r="D1664">
        <v>1</v>
      </c>
      <c r="E1664" t="s">
        <v>76</v>
      </c>
      <c r="F1664" t="s">
        <v>5516</v>
      </c>
      <c r="G1664" t="s">
        <v>5520</v>
      </c>
      <c r="I1664" t="s">
        <v>49</v>
      </c>
      <c r="L1664" t="s">
        <v>5521</v>
      </c>
      <c r="M1664" t="s">
        <v>5516</v>
      </c>
      <c r="N1664">
        <v>124</v>
      </c>
      <c r="O1664" t="s">
        <v>5522</v>
      </c>
    </row>
    <row r="1665" spans="1:15" ht="14.5">
      <c r="A1665" t="s">
        <v>29</v>
      </c>
      <c r="B1665">
        <v>1628971</v>
      </c>
      <c r="C1665">
        <v>1629855</v>
      </c>
      <c r="D1665">
        <v>1</v>
      </c>
      <c r="E1665" t="s">
        <v>76</v>
      </c>
      <c r="F1665" t="s">
        <v>5523</v>
      </c>
      <c r="I1665" t="s">
        <v>49</v>
      </c>
      <c r="L1665" t="s">
        <v>5524</v>
      </c>
      <c r="M1665" t="s">
        <v>5523</v>
      </c>
      <c r="N1665">
        <v>294</v>
      </c>
      <c r="O1665" t="s">
        <v>5525</v>
      </c>
    </row>
    <row r="1666" spans="1:15" ht="14.5">
      <c r="A1666" t="s">
        <v>29</v>
      </c>
      <c r="B1666">
        <v>1629967</v>
      </c>
      <c r="C1666">
        <v>1630821</v>
      </c>
      <c r="D1666">
        <v>1</v>
      </c>
      <c r="E1666" t="s">
        <v>76</v>
      </c>
      <c r="F1666" t="s">
        <v>4339</v>
      </c>
      <c r="I1666" t="s">
        <v>49</v>
      </c>
      <c r="L1666" t="s">
        <v>5526</v>
      </c>
      <c r="M1666" t="s">
        <v>4339</v>
      </c>
      <c r="N1666">
        <v>284</v>
      </c>
      <c r="O1666" t="s">
        <v>5527</v>
      </c>
    </row>
    <row r="1667" spans="1:15" ht="14.5">
      <c r="A1667" t="s">
        <v>29</v>
      </c>
      <c r="B1667">
        <v>1630879</v>
      </c>
      <c r="C1667">
        <v>1631637</v>
      </c>
      <c r="D1667">
        <v>1</v>
      </c>
      <c r="E1667" t="s">
        <v>76</v>
      </c>
      <c r="F1667" t="s">
        <v>176</v>
      </c>
      <c r="I1667" t="s">
        <v>49</v>
      </c>
      <c r="L1667" t="s">
        <v>5528</v>
      </c>
      <c r="M1667" t="s">
        <v>176</v>
      </c>
      <c r="N1667">
        <v>252</v>
      </c>
      <c r="O1667" t="s">
        <v>5529</v>
      </c>
    </row>
    <row r="1668" spans="1:15" ht="14.5">
      <c r="A1668" t="s">
        <v>29</v>
      </c>
      <c r="B1668">
        <v>1631699</v>
      </c>
      <c r="C1668">
        <v>1631887</v>
      </c>
      <c r="D1668">
        <v>1</v>
      </c>
      <c r="E1668" t="s">
        <v>76</v>
      </c>
      <c r="F1668" t="s">
        <v>176</v>
      </c>
      <c r="I1668" t="s">
        <v>49</v>
      </c>
      <c r="L1668" t="s">
        <v>5530</v>
      </c>
      <c r="M1668" t="s">
        <v>176</v>
      </c>
      <c r="N1668">
        <v>62</v>
      </c>
      <c r="O1668" t="s">
        <v>5531</v>
      </c>
    </row>
    <row r="1669" spans="1:15" ht="14.5">
      <c r="A1669" t="s">
        <v>29</v>
      </c>
      <c r="B1669">
        <v>1632210</v>
      </c>
      <c r="C1669">
        <v>1632776</v>
      </c>
      <c r="D1669">
        <v>1</v>
      </c>
      <c r="E1669" t="s">
        <v>76</v>
      </c>
      <c r="F1669" t="s">
        <v>176</v>
      </c>
      <c r="I1669" t="s">
        <v>49</v>
      </c>
      <c r="L1669" t="s">
        <v>5532</v>
      </c>
      <c r="M1669" t="s">
        <v>176</v>
      </c>
      <c r="N1669">
        <v>188</v>
      </c>
      <c r="O1669" t="s">
        <v>5533</v>
      </c>
    </row>
    <row r="1670" spans="1:15" ht="14.5">
      <c r="A1670" t="s">
        <v>29</v>
      </c>
      <c r="B1670">
        <v>1633044</v>
      </c>
      <c r="C1670">
        <v>1633757</v>
      </c>
      <c r="D1670">
        <v>1</v>
      </c>
      <c r="E1670" t="s">
        <v>76</v>
      </c>
      <c r="F1670" t="s">
        <v>5534</v>
      </c>
      <c r="I1670" t="s">
        <v>49</v>
      </c>
      <c r="L1670" t="s">
        <v>5535</v>
      </c>
      <c r="M1670" t="s">
        <v>5534</v>
      </c>
      <c r="N1670">
        <v>237</v>
      </c>
      <c r="O1670" t="s">
        <v>5536</v>
      </c>
    </row>
    <row r="1671" spans="1:15" ht="14.5">
      <c r="A1671" t="s">
        <v>29</v>
      </c>
      <c r="B1671">
        <v>1633875</v>
      </c>
      <c r="C1671">
        <v>1634723</v>
      </c>
      <c r="D1671">
        <v>1</v>
      </c>
      <c r="E1671" t="s">
        <v>76</v>
      </c>
      <c r="F1671" t="s">
        <v>5537</v>
      </c>
      <c r="G1671" t="s">
        <v>5538</v>
      </c>
      <c r="I1671" t="s">
        <v>49</v>
      </c>
      <c r="L1671" t="s">
        <v>5539</v>
      </c>
      <c r="M1671" t="s">
        <v>5537</v>
      </c>
      <c r="N1671">
        <v>282</v>
      </c>
      <c r="O1671" t="s">
        <v>5540</v>
      </c>
    </row>
    <row r="1672" spans="1:15" ht="14.5">
      <c r="A1672" t="s">
        <v>29</v>
      </c>
      <c r="B1672">
        <v>1634815</v>
      </c>
      <c r="C1672">
        <v>1634976</v>
      </c>
      <c r="D1672">
        <v>1</v>
      </c>
      <c r="E1672" t="s">
        <v>76</v>
      </c>
      <c r="F1672" t="s">
        <v>5537</v>
      </c>
      <c r="I1672" t="s">
        <v>49</v>
      </c>
      <c r="L1672" t="s">
        <v>5541</v>
      </c>
      <c r="M1672" t="s">
        <v>5537</v>
      </c>
      <c r="N1672">
        <v>53</v>
      </c>
      <c r="O1672" t="s">
        <v>5542</v>
      </c>
    </row>
    <row r="1673" spans="1:15" ht="14.5">
      <c r="A1673" t="s">
        <v>29</v>
      </c>
      <c r="B1673">
        <v>1635940</v>
      </c>
      <c r="C1673">
        <v>1636149</v>
      </c>
      <c r="D1673">
        <v>1</v>
      </c>
      <c r="E1673" t="s">
        <v>76</v>
      </c>
      <c r="F1673" t="s">
        <v>5543</v>
      </c>
      <c r="I1673" t="s">
        <v>49</v>
      </c>
      <c r="L1673" t="s">
        <v>5544</v>
      </c>
      <c r="M1673" t="s">
        <v>5543</v>
      </c>
      <c r="N1673">
        <v>69</v>
      </c>
      <c r="O1673" t="s">
        <v>5545</v>
      </c>
    </row>
    <row r="1674" spans="1:15" ht="14.5">
      <c r="A1674" t="s">
        <v>29</v>
      </c>
      <c r="B1674">
        <v>1636717</v>
      </c>
      <c r="C1674">
        <v>1637511</v>
      </c>
      <c r="D1674">
        <v>1</v>
      </c>
      <c r="E1674" t="s">
        <v>76</v>
      </c>
      <c r="F1674" t="s">
        <v>5546</v>
      </c>
      <c r="G1674" t="s">
        <v>5547</v>
      </c>
      <c r="I1674" t="s">
        <v>49</v>
      </c>
      <c r="L1674" t="s">
        <v>5548</v>
      </c>
      <c r="M1674" t="s">
        <v>5546</v>
      </c>
      <c r="N1674">
        <v>264</v>
      </c>
      <c r="O1674" t="s">
        <v>5549</v>
      </c>
    </row>
    <row r="1675" spans="1:15" ht="14.5">
      <c r="A1675" t="s">
        <v>29</v>
      </c>
      <c r="B1675">
        <v>1637511</v>
      </c>
      <c r="C1675">
        <v>1638518</v>
      </c>
      <c r="D1675">
        <v>1</v>
      </c>
      <c r="E1675" t="s">
        <v>76</v>
      </c>
      <c r="F1675" t="s">
        <v>900</v>
      </c>
      <c r="G1675" t="s">
        <v>5550</v>
      </c>
      <c r="I1675" t="s">
        <v>49</v>
      </c>
      <c r="L1675" t="s">
        <v>5551</v>
      </c>
      <c r="M1675" t="s">
        <v>900</v>
      </c>
      <c r="N1675">
        <v>335</v>
      </c>
      <c r="O1675" t="s">
        <v>5552</v>
      </c>
    </row>
    <row r="1676" spans="1:15" ht="14.5">
      <c r="A1676" t="s">
        <v>29</v>
      </c>
      <c r="B1676">
        <v>1638518</v>
      </c>
      <c r="C1676">
        <v>1639525</v>
      </c>
      <c r="D1676">
        <v>1</v>
      </c>
      <c r="E1676" t="s">
        <v>76</v>
      </c>
      <c r="F1676" t="s">
        <v>3030</v>
      </c>
      <c r="G1676" t="s">
        <v>5553</v>
      </c>
      <c r="I1676" t="s">
        <v>49</v>
      </c>
      <c r="L1676" t="s">
        <v>5554</v>
      </c>
      <c r="M1676" t="s">
        <v>3030</v>
      </c>
      <c r="N1676">
        <v>335</v>
      </c>
      <c r="O1676" t="s">
        <v>5555</v>
      </c>
    </row>
    <row r="1677" spans="1:15" ht="14.5">
      <c r="A1677" t="s">
        <v>29</v>
      </c>
      <c r="B1677">
        <v>1639515</v>
      </c>
      <c r="C1677">
        <v>1640540</v>
      </c>
      <c r="D1677">
        <v>1</v>
      </c>
      <c r="E1677" t="s">
        <v>76</v>
      </c>
      <c r="F1677" t="s">
        <v>5556</v>
      </c>
      <c r="G1677" t="s">
        <v>5557</v>
      </c>
      <c r="I1677" t="s">
        <v>49</v>
      </c>
      <c r="L1677" t="s">
        <v>5558</v>
      </c>
      <c r="M1677" t="s">
        <v>5556</v>
      </c>
      <c r="N1677">
        <v>341</v>
      </c>
      <c r="O1677" t="s">
        <v>5559</v>
      </c>
    </row>
    <row r="1678" spans="1:15" ht="14.5">
      <c r="A1678" t="s">
        <v>29</v>
      </c>
      <c r="B1678">
        <v>1640933</v>
      </c>
      <c r="C1678">
        <v>1641151</v>
      </c>
      <c r="D1678">
        <v>1</v>
      </c>
      <c r="E1678" t="s">
        <v>76</v>
      </c>
      <c r="F1678" t="s">
        <v>5462</v>
      </c>
      <c r="I1678" t="s">
        <v>49</v>
      </c>
      <c r="L1678" t="s">
        <v>5560</v>
      </c>
      <c r="M1678" t="s">
        <v>5462</v>
      </c>
      <c r="N1678">
        <v>72</v>
      </c>
      <c r="O1678" t="s">
        <v>5561</v>
      </c>
    </row>
    <row r="1679" spans="1:15" ht="14.5">
      <c r="A1679" t="s">
        <v>29</v>
      </c>
      <c r="B1679">
        <v>1641397</v>
      </c>
      <c r="C1679">
        <v>1641675</v>
      </c>
      <c r="D1679">
        <v>1</v>
      </c>
      <c r="E1679" t="s">
        <v>76</v>
      </c>
      <c r="F1679" t="s">
        <v>5562</v>
      </c>
      <c r="G1679" t="s">
        <v>5563</v>
      </c>
      <c r="I1679" t="s">
        <v>49</v>
      </c>
      <c r="L1679" t="s">
        <v>5564</v>
      </c>
      <c r="M1679" t="s">
        <v>5562</v>
      </c>
      <c r="N1679">
        <v>92</v>
      </c>
      <c r="O1679" t="s">
        <v>5565</v>
      </c>
    </row>
    <row r="1680" spans="1:15" ht="14.5">
      <c r="A1680" t="s">
        <v>29</v>
      </c>
      <c r="B1680">
        <v>1641889</v>
      </c>
      <c r="C1680">
        <v>1643520</v>
      </c>
      <c r="D1680">
        <v>1</v>
      </c>
      <c r="E1680" t="s">
        <v>76</v>
      </c>
      <c r="F1680" t="s">
        <v>5566</v>
      </c>
      <c r="G1680" t="s">
        <v>5567</v>
      </c>
      <c r="I1680" t="s">
        <v>49</v>
      </c>
      <c r="L1680" t="s">
        <v>5568</v>
      </c>
      <c r="M1680" t="s">
        <v>5566</v>
      </c>
      <c r="N1680">
        <v>543</v>
      </c>
      <c r="O1680" t="s">
        <v>5569</v>
      </c>
    </row>
    <row r="1681" spans="1:15" ht="14.5">
      <c r="A1681" t="s">
        <v>29</v>
      </c>
      <c r="B1681">
        <v>1643594</v>
      </c>
      <c r="C1681">
        <v>1644568</v>
      </c>
      <c r="D1681">
        <v>1</v>
      </c>
      <c r="E1681" t="s">
        <v>76</v>
      </c>
      <c r="F1681" t="s">
        <v>5570</v>
      </c>
      <c r="I1681" t="s">
        <v>49</v>
      </c>
      <c r="L1681" t="s">
        <v>5571</v>
      </c>
      <c r="M1681" t="s">
        <v>5570</v>
      </c>
      <c r="N1681">
        <v>324</v>
      </c>
      <c r="O1681" t="s">
        <v>5572</v>
      </c>
    </row>
    <row r="1682" spans="1:15" ht="14.5">
      <c r="A1682" t="s">
        <v>29</v>
      </c>
      <c r="B1682">
        <v>1644642</v>
      </c>
      <c r="C1682">
        <v>1645256</v>
      </c>
      <c r="D1682">
        <v>1</v>
      </c>
      <c r="E1682" t="s">
        <v>76</v>
      </c>
      <c r="F1682" t="s">
        <v>5573</v>
      </c>
      <c r="I1682" t="s">
        <v>49</v>
      </c>
      <c r="L1682" t="s">
        <v>5574</v>
      </c>
      <c r="M1682" t="s">
        <v>5573</v>
      </c>
      <c r="N1682">
        <v>204</v>
      </c>
      <c r="O1682" t="s">
        <v>5575</v>
      </c>
    </row>
    <row r="1683" spans="1:15" ht="14.5">
      <c r="A1683" t="s">
        <v>29</v>
      </c>
      <c r="B1683">
        <v>1645256</v>
      </c>
      <c r="C1683">
        <v>1646230</v>
      </c>
      <c r="D1683">
        <v>1</v>
      </c>
      <c r="E1683" t="s">
        <v>76</v>
      </c>
      <c r="F1683" t="s">
        <v>5576</v>
      </c>
      <c r="I1683" t="s">
        <v>49</v>
      </c>
      <c r="L1683" t="s">
        <v>5577</v>
      </c>
      <c r="M1683" t="s">
        <v>5576</v>
      </c>
      <c r="N1683">
        <v>324</v>
      </c>
      <c r="O1683" t="s">
        <v>5578</v>
      </c>
    </row>
    <row r="1684" spans="1:15" ht="14.5">
      <c r="A1684" t="s">
        <v>29</v>
      </c>
      <c r="B1684">
        <v>1646238</v>
      </c>
      <c r="C1684">
        <v>1647494</v>
      </c>
      <c r="D1684">
        <v>1</v>
      </c>
      <c r="E1684" t="s">
        <v>76</v>
      </c>
      <c r="F1684" t="s">
        <v>5579</v>
      </c>
      <c r="G1684" t="s">
        <v>5580</v>
      </c>
      <c r="I1684" t="s">
        <v>49</v>
      </c>
      <c r="L1684" t="s">
        <v>5581</v>
      </c>
      <c r="M1684" t="s">
        <v>5579</v>
      </c>
      <c r="N1684">
        <v>418</v>
      </c>
      <c r="O1684" t="s">
        <v>5582</v>
      </c>
    </row>
    <row r="1685" spans="1:15" ht="14.5">
      <c r="A1685" t="s">
        <v>29</v>
      </c>
      <c r="B1685">
        <v>1647556</v>
      </c>
      <c r="C1685">
        <v>1647987</v>
      </c>
      <c r="D1685">
        <v>1</v>
      </c>
      <c r="E1685" t="s">
        <v>76</v>
      </c>
      <c r="F1685" t="s">
        <v>842</v>
      </c>
      <c r="I1685" t="s">
        <v>49</v>
      </c>
      <c r="L1685" t="s">
        <v>5583</v>
      </c>
      <c r="M1685" t="s">
        <v>842</v>
      </c>
      <c r="N1685">
        <v>143</v>
      </c>
      <c r="O1685" t="s">
        <v>5584</v>
      </c>
    </row>
    <row r="1686" spans="1:15" ht="14.5">
      <c r="A1686" t="s">
        <v>29</v>
      </c>
      <c r="B1686">
        <v>1647989</v>
      </c>
      <c r="C1686">
        <v>1648591</v>
      </c>
      <c r="D1686">
        <v>1</v>
      </c>
      <c r="E1686" t="s">
        <v>76</v>
      </c>
      <c r="F1686" t="s">
        <v>5585</v>
      </c>
      <c r="G1686" t="s">
        <v>5586</v>
      </c>
      <c r="I1686" t="s">
        <v>49</v>
      </c>
      <c r="L1686" t="s">
        <v>5587</v>
      </c>
      <c r="M1686" t="s">
        <v>5585</v>
      </c>
      <c r="N1686">
        <v>200</v>
      </c>
      <c r="O1686" t="s">
        <v>5588</v>
      </c>
    </row>
    <row r="1687" spans="1:15" ht="14.5">
      <c r="A1687" t="s">
        <v>29</v>
      </c>
      <c r="B1687">
        <v>1648575</v>
      </c>
      <c r="C1687">
        <v>1649414</v>
      </c>
      <c r="D1687">
        <v>1</v>
      </c>
      <c r="E1687" t="s">
        <v>76</v>
      </c>
      <c r="F1687" t="s">
        <v>5589</v>
      </c>
      <c r="G1687" t="s">
        <v>5590</v>
      </c>
      <c r="I1687" t="s">
        <v>49</v>
      </c>
      <c r="L1687" t="s">
        <v>5591</v>
      </c>
      <c r="M1687" t="s">
        <v>5589</v>
      </c>
      <c r="N1687">
        <v>279</v>
      </c>
      <c r="O1687" t="s">
        <v>5592</v>
      </c>
    </row>
    <row r="1688" spans="1:15" ht="14.5">
      <c r="A1688" t="s">
        <v>29</v>
      </c>
      <c r="B1688">
        <v>1649414</v>
      </c>
      <c r="C1688">
        <v>1650493</v>
      </c>
      <c r="D1688">
        <v>1</v>
      </c>
      <c r="E1688" t="s">
        <v>76</v>
      </c>
      <c r="F1688" t="s">
        <v>5593</v>
      </c>
      <c r="G1688" t="s">
        <v>5594</v>
      </c>
      <c r="I1688" t="s">
        <v>49</v>
      </c>
      <c r="L1688" t="s">
        <v>5595</v>
      </c>
      <c r="M1688" t="s">
        <v>5593</v>
      </c>
      <c r="N1688">
        <v>359</v>
      </c>
      <c r="O1688" t="s">
        <v>5596</v>
      </c>
    </row>
    <row r="1689" spans="1:15" ht="14.5">
      <c r="A1689" t="s">
        <v>29</v>
      </c>
      <c r="B1689">
        <v>1650503</v>
      </c>
      <c r="C1689">
        <v>1650982</v>
      </c>
      <c r="D1689">
        <v>1</v>
      </c>
      <c r="E1689" t="s">
        <v>76</v>
      </c>
      <c r="F1689" t="s">
        <v>842</v>
      </c>
      <c r="I1689" t="s">
        <v>49</v>
      </c>
      <c r="L1689" t="s">
        <v>5597</v>
      </c>
      <c r="M1689" t="s">
        <v>842</v>
      </c>
      <c r="N1689">
        <v>159</v>
      </c>
      <c r="O1689" t="s">
        <v>5598</v>
      </c>
    </row>
    <row r="1690" spans="1:15" ht="14.5">
      <c r="A1690" t="s">
        <v>29</v>
      </c>
      <c r="B1690">
        <v>1650972</v>
      </c>
      <c r="C1690">
        <v>1651571</v>
      </c>
      <c r="D1690">
        <v>1</v>
      </c>
      <c r="E1690" t="s">
        <v>76</v>
      </c>
      <c r="F1690" t="s">
        <v>5599</v>
      </c>
      <c r="G1690" t="s">
        <v>5600</v>
      </c>
      <c r="I1690" t="s">
        <v>49</v>
      </c>
      <c r="L1690" t="s">
        <v>5601</v>
      </c>
      <c r="M1690" t="s">
        <v>5599</v>
      </c>
      <c r="N1690">
        <v>199</v>
      </c>
      <c r="O1690" t="s">
        <v>5602</v>
      </c>
    </row>
    <row r="1691" spans="1:15" ht="14.5">
      <c r="A1691" t="s">
        <v>29</v>
      </c>
      <c r="B1691">
        <v>1651694</v>
      </c>
      <c r="C1691">
        <v>1651876</v>
      </c>
      <c r="D1691">
        <v>1</v>
      </c>
      <c r="E1691" t="s">
        <v>47</v>
      </c>
      <c r="F1691" t="s">
        <v>5603</v>
      </c>
      <c r="G1691" t="s">
        <v>5604</v>
      </c>
      <c r="I1691" t="s">
        <v>49</v>
      </c>
      <c r="L1691" t="s">
        <v>5605</v>
      </c>
      <c r="M1691" t="s">
        <v>5603</v>
      </c>
      <c r="N1691">
        <v>60</v>
      </c>
      <c r="O1691" t="s">
        <v>5606</v>
      </c>
    </row>
    <row r="1692" spans="1:15" ht="14.5">
      <c r="A1692" t="s">
        <v>29</v>
      </c>
      <c r="B1692">
        <v>1652013</v>
      </c>
      <c r="C1692">
        <v>1653386</v>
      </c>
      <c r="D1692">
        <v>1</v>
      </c>
      <c r="E1692" t="s">
        <v>47</v>
      </c>
      <c r="F1692" t="s">
        <v>5607</v>
      </c>
      <c r="G1692" t="s">
        <v>5608</v>
      </c>
      <c r="I1692" t="s">
        <v>49</v>
      </c>
      <c r="L1692" t="s">
        <v>5609</v>
      </c>
      <c r="M1692" t="s">
        <v>5607</v>
      </c>
      <c r="N1692">
        <v>457</v>
      </c>
      <c r="O1692" t="s">
        <v>5610</v>
      </c>
    </row>
    <row r="1693" spans="1:15" ht="14.5">
      <c r="A1693" t="s">
        <v>29</v>
      </c>
      <c r="B1693">
        <v>1653433</v>
      </c>
      <c r="C1693">
        <v>1654368</v>
      </c>
      <c r="D1693">
        <v>1</v>
      </c>
      <c r="E1693" t="s">
        <v>76</v>
      </c>
      <c r="F1693" t="s">
        <v>5611</v>
      </c>
      <c r="G1693" t="s">
        <v>5612</v>
      </c>
      <c r="I1693" t="s">
        <v>49</v>
      </c>
      <c r="L1693" t="s">
        <v>5613</v>
      </c>
      <c r="M1693" t="s">
        <v>5611</v>
      </c>
      <c r="N1693">
        <v>311</v>
      </c>
      <c r="O1693" t="s">
        <v>5614</v>
      </c>
    </row>
    <row r="1694" spans="1:15" ht="14.5">
      <c r="A1694" t="s">
        <v>29</v>
      </c>
      <c r="B1694">
        <v>1654424</v>
      </c>
      <c r="C1694">
        <v>1655500</v>
      </c>
      <c r="D1694">
        <v>1</v>
      </c>
      <c r="E1694" t="s">
        <v>76</v>
      </c>
      <c r="F1694" t="s">
        <v>5615</v>
      </c>
      <c r="G1694" t="s">
        <v>5616</v>
      </c>
      <c r="I1694" t="s">
        <v>49</v>
      </c>
      <c r="L1694" t="s">
        <v>5617</v>
      </c>
      <c r="M1694" t="s">
        <v>5615</v>
      </c>
      <c r="N1694">
        <v>358</v>
      </c>
      <c r="O1694" t="s">
        <v>5618</v>
      </c>
    </row>
    <row r="1695" spans="1:15" ht="14.5">
      <c r="A1695" t="s">
        <v>29</v>
      </c>
      <c r="B1695">
        <v>1655842</v>
      </c>
      <c r="C1695">
        <v>1655914</v>
      </c>
      <c r="D1695">
        <v>1</v>
      </c>
      <c r="E1695" t="s">
        <v>76</v>
      </c>
      <c r="F1695" t="s">
        <v>2571</v>
      </c>
      <c r="I1695" t="s">
        <v>1724</v>
      </c>
      <c r="O1695" t="s">
        <v>5619</v>
      </c>
    </row>
    <row r="1696" spans="1:15" ht="14.5">
      <c r="A1696" t="s">
        <v>29</v>
      </c>
      <c r="B1696">
        <v>1656646</v>
      </c>
      <c r="C1696">
        <v>1657077</v>
      </c>
      <c r="D1696">
        <v>1</v>
      </c>
      <c r="E1696" t="s">
        <v>47</v>
      </c>
      <c r="F1696" t="s">
        <v>5620</v>
      </c>
      <c r="I1696" t="s">
        <v>49</v>
      </c>
      <c r="L1696" t="s">
        <v>5621</v>
      </c>
      <c r="M1696" t="s">
        <v>5620</v>
      </c>
      <c r="N1696">
        <v>143</v>
      </c>
      <c r="O1696" t="s">
        <v>5622</v>
      </c>
    </row>
    <row r="1697" spans="1:15" ht="14.5">
      <c r="A1697" t="s">
        <v>29</v>
      </c>
      <c r="B1697">
        <v>1657159</v>
      </c>
      <c r="C1697">
        <v>1657536</v>
      </c>
      <c r="D1697">
        <v>1</v>
      </c>
      <c r="E1697" t="s">
        <v>47</v>
      </c>
      <c r="F1697" t="s">
        <v>5623</v>
      </c>
      <c r="G1697" t="s">
        <v>5624</v>
      </c>
      <c r="I1697" t="s">
        <v>49</v>
      </c>
      <c r="L1697" t="s">
        <v>5625</v>
      </c>
      <c r="M1697" t="s">
        <v>5623</v>
      </c>
      <c r="N1697">
        <v>125</v>
      </c>
      <c r="O1697" t="s">
        <v>5626</v>
      </c>
    </row>
    <row r="1698" spans="1:15" ht="14.5">
      <c r="A1698" t="s">
        <v>29</v>
      </c>
      <c r="B1698">
        <v>1657578</v>
      </c>
      <c r="C1698">
        <v>1658672</v>
      </c>
      <c r="D1698">
        <v>1</v>
      </c>
      <c r="E1698" t="s">
        <v>76</v>
      </c>
      <c r="F1698" t="s">
        <v>5627</v>
      </c>
      <c r="G1698" t="s">
        <v>5628</v>
      </c>
      <c r="I1698" t="s">
        <v>49</v>
      </c>
      <c r="L1698" t="s">
        <v>5629</v>
      </c>
      <c r="M1698" t="s">
        <v>5627</v>
      </c>
      <c r="N1698">
        <v>364</v>
      </c>
      <c r="O1698" t="s">
        <v>5630</v>
      </c>
    </row>
    <row r="1699" spans="1:15" ht="14.5">
      <c r="A1699" t="s">
        <v>29</v>
      </c>
      <c r="B1699">
        <v>1658827</v>
      </c>
      <c r="C1699">
        <v>1660050</v>
      </c>
      <c r="D1699">
        <v>1</v>
      </c>
      <c r="E1699" t="s">
        <v>47</v>
      </c>
      <c r="F1699" t="s">
        <v>5631</v>
      </c>
      <c r="G1699" t="s">
        <v>5632</v>
      </c>
      <c r="I1699" t="s">
        <v>49</v>
      </c>
      <c r="L1699" t="s">
        <v>5633</v>
      </c>
      <c r="M1699" t="s">
        <v>5631</v>
      </c>
      <c r="N1699">
        <v>407</v>
      </c>
      <c r="O1699" t="s">
        <v>5634</v>
      </c>
    </row>
    <row r="1700" spans="1:15" ht="14.5">
      <c r="A1700" t="s">
        <v>29</v>
      </c>
      <c r="B1700">
        <v>1660086</v>
      </c>
      <c r="C1700">
        <v>1660715</v>
      </c>
      <c r="D1700">
        <v>1</v>
      </c>
      <c r="E1700" t="s">
        <v>76</v>
      </c>
      <c r="F1700" t="s">
        <v>5635</v>
      </c>
      <c r="I1700" t="s">
        <v>49</v>
      </c>
      <c r="L1700" t="s">
        <v>5636</v>
      </c>
      <c r="M1700" t="s">
        <v>5635</v>
      </c>
      <c r="N1700">
        <v>209</v>
      </c>
      <c r="O1700" t="s">
        <v>5637</v>
      </c>
    </row>
    <row r="1701" spans="1:15" ht="14.5">
      <c r="A1701" t="s">
        <v>29</v>
      </c>
      <c r="B1701">
        <v>1661010</v>
      </c>
      <c r="C1701">
        <v>1661579</v>
      </c>
      <c r="D1701">
        <v>1</v>
      </c>
      <c r="E1701" t="s">
        <v>76</v>
      </c>
      <c r="F1701" t="s">
        <v>5638</v>
      </c>
      <c r="I1701" t="s">
        <v>49</v>
      </c>
      <c r="L1701" t="s">
        <v>5639</v>
      </c>
      <c r="M1701" t="s">
        <v>5638</v>
      </c>
      <c r="N1701">
        <v>189</v>
      </c>
      <c r="O1701" t="s">
        <v>5640</v>
      </c>
    </row>
    <row r="1702" spans="1:15" ht="14.5">
      <c r="A1702" t="s">
        <v>29</v>
      </c>
      <c r="B1702">
        <v>1662094</v>
      </c>
      <c r="C1702">
        <v>1662183</v>
      </c>
      <c r="D1702">
        <v>1</v>
      </c>
      <c r="E1702" t="s">
        <v>76</v>
      </c>
      <c r="F1702" t="s">
        <v>5641</v>
      </c>
      <c r="G1702" t="s">
        <v>5642</v>
      </c>
      <c r="I1702" t="s">
        <v>49</v>
      </c>
      <c r="L1702" t="s">
        <v>5643</v>
      </c>
      <c r="M1702" t="s">
        <v>5641</v>
      </c>
      <c r="N1702">
        <v>29</v>
      </c>
      <c r="O1702" t="s">
        <v>5644</v>
      </c>
    </row>
    <row r="1703" spans="1:15" ht="14.5">
      <c r="A1703" t="s">
        <v>29</v>
      </c>
      <c r="B1703">
        <v>1662409</v>
      </c>
      <c r="C1703">
        <v>1665528</v>
      </c>
      <c r="D1703">
        <v>1</v>
      </c>
      <c r="E1703" t="s">
        <v>76</v>
      </c>
      <c r="F1703" t="s">
        <v>5638</v>
      </c>
      <c r="I1703" t="s">
        <v>49</v>
      </c>
      <c r="L1703" t="s">
        <v>5645</v>
      </c>
      <c r="M1703" t="s">
        <v>5638</v>
      </c>
      <c r="N1703">
        <v>1039</v>
      </c>
      <c r="O1703" t="s">
        <v>5646</v>
      </c>
    </row>
    <row r="1704" spans="1:15" ht="14.5">
      <c r="A1704" t="s">
        <v>29</v>
      </c>
      <c r="B1704">
        <v>1665739</v>
      </c>
      <c r="C1704">
        <v>1668270</v>
      </c>
      <c r="D1704">
        <v>1</v>
      </c>
      <c r="E1704" t="s">
        <v>76</v>
      </c>
      <c r="F1704" t="s">
        <v>5647</v>
      </c>
      <c r="I1704" t="s">
        <v>49</v>
      </c>
      <c r="L1704" t="s">
        <v>5648</v>
      </c>
      <c r="M1704" t="s">
        <v>5647</v>
      </c>
      <c r="N1704">
        <v>843</v>
      </c>
      <c r="O1704" t="s">
        <v>5649</v>
      </c>
    </row>
    <row r="1705" spans="1:15" ht="14.5">
      <c r="A1705" t="s">
        <v>29</v>
      </c>
      <c r="B1705">
        <v>1668278</v>
      </c>
      <c r="C1705">
        <v>1669195</v>
      </c>
      <c r="D1705">
        <v>1</v>
      </c>
      <c r="E1705" t="s">
        <v>76</v>
      </c>
      <c r="F1705" t="s">
        <v>5650</v>
      </c>
      <c r="G1705" t="s">
        <v>5651</v>
      </c>
      <c r="I1705" t="s">
        <v>49</v>
      </c>
      <c r="L1705" t="s">
        <v>5652</v>
      </c>
      <c r="M1705" t="s">
        <v>5650</v>
      </c>
      <c r="N1705">
        <v>305</v>
      </c>
      <c r="O1705" t="s">
        <v>5653</v>
      </c>
    </row>
    <row r="1706" spans="1:15" ht="14.5">
      <c r="A1706" t="s">
        <v>29</v>
      </c>
      <c r="B1706">
        <v>1669338</v>
      </c>
      <c r="C1706">
        <v>1670729</v>
      </c>
      <c r="D1706">
        <v>1</v>
      </c>
      <c r="E1706" t="s">
        <v>76</v>
      </c>
      <c r="F1706" t="s">
        <v>5654</v>
      </c>
      <c r="G1706" t="s">
        <v>5655</v>
      </c>
      <c r="I1706" t="s">
        <v>49</v>
      </c>
      <c r="L1706" t="s">
        <v>5656</v>
      </c>
      <c r="M1706" t="s">
        <v>5654</v>
      </c>
      <c r="N1706">
        <v>463</v>
      </c>
      <c r="O1706" t="s">
        <v>5657</v>
      </c>
    </row>
    <row r="1707" spans="1:15" ht="14.5">
      <c r="A1707" t="s">
        <v>29</v>
      </c>
      <c r="B1707">
        <v>1671104</v>
      </c>
      <c r="C1707">
        <v>1671661</v>
      </c>
      <c r="D1707">
        <v>1</v>
      </c>
      <c r="E1707" t="s">
        <v>76</v>
      </c>
      <c r="F1707" t="s">
        <v>3351</v>
      </c>
      <c r="I1707" t="s">
        <v>49</v>
      </c>
      <c r="L1707" t="s">
        <v>5658</v>
      </c>
      <c r="M1707" t="s">
        <v>3351</v>
      </c>
      <c r="N1707">
        <v>185</v>
      </c>
      <c r="O1707" t="s">
        <v>5659</v>
      </c>
    </row>
    <row r="1708" spans="1:15" ht="14.5">
      <c r="A1708" t="s">
        <v>29</v>
      </c>
      <c r="B1708">
        <v>1671672</v>
      </c>
      <c r="C1708">
        <v>1672379</v>
      </c>
      <c r="D1708">
        <v>1</v>
      </c>
      <c r="E1708" t="s">
        <v>76</v>
      </c>
      <c r="F1708" t="s">
        <v>5660</v>
      </c>
      <c r="G1708" t="s">
        <v>5661</v>
      </c>
      <c r="I1708" t="s">
        <v>49</v>
      </c>
      <c r="L1708" t="s">
        <v>5662</v>
      </c>
      <c r="M1708" t="s">
        <v>5660</v>
      </c>
      <c r="N1708">
        <v>235</v>
      </c>
      <c r="O1708" t="s">
        <v>5663</v>
      </c>
    </row>
    <row r="1709" spans="1:15" ht="14.5">
      <c r="A1709" t="s">
        <v>29</v>
      </c>
      <c r="B1709">
        <v>1672610</v>
      </c>
      <c r="C1709">
        <v>1673014</v>
      </c>
      <c r="D1709">
        <v>1</v>
      </c>
      <c r="E1709" t="s">
        <v>76</v>
      </c>
      <c r="F1709" t="s">
        <v>1347</v>
      </c>
      <c r="I1709" t="s">
        <v>49</v>
      </c>
      <c r="L1709" t="s">
        <v>5664</v>
      </c>
      <c r="M1709" t="s">
        <v>1347</v>
      </c>
      <c r="N1709">
        <v>134</v>
      </c>
      <c r="O1709" t="s">
        <v>5665</v>
      </c>
    </row>
    <row r="1710" spans="1:15" ht="14.5">
      <c r="A1710" t="s">
        <v>29</v>
      </c>
      <c r="B1710">
        <v>1673666</v>
      </c>
      <c r="C1710">
        <v>1674082</v>
      </c>
      <c r="D1710">
        <v>1</v>
      </c>
      <c r="E1710" t="s">
        <v>76</v>
      </c>
      <c r="F1710" t="s">
        <v>559</v>
      </c>
      <c r="I1710" t="s">
        <v>49</v>
      </c>
      <c r="L1710" t="s">
        <v>5666</v>
      </c>
      <c r="M1710" t="s">
        <v>559</v>
      </c>
      <c r="N1710">
        <v>138</v>
      </c>
      <c r="O1710" t="s">
        <v>5667</v>
      </c>
    </row>
    <row r="1711" spans="1:15" ht="14.5">
      <c r="A1711" t="s">
        <v>29</v>
      </c>
      <c r="B1711">
        <v>1674278</v>
      </c>
      <c r="C1711">
        <v>1676041</v>
      </c>
      <c r="D1711">
        <v>1</v>
      </c>
      <c r="E1711" t="s">
        <v>76</v>
      </c>
      <c r="F1711" t="s">
        <v>5668</v>
      </c>
      <c r="G1711" t="s">
        <v>5669</v>
      </c>
      <c r="I1711" t="s">
        <v>49</v>
      </c>
      <c r="L1711" t="s">
        <v>5670</v>
      </c>
      <c r="M1711" t="s">
        <v>5668</v>
      </c>
      <c r="N1711">
        <v>587</v>
      </c>
      <c r="O1711" t="s">
        <v>5671</v>
      </c>
    </row>
    <row r="1712" spans="1:15" ht="14.5">
      <c r="A1712" t="s">
        <v>29</v>
      </c>
      <c r="B1712">
        <v>1676050</v>
      </c>
      <c r="C1712">
        <v>1676640</v>
      </c>
      <c r="D1712">
        <v>1</v>
      </c>
      <c r="E1712" t="s">
        <v>76</v>
      </c>
      <c r="F1712" t="s">
        <v>5672</v>
      </c>
      <c r="G1712" t="s">
        <v>5673</v>
      </c>
      <c r="I1712" t="s">
        <v>49</v>
      </c>
      <c r="L1712" t="s">
        <v>5674</v>
      </c>
      <c r="M1712" t="s">
        <v>5672</v>
      </c>
      <c r="N1712">
        <v>196</v>
      </c>
      <c r="O1712" t="s">
        <v>5675</v>
      </c>
    </row>
    <row r="1713" spans="1:15" ht="14.5">
      <c r="A1713" t="s">
        <v>29</v>
      </c>
      <c r="B1713">
        <v>1676714</v>
      </c>
      <c r="C1713">
        <v>1677205</v>
      </c>
      <c r="D1713">
        <v>1</v>
      </c>
      <c r="E1713" t="s">
        <v>76</v>
      </c>
      <c r="F1713" t="s">
        <v>1555</v>
      </c>
      <c r="I1713" t="s">
        <v>49</v>
      </c>
      <c r="L1713" t="s">
        <v>5676</v>
      </c>
      <c r="M1713" t="s">
        <v>1555</v>
      </c>
      <c r="N1713">
        <v>163</v>
      </c>
      <c r="O1713" t="s">
        <v>5677</v>
      </c>
    </row>
    <row r="1714" spans="1:15" ht="14.5">
      <c r="A1714" t="s">
        <v>29</v>
      </c>
      <c r="B1714">
        <v>1677282</v>
      </c>
      <c r="C1714">
        <v>1677974</v>
      </c>
      <c r="D1714">
        <v>1</v>
      </c>
      <c r="E1714" t="s">
        <v>76</v>
      </c>
      <c r="F1714" t="s">
        <v>5678</v>
      </c>
      <c r="G1714" t="s">
        <v>5679</v>
      </c>
      <c r="I1714" t="s">
        <v>49</v>
      </c>
      <c r="L1714" t="s">
        <v>5680</v>
      </c>
      <c r="M1714" t="s">
        <v>5678</v>
      </c>
      <c r="N1714">
        <v>230</v>
      </c>
      <c r="O1714" t="s">
        <v>5681</v>
      </c>
    </row>
    <row r="1715" spans="1:15" ht="14.5">
      <c r="A1715" t="s">
        <v>29</v>
      </c>
      <c r="B1715">
        <v>1677991</v>
      </c>
      <c r="C1715">
        <v>1678305</v>
      </c>
      <c r="D1715">
        <v>1</v>
      </c>
      <c r="E1715" t="s">
        <v>76</v>
      </c>
      <c r="F1715" t="s">
        <v>65</v>
      </c>
      <c r="I1715" t="s">
        <v>49</v>
      </c>
      <c r="L1715" t="s">
        <v>5682</v>
      </c>
      <c r="M1715" t="s">
        <v>65</v>
      </c>
      <c r="N1715">
        <v>104</v>
      </c>
      <c r="O1715" t="s">
        <v>5683</v>
      </c>
    </row>
    <row r="1716" spans="1:15" ht="14.5">
      <c r="A1716" t="s">
        <v>29</v>
      </c>
      <c r="B1716">
        <v>1678317</v>
      </c>
      <c r="C1716">
        <v>1678862</v>
      </c>
      <c r="D1716">
        <v>1</v>
      </c>
      <c r="E1716" t="s">
        <v>76</v>
      </c>
      <c r="F1716" t="s">
        <v>5684</v>
      </c>
      <c r="G1716" t="s">
        <v>5685</v>
      </c>
      <c r="I1716" t="s">
        <v>49</v>
      </c>
      <c r="L1716" t="s">
        <v>5686</v>
      </c>
      <c r="M1716" t="s">
        <v>5684</v>
      </c>
      <c r="N1716">
        <v>181</v>
      </c>
      <c r="O1716" t="s">
        <v>5687</v>
      </c>
    </row>
    <row r="1717" spans="1:15" ht="14.5">
      <c r="A1717" t="s">
        <v>29</v>
      </c>
      <c r="B1717">
        <v>1678872</v>
      </c>
      <c r="C1717">
        <v>1680251</v>
      </c>
      <c r="D1717">
        <v>1</v>
      </c>
      <c r="E1717" t="s">
        <v>76</v>
      </c>
      <c r="F1717" t="s">
        <v>5688</v>
      </c>
      <c r="G1717" t="s">
        <v>5689</v>
      </c>
      <c r="I1717" t="s">
        <v>49</v>
      </c>
      <c r="L1717" t="s">
        <v>5690</v>
      </c>
      <c r="M1717" t="s">
        <v>5688</v>
      </c>
      <c r="N1717">
        <v>459</v>
      </c>
      <c r="O1717" t="s">
        <v>5691</v>
      </c>
    </row>
    <row r="1718" spans="1:15" ht="14.5">
      <c r="A1718" t="s">
        <v>29</v>
      </c>
      <c r="B1718">
        <v>1680395</v>
      </c>
      <c r="C1718">
        <v>1681195</v>
      </c>
      <c r="D1718">
        <v>1</v>
      </c>
      <c r="E1718" t="s">
        <v>47</v>
      </c>
      <c r="F1718" t="s">
        <v>5692</v>
      </c>
      <c r="I1718" t="s">
        <v>49</v>
      </c>
      <c r="L1718" t="s">
        <v>5693</v>
      </c>
      <c r="M1718" t="s">
        <v>5692</v>
      </c>
      <c r="N1718">
        <v>266</v>
      </c>
      <c r="O1718" t="s">
        <v>5694</v>
      </c>
    </row>
    <row r="1719" spans="1:15" ht="14.5">
      <c r="A1719" t="s">
        <v>29</v>
      </c>
      <c r="B1719">
        <v>1681290</v>
      </c>
      <c r="C1719">
        <v>1682132</v>
      </c>
      <c r="D1719">
        <v>1</v>
      </c>
      <c r="E1719" t="s">
        <v>47</v>
      </c>
      <c r="F1719" t="s">
        <v>769</v>
      </c>
      <c r="I1719" t="s">
        <v>49</v>
      </c>
      <c r="L1719" t="s">
        <v>5695</v>
      </c>
      <c r="M1719" t="s">
        <v>769</v>
      </c>
      <c r="N1719">
        <v>280</v>
      </c>
      <c r="O1719" t="s">
        <v>5696</v>
      </c>
    </row>
    <row r="1720" spans="1:15" ht="14.5">
      <c r="A1720" t="s">
        <v>29</v>
      </c>
      <c r="B1720">
        <v>1682132</v>
      </c>
      <c r="C1720">
        <v>1682614</v>
      </c>
      <c r="D1720">
        <v>1</v>
      </c>
      <c r="E1720" t="s">
        <v>47</v>
      </c>
      <c r="F1720" t="s">
        <v>1965</v>
      </c>
      <c r="G1720" t="s">
        <v>5697</v>
      </c>
      <c r="I1720" t="s">
        <v>49</v>
      </c>
      <c r="L1720" t="s">
        <v>5698</v>
      </c>
      <c r="M1720" t="s">
        <v>1965</v>
      </c>
      <c r="N1720">
        <v>160</v>
      </c>
      <c r="O1720" t="s">
        <v>5699</v>
      </c>
    </row>
    <row r="1721" spans="1:15" ht="14.5">
      <c r="A1721" t="s">
        <v>29</v>
      </c>
      <c r="B1721">
        <v>1682614</v>
      </c>
      <c r="C1721">
        <v>1683234</v>
      </c>
      <c r="D1721">
        <v>1</v>
      </c>
      <c r="E1721" t="s">
        <v>47</v>
      </c>
      <c r="F1721" t="s">
        <v>5700</v>
      </c>
      <c r="G1721" t="s">
        <v>5701</v>
      </c>
      <c r="I1721" t="s">
        <v>49</v>
      </c>
      <c r="L1721" t="s">
        <v>5702</v>
      </c>
      <c r="M1721" t="s">
        <v>5700</v>
      </c>
      <c r="N1721">
        <v>206</v>
      </c>
      <c r="O1721" t="s">
        <v>5703</v>
      </c>
    </row>
    <row r="1722" spans="1:15" ht="14.5">
      <c r="A1722" t="s">
        <v>29</v>
      </c>
      <c r="B1722">
        <v>1683804</v>
      </c>
      <c r="C1722">
        <v>1683995</v>
      </c>
      <c r="D1722">
        <v>1</v>
      </c>
      <c r="E1722" t="s">
        <v>47</v>
      </c>
      <c r="F1722" t="s">
        <v>5394</v>
      </c>
      <c r="G1722" t="s">
        <v>5704</v>
      </c>
      <c r="I1722" t="s">
        <v>49</v>
      </c>
      <c r="L1722" t="s">
        <v>5705</v>
      </c>
      <c r="M1722" t="s">
        <v>5394</v>
      </c>
      <c r="N1722">
        <v>63</v>
      </c>
      <c r="O1722" t="s">
        <v>5706</v>
      </c>
    </row>
    <row r="1723" spans="1:15" ht="14.5">
      <c r="A1723" t="s">
        <v>29</v>
      </c>
      <c r="B1723">
        <v>1683995</v>
      </c>
      <c r="C1723">
        <v>1684336</v>
      </c>
      <c r="D1723">
        <v>1</v>
      </c>
      <c r="E1723" t="s">
        <v>47</v>
      </c>
      <c r="F1723" t="s">
        <v>3897</v>
      </c>
      <c r="I1723" t="s">
        <v>49</v>
      </c>
      <c r="L1723" t="s">
        <v>5707</v>
      </c>
      <c r="M1723" t="s">
        <v>3897</v>
      </c>
      <c r="N1723">
        <v>113</v>
      </c>
      <c r="O1723" t="s">
        <v>5708</v>
      </c>
    </row>
    <row r="1724" spans="1:15" ht="14.5">
      <c r="A1724" t="s">
        <v>29</v>
      </c>
      <c r="B1724">
        <v>1684453</v>
      </c>
      <c r="C1724">
        <v>1685394</v>
      </c>
      <c r="D1724">
        <v>1</v>
      </c>
      <c r="E1724" t="s">
        <v>76</v>
      </c>
      <c r="F1724" t="s">
        <v>5709</v>
      </c>
      <c r="G1724" t="s">
        <v>5710</v>
      </c>
      <c r="I1724" t="s">
        <v>49</v>
      </c>
      <c r="L1724" t="s">
        <v>5711</v>
      </c>
      <c r="M1724" t="s">
        <v>5709</v>
      </c>
      <c r="N1724">
        <v>313</v>
      </c>
      <c r="O1724" t="s">
        <v>5712</v>
      </c>
    </row>
    <row r="1725" spans="1:15" ht="14.5">
      <c r="A1725" t="s">
        <v>29</v>
      </c>
      <c r="B1725">
        <v>1685461</v>
      </c>
      <c r="C1725">
        <v>1686174</v>
      </c>
      <c r="D1725">
        <v>1</v>
      </c>
      <c r="E1725" t="s">
        <v>76</v>
      </c>
      <c r="F1725" t="s">
        <v>5713</v>
      </c>
      <c r="I1725" t="s">
        <v>49</v>
      </c>
      <c r="L1725" t="s">
        <v>5714</v>
      </c>
      <c r="M1725" t="s">
        <v>5713</v>
      </c>
      <c r="N1725">
        <v>237</v>
      </c>
      <c r="O1725" t="s">
        <v>5715</v>
      </c>
    </row>
    <row r="1726" spans="1:15" ht="14.5">
      <c r="A1726" t="s">
        <v>29</v>
      </c>
      <c r="B1726">
        <v>1686176</v>
      </c>
      <c r="C1726">
        <v>1687978</v>
      </c>
      <c r="D1726">
        <v>1</v>
      </c>
      <c r="E1726" t="s">
        <v>76</v>
      </c>
      <c r="F1726" t="s">
        <v>3321</v>
      </c>
      <c r="G1726" t="s">
        <v>5716</v>
      </c>
      <c r="I1726" t="s">
        <v>49</v>
      </c>
      <c r="L1726" t="s">
        <v>5717</v>
      </c>
      <c r="M1726" t="s">
        <v>3321</v>
      </c>
      <c r="N1726">
        <v>600</v>
      </c>
      <c r="O1726" t="s">
        <v>5718</v>
      </c>
    </row>
    <row r="1727" spans="1:15" ht="14.5">
      <c r="A1727" t="s">
        <v>29</v>
      </c>
      <c r="B1727">
        <v>1687997</v>
      </c>
      <c r="C1727">
        <v>1688950</v>
      </c>
      <c r="D1727">
        <v>1</v>
      </c>
      <c r="E1727" t="s">
        <v>76</v>
      </c>
      <c r="F1727" t="s">
        <v>2412</v>
      </c>
      <c r="I1727" t="s">
        <v>49</v>
      </c>
      <c r="L1727" t="s">
        <v>5719</v>
      </c>
      <c r="M1727" t="s">
        <v>2412</v>
      </c>
      <c r="N1727">
        <v>317</v>
      </c>
      <c r="O1727" t="s">
        <v>5720</v>
      </c>
    </row>
    <row r="1728" spans="1:15" ht="14.5">
      <c r="A1728" t="s">
        <v>29</v>
      </c>
      <c r="B1728">
        <v>1689023</v>
      </c>
      <c r="C1728">
        <v>1689883</v>
      </c>
      <c r="D1728">
        <v>1</v>
      </c>
      <c r="E1728" t="s">
        <v>76</v>
      </c>
      <c r="F1728" t="s">
        <v>5721</v>
      </c>
      <c r="G1728" t="s">
        <v>5722</v>
      </c>
      <c r="I1728" t="s">
        <v>49</v>
      </c>
      <c r="L1728" t="s">
        <v>5723</v>
      </c>
      <c r="M1728" t="s">
        <v>5721</v>
      </c>
      <c r="N1728">
        <v>286</v>
      </c>
      <c r="O1728" t="s">
        <v>5724</v>
      </c>
    </row>
    <row r="1729" spans="1:15" ht="14.5">
      <c r="A1729" t="s">
        <v>29</v>
      </c>
      <c r="B1729">
        <v>1689899</v>
      </c>
      <c r="C1729">
        <v>1690366</v>
      </c>
      <c r="D1729">
        <v>1</v>
      </c>
      <c r="E1729" t="s">
        <v>76</v>
      </c>
      <c r="F1729" t="s">
        <v>5725</v>
      </c>
      <c r="G1729" t="s">
        <v>5726</v>
      </c>
      <c r="I1729" t="s">
        <v>49</v>
      </c>
      <c r="L1729" t="s">
        <v>5727</v>
      </c>
      <c r="M1729" t="s">
        <v>5725</v>
      </c>
      <c r="N1729">
        <v>155</v>
      </c>
      <c r="O1729" t="s">
        <v>5728</v>
      </c>
    </row>
    <row r="1730" spans="1:15" ht="14.5">
      <c r="A1730" t="s">
        <v>29</v>
      </c>
      <c r="B1730">
        <v>1690329</v>
      </c>
      <c r="C1730">
        <v>1692683</v>
      </c>
      <c r="D1730">
        <v>1</v>
      </c>
      <c r="E1730" t="s">
        <v>76</v>
      </c>
      <c r="F1730" t="s">
        <v>5729</v>
      </c>
      <c r="G1730" t="s">
        <v>5730</v>
      </c>
      <c r="I1730" t="s">
        <v>49</v>
      </c>
      <c r="L1730" t="s">
        <v>5731</v>
      </c>
      <c r="M1730" t="s">
        <v>5729</v>
      </c>
      <c r="N1730">
        <v>784</v>
      </c>
      <c r="O1730" t="s">
        <v>5732</v>
      </c>
    </row>
    <row r="1731" spans="1:15" ht="14.5">
      <c r="A1731" t="s">
        <v>29</v>
      </c>
      <c r="B1731">
        <v>1692785</v>
      </c>
      <c r="C1731">
        <v>1693018</v>
      </c>
      <c r="D1731">
        <v>1</v>
      </c>
      <c r="E1731" t="s">
        <v>76</v>
      </c>
      <c r="F1731" t="s">
        <v>5733</v>
      </c>
      <c r="G1731" t="s">
        <v>5734</v>
      </c>
      <c r="I1731" t="s">
        <v>49</v>
      </c>
      <c r="L1731" t="s">
        <v>5735</v>
      </c>
      <c r="M1731" t="s">
        <v>5733</v>
      </c>
      <c r="N1731">
        <v>77</v>
      </c>
      <c r="O1731" t="s">
        <v>5736</v>
      </c>
    </row>
    <row r="1732" spans="1:15" ht="14.5">
      <c r="A1732" t="s">
        <v>29</v>
      </c>
      <c r="B1732">
        <v>1693207</v>
      </c>
      <c r="C1732">
        <v>1694406</v>
      </c>
      <c r="D1732">
        <v>1</v>
      </c>
      <c r="E1732" t="s">
        <v>76</v>
      </c>
      <c r="F1732" t="s">
        <v>5737</v>
      </c>
      <c r="G1732" t="s">
        <v>5738</v>
      </c>
      <c r="I1732" t="s">
        <v>49</v>
      </c>
      <c r="L1732" t="s">
        <v>5739</v>
      </c>
      <c r="M1732" t="s">
        <v>5737</v>
      </c>
      <c r="N1732">
        <v>399</v>
      </c>
      <c r="O1732" t="s">
        <v>5740</v>
      </c>
    </row>
    <row r="1733" spans="1:15" ht="14.5">
      <c r="A1733" t="s">
        <v>29</v>
      </c>
      <c r="B1733">
        <v>1694393</v>
      </c>
      <c r="C1733">
        <v>1694998</v>
      </c>
      <c r="D1733">
        <v>1</v>
      </c>
      <c r="E1733" t="s">
        <v>76</v>
      </c>
      <c r="F1733" t="s">
        <v>5741</v>
      </c>
      <c r="G1733" t="s">
        <v>5742</v>
      </c>
      <c r="I1733" t="s">
        <v>49</v>
      </c>
      <c r="L1733" t="s">
        <v>5743</v>
      </c>
      <c r="M1733" t="s">
        <v>5741</v>
      </c>
      <c r="N1733">
        <v>201</v>
      </c>
      <c r="O1733" t="s">
        <v>5744</v>
      </c>
    </row>
    <row r="1734" spans="1:15" ht="14.5">
      <c r="A1734" t="s">
        <v>29</v>
      </c>
      <c r="B1734">
        <v>1694998</v>
      </c>
      <c r="C1734">
        <v>1695822</v>
      </c>
      <c r="D1734">
        <v>1</v>
      </c>
      <c r="E1734" t="s">
        <v>76</v>
      </c>
      <c r="F1734" t="s">
        <v>5745</v>
      </c>
      <c r="G1734" t="s">
        <v>5746</v>
      </c>
      <c r="I1734" t="s">
        <v>49</v>
      </c>
      <c r="L1734" t="s">
        <v>5747</v>
      </c>
      <c r="M1734" t="s">
        <v>5745</v>
      </c>
      <c r="N1734">
        <v>274</v>
      </c>
      <c r="O1734" t="s">
        <v>5748</v>
      </c>
    </row>
    <row r="1735" spans="1:15" ht="14.5">
      <c r="A1735" t="s">
        <v>29</v>
      </c>
      <c r="B1735">
        <v>1695871</v>
      </c>
      <c r="C1735">
        <v>1696770</v>
      </c>
      <c r="D1735">
        <v>1</v>
      </c>
      <c r="E1735" t="s">
        <v>76</v>
      </c>
      <c r="F1735" t="s">
        <v>5749</v>
      </c>
      <c r="G1735" t="s">
        <v>5750</v>
      </c>
      <c r="I1735" t="s">
        <v>49</v>
      </c>
      <c r="L1735" t="s">
        <v>5751</v>
      </c>
      <c r="M1735" t="s">
        <v>5749</v>
      </c>
      <c r="N1735">
        <v>299</v>
      </c>
      <c r="O1735" t="s">
        <v>5752</v>
      </c>
    </row>
    <row r="1736" spans="1:15" ht="14.5">
      <c r="A1736" t="s">
        <v>29</v>
      </c>
      <c r="B1736">
        <v>1696787</v>
      </c>
      <c r="C1736">
        <v>1697182</v>
      </c>
      <c r="D1736">
        <v>1</v>
      </c>
      <c r="E1736" t="s">
        <v>76</v>
      </c>
      <c r="F1736" t="s">
        <v>5753</v>
      </c>
      <c r="G1736" t="s">
        <v>5754</v>
      </c>
      <c r="I1736" t="s">
        <v>49</v>
      </c>
      <c r="L1736" t="s">
        <v>5755</v>
      </c>
      <c r="M1736" t="s">
        <v>5753</v>
      </c>
      <c r="N1736">
        <v>131</v>
      </c>
      <c r="O1736" t="s">
        <v>5756</v>
      </c>
    </row>
    <row r="1737" spans="1:15" ht="14.5">
      <c r="A1737" t="s">
        <v>29</v>
      </c>
      <c r="B1737">
        <v>1697163</v>
      </c>
      <c r="C1737">
        <v>1697660</v>
      </c>
      <c r="D1737">
        <v>1</v>
      </c>
      <c r="E1737" t="s">
        <v>76</v>
      </c>
      <c r="F1737" t="s">
        <v>5757</v>
      </c>
      <c r="I1737" t="s">
        <v>49</v>
      </c>
      <c r="L1737" t="s">
        <v>5758</v>
      </c>
      <c r="M1737" t="s">
        <v>5757</v>
      </c>
      <c r="N1737">
        <v>165</v>
      </c>
      <c r="O1737" t="s">
        <v>5759</v>
      </c>
    </row>
    <row r="1738" spans="1:15" ht="14.5">
      <c r="A1738" t="s">
        <v>29</v>
      </c>
      <c r="B1738">
        <v>1697765</v>
      </c>
      <c r="C1738">
        <v>1699420</v>
      </c>
      <c r="D1738">
        <v>1</v>
      </c>
      <c r="E1738" t="s">
        <v>47</v>
      </c>
      <c r="F1738" t="s">
        <v>5760</v>
      </c>
      <c r="I1738" t="s">
        <v>49</v>
      </c>
      <c r="L1738" t="s">
        <v>5761</v>
      </c>
      <c r="M1738" t="s">
        <v>5760</v>
      </c>
      <c r="N1738">
        <v>551</v>
      </c>
      <c r="O1738" t="s">
        <v>5762</v>
      </c>
    </row>
    <row r="1739" spans="1:15" ht="14.5">
      <c r="A1739" t="s">
        <v>29</v>
      </c>
      <c r="B1739">
        <v>1699481</v>
      </c>
      <c r="C1739">
        <v>1701589</v>
      </c>
      <c r="D1739">
        <v>1</v>
      </c>
      <c r="E1739" t="s">
        <v>76</v>
      </c>
      <c r="F1739" t="s">
        <v>5763</v>
      </c>
      <c r="G1739" t="s">
        <v>5764</v>
      </c>
      <c r="I1739" t="s">
        <v>49</v>
      </c>
      <c r="L1739" t="s">
        <v>5765</v>
      </c>
      <c r="M1739" t="s">
        <v>5763</v>
      </c>
      <c r="N1739">
        <v>702</v>
      </c>
      <c r="O1739" t="s">
        <v>5766</v>
      </c>
    </row>
    <row r="1740" spans="1:15" ht="14.5">
      <c r="A1740" t="s">
        <v>29</v>
      </c>
      <c r="B1740">
        <v>1701688</v>
      </c>
      <c r="C1740">
        <v>1702626</v>
      </c>
      <c r="D1740">
        <v>1</v>
      </c>
      <c r="E1740" t="s">
        <v>76</v>
      </c>
      <c r="F1740" t="s">
        <v>5767</v>
      </c>
      <c r="G1740" t="s">
        <v>5768</v>
      </c>
      <c r="I1740" t="s">
        <v>49</v>
      </c>
      <c r="L1740" t="s">
        <v>5769</v>
      </c>
      <c r="M1740" t="s">
        <v>5767</v>
      </c>
      <c r="N1740">
        <v>312</v>
      </c>
      <c r="O1740" t="s">
        <v>5770</v>
      </c>
    </row>
    <row r="1741" spans="1:15" ht="14.5">
      <c r="A1741" t="s">
        <v>29</v>
      </c>
      <c r="B1741">
        <v>1702637</v>
      </c>
      <c r="C1741">
        <v>1703437</v>
      </c>
      <c r="D1741">
        <v>1</v>
      </c>
      <c r="E1741" t="s">
        <v>76</v>
      </c>
      <c r="F1741" t="s">
        <v>5771</v>
      </c>
      <c r="G1741" t="s">
        <v>5772</v>
      </c>
      <c r="I1741" t="s">
        <v>49</v>
      </c>
      <c r="L1741" t="s">
        <v>5773</v>
      </c>
      <c r="M1741" t="s">
        <v>5771</v>
      </c>
      <c r="N1741">
        <v>266</v>
      </c>
      <c r="O1741" t="s">
        <v>5774</v>
      </c>
    </row>
    <row r="1742" spans="1:15" ht="14.5">
      <c r="A1742" t="s">
        <v>29</v>
      </c>
      <c r="B1742">
        <v>1703687</v>
      </c>
      <c r="C1742">
        <v>1704067</v>
      </c>
      <c r="D1742">
        <v>1</v>
      </c>
      <c r="E1742" t="s">
        <v>76</v>
      </c>
      <c r="F1742" t="s">
        <v>4053</v>
      </c>
      <c r="G1742" t="s">
        <v>5775</v>
      </c>
      <c r="I1742" t="s">
        <v>49</v>
      </c>
      <c r="L1742" t="s">
        <v>5776</v>
      </c>
      <c r="M1742" t="s">
        <v>4053</v>
      </c>
      <c r="N1742">
        <v>126</v>
      </c>
      <c r="O1742" t="s">
        <v>5777</v>
      </c>
    </row>
    <row r="1743" spans="1:15" ht="14.5">
      <c r="A1743" t="s">
        <v>29</v>
      </c>
      <c r="B1743">
        <v>1704125</v>
      </c>
      <c r="C1743">
        <v>1704484</v>
      </c>
      <c r="D1743">
        <v>1</v>
      </c>
      <c r="E1743" t="s">
        <v>76</v>
      </c>
      <c r="F1743" t="s">
        <v>5778</v>
      </c>
      <c r="G1743" t="s">
        <v>5779</v>
      </c>
      <c r="I1743" t="s">
        <v>49</v>
      </c>
      <c r="L1743" t="s">
        <v>5780</v>
      </c>
      <c r="M1743" t="s">
        <v>5778</v>
      </c>
      <c r="N1743">
        <v>119</v>
      </c>
      <c r="O1743" t="s">
        <v>5781</v>
      </c>
    </row>
    <row r="1744" spans="1:15" ht="14.5">
      <c r="A1744" t="s">
        <v>29</v>
      </c>
      <c r="B1744">
        <v>1704536</v>
      </c>
      <c r="C1744">
        <v>1704736</v>
      </c>
      <c r="D1744">
        <v>1</v>
      </c>
      <c r="E1744" t="s">
        <v>76</v>
      </c>
      <c r="F1744" t="s">
        <v>5782</v>
      </c>
      <c r="G1744" t="s">
        <v>5783</v>
      </c>
      <c r="I1744" t="s">
        <v>49</v>
      </c>
      <c r="L1744" t="s">
        <v>5784</v>
      </c>
      <c r="M1744" t="s">
        <v>5782</v>
      </c>
      <c r="N1744">
        <v>66</v>
      </c>
      <c r="O1744" t="s">
        <v>5785</v>
      </c>
    </row>
    <row r="1745" spans="1:15" ht="14.5">
      <c r="A1745" t="s">
        <v>29</v>
      </c>
      <c r="B1745">
        <v>1705620</v>
      </c>
      <c r="C1745">
        <v>1706795</v>
      </c>
      <c r="D1745">
        <v>1</v>
      </c>
      <c r="E1745" t="s">
        <v>76</v>
      </c>
      <c r="F1745" t="s">
        <v>5786</v>
      </c>
      <c r="I1745" t="s">
        <v>49</v>
      </c>
      <c r="L1745" t="s">
        <v>5787</v>
      </c>
      <c r="M1745" t="s">
        <v>5786</v>
      </c>
      <c r="N1745">
        <v>391</v>
      </c>
      <c r="O1745" t="s">
        <v>5788</v>
      </c>
    </row>
    <row r="1746" spans="1:15" ht="14.5">
      <c r="A1746" t="s">
        <v>29</v>
      </c>
      <c r="B1746">
        <v>1706799</v>
      </c>
      <c r="C1746">
        <v>1707386</v>
      </c>
      <c r="D1746">
        <v>1</v>
      </c>
      <c r="E1746" t="s">
        <v>76</v>
      </c>
      <c r="F1746" t="s">
        <v>218</v>
      </c>
      <c r="G1746" t="s">
        <v>5789</v>
      </c>
      <c r="I1746" t="s">
        <v>49</v>
      </c>
      <c r="L1746" t="s">
        <v>5790</v>
      </c>
      <c r="M1746" t="s">
        <v>218</v>
      </c>
      <c r="N1746">
        <v>195</v>
      </c>
      <c r="O1746" t="s">
        <v>5791</v>
      </c>
    </row>
    <row r="1747" spans="1:15" ht="14.5">
      <c r="A1747" t="s">
        <v>29</v>
      </c>
      <c r="B1747">
        <v>1707786</v>
      </c>
      <c r="C1747">
        <v>1708052</v>
      </c>
      <c r="D1747">
        <v>1</v>
      </c>
      <c r="E1747" t="s">
        <v>76</v>
      </c>
      <c r="F1747" t="s">
        <v>5792</v>
      </c>
      <c r="G1747" t="s">
        <v>5793</v>
      </c>
      <c r="I1747" t="s">
        <v>49</v>
      </c>
      <c r="L1747" t="s">
        <v>5794</v>
      </c>
      <c r="M1747" t="s">
        <v>5792</v>
      </c>
      <c r="N1747">
        <v>88</v>
      </c>
      <c r="O1747" t="s">
        <v>5795</v>
      </c>
    </row>
    <row r="1748" spans="1:15" ht="14.5">
      <c r="A1748" t="s">
        <v>29</v>
      </c>
      <c r="B1748">
        <v>1708095</v>
      </c>
      <c r="C1748">
        <v>1710026</v>
      </c>
      <c r="D1748">
        <v>1</v>
      </c>
      <c r="E1748" t="s">
        <v>76</v>
      </c>
      <c r="F1748" t="s">
        <v>5792</v>
      </c>
      <c r="G1748" t="s">
        <v>5796</v>
      </c>
      <c r="I1748" t="s">
        <v>49</v>
      </c>
      <c r="L1748" t="s">
        <v>5797</v>
      </c>
      <c r="M1748" t="s">
        <v>5792</v>
      </c>
      <c r="N1748">
        <v>643</v>
      </c>
      <c r="O1748" t="s">
        <v>5798</v>
      </c>
    </row>
    <row r="1749" spans="1:15" ht="14.5">
      <c r="A1749" t="s">
        <v>29</v>
      </c>
      <c r="B1749">
        <v>1710010</v>
      </c>
      <c r="C1749">
        <v>1710660</v>
      </c>
      <c r="D1749">
        <v>1</v>
      </c>
      <c r="E1749" t="s">
        <v>76</v>
      </c>
      <c r="F1749" t="s">
        <v>2412</v>
      </c>
      <c r="G1749" t="s">
        <v>5799</v>
      </c>
      <c r="I1749" t="s">
        <v>49</v>
      </c>
      <c r="L1749" t="s">
        <v>5800</v>
      </c>
      <c r="M1749" t="s">
        <v>2412</v>
      </c>
      <c r="N1749">
        <v>216</v>
      </c>
      <c r="O1749" t="s">
        <v>5801</v>
      </c>
    </row>
    <row r="1750" spans="1:15" ht="14.5">
      <c r="A1750" t="s">
        <v>29</v>
      </c>
      <c r="B1750">
        <v>1710728</v>
      </c>
      <c r="C1750">
        <v>1711297</v>
      </c>
      <c r="D1750">
        <v>1</v>
      </c>
      <c r="E1750" t="s">
        <v>76</v>
      </c>
      <c r="F1750" t="s">
        <v>842</v>
      </c>
      <c r="G1750" t="s">
        <v>5802</v>
      </c>
      <c r="I1750" t="s">
        <v>49</v>
      </c>
      <c r="L1750" t="s">
        <v>5803</v>
      </c>
      <c r="M1750" t="s">
        <v>842</v>
      </c>
      <c r="N1750">
        <v>189</v>
      </c>
      <c r="O1750" t="s">
        <v>5804</v>
      </c>
    </row>
    <row r="1751" spans="1:15" ht="14.5">
      <c r="A1751" t="s">
        <v>29</v>
      </c>
      <c r="B1751">
        <v>1711474</v>
      </c>
      <c r="C1751">
        <v>1712313</v>
      </c>
      <c r="D1751">
        <v>1</v>
      </c>
      <c r="E1751" t="s">
        <v>47</v>
      </c>
      <c r="F1751" t="s">
        <v>5805</v>
      </c>
      <c r="G1751" t="s">
        <v>5806</v>
      </c>
      <c r="I1751" t="s">
        <v>49</v>
      </c>
      <c r="L1751" t="s">
        <v>5807</v>
      </c>
      <c r="M1751" t="s">
        <v>5805</v>
      </c>
      <c r="N1751">
        <v>279</v>
      </c>
      <c r="O1751" t="s">
        <v>5808</v>
      </c>
    </row>
    <row r="1752" spans="1:15" ht="14.5">
      <c r="A1752" t="s">
        <v>29</v>
      </c>
      <c r="B1752">
        <v>1712310</v>
      </c>
      <c r="C1752">
        <v>1712585</v>
      </c>
      <c r="D1752">
        <v>1</v>
      </c>
      <c r="E1752" t="s">
        <v>47</v>
      </c>
      <c r="F1752" t="s">
        <v>5805</v>
      </c>
      <c r="G1752" t="s">
        <v>5809</v>
      </c>
      <c r="I1752" t="s">
        <v>49</v>
      </c>
      <c r="L1752" t="s">
        <v>5810</v>
      </c>
      <c r="M1752" t="s">
        <v>5805</v>
      </c>
      <c r="N1752">
        <v>91</v>
      </c>
      <c r="O1752" t="s">
        <v>5811</v>
      </c>
    </row>
    <row r="1753" spans="1:15" ht="14.5">
      <c r="A1753" t="s">
        <v>29</v>
      </c>
      <c r="B1753">
        <v>1712985</v>
      </c>
      <c r="C1753">
        <v>1713212</v>
      </c>
      <c r="D1753">
        <v>1</v>
      </c>
      <c r="E1753" t="s">
        <v>76</v>
      </c>
      <c r="F1753" t="s">
        <v>5812</v>
      </c>
      <c r="I1753" t="s">
        <v>49</v>
      </c>
      <c r="L1753" t="s">
        <v>5813</v>
      </c>
      <c r="M1753" t="s">
        <v>5812</v>
      </c>
      <c r="N1753">
        <v>75</v>
      </c>
      <c r="O1753" t="s">
        <v>5814</v>
      </c>
    </row>
    <row r="1754" spans="1:15" ht="14.5">
      <c r="A1754" t="s">
        <v>29</v>
      </c>
      <c r="B1754">
        <v>1713215</v>
      </c>
      <c r="C1754">
        <v>1713715</v>
      </c>
      <c r="D1754">
        <v>1</v>
      </c>
      <c r="E1754" t="s">
        <v>76</v>
      </c>
      <c r="F1754" t="s">
        <v>842</v>
      </c>
      <c r="I1754" t="s">
        <v>49</v>
      </c>
      <c r="L1754" t="s">
        <v>5815</v>
      </c>
      <c r="M1754" t="s">
        <v>842</v>
      </c>
      <c r="N1754">
        <v>166</v>
      </c>
      <c r="O1754" t="s">
        <v>5816</v>
      </c>
    </row>
    <row r="1755" spans="1:15" ht="14.5">
      <c r="A1755" t="s">
        <v>29</v>
      </c>
      <c r="B1755">
        <v>1713895</v>
      </c>
      <c r="C1755">
        <v>1714863</v>
      </c>
      <c r="D1755">
        <v>1</v>
      </c>
      <c r="E1755" t="s">
        <v>76</v>
      </c>
      <c r="F1755" t="s">
        <v>5817</v>
      </c>
      <c r="G1755" t="s">
        <v>5818</v>
      </c>
      <c r="I1755" t="s">
        <v>49</v>
      </c>
      <c r="L1755" t="s">
        <v>5819</v>
      </c>
      <c r="M1755" t="s">
        <v>5817</v>
      </c>
      <c r="N1755">
        <v>322</v>
      </c>
      <c r="O1755" t="s">
        <v>5820</v>
      </c>
    </row>
    <row r="1756" spans="1:15" ht="14.5">
      <c r="A1756" t="s">
        <v>29</v>
      </c>
      <c r="B1756">
        <v>1714949</v>
      </c>
      <c r="C1756">
        <v>1715164</v>
      </c>
      <c r="D1756">
        <v>1</v>
      </c>
      <c r="E1756" t="s">
        <v>76</v>
      </c>
      <c r="F1756" t="s">
        <v>5821</v>
      </c>
      <c r="I1756" t="s">
        <v>49</v>
      </c>
      <c r="L1756" t="s">
        <v>5822</v>
      </c>
      <c r="M1756" t="s">
        <v>5821</v>
      </c>
      <c r="N1756">
        <v>71</v>
      </c>
      <c r="O1756" t="s">
        <v>5823</v>
      </c>
    </row>
    <row r="1757" spans="1:15" ht="14.5">
      <c r="A1757" t="s">
        <v>29</v>
      </c>
      <c r="B1757">
        <v>1715173</v>
      </c>
      <c r="C1757">
        <v>1716027</v>
      </c>
      <c r="D1757">
        <v>1</v>
      </c>
      <c r="E1757" t="s">
        <v>76</v>
      </c>
      <c r="F1757" t="s">
        <v>5824</v>
      </c>
      <c r="G1757" t="s">
        <v>5825</v>
      </c>
      <c r="I1757" t="s">
        <v>49</v>
      </c>
      <c r="L1757" t="s">
        <v>5826</v>
      </c>
      <c r="M1757" t="s">
        <v>5824</v>
      </c>
      <c r="N1757">
        <v>284</v>
      </c>
      <c r="O1757" t="s">
        <v>5827</v>
      </c>
    </row>
    <row r="1758" spans="1:15" ht="14.5">
      <c r="A1758" t="s">
        <v>29</v>
      </c>
      <c r="B1758">
        <v>1716087</v>
      </c>
      <c r="C1758">
        <v>1716644</v>
      </c>
      <c r="D1758">
        <v>1</v>
      </c>
      <c r="E1758" t="s">
        <v>76</v>
      </c>
      <c r="F1758" t="s">
        <v>5828</v>
      </c>
      <c r="G1758" t="s">
        <v>5829</v>
      </c>
      <c r="I1758" t="s">
        <v>49</v>
      </c>
      <c r="L1758" t="s">
        <v>5830</v>
      </c>
      <c r="M1758" t="s">
        <v>5828</v>
      </c>
      <c r="N1758">
        <v>185</v>
      </c>
      <c r="O1758" t="s">
        <v>5831</v>
      </c>
    </row>
    <row r="1759" spans="1:15" ht="14.5">
      <c r="A1759" t="s">
        <v>29</v>
      </c>
      <c r="B1759">
        <v>1716653</v>
      </c>
      <c r="C1759">
        <v>1717390</v>
      </c>
      <c r="D1759">
        <v>1</v>
      </c>
      <c r="E1759" t="s">
        <v>76</v>
      </c>
      <c r="F1759" t="s">
        <v>5832</v>
      </c>
      <c r="G1759" t="s">
        <v>5833</v>
      </c>
      <c r="I1759" t="s">
        <v>49</v>
      </c>
      <c r="L1759" t="s">
        <v>5834</v>
      </c>
      <c r="M1759" t="s">
        <v>5832</v>
      </c>
      <c r="N1759">
        <v>245</v>
      </c>
      <c r="O1759" t="s">
        <v>5835</v>
      </c>
    </row>
    <row r="1760" spans="1:15" ht="14.5">
      <c r="A1760" t="s">
        <v>29</v>
      </c>
      <c r="B1760">
        <v>1717474</v>
      </c>
      <c r="C1760">
        <v>1718808</v>
      </c>
      <c r="D1760">
        <v>1</v>
      </c>
      <c r="E1760" t="s">
        <v>76</v>
      </c>
      <c r="F1760" t="s">
        <v>5836</v>
      </c>
      <c r="G1760" t="s">
        <v>5837</v>
      </c>
      <c r="I1760" t="s">
        <v>49</v>
      </c>
      <c r="L1760" t="s">
        <v>5838</v>
      </c>
      <c r="M1760" t="s">
        <v>5836</v>
      </c>
      <c r="N1760">
        <v>444</v>
      </c>
      <c r="O1760" t="s">
        <v>5839</v>
      </c>
    </row>
    <row r="1761" spans="1:15" ht="14.5">
      <c r="A1761" t="s">
        <v>29</v>
      </c>
      <c r="B1761">
        <v>1719401</v>
      </c>
      <c r="C1761">
        <v>1719610</v>
      </c>
      <c r="D1761">
        <v>1</v>
      </c>
      <c r="E1761" t="s">
        <v>47</v>
      </c>
      <c r="F1761" t="s">
        <v>2802</v>
      </c>
      <c r="I1761" t="s">
        <v>49</v>
      </c>
      <c r="L1761" t="s">
        <v>5840</v>
      </c>
      <c r="M1761" t="s">
        <v>2802</v>
      </c>
      <c r="N1761">
        <v>69</v>
      </c>
      <c r="O1761" t="s">
        <v>5841</v>
      </c>
    </row>
    <row r="1762" spans="1:15" ht="14.5">
      <c r="A1762" t="s">
        <v>29</v>
      </c>
      <c r="B1762">
        <v>1719742</v>
      </c>
      <c r="C1762">
        <v>1720206</v>
      </c>
      <c r="D1762">
        <v>1</v>
      </c>
      <c r="E1762" t="s">
        <v>47</v>
      </c>
      <c r="F1762" t="s">
        <v>1490</v>
      </c>
      <c r="I1762" t="s">
        <v>49</v>
      </c>
      <c r="L1762" t="s">
        <v>5842</v>
      </c>
      <c r="M1762" t="s">
        <v>1490</v>
      </c>
      <c r="N1762">
        <v>154</v>
      </c>
      <c r="O1762" t="s">
        <v>5843</v>
      </c>
    </row>
    <row r="1763" spans="1:15" ht="14.5">
      <c r="A1763" t="s">
        <v>29</v>
      </c>
      <c r="B1763">
        <v>1720195</v>
      </c>
      <c r="C1763">
        <v>1720842</v>
      </c>
      <c r="D1763">
        <v>1</v>
      </c>
      <c r="E1763" t="s">
        <v>76</v>
      </c>
      <c r="F1763" t="s">
        <v>1568</v>
      </c>
      <c r="I1763" t="s">
        <v>49</v>
      </c>
      <c r="L1763" t="s">
        <v>5844</v>
      </c>
      <c r="M1763" t="s">
        <v>1568</v>
      </c>
      <c r="N1763">
        <v>215</v>
      </c>
      <c r="O1763" t="s">
        <v>5845</v>
      </c>
    </row>
    <row r="1764" spans="1:15" ht="14.5">
      <c r="A1764" t="s">
        <v>29</v>
      </c>
      <c r="B1764">
        <v>1720951</v>
      </c>
      <c r="C1764">
        <v>1721469</v>
      </c>
      <c r="D1764">
        <v>1</v>
      </c>
      <c r="E1764" t="s">
        <v>76</v>
      </c>
      <c r="F1764" t="s">
        <v>5846</v>
      </c>
      <c r="I1764" t="s">
        <v>49</v>
      </c>
      <c r="L1764" t="s">
        <v>5847</v>
      </c>
      <c r="M1764" t="s">
        <v>5846</v>
      </c>
      <c r="N1764">
        <v>172</v>
      </c>
      <c r="O1764" t="s">
        <v>5848</v>
      </c>
    </row>
    <row r="1765" spans="1:15" ht="14.5">
      <c r="A1765" t="s">
        <v>29</v>
      </c>
      <c r="B1765">
        <v>1721696</v>
      </c>
      <c r="C1765">
        <v>1722565</v>
      </c>
      <c r="D1765">
        <v>1</v>
      </c>
      <c r="E1765" t="s">
        <v>76</v>
      </c>
      <c r="F1765" t="s">
        <v>5849</v>
      </c>
      <c r="G1765" t="s">
        <v>5850</v>
      </c>
      <c r="I1765" t="s">
        <v>49</v>
      </c>
      <c r="L1765" t="s">
        <v>5851</v>
      </c>
      <c r="M1765" t="s">
        <v>5849</v>
      </c>
      <c r="N1765">
        <v>289</v>
      </c>
      <c r="O1765" t="s">
        <v>5852</v>
      </c>
    </row>
    <row r="1766" spans="1:15" ht="14.5">
      <c r="A1766" t="s">
        <v>29</v>
      </c>
      <c r="B1766">
        <v>1722568</v>
      </c>
      <c r="C1766">
        <v>1722885</v>
      </c>
      <c r="D1766">
        <v>1</v>
      </c>
      <c r="E1766" t="s">
        <v>76</v>
      </c>
      <c r="F1766" t="s">
        <v>5853</v>
      </c>
      <c r="I1766" t="s">
        <v>49</v>
      </c>
      <c r="L1766" t="s">
        <v>5854</v>
      </c>
      <c r="M1766" t="s">
        <v>5853</v>
      </c>
      <c r="N1766">
        <v>105</v>
      </c>
      <c r="O1766" t="s">
        <v>5855</v>
      </c>
    </row>
    <row r="1767" spans="1:15" ht="14.5">
      <c r="A1767" t="s">
        <v>29</v>
      </c>
      <c r="B1767">
        <v>1722925</v>
      </c>
      <c r="C1767">
        <v>1723815</v>
      </c>
      <c r="D1767">
        <v>1</v>
      </c>
      <c r="E1767" t="s">
        <v>76</v>
      </c>
      <c r="F1767" t="s">
        <v>5856</v>
      </c>
      <c r="G1767" t="s">
        <v>5857</v>
      </c>
      <c r="I1767" t="s">
        <v>49</v>
      </c>
      <c r="L1767" t="s">
        <v>5858</v>
      </c>
      <c r="M1767" t="s">
        <v>5856</v>
      </c>
      <c r="N1767">
        <v>296</v>
      </c>
      <c r="O1767" t="s">
        <v>5859</v>
      </c>
    </row>
    <row r="1768" spans="1:15" ht="14.5">
      <c r="A1768" t="s">
        <v>29</v>
      </c>
      <c r="B1768">
        <v>1723812</v>
      </c>
      <c r="C1768">
        <v>1724450</v>
      </c>
      <c r="D1768">
        <v>1</v>
      </c>
      <c r="E1768" t="s">
        <v>76</v>
      </c>
      <c r="F1768" t="s">
        <v>5860</v>
      </c>
      <c r="G1768" t="s">
        <v>5861</v>
      </c>
      <c r="I1768" t="s">
        <v>49</v>
      </c>
      <c r="L1768" t="s">
        <v>5862</v>
      </c>
      <c r="M1768" t="s">
        <v>5860</v>
      </c>
      <c r="N1768">
        <v>212</v>
      </c>
      <c r="O1768" t="s">
        <v>5863</v>
      </c>
    </row>
    <row r="1769" spans="1:15" ht="14.5">
      <c r="A1769" t="s">
        <v>29</v>
      </c>
      <c r="B1769">
        <v>1724670</v>
      </c>
      <c r="C1769">
        <v>1725467</v>
      </c>
      <c r="D1769">
        <v>1</v>
      </c>
      <c r="E1769" t="s">
        <v>76</v>
      </c>
      <c r="F1769" t="s">
        <v>5864</v>
      </c>
      <c r="G1769" t="s">
        <v>5865</v>
      </c>
      <c r="I1769" t="s">
        <v>49</v>
      </c>
      <c r="L1769" t="s">
        <v>5866</v>
      </c>
      <c r="M1769" t="s">
        <v>5864</v>
      </c>
      <c r="N1769">
        <v>265</v>
      </c>
      <c r="O1769" t="s">
        <v>5867</v>
      </c>
    </row>
    <row r="1770" spans="1:15" ht="14.5">
      <c r="A1770" t="s">
        <v>29</v>
      </c>
      <c r="B1770">
        <v>1725471</v>
      </c>
      <c r="C1770">
        <v>1726733</v>
      </c>
      <c r="D1770">
        <v>1</v>
      </c>
      <c r="E1770" t="s">
        <v>76</v>
      </c>
      <c r="F1770" t="s">
        <v>5868</v>
      </c>
      <c r="G1770" t="s">
        <v>5869</v>
      </c>
      <c r="I1770" t="s">
        <v>49</v>
      </c>
      <c r="L1770" t="s">
        <v>5870</v>
      </c>
      <c r="M1770" t="s">
        <v>5868</v>
      </c>
      <c r="N1770">
        <v>420</v>
      </c>
      <c r="O1770" t="s">
        <v>5871</v>
      </c>
    </row>
    <row r="1771" spans="1:15" ht="14.5">
      <c r="A1771" t="s">
        <v>29</v>
      </c>
      <c r="B1771">
        <v>1726743</v>
      </c>
      <c r="C1771">
        <v>1727852</v>
      </c>
      <c r="D1771">
        <v>1</v>
      </c>
      <c r="E1771" t="s">
        <v>76</v>
      </c>
      <c r="F1771" t="s">
        <v>5872</v>
      </c>
      <c r="G1771" t="s">
        <v>5873</v>
      </c>
      <c r="I1771" t="s">
        <v>49</v>
      </c>
      <c r="L1771" t="s">
        <v>5874</v>
      </c>
      <c r="M1771" t="s">
        <v>5872</v>
      </c>
      <c r="N1771">
        <v>369</v>
      </c>
      <c r="O1771" t="s">
        <v>5875</v>
      </c>
    </row>
    <row r="1772" spans="1:15" ht="14.5">
      <c r="A1772" t="s">
        <v>29</v>
      </c>
      <c r="B1772">
        <v>1727953</v>
      </c>
      <c r="C1772">
        <v>1729836</v>
      </c>
      <c r="D1772">
        <v>1</v>
      </c>
      <c r="E1772" t="s">
        <v>76</v>
      </c>
      <c r="F1772" t="s">
        <v>5876</v>
      </c>
      <c r="G1772" t="s">
        <v>5877</v>
      </c>
      <c r="I1772" t="s">
        <v>49</v>
      </c>
      <c r="L1772" t="s">
        <v>5878</v>
      </c>
      <c r="M1772" t="s">
        <v>5876</v>
      </c>
      <c r="N1772">
        <v>627</v>
      </c>
      <c r="O1772" t="s">
        <v>5879</v>
      </c>
    </row>
    <row r="1773" spans="1:15" ht="14.5">
      <c r="A1773" t="s">
        <v>29</v>
      </c>
      <c r="B1773">
        <v>1729839</v>
      </c>
      <c r="C1773">
        <v>1730726</v>
      </c>
      <c r="D1773">
        <v>1</v>
      </c>
      <c r="E1773" t="s">
        <v>76</v>
      </c>
      <c r="F1773" t="s">
        <v>5880</v>
      </c>
      <c r="G1773" t="s">
        <v>5881</v>
      </c>
      <c r="I1773" t="s">
        <v>49</v>
      </c>
      <c r="L1773" t="s">
        <v>5882</v>
      </c>
      <c r="M1773" t="s">
        <v>5880</v>
      </c>
      <c r="N1773">
        <v>295</v>
      </c>
      <c r="O1773" t="s">
        <v>5883</v>
      </c>
    </row>
    <row r="1774" spans="1:15" ht="14.5">
      <c r="A1774" t="s">
        <v>29</v>
      </c>
      <c r="B1774">
        <v>1730716</v>
      </c>
      <c r="C1774">
        <v>1731177</v>
      </c>
      <c r="D1774">
        <v>1</v>
      </c>
      <c r="E1774" t="s">
        <v>76</v>
      </c>
      <c r="F1774" t="s">
        <v>5884</v>
      </c>
      <c r="G1774" t="s">
        <v>5885</v>
      </c>
      <c r="I1774" t="s">
        <v>49</v>
      </c>
      <c r="L1774" t="s">
        <v>5886</v>
      </c>
      <c r="M1774" t="s">
        <v>5884</v>
      </c>
      <c r="N1774">
        <v>153</v>
      </c>
      <c r="O1774" t="s">
        <v>5887</v>
      </c>
    </row>
    <row r="1775" spans="1:15" ht="14.5">
      <c r="A1775" t="s">
        <v>29</v>
      </c>
      <c r="B1775">
        <v>1731174</v>
      </c>
      <c r="C1775">
        <v>1732082</v>
      </c>
      <c r="D1775">
        <v>1</v>
      </c>
      <c r="E1775" t="s">
        <v>76</v>
      </c>
      <c r="F1775" t="s">
        <v>5888</v>
      </c>
      <c r="G1775" t="s">
        <v>5889</v>
      </c>
      <c r="I1775" t="s">
        <v>49</v>
      </c>
      <c r="L1775" t="s">
        <v>5890</v>
      </c>
      <c r="M1775" t="s">
        <v>5888</v>
      </c>
      <c r="N1775">
        <v>302</v>
      </c>
      <c r="O1775" t="s">
        <v>5891</v>
      </c>
    </row>
    <row r="1776" spans="1:15" ht="14.5">
      <c r="A1776" t="s">
        <v>29</v>
      </c>
      <c r="B1776">
        <v>1732324</v>
      </c>
      <c r="C1776">
        <v>1732995</v>
      </c>
      <c r="D1776">
        <v>1</v>
      </c>
      <c r="E1776" t="s">
        <v>76</v>
      </c>
      <c r="F1776" t="s">
        <v>290</v>
      </c>
      <c r="I1776" t="s">
        <v>49</v>
      </c>
      <c r="L1776" t="s">
        <v>5892</v>
      </c>
      <c r="M1776" t="s">
        <v>290</v>
      </c>
      <c r="N1776">
        <v>223</v>
      </c>
      <c r="O1776" t="s">
        <v>5893</v>
      </c>
    </row>
    <row r="1777" spans="1:15" ht="14.5">
      <c r="A1777" t="s">
        <v>29</v>
      </c>
      <c r="B1777">
        <v>1733049</v>
      </c>
      <c r="C1777">
        <v>1733270</v>
      </c>
      <c r="D1777">
        <v>1</v>
      </c>
      <c r="E1777" t="s">
        <v>76</v>
      </c>
      <c r="F1777" t="s">
        <v>176</v>
      </c>
      <c r="I1777" t="s">
        <v>49</v>
      </c>
      <c r="L1777" t="s">
        <v>5894</v>
      </c>
      <c r="M1777" t="s">
        <v>176</v>
      </c>
      <c r="N1777">
        <v>73</v>
      </c>
      <c r="O1777" t="s">
        <v>5895</v>
      </c>
    </row>
    <row r="1778" spans="1:15" ht="14.5">
      <c r="A1778" t="s">
        <v>29</v>
      </c>
      <c r="B1778">
        <v>1733542</v>
      </c>
      <c r="C1778">
        <v>1734351</v>
      </c>
      <c r="D1778">
        <v>1</v>
      </c>
      <c r="E1778" t="s">
        <v>47</v>
      </c>
      <c r="F1778" t="s">
        <v>741</v>
      </c>
      <c r="G1778" t="s">
        <v>5896</v>
      </c>
      <c r="I1778" t="s">
        <v>49</v>
      </c>
      <c r="L1778" t="s">
        <v>5897</v>
      </c>
      <c r="M1778" t="s">
        <v>741</v>
      </c>
      <c r="N1778">
        <v>269</v>
      </c>
      <c r="O1778" t="s">
        <v>5898</v>
      </c>
    </row>
    <row r="1779" spans="1:15" ht="14.5">
      <c r="A1779" t="s">
        <v>29</v>
      </c>
      <c r="B1779">
        <v>1734532</v>
      </c>
      <c r="C1779">
        <v>1735407</v>
      </c>
      <c r="D1779">
        <v>1</v>
      </c>
      <c r="E1779" t="s">
        <v>76</v>
      </c>
      <c r="F1779" t="s">
        <v>5899</v>
      </c>
      <c r="I1779" t="s">
        <v>49</v>
      </c>
      <c r="L1779" t="s">
        <v>5900</v>
      </c>
      <c r="M1779" t="s">
        <v>5899</v>
      </c>
      <c r="N1779">
        <v>291</v>
      </c>
      <c r="O1779" t="s">
        <v>5901</v>
      </c>
    </row>
    <row r="1780" spans="1:15" ht="14.5">
      <c r="A1780" t="s">
        <v>29</v>
      </c>
      <c r="B1780">
        <v>1735417</v>
      </c>
      <c r="C1780">
        <v>1736502</v>
      </c>
      <c r="D1780">
        <v>1</v>
      </c>
      <c r="E1780" t="s">
        <v>76</v>
      </c>
      <c r="F1780" t="s">
        <v>5902</v>
      </c>
      <c r="G1780" t="s">
        <v>5903</v>
      </c>
      <c r="I1780" t="s">
        <v>49</v>
      </c>
      <c r="L1780" t="s">
        <v>5904</v>
      </c>
      <c r="M1780" t="s">
        <v>5902</v>
      </c>
      <c r="N1780">
        <v>361</v>
      </c>
      <c r="O1780" t="s">
        <v>5905</v>
      </c>
    </row>
    <row r="1781" spans="1:15" ht="14.5">
      <c r="A1781" t="s">
        <v>29</v>
      </c>
      <c r="B1781">
        <v>1736499</v>
      </c>
      <c r="C1781">
        <v>1737626</v>
      </c>
      <c r="D1781">
        <v>1</v>
      </c>
      <c r="E1781" t="s">
        <v>76</v>
      </c>
      <c r="F1781" t="s">
        <v>5906</v>
      </c>
      <c r="G1781" t="s">
        <v>5907</v>
      </c>
      <c r="I1781" t="s">
        <v>49</v>
      </c>
      <c r="L1781" t="s">
        <v>5908</v>
      </c>
      <c r="M1781" t="s">
        <v>5906</v>
      </c>
      <c r="N1781">
        <v>375</v>
      </c>
      <c r="O1781" t="s">
        <v>5909</v>
      </c>
    </row>
    <row r="1782" spans="1:15" ht="14.5">
      <c r="A1782" t="s">
        <v>29</v>
      </c>
      <c r="B1782">
        <v>1737626</v>
      </c>
      <c r="C1782">
        <v>1738885</v>
      </c>
      <c r="D1782">
        <v>1</v>
      </c>
      <c r="E1782" t="s">
        <v>76</v>
      </c>
      <c r="F1782" t="s">
        <v>5910</v>
      </c>
      <c r="I1782" t="s">
        <v>49</v>
      </c>
      <c r="L1782" t="s">
        <v>5911</v>
      </c>
      <c r="M1782" t="s">
        <v>5910</v>
      </c>
      <c r="N1782">
        <v>419</v>
      </c>
      <c r="O1782" t="s">
        <v>5912</v>
      </c>
    </row>
    <row r="1783" spans="1:15" ht="14.5">
      <c r="A1783" t="s">
        <v>29</v>
      </c>
      <c r="B1783">
        <v>1738882</v>
      </c>
      <c r="C1783">
        <v>1739742</v>
      </c>
      <c r="D1783">
        <v>1</v>
      </c>
      <c r="E1783" t="s">
        <v>76</v>
      </c>
      <c r="F1783" t="s">
        <v>5913</v>
      </c>
      <c r="G1783" t="s">
        <v>5914</v>
      </c>
      <c r="I1783" t="s">
        <v>49</v>
      </c>
      <c r="L1783" t="s">
        <v>5915</v>
      </c>
      <c r="M1783" t="s">
        <v>5913</v>
      </c>
      <c r="N1783">
        <v>286</v>
      </c>
      <c r="O1783" t="s">
        <v>5916</v>
      </c>
    </row>
    <row r="1784" spans="1:15" ht="14.5">
      <c r="A1784" t="s">
        <v>29</v>
      </c>
      <c r="B1784">
        <v>1739998</v>
      </c>
      <c r="C1784">
        <v>1740525</v>
      </c>
      <c r="D1784">
        <v>1</v>
      </c>
      <c r="E1784" t="s">
        <v>47</v>
      </c>
      <c r="F1784" t="s">
        <v>206</v>
      </c>
      <c r="I1784" t="s">
        <v>49</v>
      </c>
      <c r="L1784" t="s">
        <v>5917</v>
      </c>
      <c r="M1784" t="s">
        <v>206</v>
      </c>
      <c r="N1784">
        <v>175</v>
      </c>
      <c r="O1784" t="s">
        <v>5918</v>
      </c>
    </row>
    <row r="1785" spans="1:15" ht="14.5">
      <c r="A1785" t="s">
        <v>29</v>
      </c>
      <c r="B1785">
        <v>1740679</v>
      </c>
      <c r="C1785">
        <v>1742154</v>
      </c>
      <c r="D1785">
        <v>1</v>
      </c>
      <c r="E1785" t="s">
        <v>76</v>
      </c>
      <c r="F1785" t="s">
        <v>5919</v>
      </c>
      <c r="G1785" t="s">
        <v>5920</v>
      </c>
      <c r="I1785" t="s">
        <v>49</v>
      </c>
      <c r="L1785" t="s">
        <v>5921</v>
      </c>
      <c r="M1785" t="s">
        <v>5919</v>
      </c>
      <c r="N1785">
        <v>491</v>
      </c>
      <c r="O1785" t="s">
        <v>5922</v>
      </c>
    </row>
    <row r="1786" spans="1:15" ht="14.5">
      <c r="A1786" t="s">
        <v>29</v>
      </c>
      <c r="B1786">
        <v>1742861</v>
      </c>
      <c r="C1786">
        <v>1743910</v>
      </c>
      <c r="D1786">
        <v>1</v>
      </c>
      <c r="E1786" t="s">
        <v>47</v>
      </c>
      <c r="F1786" t="s">
        <v>4156</v>
      </c>
      <c r="I1786" t="s">
        <v>49</v>
      </c>
      <c r="L1786" t="s">
        <v>5923</v>
      </c>
      <c r="M1786" t="s">
        <v>4156</v>
      </c>
      <c r="N1786">
        <v>349</v>
      </c>
      <c r="O1786" t="s">
        <v>5924</v>
      </c>
    </row>
    <row r="1787" spans="1:15" ht="14.5">
      <c r="A1787" t="s">
        <v>29</v>
      </c>
      <c r="B1787">
        <v>1743936</v>
      </c>
      <c r="C1787">
        <v>1744526</v>
      </c>
      <c r="D1787">
        <v>1</v>
      </c>
      <c r="E1787" t="s">
        <v>47</v>
      </c>
      <c r="F1787" t="s">
        <v>769</v>
      </c>
      <c r="I1787" t="s">
        <v>49</v>
      </c>
      <c r="L1787" t="s">
        <v>5925</v>
      </c>
      <c r="M1787" t="s">
        <v>769</v>
      </c>
      <c r="N1787">
        <v>196</v>
      </c>
      <c r="O1787" t="s">
        <v>5926</v>
      </c>
    </row>
    <row r="1788" spans="1:15" ht="14.5">
      <c r="A1788" t="s">
        <v>29</v>
      </c>
      <c r="B1788">
        <v>1744568</v>
      </c>
      <c r="C1788">
        <v>1746556</v>
      </c>
      <c r="D1788">
        <v>1</v>
      </c>
      <c r="E1788" t="s">
        <v>76</v>
      </c>
      <c r="F1788" t="s">
        <v>5927</v>
      </c>
      <c r="I1788" t="s">
        <v>49</v>
      </c>
      <c r="L1788" t="s">
        <v>5928</v>
      </c>
      <c r="M1788" t="s">
        <v>5927</v>
      </c>
      <c r="N1788">
        <v>662</v>
      </c>
      <c r="O1788" t="s">
        <v>5929</v>
      </c>
    </row>
    <row r="1789" spans="1:15" ht="14.5">
      <c r="A1789" t="s">
        <v>29</v>
      </c>
      <c r="B1789">
        <v>1746558</v>
      </c>
      <c r="C1789">
        <v>1747316</v>
      </c>
      <c r="D1789">
        <v>1</v>
      </c>
      <c r="E1789" t="s">
        <v>76</v>
      </c>
      <c r="F1789" t="s">
        <v>218</v>
      </c>
      <c r="G1789" t="s">
        <v>5930</v>
      </c>
      <c r="I1789" t="s">
        <v>49</v>
      </c>
      <c r="L1789" t="s">
        <v>5931</v>
      </c>
      <c r="M1789" t="s">
        <v>218</v>
      </c>
      <c r="N1789">
        <v>252</v>
      </c>
      <c r="O1789" t="s">
        <v>5932</v>
      </c>
    </row>
    <row r="1790" spans="1:15" ht="14.5">
      <c r="A1790" t="s">
        <v>29</v>
      </c>
      <c r="B1790">
        <v>1747331</v>
      </c>
      <c r="C1790">
        <v>1747441</v>
      </c>
      <c r="D1790">
        <v>1</v>
      </c>
      <c r="E1790" t="s">
        <v>76</v>
      </c>
      <c r="F1790" t="s">
        <v>176</v>
      </c>
      <c r="I1790" t="s">
        <v>49</v>
      </c>
      <c r="L1790" t="s">
        <v>5933</v>
      </c>
      <c r="M1790" t="s">
        <v>176</v>
      </c>
      <c r="N1790">
        <v>36</v>
      </c>
      <c r="O1790" t="s">
        <v>5934</v>
      </c>
    </row>
    <row r="1791" spans="1:15" ht="14.5">
      <c r="A1791" t="s">
        <v>29</v>
      </c>
      <c r="B1791">
        <v>1747744</v>
      </c>
      <c r="C1791">
        <v>1747935</v>
      </c>
      <c r="D1791">
        <v>1</v>
      </c>
      <c r="E1791" t="s">
        <v>47</v>
      </c>
      <c r="F1791" t="s">
        <v>176</v>
      </c>
      <c r="I1791" t="s">
        <v>49</v>
      </c>
      <c r="L1791" t="s">
        <v>5935</v>
      </c>
      <c r="M1791" t="s">
        <v>176</v>
      </c>
      <c r="N1791">
        <v>63</v>
      </c>
      <c r="O1791" t="s">
        <v>5936</v>
      </c>
    </row>
    <row r="1792" spans="1:15" ht="14.5">
      <c r="A1792" t="s">
        <v>29</v>
      </c>
      <c r="B1792">
        <v>1748289</v>
      </c>
      <c r="C1792">
        <v>1748561</v>
      </c>
      <c r="D1792">
        <v>1</v>
      </c>
      <c r="E1792" t="s">
        <v>76</v>
      </c>
      <c r="F1792" t="s">
        <v>5937</v>
      </c>
      <c r="I1792" t="s">
        <v>49</v>
      </c>
      <c r="L1792" t="s">
        <v>5938</v>
      </c>
      <c r="M1792" t="s">
        <v>5937</v>
      </c>
      <c r="N1792">
        <v>90</v>
      </c>
      <c r="O1792" t="s">
        <v>5939</v>
      </c>
    </row>
    <row r="1793" spans="1:15" ht="14.5">
      <c r="A1793" t="s">
        <v>29</v>
      </c>
      <c r="B1793">
        <v>1748620</v>
      </c>
      <c r="C1793">
        <v>1749069</v>
      </c>
      <c r="D1793">
        <v>1</v>
      </c>
      <c r="E1793" t="s">
        <v>76</v>
      </c>
      <c r="F1793" t="s">
        <v>5940</v>
      </c>
      <c r="I1793" t="s">
        <v>49</v>
      </c>
      <c r="L1793" t="s">
        <v>5941</v>
      </c>
      <c r="M1793" t="s">
        <v>5940</v>
      </c>
      <c r="N1793">
        <v>149</v>
      </c>
      <c r="O1793" t="s">
        <v>5942</v>
      </c>
    </row>
    <row r="1794" spans="1:15" ht="14.5">
      <c r="A1794" t="s">
        <v>29</v>
      </c>
      <c r="B1794">
        <v>1749056</v>
      </c>
      <c r="C1794">
        <v>1751185</v>
      </c>
      <c r="D1794">
        <v>1</v>
      </c>
      <c r="E1794" t="s">
        <v>76</v>
      </c>
      <c r="F1794" t="s">
        <v>5943</v>
      </c>
      <c r="G1794" t="s">
        <v>5944</v>
      </c>
      <c r="I1794" t="s">
        <v>49</v>
      </c>
      <c r="L1794" t="s">
        <v>5945</v>
      </c>
      <c r="M1794" t="s">
        <v>5943</v>
      </c>
      <c r="N1794">
        <v>709</v>
      </c>
      <c r="O1794" t="s">
        <v>5946</v>
      </c>
    </row>
    <row r="1795" spans="1:15" ht="14.5">
      <c r="A1795" t="s">
        <v>29</v>
      </c>
      <c r="B1795">
        <v>1751555</v>
      </c>
      <c r="C1795">
        <v>1751686</v>
      </c>
      <c r="D1795">
        <v>1</v>
      </c>
      <c r="E1795" t="s">
        <v>47</v>
      </c>
      <c r="F1795" t="s">
        <v>5947</v>
      </c>
      <c r="I1795" t="s">
        <v>49</v>
      </c>
      <c r="L1795" t="s">
        <v>5948</v>
      </c>
      <c r="M1795" t="s">
        <v>5947</v>
      </c>
      <c r="N1795">
        <v>43</v>
      </c>
      <c r="O1795" t="s">
        <v>5949</v>
      </c>
    </row>
    <row r="1796" spans="1:15" ht="14.5">
      <c r="A1796" t="s">
        <v>29</v>
      </c>
      <c r="B1796">
        <v>1751687</v>
      </c>
      <c r="C1796">
        <v>1752592</v>
      </c>
      <c r="D1796">
        <v>1</v>
      </c>
      <c r="E1796" t="s">
        <v>47</v>
      </c>
      <c r="F1796" t="s">
        <v>5950</v>
      </c>
      <c r="I1796" t="s">
        <v>49</v>
      </c>
      <c r="L1796" t="s">
        <v>5951</v>
      </c>
      <c r="M1796" t="s">
        <v>5950</v>
      </c>
      <c r="N1796">
        <v>301</v>
      </c>
      <c r="O1796" t="s">
        <v>5952</v>
      </c>
    </row>
    <row r="1797" spans="1:15" ht="14.5">
      <c r="A1797" t="s">
        <v>29</v>
      </c>
      <c r="B1797">
        <v>1752589</v>
      </c>
      <c r="C1797">
        <v>1753404</v>
      </c>
      <c r="D1797">
        <v>1</v>
      </c>
      <c r="E1797" t="s">
        <v>47</v>
      </c>
      <c r="F1797" t="s">
        <v>2957</v>
      </c>
      <c r="I1797" t="s">
        <v>49</v>
      </c>
      <c r="L1797" t="s">
        <v>5953</v>
      </c>
      <c r="M1797" t="s">
        <v>2957</v>
      </c>
      <c r="N1797">
        <v>271</v>
      </c>
      <c r="O1797" t="s">
        <v>5954</v>
      </c>
    </row>
    <row r="1798" spans="1:15" ht="14.5">
      <c r="A1798" t="s">
        <v>29</v>
      </c>
      <c r="B1798">
        <v>1753534</v>
      </c>
      <c r="C1798">
        <v>1754250</v>
      </c>
      <c r="D1798">
        <v>1</v>
      </c>
      <c r="E1798" t="s">
        <v>76</v>
      </c>
      <c r="F1798" t="s">
        <v>5955</v>
      </c>
      <c r="I1798" t="s">
        <v>49</v>
      </c>
      <c r="L1798" t="s">
        <v>5956</v>
      </c>
      <c r="M1798" t="s">
        <v>5955</v>
      </c>
      <c r="N1798">
        <v>238</v>
      </c>
      <c r="O1798" t="s">
        <v>5957</v>
      </c>
    </row>
    <row r="1799" spans="1:15" ht="14.5">
      <c r="A1799" t="s">
        <v>29</v>
      </c>
      <c r="B1799">
        <v>1754285</v>
      </c>
      <c r="C1799">
        <v>1754566</v>
      </c>
      <c r="D1799">
        <v>1</v>
      </c>
      <c r="E1799" t="s">
        <v>76</v>
      </c>
      <c r="F1799" t="s">
        <v>176</v>
      </c>
      <c r="I1799" t="s">
        <v>49</v>
      </c>
      <c r="L1799" t="s">
        <v>5958</v>
      </c>
      <c r="M1799" t="s">
        <v>176</v>
      </c>
      <c r="N1799">
        <v>93</v>
      </c>
      <c r="O1799" t="s">
        <v>5959</v>
      </c>
    </row>
    <row r="1800" spans="1:15" ht="14.5">
      <c r="A1800" t="s">
        <v>29</v>
      </c>
      <c r="B1800">
        <v>1754709</v>
      </c>
      <c r="C1800">
        <v>1755092</v>
      </c>
      <c r="D1800">
        <v>1</v>
      </c>
      <c r="E1800" t="s">
        <v>47</v>
      </c>
      <c r="F1800" t="s">
        <v>1490</v>
      </c>
      <c r="I1800" t="s">
        <v>49</v>
      </c>
      <c r="L1800" t="s">
        <v>5960</v>
      </c>
      <c r="M1800" t="s">
        <v>1490</v>
      </c>
      <c r="N1800">
        <v>127</v>
      </c>
      <c r="O1800" t="s">
        <v>5961</v>
      </c>
    </row>
    <row r="1801" spans="1:15" ht="14.5">
      <c r="A1801" t="s">
        <v>29</v>
      </c>
      <c r="B1801">
        <v>1755199</v>
      </c>
      <c r="C1801">
        <v>1756071</v>
      </c>
      <c r="D1801">
        <v>1</v>
      </c>
      <c r="E1801" t="s">
        <v>76</v>
      </c>
      <c r="F1801" t="s">
        <v>571</v>
      </c>
      <c r="I1801" t="s">
        <v>49</v>
      </c>
      <c r="L1801" t="s">
        <v>5962</v>
      </c>
      <c r="M1801" t="s">
        <v>571</v>
      </c>
      <c r="N1801">
        <v>290</v>
      </c>
      <c r="O1801" t="s">
        <v>5963</v>
      </c>
    </row>
    <row r="1802" spans="1:15" ht="14.5">
      <c r="A1802" t="s">
        <v>29</v>
      </c>
      <c r="B1802">
        <v>1757822</v>
      </c>
      <c r="C1802">
        <v>1759327</v>
      </c>
      <c r="D1802">
        <v>1</v>
      </c>
      <c r="E1802" t="s">
        <v>76</v>
      </c>
      <c r="F1802" t="s">
        <v>5964</v>
      </c>
      <c r="G1802" t="s">
        <v>5965</v>
      </c>
      <c r="I1802" t="s">
        <v>49</v>
      </c>
      <c r="L1802" t="s">
        <v>5966</v>
      </c>
      <c r="M1802" t="s">
        <v>5964</v>
      </c>
      <c r="N1802">
        <v>501</v>
      </c>
      <c r="O1802" t="s">
        <v>5967</v>
      </c>
    </row>
    <row r="1803" spans="1:15" ht="14.5">
      <c r="A1803" t="s">
        <v>29</v>
      </c>
      <c r="B1803">
        <v>1759386</v>
      </c>
      <c r="C1803">
        <v>1760393</v>
      </c>
      <c r="D1803">
        <v>1</v>
      </c>
      <c r="E1803" t="s">
        <v>76</v>
      </c>
      <c r="F1803" t="s">
        <v>5968</v>
      </c>
      <c r="G1803" t="s">
        <v>5969</v>
      </c>
      <c r="I1803" t="s">
        <v>49</v>
      </c>
      <c r="L1803" t="s">
        <v>5970</v>
      </c>
      <c r="M1803" t="s">
        <v>5968</v>
      </c>
      <c r="N1803">
        <v>335</v>
      </c>
      <c r="O1803" t="s">
        <v>5971</v>
      </c>
    </row>
    <row r="1804" spans="1:15" ht="14.5">
      <c r="A1804" t="s">
        <v>29</v>
      </c>
      <c r="B1804">
        <v>1760476</v>
      </c>
      <c r="C1804">
        <v>1763577</v>
      </c>
      <c r="D1804">
        <v>1</v>
      </c>
      <c r="E1804" t="s">
        <v>76</v>
      </c>
      <c r="F1804" t="s">
        <v>5972</v>
      </c>
      <c r="G1804" t="s">
        <v>5973</v>
      </c>
      <c r="I1804" t="s">
        <v>49</v>
      </c>
      <c r="L1804" t="s">
        <v>5974</v>
      </c>
      <c r="M1804" t="s">
        <v>5972</v>
      </c>
      <c r="N1804">
        <v>1033</v>
      </c>
      <c r="O1804" t="s">
        <v>5975</v>
      </c>
    </row>
    <row r="1805" spans="1:15" ht="14.5">
      <c r="A1805" t="s">
        <v>29</v>
      </c>
      <c r="B1805">
        <v>1763924</v>
      </c>
      <c r="C1805">
        <v>1766197</v>
      </c>
      <c r="D1805">
        <v>1</v>
      </c>
      <c r="E1805" t="s">
        <v>47</v>
      </c>
      <c r="F1805" t="s">
        <v>5976</v>
      </c>
      <c r="G1805" t="s">
        <v>5977</v>
      </c>
      <c r="I1805" t="s">
        <v>49</v>
      </c>
      <c r="L1805" t="s">
        <v>5978</v>
      </c>
      <c r="M1805" t="s">
        <v>5976</v>
      </c>
      <c r="N1805">
        <v>757</v>
      </c>
      <c r="O1805" t="s">
        <v>5979</v>
      </c>
    </row>
    <row r="1806" spans="1:15" ht="14.5">
      <c r="A1806" t="s">
        <v>29</v>
      </c>
      <c r="B1806">
        <v>1766214</v>
      </c>
      <c r="C1806">
        <v>1766684</v>
      </c>
      <c r="D1806">
        <v>1</v>
      </c>
      <c r="E1806" t="s">
        <v>47</v>
      </c>
      <c r="F1806" t="s">
        <v>2312</v>
      </c>
      <c r="G1806" t="s">
        <v>5980</v>
      </c>
      <c r="I1806" t="s">
        <v>49</v>
      </c>
      <c r="L1806" t="s">
        <v>5981</v>
      </c>
      <c r="M1806" t="s">
        <v>2312</v>
      </c>
      <c r="N1806">
        <v>156</v>
      </c>
      <c r="O1806" t="s">
        <v>5982</v>
      </c>
    </row>
    <row r="1807" spans="1:15" ht="14.5">
      <c r="A1807" t="s">
        <v>29</v>
      </c>
      <c r="B1807">
        <v>1766799</v>
      </c>
      <c r="C1807">
        <v>1766999</v>
      </c>
      <c r="D1807">
        <v>1</v>
      </c>
      <c r="E1807" t="s">
        <v>76</v>
      </c>
      <c r="F1807" t="s">
        <v>1369</v>
      </c>
      <c r="I1807" t="s">
        <v>49</v>
      </c>
      <c r="L1807" t="s">
        <v>5983</v>
      </c>
      <c r="M1807" t="s">
        <v>1369</v>
      </c>
      <c r="N1807">
        <v>66</v>
      </c>
      <c r="O1807" t="s">
        <v>5984</v>
      </c>
    </row>
    <row r="1808" spans="1:15" ht="14.5">
      <c r="A1808" t="s">
        <v>29</v>
      </c>
      <c r="B1808">
        <v>1767270</v>
      </c>
      <c r="C1808">
        <v>1770620</v>
      </c>
      <c r="D1808">
        <v>1</v>
      </c>
      <c r="E1808" t="s">
        <v>76</v>
      </c>
      <c r="F1808" t="s">
        <v>5985</v>
      </c>
      <c r="G1808" t="s">
        <v>5986</v>
      </c>
      <c r="I1808" t="s">
        <v>49</v>
      </c>
      <c r="L1808" t="s">
        <v>5987</v>
      </c>
      <c r="M1808" t="s">
        <v>5985</v>
      </c>
      <c r="N1808">
        <v>1116</v>
      </c>
      <c r="O1808" t="s">
        <v>5988</v>
      </c>
    </row>
    <row r="1809" spans="1:15" ht="14.5">
      <c r="A1809" t="s">
        <v>29</v>
      </c>
      <c r="B1809">
        <v>1770650</v>
      </c>
      <c r="C1809">
        <v>1771759</v>
      </c>
      <c r="D1809">
        <v>1</v>
      </c>
      <c r="E1809" t="s">
        <v>76</v>
      </c>
      <c r="F1809" t="s">
        <v>5989</v>
      </c>
      <c r="I1809" t="s">
        <v>49</v>
      </c>
      <c r="L1809" t="s">
        <v>5990</v>
      </c>
      <c r="M1809" t="s">
        <v>5989</v>
      </c>
      <c r="N1809">
        <v>369</v>
      </c>
      <c r="O1809" t="s">
        <v>5991</v>
      </c>
    </row>
    <row r="1810" spans="1:15" ht="14.5">
      <c r="A1810" t="s">
        <v>29</v>
      </c>
      <c r="B1810">
        <v>1771772</v>
      </c>
      <c r="C1810">
        <v>1773265</v>
      </c>
      <c r="D1810">
        <v>1</v>
      </c>
      <c r="E1810" t="s">
        <v>76</v>
      </c>
      <c r="F1810" t="s">
        <v>5992</v>
      </c>
      <c r="G1810" t="s">
        <v>5993</v>
      </c>
      <c r="I1810" t="s">
        <v>49</v>
      </c>
      <c r="L1810" t="s">
        <v>5994</v>
      </c>
      <c r="M1810" t="s">
        <v>5992</v>
      </c>
      <c r="N1810">
        <v>497</v>
      </c>
      <c r="O1810" t="s">
        <v>5995</v>
      </c>
    </row>
    <row r="1811" spans="1:15" ht="14.5">
      <c r="A1811" t="s">
        <v>29</v>
      </c>
      <c r="B1811">
        <v>1773773</v>
      </c>
      <c r="C1811">
        <v>1774939</v>
      </c>
      <c r="D1811">
        <v>1</v>
      </c>
      <c r="E1811" t="s">
        <v>76</v>
      </c>
      <c r="F1811" t="s">
        <v>5996</v>
      </c>
      <c r="I1811" t="s">
        <v>49</v>
      </c>
      <c r="L1811" t="s">
        <v>5997</v>
      </c>
      <c r="M1811" t="s">
        <v>5996</v>
      </c>
      <c r="N1811">
        <v>388</v>
      </c>
      <c r="O1811" t="s">
        <v>5998</v>
      </c>
    </row>
    <row r="1812" spans="1:15" ht="14.5">
      <c r="A1812" t="s">
        <v>29</v>
      </c>
      <c r="B1812">
        <v>1774952</v>
      </c>
      <c r="C1812">
        <v>1775359</v>
      </c>
      <c r="D1812">
        <v>1</v>
      </c>
      <c r="E1812" t="s">
        <v>76</v>
      </c>
      <c r="F1812" t="s">
        <v>5999</v>
      </c>
      <c r="I1812" t="s">
        <v>49</v>
      </c>
      <c r="L1812" t="s">
        <v>6000</v>
      </c>
      <c r="M1812" t="s">
        <v>5999</v>
      </c>
      <c r="N1812">
        <v>135</v>
      </c>
      <c r="O1812" t="s">
        <v>6001</v>
      </c>
    </row>
    <row r="1813" spans="1:15" ht="14.5">
      <c r="A1813" t="s">
        <v>29</v>
      </c>
      <c r="B1813">
        <v>1775356</v>
      </c>
      <c r="C1813">
        <v>1775691</v>
      </c>
      <c r="D1813">
        <v>1</v>
      </c>
      <c r="E1813" t="s">
        <v>76</v>
      </c>
      <c r="F1813" t="s">
        <v>6002</v>
      </c>
      <c r="I1813" t="s">
        <v>49</v>
      </c>
      <c r="L1813" t="s">
        <v>6003</v>
      </c>
      <c r="M1813" t="s">
        <v>6002</v>
      </c>
      <c r="N1813">
        <v>111</v>
      </c>
      <c r="O1813" t="s">
        <v>6004</v>
      </c>
    </row>
    <row r="1814" spans="1:15" ht="14.5">
      <c r="A1814" t="s">
        <v>29</v>
      </c>
      <c r="B1814">
        <v>1775713</v>
      </c>
      <c r="C1814">
        <v>1776537</v>
      </c>
      <c r="D1814">
        <v>1</v>
      </c>
      <c r="E1814" t="s">
        <v>76</v>
      </c>
      <c r="F1814" t="s">
        <v>6005</v>
      </c>
      <c r="I1814" t="s">
        <v>49</v>
      </c>
      <c r="L1814" t="s">
        <v>6006</v>
      </c>
      <c r="M1814" t="s">
        <v>6005</v>
      </c>
      <c r="N1814">
        <v>274</v>
      </c>
      <c r="O1814" t="s">
        <v>6007</v>
      </c>
    </row>
    <row r="1815" spans="1:15" ht="14.5">
      <c r="A1815" t="s">
        <v>29</v>
      </c>
      <c r="B1815">
        <v>1776672</v>
      </c>
      <c r="C1815">
        <v>1777886</v>
      </c>
      <c r="D1815">
        <v>1</v>
      </c>
      <c r="E1815" t="s">
        <v>76</v>
      </c>
      <c r="F1815" t="s">
        <v>6008</v>
      </c>
      <c r="G1815" t="s">
        <v>6009</v>
      </c>
      <c r="I1815" t="s">
        <v>49</v>
      </c>
      <c r="L1815" t="s">
        <v>6010</v>
      </c>
      <c r="M1815" t="s">
        <v>6008</v>
      </c>
      <c r="N1815">
        <v>404</v>
      </c>
      <c r="O1815" t="s">
        <v>6011</v>
      </c>
    </row>
    <row r="1816" spans="1:15" ht="14.5">
      <c r="A1816" t="s">
        <v>29</v>
      </c>
      <c r="B1816">
        <v>1777895</v>
      </c>
      <c r="C1816">
        <v>1779097</v>
      </c>
      <c r="D1816">
        <v>1</v>
      </c>
      <c r="E1816" t="s">
        <v>76</v>
      </c>
      <c r="F1816" t="s">
        <v>6012</v>
      </c>
      <c r="G1816" t="s">
        <v>6013</v>
      </c>
      <c r="I1816" t="s">
        <v>49</v>
      </c>
      <c r="L1816" t="s">
        <v>6014</v>
      </c>
      <c r="M1816" t="s">
        <v>6012</v>
      </c>
      <c r="N1816">
        <v>400</v>
      </c>
      <c r="O1816" t="s">
        <v>6015</v>
      </c>
    </row>
    <row r="1817" spans="1:15" ht="14.5">
      <c r="A1817" t="s">
        <v>29</v>
      </c>
      <c r="B1817">
        <v>1779175</v>
      </c>
      <c r="C1817">
        <v>1779603</v>
      </c>
      <c r="D1817">
        <v>1</v>
      </c>
      <c r="E1817" t="s">
        <v>47</v>
      </c>
      <c r="F1817" t="s">
        <v>65</v>
      </c>
      <c r="I1817" t="s">
        <v>49</v>
      </c>
      <c r="L1817" t="s">
        <v>6016</v>
      </c>
      <c r="M1817" t="s">
        <v>65</v>
      </c>
      <c r="N1817">
        <v>142</v>
      </c>
      <c r="O1817" t="s">
        <v>6017</v>
      </c>
    </row>
    <row r="1818" spans="1:15" ht="14.5">
      <c r="A1818" t="s">
        <v>29</v>
      </c>
      <c r="B1818">
        <v>1779648</v>
      </c>
      <c r="C1818">
        <v>1781951</v>
      </c>
      <c r="D1818">
        <v>1</v>
      </c>
      <c r="E1818" t="s">
        <v>76</v>
      </c>
      <c r="F1818" t="s">
        <v>6018</v>
      </c>
      <c r="G1818" t="s">
        <v>6019</v>
      </c>
      <c r="I1818" t="s">
        <v>49</v>
      </c>
      <c r="L1818" t="s">
        <v>6020</v>
      </c>
      <c r="M1818" t="s">
        <v>6018</v>
      </c>
      <c r="N1818">
        <v>767</v>
      </c>
      <c r="O1818" t="s">
        <v>6021</v>
      </c>
    </row>
    <row r="1819" spans="1:15" ht="14.5">
      <c r="A1819" t="s">
        <v>29</v>
      </c>
      <c r="B1819">
        <v>1782037</v>
      </c>
      <c r="C1819">
        <v>1783989</v>
      </c>
      <c r="D1819">
        <v>1</v>
      </c>
      <c r="E1819" t="s">
        <v>76</v>
      </c>
      <c r="F1819" t="s">
        <v>6022</v>
      </c>
      <c r="G1819" t="s">
        <v>6023</v>
      </c>
      <c r="I1819" t="s">
        <v>49</v>
      </c>
      <c r="L1819" t="s">
        <v>6024</v>
      </c>
      <c r="M1819" t="s">
        <v>6022</v>
      </c>
      <c r="N1819">
        <v>650</v>
      </c>
      <c r="O1819" t="s">
        <v>6025</v>
      </c>
    </row>
    <row r="1820" spans="1:15" ht="14.5">
      <c r="A1820" t="s">
        <v>29</v>
      </c>
      <c r="B1820">
        <v>1783986</v>
      </c>
      <c r="C1820">
        <v>1784387</v>
      </c>
      <c r="D1820">
        <v>1</v>
      </c>
      <c r="E1820" t="s">
        <v>76</v>
      </c>
      <c r="F1820" t="s">
        <v>6026</v>
      </c>
      <c r="G1820" t="s">
        <v>6027</v>
      </c>
      <c r="I1820" t="s">
        <v>49</v>
      </c>
      <c r="L1820" t="s">
        <v>6028</v>
      </c>
      <c r="M1820" t="s">
        <v>6026</v>
      </c>
      <c r="N1820">
        <v>133</v>
      </c>
      <c r="O1820" t="s">
        <v>6029</v>
      </c>
    </row>
    <row r="1821" spans="1:15" ht="14.5">
      <c r="A1821" t="s">
        <v>29</v>
      </c>
      <c r="B1821">
        <v>1784392</v>
      </c>
      <c r="C1821">
        <v>1784898</v>
      </c>
      <c r="D1821">
        <v>1</v>
      </c>
      <c r="E1821" t="s">
        <v>76</v>
      </c>
      <c r="F1821" t="s">
        <v>6026</v>
      </c>
      <c r="G1821" t="s">
        <v>6030</v>
      </c>
      <c r="I1821" t="s">
        <v>49</v>
      </c>
      <c r="L1821" t="s">
        <v>6031</v>
      </c>
      <c r="M1821" t="s">
        <v>6026</v>
      </c>
      <c r="N1821">
        <v>168</v>
      </c>
      <c r="O1821" t="s">
        <v>6032</v>
      </c>
    </row>
    <row r="1822" spans="1:15" ht="14.5">
      <c r="A1822" t="s">
        <v>29</v>
      </c>
      <c r="B1822">
        <v>1784895</v>
      </c>
      <c r="C1822">
        <v>1785635</v>
      </c>
      <c r="D1822">
        <v>1</v>
      </c>
      <c r="E1822" t="s">
        <v>76</v>
      </c>
      <c r="F1822" t="s">
        <v>6033</v>
      </c>
      <c r="G1822" t="s">
        <v>6034</v>
      </c>
      <c r="I1822" t="s">
        <v>49</v>
      </c>
      <c r="L1822" t="s">
        <v>6035</v>
      </c>
      <c r="M1822" t="s">
        <v>6033</v>
      </c>
      <c r="N1822">
        <v>246</v>
      </c>
      <c r="O1822" t="s">
        <v>6036</v>
      </c>
    </row>
    <row r="1823" spans="1:15" ht="14.5">
      <c r="A1823" t="s">
        <v>29</v>
      </c>
      <c r="B1823">
        <v>1785796</v>
      </c>
      <c r="C1823">
        <v>1785886</v>
      </c>
      <c r="D1823">
        <v>1</v>
      </c>
      <c r="E1823" t="s">
        <v>47</v>
      </c>
      <c r="F1823" t="s">
        <v>2350</v>
      </c>
      <c r="I1823" t="s">
        <v>1724</v>
      </c>
      <c r="O1823" t="s">
        <v>6037</v>
      </c>
    </row>
    <row r="1824" spans="1:15" ht="14.5">
      <c r="A1824" t="s">
        <v>29</v>
      </c>
      <c r="B1824">
        <v>1786070</v>
      </c>
      <c r="C1824">
        <v>1786414</v>
      </c>
      <c r="D1824">
        <v>1</v>
      </c>
      <c r="E1824" t="s">
        <v>76</v>
      </c>
      <c r="F1824" t="s">
        <v>6038</v>
      </c>
      <c r="G1824" t="s">
        <v>6039</v>
      </c>
      <c r="I1824" t="s">
        <v>6040</v>
      </c>
      <c r="O1824" t="s">
        <v>6041</v>
      </c>
    </row>
    <row r="1825" spans="1:15" ht="14.5">
      <c r="A1825" t="s">
        <v>29</v>
      </c>
      <c r="B1825">
        <v>1787060</v>
      </c>
      <c r="C1825">
        <v>1788169</v>
      </c>
      <c r="D1825">
        <v>1</v>
      </c>
      <c r="E1825" t="s">
        <v>76</v>
      </c>
      <c r="F1825" t="s">
        <v>6042</v>
      </c>
      <c r="G1825" t="s">
        <v>6043</v>
      </c>
      <c r="I1825" t="s">
        <v>49</v>
      </c>
      <c r="L1825" t="s">
        <v>6044</v>
      </c>
      <c r="M1825" t="s">
        <v>6042</v>
      </c>
      <c r="N1825">
        <v>369</v>
      </c>
      <c r="O1825" t="s">
        <v>6045</v>
      </c>
    </row>
    <row r="1826" spans="1:15" ht="14.5">
      <c r="A1826" t="s">
        <v>29</v>
      </c>
      <c r="B1826">
        <v>1788272</v>
      </c>
      <c r="C1826">
        <v>1789513</v>
      </c>
      <c r="D1826">
        <v>1</v>
      </c>
      <c r="E1826" t="s">
        <v>47</v>
      </c>
      <c r="F1826" t="s">
        <v>6046</v>
      </c>
      <c r="G1826" t="s">
        <v>6047</v>
      </c>
      <c r="I1826" t="s">
        <v>49</v>
      </c>
      <c r="L1826" t="s">
        <v>6048</v>
      </c>
      <c r="M1826" t="s">
        <v>6046</v>
      </c>
      <c r="N1826">
        <v>413</v>
      </c>
      <c r="O1826" t="s">
        <v>6049</v>
      </c>
    </row>
    <row r="1827" spans="1:15" ht="14.5">
      <c r="A1827" t="s">
        <v>29</v>
      </c>
      <c r="B1827">
        <v>1789712</v>
      </c>
      <c r="C1827">
        <v>1791124</v>
      </c>
      <c r="D1827">
        <v>1</v>
      </c>
      <c r="E1827" t="s">
        <v>76</v>
      </c>
      <c r="F1827" t="s">
        <v>6050</v>
      </c>
      <c r="I1827" t="s">
        <v>49</v>
      </c>
      <c r="L1827" t="s">
        <v>6051</v>
      </c>
      <c r="M1827" t="s">
        <v>6050</v>
      </c>
      <c r="N1827">
        <v>470</v>
      </c>
      <c r="O1827" t="s">
        <v>6052</v>
      </c>
    </row>
    <row r="1828" spans="1:15" ht="14.5">
      <c r="A1828" t="s">
        <v>29</v>
      </c>
      <c r="B1828">
        <v>1791178</v>
      </c>
      <c r="C1828">
        <v>1791618</v>
      </c>
      <c r="D1828">
        <v>1</v>
      </c>
      <c r="E1828" t="s">
        <v>76</v>
      </c>
      <c r="F1828" t="s">
        <v>6053</v>
      </c>
      <c r="G1828" t="s">
        <v>6054</v>
      </c>
      <c r="I1828" t="s">
        <v>49</v>
      </c>
      <c r="L1828" t="s">
        <v>6055</v>
      </c>
      <c r="M1828" t="s">
        <v>6053</v>
      </c>
      <c r="N1828">
        <v>146</v>
      </c>
      <c r="O1828" t="s">
        <v>6056</v>
      </c>
    </row>
    <row r="1829" spans="1:15" ht="14.5">
      <c r="A1829" t="s">
        <v>29</v>
      </c>
      <c r="B1829">
        <v>1791605</v>
      </c>
      <c r="C1829">
        <v>1792831</v>
      </c>
      <c r="D1829">
        <v>1</v>
      </c>
      <c r="E1829" t="s">
        <v>76</v>
      </c>
      <c r="F1829" t="s">
        <v>6012</v>
      </c>
      <c r="G1829" t="s">
        <v>6057</v>
      </c>
      <c r="I1829" t="s">
        <v>49</v>
      </c>
      <c r="L1829" t="s">
        <v>6058</v>
      </c>
      <c r="M1829" t="s">
        <v>6012</v>
      </c>
      <c r="N1829">
        <v>408</v>
      </c>
      <c r="O1829" t="s">
        <v>6059</v>
      </c>
    </row>
    <row r="1830" spans="1:15" ht="14.5">
      <c r="A1830" t="s">
        <v>29</v>
      </c>
      <c r="B1830">
        <v>1792842</v>
      </c>
      <c r="C1830">
        <v>1794104</v>
      </c>
      <c r="D1830">
        <v>1</v>
      </c>
      <c r="E1830" t="s">
        <v>76</v>
      </c>
      <c r="F1830" t="s">
        <v>6060</v>
      </c>
      <c r="G1830" t="s">
        <v>6061</v>
      </c>
      <c r="I1830" t="s">
        <v>49</v>
      </c>
      <c r="L1830" t="s">
        <v>6062</v>
      </c>
      <c r="M1830" t="s">
        <v>6060</v>
      </c>
      <c r="N1830">
        <v>420</v>
      </c>
      <c r="O1830" t="s">
        <v>6063</v>
      </c>
    </row>
    <row r="1831" spans="1:15" ht="14.5">
      <c r="A1831" t="s">
        <v>29</v>
      </c>
      <c r="B1831">
        <v>1794132</v>
      </c>
      <c r="C1831">
        <v>1794902</v>
      </c>
      <c r="D1831">
        <v>1</v>
      </c>
      <c r="E1831" t="s">
        <v>76</v>
      </c>
      <c r="F1831" t="s">
        <v>6064</v>
      </c>
      <c r="G1831" t="s">
        <v>6065</v>
      </c>
      <c r="I1831" t="s">
        <v>49</v>
      </c>
      <c r="L1831" t="s">
        <v>6066</v>
      </c>
      <c r="M1831" t="s">
        <v>6064</v>
      </c>
      <c r="N1831">
        <v>256</v>
      </c>
      <c r="O1831" t="s">
        <v>6067</v>
      </c>
    </row>
    <row r="1832" spans="1:15" ht="14.5">
      <c r="A1832" t="s">
        <v>29</v>
      </c>
      <c r="B1832">
        <v>1795052</v>
      </c>
      <c r="C1832">
        <v>1795246</v>
      </c>
      <c r="D1832">
        <v>1</v>
      </c>
      <c r="E1832" t="s">
        <v>76</v>
      </c>
      <c r="F1832" t="s">
        <v>65</v>
      </c>
      <c r="I1832" t="s">
        <v>49</v>
      </c>
      <c r="L1832" t="s">
        <v>6068</v>
      </c>
      <c r="M1832" t="s">
        <v>65</v>
      </c>
      <c r="N1832">
        <v>64</v>
      </c>
      <c r="O1832" t="s">
        <v>6069</v>
      </c>
    </row>
    <row r="1833" spans="1:15" ht="14.5">
      <c r="A1833" t="s">
        <v>29</v>
      </c>
      <c r="B1833">
        <v>1795274</v>
      </c>
      <c r="C1833">
        <v>1796929</v>
      </c>
      <c r="D1833">
        <v>1</v>
      </c>
      <c r="E1833" t="s">
        <v>76</v>
      </c>
      <c r="F1833" t="s">
        <v>6070</v>
      </c>
      <c r="G1833" t="s">
        <v>6071</v>
      </c>
      <c r="I1833" t="s">
        <v>49</v>
      </c>
      <c r="L1833" t="s">
        <v>6072</v>
      </c>
      <c r="M1833" t="s">
        <v>6070</v>
      </c>
      <c r="N1833">
        <v>551</v>
      </c>
      <c r="O1833" t="s">
        <v>6073</v>
      </c>
    </row>
    <row r="1834" spans="1:15" ht="14.5">
      <c r="A1834" t="s">
        <v>29</v>
      </c>
      <c r="B1834">
        <v>1796929</v>
      </c>
      <c r="C1834">
        <v>1797426</v>
      </c>
      <c r="D1834">
        <v>1</v>
      </c>
      <c r="E1834" t="s">
        <v>76</v>
      </c>
      <c r="F1834" t="s">
        <v>6074</v>
      </c>
      <c r="G1834" t="s">
        <v>6075</v>
      </c>
      <c r="I1834" t="s">
        <v>49</v>
      </c>
      <c r="L1834" t="s">
        <v>6076</v>
      </c>
      <c r="M1834" t="s">
        <v>6074</v>
      </c>
      <c r="N1834">
        <v>165</v>
      </c>
      <c r="O1834" t="s">
        <v>6077</v>
      </c>
    </row>
    <row r="1835" spans="1:15" ht="14.5">
      <c r="A1835" t="s">
        <v>29</v>
      </c>
      <c r="B1835">
        <v>1797512</v>
      </c>
      <c r="C1835">
        <v>1798714</v>
      </c>
      <c r="D1835">
        <v>1</v>
      </c>
      <c r="E1835" t="s">
        <v>76</v>
      </c>
      <c r="F1835" t="s">
        <v>6078</v>
      </c>
      <c r="G1835" t="s">
        <v>6079</v>
      </c>
      <c r="I1835" t="s">
        <v>49</v>
      </c>
      <c r="L1835" t="s">
        <v>6080</v>
      </c>
      <c r="M1835" t="s">
        <v>6078</v>
      </c>
      <c r="N1835">
        <v>400</v>
      </c>
      <c r="O1835" t="s">
        <v>6081</v>
      </c>
    </row>
    <row r="1836" spans="1:15" ht="14.5">
      <c r="A1836" t="s">
        <v>29</v>
      </c>
      <c r="B1836">
        <v>1798876</v>
      </c>
      <c r="C1836">
        <v>1798947</v>
      </c>
      <c r="D1836">
        <v>1</v>
      </c>
      <c r="E1836" t="s">
        <v>76</v>
      </c>
      <c r="F1836" t="s">
        <v>2362</v>
      </c>
      <c r="I1836" t="s">
        <v>1724</v>
      </c>
      <c r="O1836" t="s">
        <v>6082</v>
      </c>
    </row>
    <row r="1837" spans="1:15" ht="14.5">
      <c r="A1837" t="s">
        <v>29</v>
      </c>
      <c r="B1837">
        <v>1798957</v>
      </c>
      <c r="C1837">
        <v>1799037</v>
      </c>
      <c r="D1837">
        <v>1</v>
      </c>
      <c r="E1837" t="s">
        <v>76</v>
      </c>
      <c r="F1837" t="s">
        <v>2356</v>
      </c>
      <c r="I1837" t="s">
        <v>1724</v>
      </c>
      <c r="O1837" t="s">
        <v>6083</v>
      </c>
    </row>
    <row r="1838" spans="1:15" ht="14.5">
      <c r="A1838" t="s">
        <v>29</v>
      </c>
      <c r="B1838">
        <v>1799087</v>
      </c>
      <c r="C1838">
        <v>1799317</v>
      </c>
      <c r="D1838">
        <v>1</v>
      </c>
      <c r="E1838" t="s">
        <v>76</v>
      </c>
      <c r="F1838" t="s">
        <v>6084</v>
      </c>
      <c r="I1838" t="s">
        <v>49</v>
      </c>
      <c r="L1838" t="s">
        <v>6085</v>
      </c>
      <c r="M1838" t="s">
        <v>6084</v>
      </c>
      <c r="N1838">
        <v>76</v>
      </c>
      <c r="O1838" t="s">
        <v>6086</v>
      </c>
    </row>
    <row r="1839" spans="1:15" ht="14.5">
      <c r="A1839" t="s">
        <v>29</v>
      </c>
      <c r="B1839">
        <v>1799485</v>
      </c>
      <c r="C1839">
        <v>1800129</v>
      </c>
      <c r="D1839">
        <v>1</v>
      </c>
      <c r="E1839" t="s">
        <v>76</v>
      </c>
      <c r="F1839" t="s">
        <v>6087</v>
      </c>
      <c r="G1839" t="s">
        <v>6088</v>
      </c>
      <c r="I1839" t="s">
        <v>49</v>
      </c>
      <c r="L1839" t="s">
        <v>6089</v>
      </c>
      <c r="M1839" t="s">
        <v>6087</v>
      </c>
      <c r="N1839">
        <v>214</v>
      </c>
      <c r="O1839" t="s">
        <v>6090</v>
      </c>
    </row>
    <row r="1840" spans="1:15" ht="14.5">
      <c r="A1840" t="s">
        <v>29</v>
      </c>
      <c r="B1840">
        <v>1800144</v>
      </c>
      <c r="C1840">
        <v>1801067</v>
      </c>
      <c r="D1840">
        <v>1</v>
      </c>
      <c r="E1840" t="s">
        <v>76</v>
      </c>
      <c r="F1840" t="s">
        <v>1149</v>
      </c>
      <c r="I1840" t="s">
        <v>49</v>
      </c>
      <c r="L1840" t="s">
        <v>6091</v>
      </c>
      <c r="M1840" t="s">
        <v>1149</v>
      </c>
      <c r="N1840">
        <v>307</v>
      </c>
      <c r="O1840" t="s">
        <v>6092</v>
      </c>
    </row>
    <row r="1841" spans="1:15" ht="14.5">
      <c r="A1841" t="s">
        <v>29</v>
      </c>
      <c r="B1841">
        <v>1801064</v>
      </c>
      <c r="C1841">
        <v>1801753</v>
      </c>
      <c r="D1841">
        <v>1</v>
      </c>
      <c r="E1841" t="s">
        <v>76</v>
      </c>
      <c r="F1841" t="s">
        <v>1149</v>
      </c>
      <c r="I1841" t="s">
        <v>49</v>
      </c>
      <c r="L1841" t="s">
        <v>6093</v>
      </c>
      <c r="M1841" t="s">
        <v>1149</v>
      </c>
      <c r="N1841">
        <v>229</v>
      </c>
      <c r="O1841" t="s">
        <v>6094</v>
      </c>
    </row>
    <row r="1842" spans="1:15" ht="14.5">
      <c r="A1842" t="s">
        <v>29</v>
      </c>
      <c r="B1842">
        <v>1801818</v>
      </c>
      <c r="C1842">
        <v>1802522</v>
      </c>
      <c r="D1842">
        <v>1</v>
      </c>
      <c r="E1842" t="s">
        <v>76</v>
      </c>
      <c r="F1842" t="s">
        <v>6095</v>
      </c>
      <c r="G1842" t="s">
        <v>6096</v>
      </c>
      <c r="I1842" t="s">
        <v>49</v>
      </c>
      <c r="L1842" t="s">
        <v>6097</v>
      </c>
      <c r="M1842" t="s">
        <v>6095</v>
      </c>
      <c r="N1842">
        <v>234</v>
      </c>
      <c r="O1842" t="s">
        <v>6098</v>
      </c>
    </row>
    <row r="1843" spans="1:15" ht="14.5">
      <c r="A1843" t="s">
        <v>29</v>
      </c>
      <c r="B1843">
        <v>1802578</v>
      </c>
      <c r="C1843">
        <v>1803600</v>
      </c>
      <c r="D1843">
        <v>1</v>
      </c>
      <c r="E1843" t="s">
        <v>76</v>
      </c>
      <c r="F1843" t="s">
        <v>6084</v>
      </c>
      <c r="G1843" t="s">
        <v>6099</v>
      </c>
      <c r="I1843" t="s">
        <v>49</v>
      </c>
      <c r="L1843" t="s">
        <v>6100</v>
      </c>
      <c r="M1843" t="s">
        <v>6084</v>
      </c>
      <c r="N1843">
        <v>340</v>
      </c>
      <c r="O1843" t="s">
        <v>6101</v>
      </c>
    </row>
    <row r="1844" spans="1:15" ht="14.5">
      <c r="A1844" t="s">
        <v>29</v>
      </c>
      <c r="B1844">
        <v>1803732</v>
      </c>
      <c r="C1844">
        <v>1806167</v>
      </c>
      <c r="D1844">
        <v>1</v>
      </c>
      <c r="E1844" t="s">
        <v>76</v>
      </c>
      <c r="F1844" t="s">
        <v>6102</v>
      </c>
      <c r="G1844" t="s">
        <v>6103</v>
      </c>
      <c r="I1844" t="s">
        <v>49</v>
      </c>
      <c r="L1844" t="s">
        <v>6104</v>
      </c>
      <c r="M1844" t="s">
        <v>6102</v>
      </c>
      <c r="N1844">
        <v>811</v>
      </c>
      <c r="O1844" t="s">
        <v>6105</v>
      </c>
    </row>
    <row r="1845" spans="1:15" ht="14.5">
      <c r="A1845" t="s">
        <v>29</v>
      </c>
      <c r="B1845">
        <v>1806516</v>
      </c>
      <c r="C1845">
        <v>1806623</v>
      </c>
      <c r="D1845">
        <v>1</v>
      </c>
      <c r="E1845" t="s">
        <v>76</v>
      </c>
      <c r="F1845" t="s">
        <v>6106</v>
      </c>
      <c r="I1845" t="s">
        <v>49</v>
      </c>
      <c r="L1845" t="s">
        <v>6107</v>
      </c>
      <c r="M1845" t="s">
        <v>6106</v>
      </c>
      <c r="N1845">
        <v>35</v>
      </c>
      <c r="O1845" t="s">
        <v>6108</v>
      </c>
    </row>
    <row r="1846" spans="1:15" ht="14.5">
      <c r="A1846" t="s">
        <v>29</v>
      </c>
      <c r="B1846">
        <v>1806623</v>
      </c>
      <c r="C1846">
        <v>1808566</v>
      </c>
      <c r="D1846">
        <v>1</v>
      </c>
      <c r="E1846" t="s">
        <v>76</v>
      </c>
      <c r="F1846" t="s">
        <v>6109</v>
      </c>
      <c r="G1846" t="s">
        <v>6110</v>
      </c>
      <c r="I1846" t="s">
        <v>49</v>
      </c>
      <c r="L1846" t="s">
        <v>6111</v>
      </c>
      <c r="M1846" t="s">
        <v>6109</v>
      </c>
      <c r="N1846">
        <v>647</v>
      </c>
      <c r="O1846" t="s">
        <v>6112</v>
      </c>
    </row>
    <row r="1847" spans="1:15" ht="14.5">
      <c r="A1847" t="s">
        <v>29</v>
      </c>
      <c r="B1847">
        <v>1808702</v>
      </c>
      <c r="C1847">
        <v>1809343</v>
      </c>
      <c r="D1847">
        <v>1</v>
      </c>
      <c r="E1847" t="s">
        <v>47</v>
      </c>
      <c r="F1847" t="s">
        <v>6113</v>
      </c>
      <c r="G1847" t="s">
        <v>6114</v>
      </c>
      <c r="I1847" t="s">
        <v>49</v>
      </c>
      <c r="L1847" t="s">
        <v>6115</v>
      </c>
      <c r="M1847" t="s">
        <v>6113</v>
      </c>
      <c r="N1847">
        <v>213</v>
      </c>
      <c r="O1847" t="s">
        <v>6116</v>
      </c>
    </row>
    <row r="1848" spans="1:15" ht="14.5">
      <c r="A1848" t="s">
        <v>29</v>
      </c>
      <c r="B1848">
        <v>1809388</v>
      </c>
      <c r="C1848">
        <v>1809876</v>
      </c>
      <c r="D1848">
        <v>1</v>
      </c>
      <c r="E1848" t="s">
        <v>76</v>
      </c>
      <c r="F1848" t="s">
        <v>6117</v>
      </c>
      <c r="I1848" t="s">
        <v>49</v>
      </c>
      <c r="L1848" t="s">
        <v>6118</v>
      </c>
      <c r="M1848" t="s">
        <v>6117</v>
      </c>
      <c r="N1848">
        <v>162</v>
      </c>
      <c r="O1848" t="s">
        <v>6119</v>
      </c>
    </row>
    <row r="1849" spans="1:15" ht="14.5">
      <c r="A1849" t="s">
        <v>29</v>
      </c>
      <c r="B1849">
        <v>1809938</v>
      </c>
      <c r="C1849">
        <v>1810210</v>
      </c>
      <c r="D1849">
        <v>1</v>
      </c>
      <c r="E1849" t="s">
        <v>76</v>
      </c>
      <c r="F1849" t="s">
        <v>6120</v>
      </c>
      <c r="I1849" t="s">
        <v>49</v>
      </c>
      <c r="L1849" t="s">
        <v>6121</v>
      </c>
      <c r="M1849" t="s">
        <v>6120</v>
      </c>
      <c r="N1849">
        <v>90</v>
      </c>
      <c r="O1849" t="s">
        <v>6122</v>
      </c>
    </row>
    <row r="1850" spans="1:15" ht="14.5">
      <c r="A1850" t="s">
        <v>29</v>
      </c>
      <c r="B1850">
        <v>1810228</v>
      </c>
      <c r="C1850">
        <v>1810377</v>
      </c>
      <c r="D1850">
        <v>1</v>
      </c>
      <c r="E1850" t="s">
        <v>76</v>
      </c>
      <c r="F1850" t="s">
        <v>6120</v>
      </c>
      <c r="I1850" t="s">
        <v>49</v>
      </c>
      <c r="L1850" t="s">
        <v>6123</v>
      </c>
      <c r="M1850" t="s">
        <v>6120</v>
      </c>
      <c r="N1850">
        <v>49</v>
      </c>
      <c r="O1850" t="s">
        <v>6124</v>
      </c>
    </row>
    <row r="1851" spans="1:15" ht="14.5">
      <c r="A1851" t="s">
        <v>29</v>
      </c>
      <c r="B1851">
        <v>1810513</v>
      </c>
      <c r="C1851">
        <v>1810725</v>
      </c>
      <c r="D1851">
        <v>1</v>
      </c>
      <c r="E1851" t="s">
        <v>76</v>
      </c>
      <c r="F1851" t="s">
        <v>6125</v>
      </c>
      <c r="I1851" t="s">
        <v>49</v>
      </c>
      <c r="L1851" t="s">
        <v>6126</v>
      </c>
      <c r="M1851" t="s">
        <v>6125</v>
      </c>
      <c r="N1851">
        <v>70</v>
      </c>
      <c r="O1851" t="s">
        <v>6127</v>
      </c>
    </row>
    <row r="1852" spans="1:15" ht="14.5">
      <c r="A1852" t="s">
        <v>29</v>
      </c>
      <c r="B1852">
        <v>1810810</v>
      </c>
      <c r="C1852">
        <v>1811766</v>
      </c>
      <c r="D1852">
        <v>1</v>
      </c>
      <c r="E1852" t="s">
        <v>76</v>
      </c>
      <c r="F1852" t="s">
        <v>5447</v>
      </c>
      <c r="I1852" t="s">
        <v>49</v>
      </c>
      <c r="L1852" t="s">
        <v>6128</v>
      </c>
      <c r="M1852" t="s">
        <v>5447</v>
      </c>
      <c r="N1852">
        <v>318</v>
      </c>
      <c r="O1852" t="s">
        <v>6129</v>
      </c>
    </row>
    <row r="1853" spans="1:15" ht="14.5">
      <c r="A1853" t="s">
        <v>29</v>
      </c>
      <c r="B1853">
        <v>1811769</v>
      </c>
      <c r="C1853">
        <v>1812617</v>
      </c>
      <c r="D1853">
        <v>1</v>
      </c>
      <c r="E1853" t="s">
        <v>76</v>
      </c>
      <c r="F1853" t="s">
        <v>2033</v>
      </c>
      <c r="G1853" t="s">
        <v>6130</v>
      </c>
      <c r="I1853" t="s">
        <v>49</v>
      </c>
      <c r="L1853" t="s">
        <v>6131</v>
      </c>
      <c r="M1853" t="s">
        <v>2033</v>
      </c>
      <c r="N1853">
        <v>282</v>
      </c>
      <c r="O1853" t="s">
        <v>6132</v>
      </c>
    </row>
    <row r="1854" spans="1:15" ht="14.5">
      <c r="A1854" t="s">
        <v>29</v>
      </c>
      <c r="B1854">
        <v>1812610</v>
      </c>
      <c r="C1854">
        <v>1814145</v>
      </c>
      <c r="D1854">
        <v>1</v>
      </c>
      <c r="E1854" t="s">
        <v>76</v>
      </c>
      <c r="F1854" t="s">
        <v>218</v>
      </c>
      <c r="G1854" t="s">
        <v>6133</v>
      </c>
      <c r="I1854" t="s">
        <v>49</v>
      </c>
      <c r="L1854" t="s">
        <v>6134</v>
      </c>
      <c r="M1854" t="s">
        <v>218</v>
      </c>
      <c r="N1854">
        <v>511</v>
      </c>
      <c r="O1854" t="s">
        <v>6135</v>
      </c>
    </row>
    <row r="1855" spans="1:15" ht="14.5">
      <c r="A1855" t="s">
        <v>29</v>
      </c>
      <c r="B1855">
        <v>1814289</v>
      </c>
      <c r="C1855">
        <v>1815341</v>
      </c>
      <c r="D1855">
        <v>1</v>
      </c>
      <c r="E1855" t="s">
        <v>76</v>
      </c>
      <c r="F1855" t="s">
        <v>1056</v>
      </c>
      <c r="G1855" t="s">
        <v>6136</v>
      </c>
      <c r="I1855" t="s">
        <v>49</v>
      </c>
      <c r="L1855" t="s">
        <v>6137</v>
      </c>
      <c r="M1855" t="s">
        <v>1056</v>
      </c>
      <c r="N1855">
        <v>350</v>
      </c>
      <c r="O1855" t="s">
        <v>6138</v>
      </c>
    </row>
    <row r="1856" spans="1:15" ht="14.5">
      <c r="A1856" t="s">
        <v>29</v>
      </c>
      <c r="B1856">
        <v>1815432</v>
      </c>
      <c r="C1856">
        <v>1815821</v>
      </c>
      <c r="D1856">
        <v>1</v>
      </c>
      <c r="E1856" t="s">
        <v>76</v>
      </c>
      <c r="F1856" t="s">
        <v>4713</v>
      </c>
      <c r="G1856" t="s">
        <v>6139</v>
      </c>
      <c r="I1856" t="s">
        <v>49</v>
      </c>
      <c r="L1856" t="s">
        <v>6140</v>
      </c>
      <c r="M1856" t="s">
        <v>4713</v>
      </c>
      <c r="N1856">
        <v>129</v>
      </c>
      <c r="O1856" t="s">
        <v>6141</v>
      </c>
    </row>
    <row r="1857" spans="1:15" ht="14.5">
      <c r="A1857" t="s">
        <v>29</v>
      </c>
      <c r="B1857">
        <v>1815808</v>
      </c>
      <c r="C1857">
        <v>1816470</v>
      </c>
      <c r="D1857">
        <v>1</v>
      </c>
      <c r="E1857" t="s">
        <v>76</v>
      </c>
      <c r="F1857" t="s">
        <v>6142</v>
      </c>
      <c r="G1857" t="s">
        <v>6143</v>
      </c>
      <c r="I1857" t="s">
        <v>49</v>
      </c>
      <c r="L1857" t="s">
        <v>6144</v>
      </c>
      <c r="M1857" t="s">
        <v>6142</v>
      </c>
      <c r="N1857">
        <v>220</v>
      </c>
      <c r="O1857" t="s">
        <v>6145</v>
      </c>
    </row>
    <row r="1858" spans="1:15" ht="14.5">
      <c r="A1858" t="s">
        <v>29</v>
      </c>
      <c r="B1858">
        <v>1816488</v>
      </c>
      <c r="C1858">
        <v>1817765</v>
      </c>
      <c r="D1858">
        <v>1</v>
      </c>
      <c r="E1858" t="s">
        <v>76</v>
      </c>
      <c r="F1858" t="s">
        <v>6146</v>
      </c>
      <c r="G1858" t="s">
        <v>6147</v>
      </c>
      <c r="I1858" t="s">
        <v>49</v>
      </c>
      <c r="L1858" t="s">
        <v>6148</v>
      </c>
      <c r="M1858" t="s">
        <v>6146</v>
      </c>
      <c r="N1858">
        <v>425</v>
      </c>
      <c r="O1858" t="s">
        <v>6149</v>
      </c>
    </row>
    <row r="1859" spans="1:15" ht="14.5">
      <c r="A1859" t="s">
        <v>29</v>
      </c>
      <c r="B1859">
        <v>1817762</v>
      </c>
      <c r="C1859">
        <v>1818352</v>
      </c>
      <c r="D1859">
        <v>1</v>
      </c>
      <c r="E1859" t="s">
        <v>76</v>
      </c>
      <c r="F1859" t="s">
        <v>6150</v>
      </c>
      <c r="G1859" t="s">
        <v>6151</v>
      </c>
      <c r="I1859" t="s">
        <v>49</v>
      </c>
      <c r="L1859" t="s">
        <v>6152</v>
      </c>
      <c r="M1859" t="s">
        <v>6150</v>
      </c>
      <c r="N1859">
        <v>196</v>
      </c>
      <c r="O1859" t="s">
        <v>6153</v>
      </c>
    </row>
    <row r="1860" spans="1:15" ht="14.5">
      <c r="A1860" t="s">
        <v>29</v>
      </c>
      <c r="B1860">
        <v>1818559</v>
      </c>
      <c r="C1860">
        <v>1818963</v>
      </c>
      <c r="D1860">
        <v>1</v>
      </c>
      <c r="E1860" t="s">
        <v>76</v>
      </c>
      <c r="F1860" t="s">
        <v>6154</v>
      </c>
      <c r="I1860" t="s">
        <v>49</v>
      </c>
      <c r="L1860" t="s">
        <v>6155</v>
      </c>
      <c r="M1860" t="s">
        <v>6154</v>
      </c>
      <c r="N1860">
        <v>134</v>
      </c>
      <c r="O1860" t="s">
        <v>6156</v>
      </c>
    </row>
    <row r="1861" spans="1:15" ht="14.5">
      <c r="A1861" t="s">
        <v>29</v>
      </c>
      <c r="B1861">
        <v>1819161</v>
      </c>
      <c r="C1861">
        <v>1820081</v>
      </c>
      <c r="D1861">
        <v>1</v>
      </c>
      <c r="E1861" t="s">
        <v>47</v>
      </c>
      <c r="F1861" t="s">
        <v>6157</v>
      </c>
      <c r="G1861" t="s">
        <v>6158</v>
      </c>
      <c r="I1861" t="s">
        <v>49</v>
      </c>
      <c r="L1861" t="s">
        <v>6159</v>
      </c>
      <c r="M1861" t="s">
        <v>6157</v>
      </c>
      <c r="N1861">
        <v>306</v>
      </c>
      <c r="O1861" t="s">
        <v>6160</v>
      </c>
    </row>
    <row r="1862" spans="1:15" ht="14.5">
      <c r="A1862" t="s">
        <v>29</v>
      </c>
      <c r="B1862">
        <v>1820149</v>
      </c>
      <c r="C1862">
        <v>1820385</v>
      </c>
      <c r="D1862">
        <v>1</v>
      </c>
      <c r="E1862" t="s">
        <v>47</v>
      </c>
      <c r="F1862" t="s">
        <v>6161</v>
      </c>
      <c r="G1862" t="s">
        <v>6162</v>
      </c>
      <c r="I1862" t="s">
        <v>49</v>
      </c>
      <c r="L1862" t="s">
        <v>6163</v>
      </c>
      <c r="M1862" t="s">
        <v>6161</v>
      </c>
      <c r="N1862">
        <v>78</v>
      </c>
      <c r="O1862" t="s">
        <v>6164</v>
      </c>
    </row>
    <row r="1863" spans="1:15" ht="14.5">
      <c r="A1863" t="s">
        <v>29</v>
      </c>
      <c r="B1863">
        <v>1820438</v>
      </c>
      <c r="C1863">
        <v>1820962</v>
      </c>
      <c r="D1863">
        <v>1</v>
      </c>
      <c r="E1863" t="s">
        <v>47</v>
      </c>
      <c r="F1863" t="s">
        <v>6165</v>
      </c>
      <c r="I1863" t="s">
        <v>49</v>
      </c>
      <c r="L1863" t="s">
        <v>6166</v>
      </c>
      <c r="M1863" t="s">
        <v>6165</v>
      </c>
      <c r="N1863">
        <v>174</v>
      </c>
      <c r="O1863" t="s">
        <v>6167</v>
      </c>
    </row>
    <row r="1864" spans="1:15" ht="14.5">
      <c r="A1864" t="s">
        <v>29</v>
      </c>
      <c r="B1864">
        <v>1820985</v>
      </c>
      <c r="C1864">
        <v>1821695</v>
      </c>
      <c r="D1864">
        <v>1</v>
      </c>
      <c r="E1864" t="s">
        <v>76</v>
      </c>
      <c r="F1864" t="s">
        <v>6168</v>
      </c>
      <c r="G1864" t="s">
        <v>6169</v>
      </c>
      <c r="I1864" t="s">
        <v>49</v>
      </c>
      <c r="L1864" t="s">
        <v>6170</v>
      </c>
      <c r="M1864" t="s">
        <v>6168</v>
      </c>
      <c r="N1864">
        <v>236</v>
      </c>
      <c r="O1864" t="s">
        <v>6171</v>
      </c>
    </row>
    <row r="1865" spans="1:15" ht="14.5">
      <c r="A1865" t="s">
        <v>29</v>
      </c>
      <c r="B1865">
        <v>1822353</v>
      </c>
      <c r="C1865">
        <v>1822865</v>
      </c>
      <c r="D1865">
        <v>1</v>
      </c>
      <c r="E1865" t="s">
        <v>76</v>
      </c>
      <c r="F1865" t="s">
        <v>2811</v>
      </c>
      <c r="G1865" t="s">
        <v>6172</v>
      </c>
      <c r="I1865" t="s">
        <v>49</v>
      </c>
      <c r="L1865" t="s">
        <v>6173</v>
      </c>
      <c r="M1865" t="s">
        <v>2811</v>
      </c>
      <c r="N1865">
        <v>170</v>
      </c>
      <c r="O1865" t="s">
        <v>6174</v>
      </c>
    </row>
    <row r="1866" spans="1:15" ht="14.5">
      <c r="A1866" t="s">
        <v>29</v>
      </c>
      <c r="B1866">
        <v>1822890</v>
      </c>
      <c r="C1866">
        <v>1823093</v>
      </c>
      <c r="D1866">
        <v>1</v>
      </c>
      <c r="E1866" t="s">
        <v>76</v>
      </c>
      <c r="F1866" t="s">
        <v>6175</v>
      </c>
      <c r="I1866" t="s">
        <v>49</v>
      </c>
      <c r="L1866" t="s">
        <v>6176</v>
      </c>
      <c r="M1866" t="s">
        <v>6175</v>
      </c>
      <c r="N1866">
        <v>67</v>
      </c>
      <c r="O1866" t="s">
        <v>6177</v>
      </c>
    </row>
    <row r="1867" spans="1:15" ht="14.5">
      <c r="A1867" t="s">
        <v>29</v>
      </c>
      <c r="B1867">
        <v>1823139</v>
      </c>
      <c r="C1867">
        <v>1823882</v>
      </c>
      <c r="D1867">
        <v>1</v>
      </c>
      <c r="E1867" t="s">
        <v>76</v>
      </c>
      <c r="F1867" t="s">
        <v>6165</v>
      </c>
      <c r="G1867" t="s">
        <v>6178</v>
      </c>
      <c r="I1867" t="s">
        <v>49</v>
      </c>
      <c r="L1867" t="s">
        <v>6179</v>
      </c>
      <c r="M1867" t="s">
        <v>6165</v>
      </c>
      <c r="N1867">
        <v>247</v>
      </c>
      <c r="O1867" t="s">
        <v>6180</v>
      </c>
    </row>
    <row r="1868" spans="1:15" ht="14.5">
      <c r="A1868" t="s">
        <v>29</v>
      </c>
      <c r="B1868">
        <v>1824346</v>
      </c>
      <c r="C1868">
        <v>1825155</v>
      </c>
      <c r="D1868">
        <v>1</v>
      </c>
      <c r="E1868" t="s">
        <v>76</v>
      </c>
      <c r="F1868" t="s">
        <v>6168</v>
      </c>
      <c r="G1868" t="s">
        <v>6181</v>
      </c>
      <c r="I1868" t="s">
        <v>49</v>
      </c>
      <c r="L1868" t="s">
        <v>6182</v>
      </c>
      <c r="M1868" t="s">
        <v>6168</v>
      </c>
      <c r="N1868">
        <v>269</v>
      </c>
      <c r="O1868" t="s">
        <v>6183</v>
      </c>
    </row>
    <row r="1869" spans="1:15" ht="14.5">
      <c r="A1869" t="s">
        <v>29</v>
      </c>
      <c r="B1869">
        <v>1825303</v>
      </c>
      <c r="C1869">
        <v>1825713</v>
      </c>
      <c r="D1869">
        <v>1</v>
      </c>
      <c r="E1869" t="s">
        <v>76</v>
      </c>
      <c r="F1869" t="s">
        <v>6184</v>
      </c>
      <c r="I1869" t="s">
        <v>49</v>
      </c>
      <c r="L1869" t="s">
        <v>6185</v>
      </c>
      <c r="M1869" t="s">
        <v>6184</v>
      </c>
      <c r="N1869">
        <v>136</v>
      </c>
      <c r="O1869" t="s">
        <v>6186</v>
      </c>
    </row>
    <row r="1870" spans="1:15" ht="14.5">
      <c r="A1870" t="s">
        <v>29</v>
      </c>
      <c r="B1870">
        <v>1825715</v>
      </c>
      <c r="C1870">
        <v>1826926</v>
      </c>
      <c r="D1870">
        <v>1</v>
      </c>
      <c r="E1870" t="s">
        <v>76</v>
      </c>
      <c r="F1870" t="s">
        <v>6184</v>
      </c>
      <c r="G1870" t="s">
        <v>6187</v>
      </c>
      <c r="I1870" t="s">
        <v>49</v>
      </c>
      <c r="L1870" t="s">
        <v>6188</v>
      </c>
      <c r="M1870" t="s">
        <v>6184</v>
      </c>
      <c r="N1870">
        <v>403</v>
      </c>
      <c r="O1870" t="s">
        <v>6189</v>
      </c>
    </row>
    <row r="1871" spans="1:15" ht="14.5">
      <c r="A1871" t="s">
        <v>29</v>
      </c>
      <c r="B1871">
        <v>1826940</v>
      </c>
      <c r="C1871">
        <v>1827623</v>
      </c>
      <c r="D1871">
        <v>1</v>
      </c>
      <c r="E1871" t="s">
        <v>76</v>
      </c>
      <c r="F1871" t="s">
        <v>6190</v>
      </c>
      <c r="G1871" t="s">
        <v>6191</v>
      </c>
      <c r="I1871" t="s">
        <v>49</v>
      </c>
      <c r="L1871" t="s">
        <v>6192</v>
      </c>
      <c r="M1871" t="s">
        <v>6190</v>
      </c>
      <c r="N1871">
        <v>227</v>
      </c>
      <c r="O1871" t="s">
        <v>6193</v>
      </c>
    </row>
    <row r="1872" spans="1:15" ht="14.5">
      <c r="A1872" t="s">
        <v>29</v>
      </c>
      <c r="B1872">
        <v>1827905</v>
      </c>
      <c r="C1872">
        <v>1828777</v>
      </c>
      <c r="D1872">
        <v>1</v>
      </c>
      <c r="E1872" t="s">
        <v>76</v>
      </c>
      <c r="F1872" t="s">
        <v>6194</v>
      </c>
      <c r="G1872" t="s">
        <v>6195</v>
      </c>
      <c r="I1872" t="s">
        <v>49</v>
      </c>
      <c r="L1872" t="s">
        <v>6196</v>
      </c>
      <c r="M1872" t="s">
        <v>6194</v>
      </c>
      <c r="N1872">
        <v>290</v>
      </c>
      <c r="O1872" t="s">
        <v>6197</v>
      </c>
    </row>
    <row r="1873" spans="1:15" ht="14.5">
      <c r="A1873" t="s">
        <v>29</v>
      </c>
      <c r="B1873">
        <v>1828919</v>
      </c>
      <c r="C1873">
        <v>1829776</v>
      </c>
      <c r="D1873">
        <v>1</v>
      </c>
      <c r="E1873" t="s">
        <v>76</v>
      </c>
      <c r="F1873" t="s">
        <v>6198</v>
      </c>
      <c r="G1873" t="s">
        <v>6199</v>
      </c>
      <c r="I1873" t="s">
        <v>49</v>
      </c>
      <c r="L1873" t="s">
        <v>6200</v>
      </c>
      <c r="M1873" t="s">
        <v>6198</v>
      </c>
      <c r="N1873">
        <v>285</v>
      </c>
      <c r="O1873" t="s">
        <v>6201</v>
      </c>
    </row>
    <row r="1874" spans="1:15" ht="14.5">
      <c r="A1874" t="s">
        <v>29</v>
      </c>
      <c r="B1874">
        <v>1829930</v>
      </c>
      <c r="C1874">
        <v>1830664</v>
      </c>
      <c r="D1874">
        <v>1</v>
      </c>
      <c r="E1874" t="s">
        <v>76</v>
      </c>
      <c r="F1874" t="s">
        <v>4205</v>
      </c>
      <c r="G1874" t="s">
        <v>6202</v>
      </c>
      <c r="I1874" t="s">
        <v>49</v>
      </c>
      <c r="L1874" t="s">
        <v>6203</v>
      </c>
      <c r="M1874" t="s">
        <v>4205</v>
      </c>
      <c r="N1874">
        <v>244</v>
      </c>
      <c r="O1874" t="s">
        <v>6204</v>
      </c>
    </row>
    <row r="1875" spans="1:15" ht="14.5">
      <c r="A1875" t="s">
        <v>29</v>
      </c>
      <c r="B1875">
        <v>1830664</v>
      </c>
      <c r="C1875">
        <v>1831347</v>
      </c>
      <c r="D1875">
        <v>1</v>
      </c>
      <c r="E1875" t="s">
        <v>76</v>
      </c>
      <c r="F1875" t="s">
        <v>1294</v>
      </c>
      <c r="G1875" t="s">
        <v>6205</v>
      </c>
      <c r="I1875" t="s">
        <v>49</v>
      </c>
      <c r="L1875" t="s">
        <v>6206</v>
      </c>
      <c r="M1875" t="s">
        <v>1294</v>
      </c>
      <c r="N1875">
        <v>227</v>
      </c>
      <c r="O1875" t="s">
        <v>6207</v>
      </c>
    </row>
    <row r="1876" spans="1:15" ht="14.5">
      <c r="A1876" t="s">
        <v>29</v>
      </c>
      <c r="B1876">
        <v>1831537</v>
      </c>
      <c r="C1876">
        <v>1831767</v>
      </c>
      <c r="D1876">
        <v>1</v>
      </c>
      <c r="E1876" t="s">
        <v>47</v>
      </c>
      <c r="F1876" t="s">
        <v>6208</v>
      </c>
      <c r="G1876" t="s">
        <v>6209</v>
      </c>
      <c r="I1876" t="s">
        <v>49</v>
      </c>
      <c r="L1876" t="s">
        <v>6210</v>
      </c>
      <c r="M1876" t="s">
        <v>6208</v>
      </c>
      <c r="N1876">
        <v>76</v>
      </c>
      <c r="O1876" t="s">
        <v>6211</v>
      </c>
    </row>
    <row r="1877" spans="1:15" ht="14.5">
      <c r="A1877" t="s">
        <v>29</v>
      </c>
      <c r="B1877">
        <v>1831996</v>
      </c>
      <c r="C1877">
        <v>1834254</v>
      </c>
      <c r="D1877">
        <v>1</v>
      </c>
      <c r="E1877" t="s">
        <v>47</v>
      </c>
      <c r="F1877" t="s">
        <v>1939</v>
      </c>
      <c r="G1877" t="s">
        <v>6212</v>
      </c>
      <c r="I1877" t="s">
        <v>49</v>
      </c>
      <c r="L1877" t="s">
        <v>6213</v>
      </c>
      <c r="M1877" t="s">
        <v>1939</v>
      </c>
      <c r="N1877">
        <v>752</v>
      </c>
      <c r="O1877" t="s">
        <v>6214</v>
      </c>
    </row>
    <row r="1878" spans="1:15" ht="14.5">
      <c r="A1878" t="s">
        <v>29</v>
      </c>
      <c r="B1878">
        <v>1834981</v>
      </c>
      <c r="C1878">
        <v>1835310</v>
      </c>
      <c r="D1878">
        <v>1</v>
      </c>
      <c r="E1878" t="s">
        <v>76</v>
      </c>
      <c r="F1878" t="s">
        <v>559</v>
      </c>
      <c r="I1878" t="s">
        <v>49</v>
      </c>
      <c r="L1878" t="s">
        <v>6215</v>
      </c>
      <c r="M1878" t="s">
        <v>559</v>
      </c>
      <c r="N1878">
        <v>109</v>
      </c>
      <c r="O1878" t="s">
        <v>6216</v>
      </c>
    </row>
    <row r="1879" spans="1:15" ht="14.5">
      <c r="A1879" t="s">
        <v>29</v>
      </c>
      <c r="B1879">
        <v>1835580</v>
      </c>
      <c r="C1879">
        <v>1835843</v>
      </c>
      <c r="D1879">
        <v>1</v>
      </c>
      <c r="E1879" t="s">
        <v>47</v>
      </c>
      <c r="F1879" t="s">
        <v>6217</v>
      </c>
      <c r="I1879" t="s">
        <v>49</v>
      </c>
      <c r="L1879" t="s">
        <v>6218</v>
      </c>
      <c r="M1879" t="s">
        <v>6217</v>
      </c>
      <c r="N1879">
        <v>87</v>
      </c>
      <c r="O1879" t="s">
        <v>6219</v>
      </c>
    </row>
    <row r="1880" spans="1:15" ht="14.5">
      <c r="A1880" t="s">
        <v>29</v>
      </c>
      <c r="B1880">
        <v>1836008</v>
      </c>
      <c r="C1880">
        <v>1836307</v>
      </c>
      <c r="D1880">
        <v>1</v>
      </c>
      <c r="E1880" t="s">
        <v>47</v>
      </c>
      <c r="F1880" t="s">
        <v>6220</v>
      </c>
      <c r="I1880" t="s">
        <v>49</v>
      </c>
      <c r="L1880" t="s">
        <v>6221</v>
      </c>
      <c r="M1880" t="s">
        <v>6220</v>
      </c>
      <c r="N1880">
        <v>99</v>
      </c>
      <c r="O1880" t="s">
        <v>6222</v>
      </c>
    </row>
    <row r="1881" spans="1:15" ht="14.5">
      <c r="A1881" t="s">
        <v>29</v>
      </c>
      <c r="B1881">
        <v>1836419</v>
      </c>
      <c r="C1881">
        <v>1836907</v>
      </c>
      <c r="D1881">
        <v>1</v>
      </c>
      <c r="E1881" t="s">
        <v>76</v>
      </c>
      <c r="F1881" t="s">
        <v>6117</v>
      </c>
      <c r="I1881" t="s">
        <v>49</v>
      </c>
      <c r="L1881" t="s">
        <v>6223</v>
      </c>
      <c r="M1881" t="s">
        <v>6117</v>
      </c>
      <c r="N1881">
        <v>162</v>
      </c>
      <c r="O1881" t="s">
        <v>6224</v>
      </c>
    </row>
    <row r="1882" spans="1:15" ht="14.5">
      <c r="A1882" t="s">
        <v>29</v>
      </c>
      <c r="B1882">
        <v>1836969</v>
      </c>
      <c r="C1882">
        <v>1837241</v>
      </c>
      <c r="D1882">
        <v>1</v>
      </c>
      <c r="E1882" t="s">
        <v>76</v>
      </c>
      <c r="F1882" t="s">
        <v>6120</v>
      </c>
      <c r="I1882" t="s">
        <v>49</v>
      </c>
      <c r="L1882" t="s">
        <v>6225</v>
      </c>
      <c r="M1882" t="s">
        <v>6120</v>
      </c>
      <c r="N1882">
        <v>90</v>
      </c>
      <c r="O1882" t="s">
        <v>6226</v>
      </c>
    </row>
    <row r="1883" spans="1:15" ht="14.5">
      <c r="A1883" t="s">
        <v>29</v>
      </c>
      <c r="B1883">
        <v>1837467</v>
      </c>
      <c r="C1883">
        <v>1837736</v>
      </c>
      <c r="D1883">
        <v>1</v>
      </c>
      <c r="E1883" t="s">
        <v>76</v>
      </c>
      <c r="F1883" t="s">
        <v>3894</v>
      </c>
      <c r="I1883" t="s">
        <v>49</v>
      </c>
      <c r="L1883" t="s">
        <v>6227</v>
      </c>
      <c r="M1883" t="s">
        <v>3894</v>
      </c>
      <c r="N1883">
        <v>89</v>
      </c>
      <c r="O1883" t="s">
        <v>6228</v>
      </c>
    </row>
    <row r="1884" spans="1:15" ht="14.5">
      <c r="A1884" t="s">
        <v>29</v>
      </c>
      <c r="B1884">
        <v>1837921</v>
      </c>
      <c r="C1884">
        <v>1838271</v>
      </c>
      <c r="D1884">
        <v>1</v>
      </c>
      <c r="E1884" t="s">
        <v>47</v>
      </c>
      <c r="F1884" t="s">
        <v>1878</v>
      </c>
      <c r="I1884" t="s">
        <v>49</v>
      </c>
      <c r="L1884" t="s">
        <v>6229</v>
      </c>
      <c r="M1884" t="s">
        <v>1878</v>
      </c>
      <c r="N1884">
        <v>116</v>
      </c>
      <c r="O1884" t="s">
        <v>6230</v>
      </c>
    </row>
    <row r="1885" spans="1:15" ht="14.5">
      <c r="A1885" t="s">
        <v>29</v>
      </c>
      <c r="B1885">
        <v>1838378</v>
      </c>
      <c r="C1885">
        <v>1838683</v>
      </c>
      <c r="D1885">
        <v>1</v>
      </c>
      <c r="E1885" t="s">
        <v>76</v>
      </c>
      <c r="F1885" t="s">
        <v>6231</v>
      </c>
      <c r="I1885" t="s">
        <v>49</v>
      </c>
      <c r="L1885" t="s">
        <v>6232</v>
      </c>
      <c r="M1885" t="s">
        <v>6231</v>
      </c>
      <c r="N1885">
        <v>101</v>
      </c>
      <c r="O1885" t="s">
        <v>6233</v>
      </c>
    </row>
    <row r="1886" spans="1:15" ht="14.5">
      <c r="A1886" t="s">
        <v>29</v>
      </c>
      <c r="B1886">
        <v>1838825</v>
      </c>
      <c r="C1886">
        <v>1839091</v>
      </c>
      <c r="D1886">
        <v>1</v>
      </c>
      <c r="E1886" t="s">
        <v>76</v>
      </c>
      <c r="F1886" t="s">
        <v>483</v>
      </c>
      <c r="I1886" t="s">
        <v>49</v>
      </c>
      <c r="L1886" t="s">
        <v>6234</v>
      </c>
      <c r="M1886" t="s">
        <v>483</v>
      </c>
      <c r="N1886">
        <v>88</v>
      </c>
      <c r="O1886" t="s">
        <v>6235</v>
      </c>
    </row>
    <row r="1887" spans="1:15" ht="14.5">
      <c r="A1887" t="s">
        <v>29</v>
      </c>
      <c r="B1887">
        <v>1839845</v>
      </c>
      <c r="C1887">
        <v>1840627</v>
      </c>
      <c r="D1887">
        <v>1</v>
      </c>
      <c r="E1887" t="s">
        <v>47</v>
      </c>
      <c r="F1887" t="s">
        <v>483</v>
      </c>
      <c r="I1887" t="s">
        <v>49</v>
      </c>
      <c r="L1887" t="s">
        <v>6236</v>
      </c>
      <c r="M1887" t="s">
        <v>483</v>
      </c>
      <c r="N1887">
        <v>260</v>
      </c>
      <c r="O1887" t="s">
        <v>6237</v>
      </c>
    </row>
    <row r="1888" spans="1:15" ht="14.5">
      <c r="A1888" t="s">
        <v>29</v>
      </c>
      <c r="B1888">
        <v>1840624</v>
      </c>
      <c r="C1888">
        <v>1841151</v>
      </c>
      <c r="D1888">
        <v>1</v>
      </c>
      <c r="E1888" t="s">
        <v>47</v>
      </c>
      <c r="F1888" t="s">
        <v>483</v>
      </c>
      <c r="I1888" t="s">
        <v>49</v>
      </c>
      <c r="L1888" t="s">
        <v>6238</v>
      </c>
      <c r="M1888" t="s">
        <v>483</v>
      </c>
      <c r="N1888">
        <v>175</v>
      </c>
      <c r="O1888" t="s">
        <v>6239</v>
      </c>
    </row>
    <row r="1889" spans="1:15" ht="14.5">
      <c r="A1889" t="s">
        <v>29</v>
      </c>
      <c r="B1889">
        <v>1841544</v>
      </c>
      <c r="C1889">
        <v>1843271</v>
      </c>
      <c r="D1889">
        <v>1</v>
      </c>
      <c r="E1889" t="s">
        <v>76</v>
      </c>
      <c r="F1889" t="s">
        <v>6240</v>
      </c>
      <c r="G1889" t="s">
        <v>6241</v>
      </c>
      <c r="I1889" t="s">
        <v>49</v>
      </c>
      <c r="L1889" t="s">
        <v>6242</v>
      </c>
      <c r="M1889" t="s">
        <v>6240</v>
      </c>
      <c r="N1889">
        <v>575</v>
      </c>
      <c r="O1889" t="s">
        <v>6243</v>
      </c>
    </row>
    <row r="1890" spans="1:15" ht="14.5">
      <c r="A1890" t="s">
        <v>29</v>
      </c>
      <c r="B1890">
        <v>1843353</v>
      </c>
      <c r="C1890">
        <v>1845299</v>
      </c>
      <c r="D1890">
        <v>1</v>
      </c>
      <c r="E1890" t="s">
        <v>76</v>
      </c>
      <c r="F1890" t="s">
        <v>6244</v>
      </c>
      <c r="G1890" t="s">
        <v>6245</v>
      </c>
      <c r="I1890" t="s">
        <v>49</v>
      </c>
      <c r="L1890" t="s">
        <v>6246</v>
      </c>
      <c r="M1890" t="s">
        <v>6244</v>
      </c>
      <c r="N1890">
        <v>648</v>
      </c>
      <c r="O1890" t="s">
        <v>6247</v>
      </c>
    </row>
    <row r="1891" spans="1:15" ht="14.5">
      <c r="A1891" t="s">
        <v>29</v>
      </c>
      <c r="B1891">
        <v>1845314</v>
      </c>
      <c r="C1891">
        <v>1845886</v>
      </c>
      <c r="D1891">
        <v>1</v>
      </c>
      <c r="E1891" t="s">
        <v>76</v>
      </c>
      <c r="F1891" t="s">
        <v>128</v>
      </c>
      <c r="G1891" t="s">
        <v>6248</v>
      </c>
      <c r="I1891" t="s">
        <v>49</v>
      </c>
      <c r="L1891" t="s">
        <v>6249</v>
      </c>
      <c r="M1891" t="s">
        <v>128</v>
      </c>
      <c r="N1891">
        <v>190</v>
      </c>
      <c r="O1891" t="s">
        <v>6250</v>
      </c>
    </row>
    <row r="1892" spans="1:15" ht="14.5">
      <c r="A1892" t="s">
        <v>29</v>
      </c>
      <c r="B1892">
        <v>1845962</v>
      </c>
      <c r="C1892">
        <v>1846516</v>
      </c>
      <c r="D1892">
        <v>1</v>
      </c>
      <c r="E1892" t="s">
        <v>76</v>
      </c>
      <c r="F1892" t="s">
        <v>6251</v>
      </c>
      <c r="G1892" t="s">
        <v>6252</v>
      </c>
      <c r="I1892" t="s">
        <v>49</v>
      </c>
      <c r="L1892" t="s">
        <v>6253</v>
      </c>
      <c r="M1892" t="s">
        <v>6251</v>
      </c>
      <c r="N1892">
        <v>184</v>
      </c>
      <c r="O1892" t="s">
        <v>6254</v>
      </c>
    </row>
    <row r="1893" spans="1:15" ht="14.5">
      <c r="A1893" t="s">
        <v>29</v>
      </c>
      <c r="B1893">
        <v>1846527</v>
      </c>
      <c r="C1893">
        <v>1847750</v>
      </c>
      <c r="D1893">
        <v>1</v>
      </c>
      <c r="E1893" t="s">
        <v>76</v>
      </c>
      <c r="F1893" t="s">
        <v>6255</v>
      </c>
      <c r="G1893" t="s">
        <v>6256</v>
      </c>
      <c r="I1893" t="s">
        <v>49</v>
      </c>
      <c r="L1893" t="s">
        <v>6257</v>
      </c>
      <c r="M1893" t="s">
        <v>6255</v>
      </c>
      <c r="N1893">
        <v>407</v>
      </c>
      <c r="O1893" t="s">
        <v>6258</v>
      </c>
    </row>
    <row r="1894" spans="1:15" ht="14.5">
      <c r="A1894" t="s">
        <v>29</v>
      </c>
      <c r="B1894">
        <v>1847787</v>
      </c>
      <c r="C1894">
        <v>1850237</v>
      </c>
      <c r="D1894">
        <v>1</v>
      </c>
      <c r="E1894" t="s">
        <v>76</v>
      </c>
      <c r="F1894" t="s">
        <v>6259</v>
      </c>
      <c r="G1894" t="s">
        <v>6260</v>
      </c>
      <c r="I1894" t="s">
        <v>49</v>
      </c>
      <c r="L1894" t="s">
        <v>6261</v>
      </c>
      <c r="M1894" t="s">
        <v>6259</v>
      </c>
      <c r="N1894">
        <v>816</v>
      </c>
      <c r="O1894" t="s">
        <v>6262</v>
      </c>
    </row>
    <row r="1895" spans="1:15" ht="14.5">
      <c r="A1895" t="s">
        <v>29</v>
      </c>
      <c r="B1895">
        <v>1850437</v>
      </c>
      <c r="C1895">
        <v>1851366</v>
      </c>
      <c r="D1895">
        <v>1</v>
      </c>
      <c r="E1895" t="s">
        <v>76</v>
      </c>
      <c r="F1895" t="s">
        <v>4402</v>
      </c>
      <c r="G1895" t="s">
        <v>6263</v>
      </c>
      <c r="I1895" t="s">
        <v>49</v>
      </c>
      <c r="L1895" t="s">
        <v>6264</v>
      </c>
      <c r="M1895" t="s">
        <v>4402</v>
      </c>
      <c r="N1895">
        <v>309</v>
      </c>
      <c r="O1895" t="s">
        <v>6265</v>
      </c>
    </row>
    <row r="1896" spans="1:15" ht="14.5">
      <c r="A1896" t="s">
        <v>29</v>
      </c>
      <c r="B1896">
        <v>1851506</v>
      </c>
      <c r="C1896">
        <v>1851793</v>
      </c>
      <c r="D1896">
        <v>1</v>
      </c>
      <c r="E1896" t="s">
        <v>47</v>
      </c>
      <c r="F1896" t="s">
        <v>65</v>
      </c>
      <c r="I1896" t="s">
        <v>49</v>
      </c>
      <c r="L1896" t="s">
        <v>6266</v>
      </c>
      <c r="M1896" t="s">
        <v>65</v>
      </c>
      <c r="N1896">
        <v>95</v>
      </c>
      <c r="O1896" t="s">
        <v>6267</v>
      </c>
    </row>
    <row r="1897" spans="1:15" ht="14.5">
      <c r="A1897" t="s">
        <v>29</v>
      </c>
      <c r="B1897">
        <v>1851827</v>
      </c>
      <c r="C1897">
        <v>1853161</v>
      </c>
      <c r="D1897">
        <v>1</v>
      </c>
      <c r="E1897" t="s">
        <v>76</v>
      </c>
      <c r="F1897" t="s">
        <v>409</v>
      </c>
      <c r="G1897" t="s">
        <v>6268</v>
      </c>
      <c r="I1897" t="s">
        <v>49</v>
      </c>
      <c r="L1897" t="s">
        <v>6269</v>
      </c>
      <c r="M1897" t="s">
        <v>409</v>
      </c>
      <c r="N1897">
        <v>444</v>
      </c>
      <c r="O1897" t="s">
        <v>6270</v>
      </c>
    </row>
    <row r="1898" spans="1:15" ht="14.5">
      <c r="A1898" t="s">
        <v>29</v>
      </c>
      <c r="B1898">
        <v>1853151</v>
      </c>
      <c r="C1898">
        <v>1853825</v>
      </c>
      <c r="D1898">
        <v>1</v>
      </c>
      <c r="E1898" t="s">
        <v>76</v>
      </c>
      <c r="F1898" t="s">
        <v>6271</v>
      </c>
      <c r="G1898" t="s">
        <v>6272</v>
      </c>
      <c r="I1898" t="s">
        <v>49</v>
      </c>
      <c r="L1898" t="s">
        <v>6273</v>
      </c>
      <c r="M1898" t="s">
        <v>6271</v>
      </c>
      <c r="N1898">
        <v>224</v>
      </c>
      <c r="O1898" t="s">
        <v>6274</v>
      </c>
    </row>
    <row r="1899" spans="1:15" ht="14.5">
      <c r="A1899" t="s">
        <v>29</v>
      </c>
      <c r="B1899">
        <v>1853934</v>
      </c>
      <c r="C1899">
        <v>1856480</v>
      </c>
      <c r="D1899">
        <v>1</v>
      </c>
      <c r="E1899" t="s">
        <v>76</v>
      </c>
      <c r="F1899" t="s">
        <v>6275</v>
      </c>
      <c r="G1899" t="s">
        <v>6276</v>
      </c>
      <c r="I1899" t="s">
        <v>49</v>
      </c>
      <c r="L1899" t="s">
        <v>6277</v>
      </c>
      <c r="M1899" t="s">
        <v>6275</v>
      </c>
      <c r="N1899">
        <v>848</v>
      </c>
      <c r="O1899" t="s">
        <v>6278</v>
      </c>
    </row>
    <row r="1900" spans="1:15" ht="14.5">
      <c r="A1900" t="s">
        <v>29</v>
      </c>
      <c r="B1900">
        <v>1856603</v>
      </c>
      <c r="C1900">
        <v>1857043</v>
      </c>
      <c r="D1900">
        <v>1</v>
      </c>
      <c r="E1900" t="s">
        <v>76</v>
      </c>
      <c r="F1900" t="s">
        <v>842</v>
      </c>
      <c r="I1900" t="s">
        <v>49</v>
      </c>
      <c r="L1900" t="s">
        <v>6279</v>
      </c>
      <c r="M1900" t="s">
        <v>842</v>
      </c>
      <c r="N1900">
        <v>146</v>
      </c>
      <c r="O1900" t="s">
        <v>6280</v>
      </c>
    </row>
    <row r="1901" spans="1:15" ht="14.5">
      <c r="A1901" t="s">
        <v>29</v>
      </c>
      <c r="B1901">
        <v>1857018</v>
      </c>
      <c r="C1901">
        <v>1857887</v>
      </c>
      <c r="D1901">
        <v>1</v>
      </c>
      <c r="E1901" t="s">
        <v>76</v>
      </c>
      <c r="F1901" t="s">
        <v>6281</v>
      </c>
      <c r="G1901" t="s">
        <v>6282</v>
      </c>
      <c r="I1901" t="s">
        <v>49</v>
      </c>
      <c r="L1901" t="s">
        <v>6283</v>
      </c>
      <c r="M1901" t="s">
        <v>6281</v>
      </c>
      <c r="N1901">
        <v>289</v>
      </c>
      <c r="O1901" t="s">
        <v>6284</v>
      </c>
    </row>
    <row r="1902" spans="1:15" ht="14.5">
      <c r="A1902" t="s">
        <v>29</v>
      </c>
      <c r="B1902">
        <v>1857865</v>
      </c>
      <c r="C1902">
        <v>1858365</v>
      </c>
      <c r="D1902">
        <v>1</v>
      </c>
      <c r="E1902" t="s">
        <v>76</v>
      </c>
      <c r="F1902" t="s">
        <v>6217</v>
      </c>
      <c r="I1902" t="s">
        <v>49</v>
      </c>
      <c r="L1902" t="s">
        <v>6285</v>
      </c>
      <c r="M1902" t="s">
        <v>6217</v>
      </c>
      <c r="N1902">
        <v>166</v>
      </c>
      <c r="O1902" t="s">
        <v>6286</v>
      </c>
    </row>
    <row r="1903" spans="1:15" ht="14.5">
      <c r="A1903" t="s">
        <v>29</v>
      </c>
      <c r="B1903">
        <v>1858376</v>
      </c>
      <c r="C1903">
        <v>1859074</v>
      </c>
      <c r="D1903">
        <v>1</v>
      </c>
      <c r="E1903" t="s">
        <v>76</v>
      </c>
      <c r="F1903" t="s">
        <v>6287</v>
      </c>
      <c r="G1903" t="s">
        <v>6288</v>
      </c>
      <c r="I1903" t="s">
        <v>49</v>
      </c>
      <c r="L1903" t="s">
        <v>6289</v>
      </c>
      <c r="M1903" t="s">
        <v>6287</v>
      </c>
      <c r="N1903">
        <v>232</v>
      </c>
      <c r="O1903" t="s">
        <v>6290</v>
      </c>
    </row>
    <row r="1904" spans="1:15" ht="14.5">
      <c r="A1904" t="s">
        <v>29</v>
      </c>
      <c r="B1904">
        <v>1859067</v>
      </c>
      <c r="C1904">
        <v>1859303</v>
      </c>
      <c r="D1904">
        <v>1</v>
      </c>
      <c r="E1904" t="s">
        <v>76</v>
      </c>
      <c r="F1904" t="s">
        <v>6291</v>
      </c>
      <c r="G1904" t="s">
        <v>6292</v>
      </c>
      <c r="I1904" t="s">
        <v>49</v>
      </c>
      <c r="L1904" t="s">
        <v>6293</v>
      </c>
      <c r="M1904" t="s">
        <v>6291</v>
      </c>
      <c r="N1904">
        <v>78</v>
      </c>
      <c r="O1904" t="s">
        <v>6294</v>
      </c>
    </row>
    <row r="1905" spans="1:15" ht="14.5">
      <c r="A1905" t="s">
        <v>29</v>
      </c>
      <c r="B1905">
        <v>1859403</v>
      </c>
      <c r="C1905">
        <v>1860329</v>
      </c>
      <c r="D1905">
        <v>1</v>
      </c>
      <c r="E1905" t="s">
        <v>76</v>
      </c>
      <c r="F1905" t="s">
        <v>6295</v>
      </c>
      <c r="G1905" t="s">
        <v>6296</v>
      </c>
      <c r="I1905" t="s">
        <v>49</v>
      </c>
      <c r="L1905" t="s">
        <v>6297</v>
      </c>
      <c r="M1905" t="s">
        <v>6295</v>
      </c>
      <c r="N1905">
        <v>308</v>
      </c>
      <c r="O1905" t="s">
        <v>6298</v>
      </c>
    </row>
    <row r="1906" spans="1:15" ht="14.5">
      <c r="A1906" t="s">
        <v>29</v>
      </c>
      <c r="B1906">
        <v>1860404</v>
      </c>
      <c r="C1906">
        <v>1861219</v>
      </c>
      <c r="D1906">
        <v>1</v>
      </c>
      <c r="E1906" t="s">
        <v>76</v>
      </c>
      <c r="F1906" t="s">
        <v>65</v>
      </c>
      <c r="I1906" t="s">
        <v>49</v>
      </c>
      <c r="L1906" t="s">
        <v>6299</v>
      </c>
      <c r="M1906" t="s">
        <v>65</v>
      </c>
      <c r="N1906">
        <v>271</v>
      </c>
      <c r="O1906" t="s">
        <v>6300</v>
      </c>
    </row>
    <row r="1907" spans="1:15" ht="14.5">
      <c r="A1907" t="s">
        <v>29</v>
      </c>
      <c r="B1907">
        <v>1861223</v>
      </c>
      <c r="C1907">
        <v>1861543</v>
      </c>
      <c r="D1907">
        <v>1</v>
      </c>
      <c r="E1907" t="s">
        <v>76</v>
      </c>
      <c r="F1907" t="s">
        <v>6301</v>
      </c>
      <c r="I1907" t="s">
        <v>49</v>
      </c>
      <c r="L1907" t="s">
        <v>6302</v>
      </c>
      <c r="M1907" t="s">
        <v>6301</v>
      </c>
      <c r="N1907">
        <v>106</v>
      </c>
      <c r="O1907" t="s">
        <v>6303</v>
      </c>
    </row>
    <row r="1908" spans="1:15" ht="14.5">
      <c r="A1908" t="s">
        <v>29</v>
      </c>
      <c r="B1908">
        <v>1861964</v>
      </c>
      <c r="C1908">
        <v>1863961</v>
      </c>
      <c r="D1908">
        <v>1</v>
      </c>
      <c r="E1908" t="s">
        <v>76</v>
      </c>
      <c r="F1908" t="s">
        <v>6304</v>
      </c>
      <c r="G1908" t="s">
        <v>6305</v>
      </c>
      <c r="I1908" t="s">
        <v>49</v>
      </c>
      <c r="L1908" t="s">
        <v>6306</v>
      </c>
      <c r="M1908" t="s">
        <v>6304</v>
      </c>
      <c r="N1908">
        <v>665</v>
      </c>
      <c r="O1908" t="s">
        <v>6307</v>
      </c>
    </row>
    <row r="1909" spans="1:15" ht="14.5">
      <c r="A1909" t="s">
        <v>29</v>
      </c>
      <c r="B1909">
        <v>1864085</v>
      </c>
      <c r="C1909">
        <v>1865344</v>
      </c>
      <c r="D1909">
        <v>1</v>
      </c>
      <c r="E1909" t="s">
        <v>76</v>
      </c>
      <c r="F1909" t="s">
        <v>2828</v>
      </c>
      <c r="G1909" t="s">
        <v>6308</v>
      </c>
      <c r="I1909" t="s">
        <v>49</v>
      </c>
      <c r="L1909" t="s">
        <v>6309</v>
      </c>
      <c r="M1909" t="s">
        <v>2828</v>
      </c>
      <c r="N1909">
        <v>419</v>
      </c>
      <c r="O1909" t="s">
        <v>6310</v>
      </c>
    </row>
    <row r="1910" spans="1:15" ht="14.5">
      <c r="A1910" t="s">
        <v>29</v>
      </c>
      <c r="B1910">
        <v>1865346</v>
      </c>
      <c r="C1910">
        <v>1866047</v>
      </c>
      <c r="D1910">
        <v>1</v>
      </c>
      <c r="E1910" t="s">
        <v>76</v>
      </c>
      <c r="F1910" t="s">
        <v>218</v>
      </c>
      <c r="G1910" t="s">
        <v>6311</v>
      </c>
      <c r="I1910" t="s">
        <v>49</v>
      </c>
      <c r="L1910" t="s">
        <v>6312</v>
      </c>
      <c r="M1910" t="s">
        <v>218</v>
      </c>
      <c r="N1910">
        <v>233</v>
      </c>
      <c r="O1910" t="s">
        <v>6313</v>
      </c>
    </row>
    <row r="1911" spans="1:15" ht="14.5">
      <c r="A1911" t="s">
        <v>29</v>
      </c>
      <c r="B1911">
        <v>1866031</v>
      </c>
      <c r="C1911">
        <v>1867230</v>
      </c>
      <c r="D1911">
        <v>1</v>
      </c>
      <c r="E1911" t="s">
        <v>76</v>
      </c>
      <c r="F1911" t="s">
        <v>6314</v>
      </c>
      <c r="I1911" t="s">
        <v>49</v>
      </c>
      <c r="L1911" t="s">
        <v>6315</v>
      </c>
      <c r="M1911" t="s">
        <v>6314</v>
      </c>
      <c r="N1911">
        <v>399</v>
      </c>
      <c r="O1911" t="s">
        <v>6316</v>
      </c>
    </row>
    <row r="1912" spans="1:15" ht="14.5">
      <c r="A1912" t="s">
        <v>29</v>
      </c>
      <c r="B1912">
        <v>1867495</v>
      </c>
      <c r="C1912">
        <v>1868841</v>
      </c>
      <c r="D1912">
        <v>1</v>
      </c>
      <c r="E1912" t="s">
        <v>47</v>
      </c>
      <c r="F1912" t="s">
        <v>6317</v>
      </c>
      <c r="G1912" t="s">
        <v>6318</v>
      </c>
      <c r="I1912" t="s">
        <v>49</v>
      </c>
      <c r="L1912" t="s">
        <v>6319</v>
      </c>
      <c r="M1912" t="s">
        <v>6317</v>
      </c>
      <c r="N1912">
        <v>448</v>
      </c>
      <c r="O1912" t="s">
        <v>6320</v>
      </c>
    </row>
    <row r="1913" spans="1:15" ht="14.5">
      <c r="A1913" t="s">
        <v>29</v>
      </c>
      <c r="B1913">
        <v>1869037</v>
      </c>
      <c r="C1913">
        <v>1869573</v>
      </c>
      <c r="D1913">
        <v>1</v>
      </c>
      <c r="E1913" t="s">
        <v>47</v>
      </c>
      <c r="F1913" t="s">
        <v>6321</v>
      </c>
      <c r="G1913" t="s">
        <v>6322</v>
      </c>
      <c r="I1913" t="s">
        <v>49</v>
      </c>
      <c r="L1913" t="s">
        <v>6323</v>
      </c>
      <c r="M1913" t="s">
        <v>6321</v>
      </c>
      <c r="N1913">
        <v>178</v>
      </c>
      <c r="O1913" t="s">
        <v>6324</v>
      </c>
    </row>
    <row r="1914" spans="1:15" ht="14.5">
      <c r="A1914" t="s">
        <v>29</v>
      </c>
      <c r="B1914">
        <v>1869779</v>
      </c>
      <c r="C1914">
        <v>1869994</v>
      </c>
      <c r="D1914">
        <v>1</v>
      </c>
      <c r="E1914" t="s">
        <v>76</v>
      </c>
      <c r="F1914" t="s">
        <v>6325</v>
      </c>
      <c r="I1914" t="s">
        <v>49</v>
      </c>
      <c r="L1914" t="s">
        <v>6326</v>
      </c>
      <c r="M1914" t="s">
        <v>6325</v>
      </c>
      <c r="N1914">
        <v>71</v>
      </c>
      <c r="O1914" t="s">
        <v>6327</v>
      </c>
    </row>
    <row r="1915" spans="1:15" ht="14.5">
      <c r="A1915" t="s">
        <v>29</v>
      </c>
      <c r="B1915">
        <v>1870092</v>
      </c>
      <c r="C1915">
        <v>1870412</v>
      </c>
      <c r="D1915">
        <v>1</v>
      </c>
      <c r="E1915" t="s">
        <v>47</v>
      </c>
      <c r="F1915" t="s">
        <v>176</v>
      </c>
      <c r="I1915" t="s">
        <v>49</v>
      </c>
      <c r="L1915" t="s">
        <v>6328</v>
      </c>
      <c r="M1915" t="s">
        <v>176</v>
      </c>
      <c r="N1915">
        <v>106</v>
      </c>
      <c r="O1915" t="s">
        <v>6329</v>
      </c>
    </row>
    <row r="1916" spans="1:15" ht="14.5">
      <c r="A1916" t="s">
        <v>29</v>
      </c>
      <c r="B1916">
        <v>1870443</v>
      </c>
      <c r="C1916">
        <v>1870781</v>
      </c>
      <c r="D1916">
        <v>1</v>
      </c>
      <c r="E1916" t="s">
        <v>76</v>
      </c>
      <c r="F1916" t="s">
        <v>6330</v>
      </c>
      <c r="G1916" t="s">
        <v>6331</v>
      </c>
      <c r="I1916" t="s">
        <v>49</v>
      </c>
      <c r="L1916" t="s">
        <v>6332</v>
      </c>
      <c r="M1916" t="s">
        <v>6330</v>
      </c>
      <c r="N1916">
        <v>112</v>
      </c>
      <c r="O1916" t="s">
        <v>6333</v>
      </c>
    </row>
    <row r="1917" spans="1:15" ht="14.5">
      <c r="A1917" t="s">
        <v>29</v>
      </c>
      <c r="B1917">
        <v>1870793</v>
      </c>
      <c r="C1917">
        <v>1871512</v>
      </c>
      <c r="D1917">
        <v>1</v>
      </c>
      <c r="E1917" t="s">
        <v>76</v>
      </c>
      <c r="F1917" t="s">
        <v>6334</v>
      </c>
      <c r="G1917" t="s">
        <v>6335</v>
      </c>
      <c r="I1917" t="s">
        <v>49</v>
      </c>
      <c r="L1917" t="s">
        <v>6336</v>
      </c>
      <c r="M1917" t="s">
        <v>6334</v>
      </c>
      <c r="N1917">
        <v>239</v>
      </c>
      <c r="O1917" t="s">
        <v>6337</v>
      </c>
    </row>
    <row r="1918" spans="1:15" ht="14.5">
      <c r="A1918" t="s">
        <v>29</v>
      </c>
      <c r="B1918">
        <v>1871502</v>
      </c>
      <c r="C1918">
        <v>1872020</v>
      </c>
      <c r="D1918">
        <v>1</v>
      </c>
      <c r="E1918" t="s">
        <v>76</v>
      </c>
      <c r="F1918" t="s">
        <v>6338</v>
      </c>
      <c r="G1918" t="s">
        <v>6339</v>
      </c>
      <c r="I1918" t="s">
        <v>49</v>
      </c>
      <c r="L1918" t="s">
        <v>6340</v>
      </c>
      <c r="M1918" t="s">
        <v>6338</v>
      </c>
      <c r="N1918">
        <v>172</v>
      </c>
      <c r="O1918" t="s">
        <v>6341</v>
      </c>
    </row>
    <row r="1919" spans="1:15" ht="14.5">
      <c r="A1919" t="s">
        <v>29</v>
      </c>
      <c r="B1919">
        <v>1872051</v>
      </c>
      <c r="C1919">
        <v>1872839</v>
      </c>
      <c r="D1919">
        <v>1</v>
      </c>
      <c r="E1919" t="s">
        <v>76</v>
      </c>
      <c r="F1919" t="s">
        <v>6342</v>
      </c>
      <c r="I1919" t="s">
        <v>49</v>
      </c>
      <c r="L1919" t="s">
        <v>6343</v>
      </c>
      <c r="M1919" t="s">
        <v>6342</v>
      </c>
      <c r="N1919">
        <v>262</v>
      </c>
      <c r="O1919" t="s">
        <v>6344</v>
      </c>
    </row>
    <row r="1920" spans="1:15" ht="14.5">
      <c r="A1920" t="s">
        <v>29</v>
      </c>
      <c r="B1920">
        <v>1873416</v>
      </c>
      <c r="C1920">
        <v>1873655</v>
      </c>
      <c r="D1920">
        <v>1</v>
      </c>
      <c r="E1920" t="s">
        <v>76</v>
      </c>
      <c r="F1920" t="s">
        <v>6345</v>
      </c>
      <c r="I1920" t="s">
        <v>49</v>
      </c>
      <c r="L1920" t="s">
        <v>6346</v>
      </c>
      <c r="M1920" t="s">
        <v>6345</v>
      </c>
      <c r="N1920">
        <v>79</v>
      </c>
      <c r="O1920" t="s">
        <v>6347</v>
      </c>
    </row>
    <row r="1921" spans="1:15" ht="14.5">
      <c r="A1921" t="s">
        <v>29</v>
      </c>
      <c r="B1921">
        <v>1873675</v>
      </c>
      <c r="C1921">
        <v>1873947</v>
      </c>
      <c r="D1921">
        <v>1</v>
      </c>
      <c r="E1921" t="s">
        <v>76</v>
      </c>
      <c r="F1921" t="s">
        <v>3355</v>
      </c>
      <c r="G1921" t="s">
        <v>6348</v>
      </c>
      <c r="I1921" t="s">
        <v>49</v>
      </c>
      <c r="L1921" t="s">
        <v>6349</v>
      </c>
      <c r="M1921" t="s">
        <v>3355</v>
      </c>
      <c r="N1921">
        <v>90</v>
      </c>
      <c r="O1921" t="s">
        <v>6350</v>
      </c>
    </row>
    <row r="1922" spans="1:15" ht="14.5">
      <c r="A1922" t="s">
        <v>29</v>
      </c>
      <c r="B1922">
        <v>1874805</v>
      </c>
      <c r="C1922">
        <v>1875026</v>
      </c>
      <c r="D1922">
        <v>1</v>
      </c>
      <c r="E1922" t="s">
        <v>47</v>
      </c>
      <c r="F1922" t="s">
        <v>65</v>
      </c>
      <c r="I1922" t="s">
        <v>49</v>
      </c>
      <c r="L1922" t="s">
        <v>6351</v>
      </c>
      <c r="M1922" t="s">
        <v>65</v>
      </c>
      <c r="N1922">
        <v>73</v>
      </c>
      <c r="O1922" t="s">
        <v>6352</v>
      </c>
    </row>
    <row r="1923" spans="1:15" ht="14.5">
      <c r="A1923" t="s">
        <v>29</v>
      </c>
      <c r="B1923">
        <v>1875109</v>
      </c>
      <c r="C1923">
        <v>1875912</v>
      </c>
      <c r="D1923">
        <v>1</v>
      </c>
      <c r="E1923" t="s">
        <v>47</v>
      </c>
      <c r="F1923" t="s">
        <v>6353</v>
      </c>
      <c r="I1923" t="s">
        <v>49</v>
      </c>
      <c r="L1923" t="s">
        <v>6354</v>
      </c>
      <c r="M1923" t="s">
        <v>6353</v>
      </c>
      <c r="N1923">
        <v>267</v>
      </c>
      <c r="O1923" t="s">
        <v>6355</v>
      </c>
    </row>
    <row r="1924" spans="1:15" ht="14.5">
      <c r="A1924" t="s">
        <v>29</v>
      </c>
      <c r="B1924">
        <v>1875968</v>
      </c>
      <c r="C1924">
        <v>1877509</v>
      </c>
      <c r="D1924">
        <v>1</v>
      </c>
      <c r="E1924" t="s">
        <v>76</v>
      </c>
      <c r="F1924" t="s">
        <v>218</v>
      </c>
      <c r="I1924" t="s">
        <v>49</v>
      </c>
      <c r="L1924" t="s">
        <v>6356</v>
      </c>
      <c r="M1924" t="s">
        <v>218</v>
      </c>
      <c r="N1924">
        <v>513</v>
      </c>
      <c r="O1924" t="s">
        <v>6357</v>
      </c>
    </row>
    <row r="1925" spans="1:15" ht="14.5">
      <c r="A1925" t="s">
        <v>29</v>
      </c>
      <c r="B1925">
        <v>1877511</v>
      </c>
      <c r="C1925">
        <v>1877993</v>
      </c>
      <c r="D1925">
        <v>1</v>
      </c>
      <c r="E1925" t="s">
        <v>76</v>
      </c>
      <c r="F1925" t="s">
        <v>6358</v>
      </c>
      <c r="I1925" t="s">
        <v>49</v>
      </c>
      <c r="L1925" t="s">
        <v>6359</v>
      </c>
      <c r="M1925" t="s">
        <v>6358</v>
      </c>
      <c r="N1925">
        <v>160</v>
      </c>
      <c r="O1925" t="s">
        <v>6360</v>
      </c>
    </row>
    <row r="1926" spans="1:15" ht="14.5">
      <c r="A1926" t="s">
        <v>29</v>
      </c>
      <c r="B1926">
        <v>1877993</v>
      </c>
      <c r="C1926">
        <v>1879078</v>
      </c>
      <c r="D1926">
        <v>1</v>
      </c>
      <c r="E1926" t="s">
        <v>76</v>
      </c>
      <c r="F1926" t="s">
        <v>6361</v>
      </c>
      <c r="G1926" t="s">
        <v>6362</v>
      </c>
      <c r="I1926" t="s">
        <v>49</v>
      </c>
      <c r="L1926" t="s">
        <v>6363</v>
      </c>
      <c r="M1926" t="s">
        <v>6361</v>
      </c>
      <c r="N1926">
        <v>361</v>
      </c>
      <c r="O1926" t="s">
        <v>6364</v>
      </c>
    </row>
    <row r="1927" spans="1:15" ht="14.5">
      <c r="A1927" t="s">
        <v>29</v>
      </c>
      <c r="B1927">
        <v>1879099</v>
      </c>
      <c r="C1927">
        <v>1879629</v>
      </c>
      <c r="D1927">
        <v>1</v>
      </c>
      <c r="E1927" t="s">
        <v>76</v>
      </c>
      <c r="F1927" t="s">
        <v>607</v>
      </c>
      <c r="G1927" t="s">
        <v>6365</v>
      </c>
      <c r="I1927" t="s">
        <v>49</v>
      </c>
      <c r="L1927" t="s">
        <v>6366</v>
      </c>
      <c r="M1927" t="s">
        <v>607</v>
      </c>
      <c r="N1927">
        <v>176</v>
      </c>
      <c r="O1927" t="s">
        <v>6367</v>
      </c>
    </row>
    <row r="1928" spans="1:15" ht="14.5">
      <c r="A1928" t="s">
        <v>29</v>
      </c>
      <c r="B1928">
        <v>1879785</v>
      </c>
      <c r="C1928">
        <v>1880390</v>
      </c>
      <c r="D1928">
        <v>1</v>
      </c>
      <c r="E1928" t="s">
        <v>76</v>
      </c>
      <c r="F1928" t="s">
        <v>6368</v>
      </c>
      <c r="G1928" t="s">
        <v>6369</v>
      </c>
      <c r="I1928" t="s">
        <v>49</v>
      </c>
      <c r="L1928" t="s">
        <v>6370</v>
      </c>
      <c r="M1928" t="s">
        <v>6368</v>
      </c>
      <c r="N1928">
        <v>201</v>
      </c>
      <c r="O1928" t="s">
        <v>6371</v>
      </c>
    </row>
    <row r="1929" spans="1:15" ht="14.5">
      <c r="A1929" t="s">
        <v>29</v>
      </c>
      <c r="B1929">
        <v>1880563</v>
      </c>
      <c r="C1929">
        <v>1881600</v>
      </c>
      <c r="D1929">
        <v>1</v>
      </c>
      <c r="E1929" t="s">
        <v>76</v>
      </c>
      <c r="F1929" t="s">
        <v>6372</v>
      </c>
      <c r="G1929" t="s">
        <v>6373</v>
      </c>
      <c r="I1929" t="s">
        <v>49</v>
      </c>
      <c r="L1929" t="s">
        <v>6374</v>
      </c>
      <c r="M1929" t="s">
        <v>6372</v>
      </c>
      <c r="N1929">
        <v>345</v>
      </c>
      <c r="O1929" t="s">
        <v>6375</v>
      </c>
    </row>
    <row r="1930" spans="1:15" ht="14.5">
      <c r="A1930" t="s">
        <v>29</v>
      </c>
      <c r="B1930">
        <v>1881634</v>
      </c>
      <c r="C1930">
        <v>1882569</v>
      </c>
      <c r="D1930">
        <v>1</v>
      </c>
      <c r="E1930" t="s">
        <v>76</v>
      </c>
      <c r="F1930" t="s">
        <v>6376</v>
      </c>
      <c r="G1930" t="s">
        <v>6377</v>
      </c>
      <c r="I1930" t="s">
        <v>49</v>
      </c>
      <c r="L1930" t="s">
        <v>6378</v>
      </c>
      <c r="M1930" t="s">
        <v>6376</v>
      </c>
      <c r="N1930">
        <v>311</v>
      </c>
      <c r="O1930" t="s">
        <v>6379</v>
      </c>
    </row>
    <row r="1931" spans="1:15" ht="14.5">
      <c r="A1931" t="s">
        <v>29</v>
      </c>
      <c r="B1931">
        <v>1883122</v>
      </c>
      <c r="C1931">
        <v>1884312</v>
      </c>
      <c r="D1931">
        <v>1</v>
      </c>
      <c r="E1931" t="s">
        <v>76</v>
      </c>
      <c r="F1931" t="s">
        <v>6380</v>
      </c>
      <c r="G1931" t="s">
        <v>6381</v>
      </c>
      <c r="I1931" t="s">
        <v>49</v>
      </c>
      <c r="L1931" t="s">
        <v>6382</v>
      </c>
      <c r="M1931" t="s">
        <v>6380</v>
      </c>
      <c r="N1931">
        <v>396</v>
      </c>
      <c r="O1931" t="s">
        <v>6383</v>
      </c>
    </row>
    <row r="1932" spans="1:15" ht="14.5">
      <c r="A1932" t="s">
        <v>29</v>
      </c>
      <c r="B1932">
        <v>1884689</v>
      </c>
      <c r="C1932">
        <v>1886032</v>
      </c>
      <c r="D1932">
        <v>1</v>
      </c>
      <c r="E1932" t="s">
        <v>76</v>
      </c>
      <c r="F1932" t="s">
        <v>3918</v>
      </c>
      <c r="G1932" t="s">
        <v>6384</v>
      </c>
      <c r="I1932" t="s">
        <v>49</v>
      </c>
      <c r="L1932" t="s">
        <v>6385</v>
      </c>
      <c r="M1932" t="s">
        <v>3918</v>
      </c>
      <c r="N1932">
        <v>447</v>
      </c>
      <c r="O1932" t="s">
        <v>6386</v>
      </c>
    </row>
    <row r="1933" spans="1:15" ht="14.5">
      <c r="A1933" t="s">
        <v>29</v>
      </c>
      <c r="B1933">
        <v>1886172</v>
      </c>
      <c r="C1933">
        <v>1886987</v>
      </c>
      <c r="D1933">
        <v>1</v>
      </c>
      <c r="E1933" t="s">
        <v>76</v>
      </c>
      <c r="F1933" t="s">
        <v>6387</v>
      </c>
      <c r="I1933" t="s">
        <v>49</v>
      </c>
      <c r="L1933" t="s">
        <v>6388</v>
      </c>
      <c r="M1933" t="s">
        <v>6387</v>
      </c>
      <c r="N1933">
        <v>271</v>
      </c>
      <c r="O1933" t="s">
        <v>6389</v>
      </c>
    </row>
    <row r="1934" spans="1:15" ht="14.5">
      <c r="A1934" t="s">
        <v>29</v>
      </c>
      <c r="B1934">
        <v>1887039</v>
      </c>
      <c r="C1934">
        <v>1889219</v>
      </c>
      <c r="D1934">
        <v>1</v>
      </c>
      <c r="E1934" t="s">
        <v>76</v>
      </c>
      <c r="F1934" t="s">
        <v>6390</v>
      </c>
      <c r="G1934" t="s">
        <v>6391</v>
      </c>
      <c r="I1934" t="s">
        <v>49</v>
      </c>
      <c r="L1934" t="s">
        <v>6392</v>
      </c>
      <c r="M1934" t="s">
        <v>6390</v>
      </c>
      <c r="N1934">
        <v>726</v>
      </c>
      <c r="O1934" t="s">
        <v>6393</v>
      </c>
    </row>
    <row r="1935" spans="1:15" ht="14.5">
      <c r="A1935" t="s">
        <v>29</v>
      </c>
      <c r="B1935">
        <v>1889505</v>
      </c>
      <c r="C1935">
        <v>1890431</v>
      </c>
      <c r="D1935">
        <v>1</v>
      </c>
      <c r="E1935" t="s">
        <v>76</v>
      </c>
      <c r="F1935" t="s">
        <v>6394</v>
      </c>
      <c r="G1935" t="s">
        <v>6395</v>
      </c>
      <c r="I1935" t="s">
        <v>49</v>
      </c>
      <c r="L1935" t="s">
        <v>6396</v>
      </c>
      <c r="M1935" t="s">
        <v>6394</v>
      </c>
      <c r="N1935">
        <v>308</v>
      </c>
      <c r="O1935" t="s">
        <v>6397</v>
      </c>
    </row>
    <row r="1936" spans="1:15" ht="14.5">
      <c r="A1936" t="s">
        <v>29</v>
      </c>
      <c r="B1936">
        <v>1890424</v>
      </c>
      <c r="C1936">
        <v>1891116</v>
      </c>
      <c r="D1936">
        <v>1</v>
      </c>
      <c r="E1936" t="s">
        <v>76</v>
      </c>
      <c r="F1936" t="s">
        <v>6398</v>
      </c>
      <c r="G1936" t="s">
        <v>6399</v>
      </c>
      <c r="I1936" t="s">
        <v>49</v>
      </c>
      <c r="L1936" t="s">
        <v>6400</v>
      </c>
      <c r="M1936" t="s">
        <v>6398</v>
      </c>
      <c r="N1936">
        <v>230</v>
      </c>
      <c r="O1936" t="s">
        <v>6401</v>
      </c>
    </row>
    <row r="1937" spans="1:15" ht="14.5">
      <c r="A1937" t="s">
        <v>29</v>
      </c>
      <c r="B1937">
        <v>1891134</v>
      </c>
      <c r="C1937">
        <v>1892111</v>
      </c>
      <c r="D1937">
        <v>1</v>
      </c>
      <c r="E1937" t="s">
        <v>76</v>
      </c>
      <c r="F1937" t="s">
        <v>6402</v>
      </c>
      <c r="G1937" t="s">
        <v>6403</v>
      </c>
      <c r="I1937" t="s">
        <v>49</v>
      </c>
      <c r="L1937" t="s">
        <v>6404</v>
      </c>
      <c r="M1937" t="s">
        <v>6402</v>
      </c>
      <c r="N1937">
        <v>325</v>
      </c>
      <c r="O1937" t="s">
        <v>6405</v>
      </c>
    </row>
    <row r="1938" spans="1:15" ht="14.5">
      <c r="A1938" t="s">
        <v>29</v>
      </c>
      <c r="B1938">
        <v>1892337</v>
      </c>
      <c r="C1938">
        <v>1892993</v>
      </c>
      <c r="D1938">
        <v>1</v>
      </c>
      <c r="E1938" t="s">
        <v>76</v>
      </c>
      <c r="F1938" t="s">
        <v>6406</v>
      </c>
      <c r="I1938" t="s">
        <v>49</v>
      </c>
      <c r="L1938" t="s">
        <v>6407</v>
      </c>
      <c r="M1938" t="s">
        <v>6406</v>
      </c>
      <c r="N1938">
        <v>218</v>
      </c>
      <c r="O1938" t="s">
        <v>6408</v>
      </c>
    </row>
    <row r="1939" spans="1:15" ht="14.5">
      <c r="A1939" t="s">
        <v>29</v>
      </c>
      <c r="B1939">
        <v>1893301</v>
      </c>
      <c r="C1939">
        <v>1894011</v>
      </c>
      <c r="D1939">
        <v>1</v>
      </c>
      <c r="E1939" t="s">
        <v>76</v>
      </c>
      <c r="F1939" t="s">
        <v>6409</v>
      </c>
      <c r="G1939" t="s">
        <v>6410</v>
      </c>
      <c r="I1939" t="s">
        <v>49</v>
      </c>
      <c r="L1939" t="s">
        <v>6411</v>
      </c>
      <c r="M1939" t="s">
        <v>6409</v>
      </c>
      <c r="N1939">
        <v>236</v>
      </c>
      <c r="O1939" t="s">
        <v>6412</v>
      </c>
    </row>
    <row r="1940" spans="1:15" ht="14.5">
      <c r="A1940" t="s">
        <v>29</v>
      </c>
      <c r="B1940">
        <v>1894011</v>
      </c>
      <c r="C1940">
        <v>1894775</v>
      </c>
      <c r="D1940">
        <v>1</v>
      </c>
      <c r="E1940" t="s">
        <v>76</v>
      </c>
      <c r="F1940" t="s">
        <v>6413</v>
      </c>
      <c r="G1940" t="s">
        <v>6414</v>
      </c>
      <c r="I1940" t="s">
        <v>49</v>
      </c>
      <c r="L1940" t="s">
        <v>6415</v>
      </c>
      <c r="M1940" t="s">
        <v>6413</v>
      </c>
      <c r="N1940">
        <v>254</v>
      </c>
      <c r="O1940" t="s">
        <v>6416</v>
      </c>
    </row>
    <row r="1941" spans="1:15" ht="14.5">
      <c r="A1941" t="s">
        <v>29</v>
      </c>
      <c r="B1941">
        <v>1894775</v>
      </c>
      <c r="C1941">
        <v>1895731</v>
      </c>
      <c r="D1941">
        <v>1</v>
      </c>
      <c r="E1941" t="s">
        <v>76</v>
      </c>
      <c r="F1941" t="s">
        <v>6417</v>
      </c>
      <c r="G1941" t="s">
        <v>6418</v>
      </c>
      <c r="I1941" t="s">
        <v>49</v>
      </c>
      <c r="L1941" t="s">
        <v>6419</v>
      </c>
      <c r="M1941" t="s">
        <v>6417</v>
      </c>
      <c r="N1941">
        <v>318</v>
      </c>
      <c r="O1941" t="s">
        <v>6420</v>
      </c>
    </row>
    <row r="1942" spans="1:15" ht="14.5">
      <c r="A1942" t="s">
        <v>29</v>
      </c>
      <c r="B1942">
        <v>1895735</v>
      </c>
      <c r="C1942">
        <v>1896604</v>
      </c>
      <c r="D1942">
        <v>1</v>
      </c>
      <c r="E1942" t="s">
        <v>76</v>
      </c>
      <c r="F1942" t="s">
        <v>6417</v>
      </c>
      <c r="G1942" t="s">
        <v>6421</v>
      </c>
      <c r="I1942" t="s">
        <v>49</v>
      </c>
      <c r="L1942" t="s">
        <v>6422</v>
      </c>
      <c r="M1942" t="s">
        <v>6417</v>
      </c>
      <c r="N1942">
        <v>289</v>
      </c>
      <c r="O1942" t="s">
        <v>6423</v>
      </c>
    </row>
    <row r="1943" spans="1:15" ht="14.5">
      <c r="A1943" t="s">
        <v>29</v>
      </c>
      <c r="B1943">
        <v>1896872</v>
      </c>
      <c r="C1943">
        <v>1898032</v>
      </c>
      <c r="D1943">
        <v>1</v>
      </c>
      <c r="E1943" t="s">
        <v>76</v>
      </c>
      <c r="F1943" t="s">
        <v>6424</v>
      </c>
      <c r="G1943" t="s">
        <v>6425</v>
      </c>
      <c r="I1943" t="s">
        <v>49</v>
      </c>
      <c r="L1943" t="s">
        <v>6426</v>
      </c>
      <c r="M1943" t="s">
        <v>6424</v>
      </c>
      <c r="N1943">
        <v>386</v>
      </c>
      <c r="O1943" t="s">
        <v>6427</v>
      </c>
    </row>
    <row r="1944" spans="1:15" ht="14.5">
      <c r="A1944" t="s">
        <v>29</v>
      </c>
      <c r="B1944">
        <v>1898133</v>
      </c>
      <c r="C1944">
        <v>1898381</v>
      </c>
      <c r="D1944">
        <v>1</v>
      </c>
      <c r="E1944" t="s">
        <v>76</v>
      </c>
      <c r="F1944" t="s">
        <v>6428</v>
      </c>
      <c r="I1944" t="s">
        <v>49</v>
      </c>
      <c r="L1944" t="s">
        <v>6429</v>
      </c>
      <c r="M1944" t="s">
        <v>6428</v>
      </c>
      <c r="N1944">
        <v>82</v>
      </c>
      <c r="O1944" t="s">
        <v>6430</v>
      </c>
    </row>
    <row r="1945" spans="1:15" ht="14.5">
      <c r="A1945" t="s">
        <v>29</v>
      </c>
      <c r="B1945">
        <v>1898460</v>
      </c>
      <c r="C1945">
        <v>1899050</v>
      </c>
      <c r="D1945">
        <v>1</v>
      </c>
      <c r="E1945" t="s">
        <v>76</v>
      </c>
      <c r="F1945" t="s">
        <v>6431</v>
      </c>
      <c r="G1945" t="s">
        <v>6432</v>
      </c>
      <c r="I1945" t="s">
        <v>49</v>
      </c>
      <c r="L1945" t="s">
        <v>6433</v>
      </c>
      <c r="M1945" t="s">
        <v>6431</v>
      </c>
      <c r="N1945">
        <v>196</v>
      </c>
      <c r="O1945" t="s">
        <v>6434</v>
      </c>
    </row>
    <row r="1946" spans="1:15" ht="14.5">
      <c r="A1946" t="s">
        <v>29</v>
      </c>
      <c r="B1946">
        <v>1899224</v>
      </c>
      <c r="C1946">
        <v>1899853</v>
      </c>
      <c r="D1946">
        <v>1</v>
      </c>
      <c r="E1946" t="s">
        <v>76</v>
      </c>
      <c r="F1946" t="s">
        <v>6435</v>
      </c>
      <c r="G1946" t="s">
        <v>6436</v>
      </c>
      <c r="I1946" t="s">
        <v>49</v>
      </c>
      <c r="L1946" t="s">
        <v>6437</v>
      </c>
      <c r="M1946" t="s">
        <v>6435</v>
      </c>
      <c r="N1946">
        <v>209</v>
      </c>
      <c r="O1946" t="s">
        <v>6438</v>
      </c>
    </row>
    <row r="1947" spans="1:15" ht="14.5">
      <c r="A1947" t="s">
        <v>29</v>
      </c>
      <c r="B1947">
        <v>1899942</v>
      </c>
      <c r="C1947">
        <v>1900409</v>
      </c>
      <c r="D1947">
        <v>1</v>
      </c>
      <c r="E1947" t="s">
        <v>76</v>
      </c>
      <c r="F1947" t="s">
        <v>6439</v>
      </c>
      <c r="G1947" t="s">
        <v>6440</v>
      </c>
      <c r="I1947" t="s">
        <v>49</v>
      </c>
      <c r="L1947" t="s">
        <v>6441</v>
      </c>
      <c r="M1947" t="s">
        <v>6439</v>
      </c>
      <c r="N1947">
        <v>155</v>
      </c>
      <c r="O1947" t="s">
        <v>6442</v>
      </c>
    </row>
    <row r="1948" spans="1:15" ht="14.5">
      <c r="A1948" t="s">
        <v>29</v>
      </c>
      <c r="B1948">
        <v>1900428</v>
      </c>
      <c r="C1948">
        <v>1900985</v>
      </c>
      <c r="D1948">
        <v>1</v>
      </c>
      <c r="E1948" t="s">
        <v>76</v>
      </c>
      <c r="F1948" t="s">
        <v>607</v>
      </c>
      <c r="G1948" t="s">
        <v>6443</v>
      </c>
      <c r="I1948" t="s">
        <v>49</v>
      </c>
      <c r="L1948" t="s">
        <v>6444</v>
      </c>
      <c r="M1948" t="s">
        <v>607</v>
      </c>
      <c r="N1948">
        <v>185</v>
      </c>
      <c r="O1948" t="s">
        <v>6445</v>
      </c>
    </row>
    <row r="1949" spans="1:15" ht="14.5">
      <c r="A1949" t="s">
        <v>29</v>
      </c>
      <c r="B1949">
        <v>1901110</v>
      </c>
      <c r="C1949">
        <v>1901955</v>
      </c>
      <c r="D1949">
        <v>1</v>
      </c>
      <c r="E1949" t="s">
        <v>47</v>
      </c>
      <c r="F1949" t="s">
        <v>6446</v>
      </c>
      <c r="I1949" t="s">
        <v>49</v>
      </c>
      <c r="L1949" t="s">
        <v>6447</v>
      </c>
      <c r="M1949" t="s">
        <v>6446</v>
      </c>
      <c r="N1949">
        <v>281</v>
      </c>
      <c r="O1949" t="s">
        <v>6448</v>
      </c>
    </row>
    <row r="1950" spans="1:15" ht="14.5">
      <c r="A1950" t="s">
        <v>29</v>
      </c>
      <c r="B1950">
        <v>1902014</v>
      </c>
      <c r="C1950">
        <v>1903189</v>
      </c>
      <c r="D1950">
        <v>1</v>
      </c>
      <c r="E1950" t="s">
        <v>47</v>
      </c>
      <c r="F1950" t="s">
        <v>6449</v>
      </c>
      <c r="I1950" t="s">
        <v>49</v>
      </c>
      <c r="L1950" t="s">
        <v>6450</v>
      </c>
      <c r="M1950" t="s">
        <v>6449</v>
      </c>
      <c r="N1950">
        <v>391</v>
      </c>
      <c r="O1950" t="s">
        <v>6451</v>
      </c>
    </row>
    <row r="1951" spans="1:15" ht="14.5">
      <c r="A1951" t="s">
        <v>29</v>
      </c>
      <c r="B1951">
        <v>1903209</v>
      </c>
      <c r="C1951">
        <v>1903664</v>
      </c>
      <c r="D1951">
        <v>1</v>
      </c>
      <c r="E1951" t="s">
        <v>47</v>
      </c>
      <c r="F1951" t="s">
        <v>6452</v>
      </c>
      <c r="G1951" t="s">
        <v>6453</v>
      </c>
      <c r="I1951" t="s">
        <v>49</v>
      </c>
      <c r="L1951" t="s">
        <v>6454</v>
      </c>
      <c r="M1951" t="s">
        <v>6452</v>
      </c>
      <c r="N1951">
        <v>151</v>
      </c>
      <c r="O1951" t="s">
        <v>6455</v>
      </c>
    </row>
    <row r="1952" spans="1:15" ht="14.5">
      <c r="A1952" t="s">
        <v>29</v>
      </c>
      <c r="B1952">
        <v>1903693</v>
      </c>
      <c r="C1952">
        <v>1904433</v>
      </c>
      <c r="D1952">
        <v>1</v>
      </c>
      <c r="E1952" t="s">
        <v>76</v>
      </c>
      <c r="F1952" t="s">
        <v>3065</v>
      </c>
      <c r="G1952" t="s">
        <v>6456</v>
      </c>
      <c r="I1952" t="s">
        <v>49</v>
      </c>
      <c r="L1952" t="s">
        <v>6457</v>
      </c>
      <c r="M1952" t="s">
        <v>3065</v>
      </c>
      <c r="N1952">
        <v>246</v>
      </c>
      <c r="O1952" t="s">
        <v>6458</v>
      </c>
    </row>
    <row r="1953" spans="1:15" ht="14.5">
      <c r="A1953" t="s">
        <v>29</v>
      </c>
      <c r="B1953">
        <v>1904538</v>
      </c>
      <c r="C1953">
        <v>1906016</v>
      </c>
      <c r="D1953">
        <v>1</v>
      </c>
      <c r="E1953" t="s">
        <v>47</v>
      </c>
      <c r="F1953" t="s">
        <v>6459</v>
      </c>
      <c r="I1953" t="s">
        <v>49</v>
      </c>
      <c r="L1953" t="s">
        <v>6460</v>
      </c>
      <c r="M1953" t="s">
        <v>6459</v>
      </c>
      <c r="N1953">
        <v>492</v>
      </c>
      <c r="O1953" t="s">
        <v>6461</v>
      </c>
    </row>
    <row r="1954" spans="1:15" ht="14.5">
      <c r="A1954" t="s">
        <v>29</v>
      </c>
      <c r="B1954">
        <v>1906037</v>
      </c>
      <c r="C1954">
        <v>1906981</v>
      </c>
      <c r="D1954">
        <v>1</v>
      </c>
      <c r="E1954" t="s">
        <v>76</v>
      </c>
      <c r="F1954" t="s">
        <v>6462</v>
      </c>
      <c r="G1954" t="s">
        <v>6463</v>
      </c>
      <c r="I1954" t="s">
        <v>49</v>
      </c>
      <c r="L1954" t="s">
        <v>6464</v>
      </c>
      <c r="M1954" t="s">
        <v>6462</v>
      </c>
      <c r="N1954">
        <v>314</v>
      </c>
      <c r="O1954" t="s">
        <v>6465</v>
      </c>
    </row>
    <row r="1955" spans="1:15" ht="14.5">
      <c r="A1955" t="s">
        <v>29</v>
      </c>
      <c r="B1955">
        <v>1907102</v>
      </c>
      <c r="C1955">
        <v>1907398</v>
      </c>
      <c r="D1955">
        <v>1</v>
      </c>
      <c r="E1955" t="s">
        <v>76</v>
      </c>
      <c r="F1955" t="s">
        <v>6466</v>
      </c>
      <c r="G1955" t="s">
        <v>6467</v>
      </c>
      <c r="I1955" t="s">
        <v>49</v>
      </c>
      <c r="L1955" t="s">
        <v>6468</v>
      </c>
      <c r="M1955" t="s">
        <v>6466</v>
      </c>
      <c r="N1955">
        <v>98</v>
      </c>
      <c r="O1955" t="s">
        <v>6469</v>
      </c>
    </row>
    <row r="1956" spans="1:15" ht="14.5">
      <c r="A1956" t="s">
        <v>29</v>
      </c>
      <c r="B1956">
        <v>1908011</v>
      </c>
      <c r="C1956">
        <v>1908520</v>
      </c>
      <c r="D1956">
        <v>1</v>
      </c>
      <c r="E1956" t="s">
        <v>47</v>
      </c>
      <c r="F1956" t="s">
        <v>6470</v>
      </c>
      <c r="I1956" t="s">
        <v>49</v>
      </c>
      <c r="L1956" t="s">
        <v>6471</v>
      </c>
      <c r="M1956" t="s">
        <v>6470</v>
      </c>
      <c r="N1956">
        <v>169</v>
      </c>
      <c r="O1956" t="s">
        <v>6472</v>
      </c>
    </row>
    <row r="1957" spans="1:15" ht="14.5">
      <c r="A1957" t="s">
        <v>29</v>
      </c>
      <c r="B1957">
        <v>1908637</v>
      </c>
      <c r="C1957">
        <v>1908984</v>
      </c>
      <c r="D1957">
        <v>1</v>
      </c>
      <c r="E1957" t="s">
        <v>76</v>
      </c>
      <c r="F1957" t="s">
        <v>1394</v>
      </c>
      <c r="I1957" t="s">
        <v>49</v>
      </c>
      <c r="L1957" t="s">
        <v>6473</v>
      </c>
      <c r="M1957" t="s">
        <v>1394</v>
      </c>
      <c r="N1957">
        <v>115</v>
      </c>
      <c r="O1957" t="s">
        <v>6474</v>
      </c>
    </row>
    <row r="1958" spans="1:15" ht="14.5">
      <c r="A1958" t="s">
        <v>29</v>
      </c>
      <c r="B1958">
        <v>1909095</v>
      </c>
      <c r="C1958">
        <v>1910870</v>
      </c>
      <c r="D1958">
        <v>1</v>
      </c>
      <c r="E1958" t="s">
        <v>76</v>
      </c>
      <c r="F1958" t="s">
        <v>6475</v>
      </c>
      <c r="G1958" t="s">
        <v>6476</v>
      </c>
      <c r="I1958" t="s">
        <v>49</v>
      </c>
      <c r="L1958" t="s">
        <v>6477</v>
      </c>
      <c r="M1958" t="s">
        <v>6475</v>
      </c>
      <c r="N1958">
        <v>591</v>
      </c>
      <c r="O1958" t="s">
        <v>6478</v>
      </c>
    </row>
    <row r="1959" spans="1:15" ht="14.5">
      <c r="A1959" t="s">
        <v>29</v>
      </c>
      <c r="B1959">
        <v>1911077</v>
      </c>
      <c r="C1959">
        <v>1913320</v>
      </c>
      <c r="D1959">
        <v>1</v>
      </c>
      <c r="E1959" t="s">
        <v>76</v>
      </c>
      <c r="F1959" t="s">
        <v>4024</v>
      </c>
      <c r="G1959" t="s">
        <v>6479</v>
      </c>
      <c r="I1959" t="s">
        <v>49</v>
      </c>
      <c r="L1959" t="s">
        <v>6480</v>
      </c>
      <c r="M1959" t="s">
        <v>4024</v>
      </c>
      <c r="N1959">
        <v>747</v>
      </c>
      <c r="O1959" t="s">
        <v>6481</v>
      </c>
    </row>
    <row r="1960" spans="1:15" ht="14.5">
      <c r="A1960" t="s">
        <v>29</v>
      </c>
      <c r="B1960">
        <v>1913330</v>
      </c>
      <c r="C1960">
        <v>1913701</v>
      </c>
      <c r="D1960">
        <v>1</v>
      </c>
      <c r="E1960" t="s">
        <v>76</v>
      </c>
      <c r="F1960" t="s">
        <v>6482</v>
      </c>
      <c r="I1960" t="s">
        <v>49</v>
      </c>
      <c r="L1960" t="s">
        <v>6483</v>
      </c>
      <c r="M1960" t="s">
        <v>6482</v>
      </c>
      <c r="N1960">
        <v>123</v>
      </c>
      <c r="O1960" t="s">
        <v>6484</v>
      </c>
    </row>
    <row r="1961" spans="1:15" ht="14.5">
      <c r="A1961" t="s">
        <v>29</v>
      </c>
      <c r="B1961">
        <v>1913712</v>
      </c>
      <c r="C1961">
        <v>1914107</v>
      </c>
      <c r="D1961">
        <v>1</v>
      </c>
      <c r="E1961" t="s">
        <v>76</v>
      </c>
      <c r="F1961" t="s">
        <v>4414</v>
      </c>
      <c r="G1961" t="s">
        <v>6485</v>
      </c>
      <c r="I1961" t="s">
        <v>49</v>
      </c>
      <c r="L1961" t="s">
        <v>6486</v>
      </c>
      <c r="M1961" t="s">
        <v>4414</v>
      </c>
      <c r="N1961">
        <v>131</v>
      </c>
      <c r="O1961" t="s">
        <v>6487</v>
      </c>
    </row>
    <row r="1962" spans="1:15" ht="14.5">
      <c r="A1962" t="s">
        <v>29</v>
      </c>
      <c r="B1962">
        <v>1914473</v>
      </c>
      <c r="C1962">
        <v>1915264</v>
      </c>
      <c r="D1962">
        <v>1</v>
      </c>
      <c r="E1962" t="s">
        <v>47</v>
      </c>
      <c r="F1962" t="s">
        <v>3887</v>
      </c>
      <c r="G1962" t="s">
        <v>6488</v>
      </c>
      <c r="I1962" t="s">
        <v>49</v>
      </c>
      <c r="L1962" t="s">
        <v>6489</v>
      </c>
      <c r="M1962" t="s">
        <v>3887</v>
      </c>
      <c r="N1962">
        <v>263</v>
      </c>
      <c r="O1962" t="s">
        <v>6490</v>
      </c>
    </row>
    <row r="1963" spans="1:15" ht="14.5">
      <c r="A1963" t="s">
        <v>29</v>
      </c>
      <c r="B1963">
        <v>1915473</v>
      </c>
      <c r="C1963">
        <v>1916105</v>
      </c>
      <c r="D1963">
        <v>1</v>
      </c>
      <c r="E1963" t="s">
        <v>76</v>
      </c>
      <c r="F1963" t="s">
        <v>6491</v>
      </c>
      <c r="G1963" t="s">
        <v>6492</v>
      </c>
      <c r="I1963" t="s">
        <v>49</v>
      </c>
      <c r="L1963" t="s">
        <v>6493</v>
      </c>
      <c r="M1963" t="s">
        <v>6491</v>
      </c>
      <c r="N1963">
        <v>210</v>
      </c>
      <c r="O1963" t="s">
        <v>6494</v>
      </c>
    </row>
    <row r="1964" spans="1:15" ht="14.5">
      <c r="A1964" t="s">
        <v>29</v>
      </c>
      <c r="B1964">
        <v>1916098</v>
      </c>
      <c r="C1964">
        <v>1916901</v>
      </c>
      <c r="D1964">
        <v>1</v>
      </c>
      <c r="E1964" t="s">
        <v>76</v>
      </c>
      <c r="F1964" t="s">
        <v>6495</v>
      </c>
      <c r="G1964" t="s">
        <v>6496</v>
      </c>
      <c r="I1964" t="s">
        <v>49</v>
      </c>
      <c r="L1964" t="s">
        <v>6497</v>
      </c>
      <c r="M1964" t="s">
        <v>6495</v>
      </c>
      <c r="N1964">
        <v>267</v>
      </c>
      <c r="O1964" t="s">
        <v>6498</v>
      </c>
    </row>
    <row r="1965" spans="1:15" ht="14.5">
      <c r="A1965" t="s">
        <v>29</v>
      </c>
      <c r="B1965">
        <v>1916901</v>
      </c>
      <c r="C1965">
        <v>1917425</v>
      </c>
      <c r="D1965">
        <v>1</v>
      </c>
      <c r="E1965" t="s">
        <v>76</v>
      </c>
      <c r="F1965" t="s">
        <v>6499</v>
      </c>
      <c r="G1965" t="s">
        <v>6500</v>
      </c>
      <c r="I1965" t="s">
        <v>49</v>
      </c>
      <c r="L1965" t="s">
        <v>6501</v>
      </c>
      <c r="M1965" t="s">
        <v>6499</v>
      </c>
      <c r="N1965">
        <v>174</v>
      </c>
      <c r="O1965" t="s">
        <v>6502</v>
      </c>
    </row>
    <row r="1966" spans="1:15" ht="14.5">
      <c r="A1966" t="s">
        <v>29</v>
      </c>
      <c r="B1966">
        <v>1917430</v>
      </c>
      <c r="C1966">
        <v>1918122</v>
      </c>
      <c r="D1966">
        <v>1</v>
      </c>
      <c r="E1966" t="s">
        <v>76</v>
      </c>
      <c r="F1966" t="s">
        <v>6503</v>
      </c>
      <c r="G1966" t="s">
        <v>6504</v>
      </c>
      <c r="I1966" t="s">
        <v>49</v>
      </c>
      <c r="L1966" t="s">
        <v>6505</v>
      </c>
      <c r="M1966" t="s">
        <v>6503</v>
      </c>
      <c r="N1966">
        <v>230</v>
      </c>
      <c r="O1966" t="s">
        <v>6506</v>
      </c>
    </row>
    <row r="1967" spans="1:15" ht="14.5">
      <c r="A1967" t="s">
        <v>29</v>
      </c>
      <c r="B1967">
        <v>1918133</v>
      </c>
      <c r="C1967">
        <v>1918783</v>
      </c>
      <c r="D1967">
        <v>1</v>
      </c>
      <c r="E1967" t="s">
        <v>76</v>
      </c>
      <c r="F1967" t="s">
        <v>6507</v>
      </c>
      <c r="I1967" t="s">
        <v>49</v>
      </c>
      <c r="L1967" t="s">
        <v>6508</v>
      </c>
      <c r="M1967" t="s">
        <v>6507</v>
      </c>
      <c r="N1967">
        <v>216</v>
      </c>
      <c r="O1967" t="s">
        <v>6509</v>
      </c>
    </row>
    <row r="1968" spans="1:15" ht="14.5">
      <c r="A1968" t="s">
        <v>29</v>
      </c>
      <c r="B1968">
        <v>1918785</v>
      </c>
      <c r="C1968">
        <v>1920170</v>
      </c>
      <c r="D1968">
        <v>1</v>
      </c>
      <c r="E1968" t="s">
        <v>76</v>
      </c>
      <c r="F1968" t="s">
        <v>6510</v>
      </c>
      <c r="G1968" t="s">
        <v>6511</v>
      </c>
      <c r="I1968" t="s">
        <v>49</v>
      </c>
      <c r="L1968" t="s">
        <v>6512</v>
      </c>
      <c r="M1968" t="s">
        <v>6510</v>
      </c>
      <c r="N1968">
        <v>461</v>
      </c>
      <c r="O1968" t="s">
        <v>6513</v>
      </c>
    </row>
    <row r="1969" spans="1:15" ht="14.5">
      <c r="A1969" t="s">
        <v>29</v>
      </c>
      <c r="B1969">
        <v>1920171</v>
      </c>
      <c r="C1969">
        <v>1920731</v>
      </c>
      <c r="D1969">
        <v>1</v>
      </c>
      <c r="E1969" t="s">
        <v>76</v>
      </c>
      <c r="F1969" t="s">
        <v>6514</v>
      </c>
      <c r="G1969" t="s">
        <v>6515</v>
      </c>
      <c r="I1969" t="s">
        <v>49</v>
      </c>
      <c r="L1969" t="s">
        <v>6516</v>
      </c>
      <c r="M1969" t="s">
        <v>6514</v>
      </c>
      <c r="N1969">
        <v>186</v>
      </c>
      <c r="O1969" t="s">
        <v>6517</v>
      </c>
    </row>
    <row r="1970" spans="1:15" ht="14.5">
      <c r="A1970" t="s">
        <v>29</v>
      </c>
      <c r="B1970">
        <v>1921290</v>
      </c>
      <c r="C1970">
        <v>1921919</v>
      </c>
      <c r="D1970">
        <v>1</v>
      </c>
      <c r="E1970" t="s">
        <v>76</v>
      </c>
      <c r="F1970" t="s">
        <v>6491</v>
      </c>
      <c r="G1970" t="s">
        <v>6518</v>
      </c>
      <c r="I1970" t="s">
        <v>49</v>
      </c>
      <c r="L1970" t="s">
        <v>6519</v>
      </c>
      <c r="M1970" t="s">
        <v>6491</v>
      </c>
      <c r="N1970">
        <v>209</v>
      </c>
      <c r="O1970" t="s">
        <v>6520</v>
      </c>
    </row>
    <row r="1971" spans="1:15" ht="14.5">
      <c r="A1971" t="s">
        <v>29</v>
      </c>
      <c r="B1971">
        <v>1921921</v>
      </c>
      <c r="C1971">
        <v>1922703</v>
      </c>
      <c r="D1971">
        <v>1</v>
      </c>
      <c r="E1971" t="s">
        <v>76</v>
      </c>
      <c r="F1971" t="s">
        <v>6495</v>
      </c>
      <c r="G1971" t="s">
        <v>6521</v>
      </c>
      <c r="I1971" t="s">
        <v>49</v>
      </c>
      <c r="L1971" t="s">
        <v>6522</v>
      </c>
      <c r="M1971" t="s">
        <v>6495</v>
      </c>
      <c r="N1971">
        <v>260</v>
      </c>
      <c r="O1971" t="s">
        <v>6523</v>
      </c>
    </row>
    <row r="1972" spans="1:15" ht="14.5">
      <c r="A1972" t="s">
        <v>29</v>
      </c>
      <c r="B1972">
        <v>1922946</v>
      </c>
      <c r="C1972">
        <v>1923614</v>
      </c>
      <c r="D1972">
        <v>1</v>
      </c>
      <c r="E1972" t="s">
        <v>76</v>
      </c>
      <c r="F1972" t="s">
        <v>6524</v>
      </c>
      <c r="G1972" t="s">
        <v>6525</v>
      </c>
      <c r="I1972" t="s">
        <v>49</v>
      </c>
      <c r="L1972" t="s">
        <v>6526</v>
      </c>
      <c r="M1972" t="s">
        <v>6524</v>
      </c>
      <c r="N1972">
        <v>222</v>
      </c>
      <c r="O1972" t="s">
        <v>6527</v>
      </c>
    </row>
    <row r="1973" spans="1:15" ht="14.5">
      <c r="A1973" t="s">
        <v>29</v>
      </c>
      <c r="B1973">
        <v>1924153</v>
      </c>
      <c r="C1973">
        <v>1925643</v>
      </c>
      <c r="D1973">
        <v>1</v>
      </c>
      <c r="E1973" t="s">
        <v>76</v>
      </c>
      <c r="F1973" t="s">
        <v>6528</v>
      </c>
      <c r="G1973" t="s">
        <v>6529</v>
      </c>
      <c r="I1973" t="s">
        <v>49</v>
      </c>
      <c r="L1973" t="s">
        <v>6530</v>
      </c>
      <c r="M1973" t="s">
        <v>6528</v>
      </c>
      <c r="N1973">
        <v>496</v>
      </c>
      <c r="O1973" t="s">
        <v>6531</v>
      </c>
    </row>
    <row r="1974" spans="1:15" ht="14.5">
      <c r="A1974" t="s">
        <v>29</v>
      </c>
      <c r="B1974">
        <v>1925771</v>
      </c>
      <c r="C1974">
        <v>1925917</v>
      </c>
      <c r="D1974">
        <v>1</v>
      </c>
      <c r="E1974" t="s">
        <v>76</v>
      </c>
      <c r="F1974" t="s">
        <v>6532</v>
      </c>
      <c r="I1974" t="s">
        <v>49</v>
      </c>
      <c r="L1974" t="s">
        <v>6533</v>
      </c>
      <c r="M1974" t="s">
        <v>6532</v>
      </c>
      <c r="N1974">
        <v>48</v>
      </c>
      <c r="O1974" t="s">
        <v>6534</v>
      </c>
    </row>
    <row r="1975" spans="1:15" ht="14.5">
      <c r="A1975" t="s">
        <v>29</v>
      </c>
      <c r="B1975">
        <v>1925950</v>
      </c>
      <c r="C1975">
        <v>1926570</v>
      </c>
      <c r="D1975">
        <v>1</v>
      </c>
      <c r="E1975" t="s">
        <v>47</v>
      </c>
      <c r="F1975" t="s">
        <v>1294</v>
      </c>
      <c r="G1975" t="s">
        <v>6535</v>
      </c>
      <c r="I1975" t="s">
        <v>49</v>
      </c>
      <c r="L1975" t="s">
        <v>6536</v>
      </c>
      <c r="M1975" t="s">
        <v>1294</v>
      </c>
      <c r="N1975">
        <v>206</v>
      </c>
      <c r="O1975" t="s">
        <v>6537</v>
      </c>
    </row>
    <row r="1976" spans="1:15" ht="14.5">
      <c r="A1976" t="s">
        <v>29</v>
      </c>
      <c r="B1976">
        <v>1926530</v>
      </c>
      <c r="C1976">
        <v>1927207</v>
      </c>
      <c r="D1976">
        <v>1</v>
      </c>
      <c r="E1976" t="s">
        <v>47</v>
      </c>
      <c r="F1976" t="s">
        <v>1294</v>
      </c>
      <c r="G1976" t="s">
        <v>6538</v>
      </c>
      <c r="I1976" t="s">
        <v>49</v>
      </c>
      <c r="L1976" t="s">
        <v>6539</v>
      </c>
      <c r="M1976" t="s">
        <v>1294</v>
      </c>
      <c r="N1976">
        <v>225</v>
      </c>
      <c r="O1976" t="s">
        <v>6540</v>
      </c>
    </row>
    <row r="1977" spans="1:15" ht="14.5">
      <c r="A1977" t="s">
        <v>29</v>
      </c>
      <c r="B1977">
        <v>1927208</v>
      </c>
      <c r="C1977">
        <v>1927966</v>
      </c>
      <c r="D1977">
        <v>1</v>
      </c>
      <c r="E1977" t="s">
        <v>47</v>
      </c>
      <c r="F1977" t="s">
        <v>4205</v>
      </c>
      <c r="G1977" t="s">
        <v>6541</v>
      </c>
      <c r="I1977" t="s">
        <v>49</v>
      </c>
      <c r="L1977" t="s">
        <v>6542</v>
      </c>
      <c r="M1977" t="s">
        <v>4205</v>
      </c>
      <c r="N1977">
        <v>252</v>
      </c>
      <c r="O1977" t="s">
        <v>6543</v>
      </c>
    </row>
    <row r="1978" spans="1:15" ht="14.5">
      <c r="A1978" t="s">
        <v>29</v>
      </c>
      <c r="B1978">
        <v>1927978</v>
      </c>
      <c r="C1978">
        <v>1928130</v>
      </c>
      <c r="D1978">
        <v>1</v>
      </c>
      <c r="E1978" t="s">
        <v>47</v>
      </c>
      <c r="F1978" t="s">
        <v>6544</v>
      </c>
      <c r="I1978" t="s">
        <v>49</v>
      </c>
      <c r="L1978" t="s">
        <v>6545</v>
      </c>
      <c r="M1978" t="s">
        <v>6544</v>
      </c>
      <c r="N1978">
        <v>50</v>
      </c>
      <c r="O1978" t="s">
        <v>6546</v>
      </c>
    </row>
    <row r="1979" spans="1:15" ht="14.5">
      <c r="A1979" t="s">
        <v>29</v>
      </c>
      <c r="B1979">
        <v>1928108</v>
      </c>
      <c r="C1979">
        <v>1928845</v>
      </c>
      <c r="D1979">
        <v>1</v>
      </c>
      <c r="E1979" t="s">
        <v>47</v>
      </c>
      <c r="F1979" t="s">
        <v>6547</v>
      </c>
      <c r="G1979" t="s">
        <v>6548</v>
      </c>
      <c r="I1979" t="s">
        <v>49</v>
      </c>
      <c r="L1979" t="s">
        <v>6549</v>
      </c>
      <c r="M1979" t="s">
        <v>6547</v>
      </c>
      <c r="N1979">
        <v>245</v>
      </c>
      <c r="O1979" t="s">
        <v>6550</v>
      </c>
    </row>
    <row r="1980" spans="1:15" ht="14.5">
      <c r="A1980" t="s">
        <v>29</v>
      </c>
      <c r="B1980">
        <v>1928932</v>
      </c>
      <c r="C1980">
        <v>1929579</v>
      </c>
      <c r="D1980">
        <v>1</v>
      </c>
      <c r="E1980" t="s">
        <v>76</v>
      </c>
      <c r="F1980" t="s">
        <v>218</v>
      </c>
      <c r="G1980" t="s">
        <v>6551</v>
      </c>
      <c r="I1980" t="s">
        <v>49</v>
      </c>
      <c r="L1980" t="s">
        <v>6552</v>
      </c>
      <c r="M1980" t="s">
        <v>218</v>
      </c>
      <c r="N1980">
        <v>215</v>
      </c>
      <c r="O1980" t="s">
        <v>6553</v>
      </c>
    </row>
    <row r="1981" spans="1:15" ht="14.5">
      <c r="A1981" t="s">
        <v>29</v>
      </c>
      <c r="B1981">
        <v>1929576</v>
      </c>
      <c r="C1981">
        <v>1930253</v>
      </c>
      <c r="D1981">
        <v>1</v>
      </c>
      <c r="E1981" t="s">
        <v>76</v>
      </c>
      <c r="F1981" t="s">
        <v>176</v>
      </c>
      <c r="I1981" t="s">
        <v>49</v>
      </c>
      <c r="L1981" t="s">
        <v>6554</v>
      </c>
      <c r="M1981" t="s">
        <v>176</v>
      </c>
      <c r="N1981">
        <v>225</v>
      </c>
      <c r="O1981" t="s">
        <v>6555</v>
      </c>
    </row>
    <row r="1982" spans="1:15" ht="14.5">
      <c r="A1982" t="s">
        <v>29</v>
      </c>
      <c r="B1982">
        <v>1930284</v>
      </c>
      <c r="C1982">
        <v>1931036</v>
      </c>
      <c r="D1982">
        <v>1</v>
      </c>
      <c r="E1982" t="s">
        <v>76</v>
      </c>
      <c r="F1982" t="s">
        <v>1056</v>
      </c>
      <c r="I1982" t="s">
        <v>49</v>
      </c>
      <c r="L1982" t="s">
        <v>6556</v>
      </c>
      <c r="M1982" t="s">
        <v>1056</v>
      </c>
      <c r="N1982">
        <v>250</v>
      </c>
      <c r="O1982" t="s">
        <v>6557</v>
      </c>
    </row>
    <row r="1983" spans="1:15" ht="14.5">
      <c r="A1983" t="s">
        <v>29</v>
      </c>
      <c r="B1983">
        <v>1931036</v>
      </c>
      <c r="C1983">
        <v>1931800</v>
      </c>
      <c r="D1983">
        <v>1</v>
      </c>
      <c r="E1983" t="s">
        <v>76</v>
      </c>
      <c r="F1983" t="s">
        <v>176</v>
      </c>
      <c r="I1983" t="s">
        <v>49</v>
      </c>
      <c r="L1983" t="s">
        <v>6558</v>
      </c>
      <c r="M1983" t="s">
        <v>176</v>
      </c>
      <c r="N1983">
        <v>254</v>
      </c>
      <c r="O1983" t="s">
        <v>6559</v>
      </c>
    </row>
    <row r="1984" spans="1:15" ht="14.5">
      <c r="A1984" t="s">
        <v>29</v>
      </c>
      <c r="B1984">
        <v>1931896</v>
      </c>
      <c r="C1984">
        <v>1932246</v>
      </c>
      <c r="D1984">
        <v>1</v>
      </c>
      <c r="E1984" t="s">
        <v>76</v>
      </c>
      <c r="F1984" t="s">
        <v>176</v>
      </c>
      <c r="I1984" t="s">
        <v>49</v>
      </c>
      <c r="L1984" t="s">
        <v>6560</v>
      </c>
      <c r="M1984" t="s">
        <v>176</v>
      </c>
      <c r="N1984">
        <v>116</v>
      </c>
      <c r="O1984" t="s">
        <v>6561</v>
      </c>
    </row>
    <row r="1985" spans="1:15" ht="14.5">
      <c r="A1985" t="s">
        <v>29</v>
      </c>
      <c r="B1985">
        <v>1932479</v>
      </c>
      <c r="C1985">
        <v>1933111</v>
      </c>
      <c r="D1985">
        <v>1</v>
      </c>
      <c r="E1985" t="s">
        <v>76</v>
      </c>
      <c r="F1985" t="s">
        <v>6562</v>
      </c>
      <c r="G1985" t="s">
        <v>6563</v>
      </c>
      <c r="I1985" t="s">
        <v>49</v>
      </c>
      <c r="L1985" t="s">
        <v>6564</v>
      </c>
      <c r="M1985" t="s">
        <v>6562</v>
      </c>
      <c r="N1985">
        <v>210</v>
      </c>
      <c r="O1985" t="s">
        <v>6565</v>
      </c>
    </row>
    <row r="1986" spans="1:15" ht="14.5">
      <c r="A1986" t="s">
        <v>29</v>
      </c>
      <c r="B1986">
        <v>1933145</v>
      </c>
      <c r="C1986">
        <v>1933846</v>
      </c>
      <c r="D1986">
        <v>1</v>
      </c>
      <c r="E1986" t="s">
        <v>76</v>
      </c>
      <c r="F1986" t="s">
        <v>6566</v>
      </c>
      <c r="G1986" t="s">
        <v>6567</v>
      </c>
      <c r="I1986" t="s">
        <v>49</v>
      </c>
      <c r="L1986" t="s">
        <v>6568</v>
      </c>
      <c r="M1986" t="s">
        <v>6566</v>
      </c>
      <c r="N1986">
        <v>233</v>
      </c>
      <c r="O1986" t="s">
        <v>6569</v>
      </c>
    </row>
    <row r="1987" spans="1:15" ht="14.5">
      <c r="A1987" t="s">
        <v>29</v>
      </c>
      <c r="B1987">
        <v>1934079</v>
      </c>
      <c r="C1987">
        <v>1935278</v>
      </c>
      <c r="D1987">
        <v>1</v>
      </c>
      <c r="E1987" t="s">
        <v>76</v>
      </c>
      <c r="F1987" t="s">
        <v>6570</v>
      </c>
      <c r="G1987" t="s">
        <v>6571</v>
      </c>
      <c r="I1987" t="s">
        <v>49</v>
      </c>
      <c r="L1987" t="s">
        <v>6572</v>
      </c>
      <c r="M1987" t="s">
        <v>6570</v>
      </c>
      <c r="N1987">
        <v>399</v>
      </c>
      <c r="O1987" t="s">
        <v>6573</v>
      </c>
    </row>
    <row r="1988" spans="1:15" ht="14.5">
      <c r="A1988" t="s">
        <v>29</v>
      </c>
      <c r="B1988">
        <v>1935288</v>
      </c>
      <c r="C1988">
        <v>1936346</v>
      </c>
      <c r="D1988">
        <v>1</v>
      </c>
      <c r="E1988" t="s">
        <v>76</v>
      </c>
      <c r="F1988" t="s">
        <v>6574</v>
      </c>
      <c r="G1988" t="s">
        <v>6575</v>
      </c>
      <c r="I1988" t="s">
        <v>49</v>
      </c>
      <c r="L1988" t="s">
        <v>6576</v>
      </c>
      <c r="M1988" t="s">
        <v>6574</v>
      </c>
      <c r="N1988">
        <v>352</v>
      </c>
      <c r="O1988" t="s">
        <v>6577</v>
      </c>
    </row>
    <row r="1989" spans="1:15" ht="14.5">
      <c r="A1989" t="s">
        <v>29</v>
      </c>
      <c r="B1989">
        <v>1936348</v>
      </c>
      <c r="C1989">
        <v>1937700</v>
      </c>
      <c r="D1989">
        <v>1</v>
      </c>
      <c r="E1989" t="s">
        <v>76</v>
      </c>
      <c r="F1989" t="s">
        <v>6578</v>
      </c>
      <c r="G1989" t="s">
        <v>6579</v>
      </c>
      <c r="I1989" t="s">
        <v>49</v>
      </c>
      <c r="L1989" t="s">
        <v>6580</v>
      </c>
      <c r="M1989" t="s">
        <v>6578</v>
      </c>
      <c r="N1989">
        <v>450</v>
      </c>
      <c r="O1989" t="s">
        <v>6581</v>
      </c>
    </row>
    <row r="1990" spans="1:15" ht="14.5">
      <c r="A1990" t="s">
        <v>29</v>
      </c>
      <c r="B1990">
        <v>1937804</v>
      </c>
      <c r="C1990">
        <v>1938445</v>
      </c>
      <c r="D1990">
        <v>1</v>
      </c>
      <c r="E1990" t="s">
        <v>76</v>
      </c>
      <c r="F1990" t="s">
        <v>218</v>
      </c>
      <c r="G1990" t="s">
        <v>6582</v>
      </c>
      <c r="I1990" t="s">
        <v>49</v>
      </c>
      <c r="L1990" t="s">
        <v>6583</v>
      </c>
      <c r="M1990" t="s">
        <v>218</v>
      </c>
      <c r="N1990">
        <v>213</v>
      </c>
      <c r="O1990" t="s">
        <v>6584</v>
      </c>
    </row>
    <row r="1991" spans="1:15" ht="14.5">
      <c r="A1991" t="s">
        <v>29</v>
      </c>
      <c r="B1991">
        <v>1938447</v>
      </c>
      <c r="C1991">
        <v>1940468</v>
      </c>
      <c r="D1991">
        <v>1</v>
      </c>
      <c r="E1991" t="s">
        <v>76</v>
      </c>
      <c r="F1991" t="s">
        <v>2748</v>
      </c>
      <c r="I1991" t="s">
        <v>49</v>
      </c>
      <c r="L1991" t="s">
        <v>6585</v>
      </c>
      <c r="M1991" t="s">
        <v>2748</v>
      </c>
      <c r="N1991">
        <v>673</v>
      </c>
      <c r="O1991" t="s">
        <v>6586</v>
      </c>
    </row>
    <row r="1992" spans="1:15" ht="14.5">
      <c r="A1992" t="s">
        <v>29</v>
      </c>
      <c r="B1992">
        <v>1940539</v>
      </c>
      <c r="C1992">
        <v>1940886</v>
      </c>
      <c r="D1992">
        <v>1</v>
      </c>
      <c r="E1992" t="s">
        <v>76</v>
      </c>
      <c r="F1992" t="s">
        <v>6587</v>
      </c>
      <c r="I1992" t="s">
        <v>49</v>
      </c>
      <c r="L1992" t="s">
        <v>6588</v>
      </c>
      <c r="M1992" t="s">
        <v>6587</v>
      </c>
      <c r="N1992">
        <v>115</v>
      </c>
      <c r="O1992" t="s">
        <v>6589</v>
      </c>
    </row>
    <row r="1993" spans="1:15" ht="14.5">
      <c r="A1993" t="s">
        <v>29</v>
      </c>
      <c r="B1993">
        <v>1941204</v>
      </c>
      <c r="C1993">
        <v>1941458</v>
      </c>
      <c r="D1993">
        <v>1</v>
      </c>
      <c r="E1993" t="s">
        <v>76</v>
      </c>
      <c r="F1993" t="s">
        <v>65</v>
      </c>
      <c r="I1993" t="s">
        <v>49</v>
      </c>
      <c r="L1993" t="s">
        <v>6590</v>
      </c>
      <c r="M1993" t="s">
        <v>65</v>
      </c>
      <c r="N1993">
        <v>84</v>
      </c>
      <c r="O1993" t="s">
        <v>6591</v>
      </c>
    </row>
    <row r="1994" spans="1:15" ht="14.5">
      <c r="A1994" t="s">
        <v>29</v>
      </c>
      <c r="B1994">
        <v>1941478</v>
      </c>
      <c r="C1994">
        <v>1943319</v>
      </c>
      <c r="D1994">
        <v>1</v>
      </c>
      <c r="E1994" t="s">
        <v>76</v>
      </c>
      <c r="F1994" t="s">
        <v>6592</v>
      </c>
      <c r="G1994" t="s">
        <v>6593</v>
      </c>
      <c r="I1994" t="s">
        <v>49</v>
      </c>
      <c r="L1994" t="s">
        <v>6594</v>
      </c>
      <c r="M1994" t="s">
        <v>6592</v>
      </c>
      <c r="N1994">
        <v>613</v>
      </c>
      <c r="O1994" t="s">
        <v>6595</v>
      </c>
    </row>
    <row r="1995" spans="1:15" ht="14.5">
      <c r="A1995" t="s">
        <v>29</v>
      </c>
      <c r="B1995">
        <v>1943481</v>
      </c>
      <c r="C1995">
        <v>1944206</v>
      </c>
      <c r="D1995">
        <v>1</v>
      </c>
      <c r="E1995" t="s">
        <v>47</v>
      </c>
      <c r="F1995" t="s">
        <v>765</v>
      </c>
      <c r="G1995" t="s">
        <v>6596</v>
      </c>
      <c r="I1995" t="s">
        <v>49</v>
      </c>
      <c r="L1995" t="s">
        <v>6597</v>
      </c>
      <c r="M1995" t="s">
        <v>765</v>
      </c>
      <c r="N1995">
        <v>241</v>
      </c>
      <c r="O1995" t="s">
        <v>6598</v>
      </c>
    </row>
    <row r="1996" spans="1:15" ht="14.5">
      <c r="A1996" t="s">
        <v>29</v>
      </c>
      <c r="B1996">
        <v>1944246</v>
      </c>
      <c r="C1996">
        <v>1944473</v>
      </c>
      <c r="D1996">
        <v>1</v>
      </c>
      <c r="E1996" t="s">
        <v>76</v>
      </c>
      <c r="F1996" t="s">
        <v>176</v>
      </c>
      <c r="I1996" t="s">
        <v>49</v>
      </c>
      <c r="L1996" t="s">
        <v>6599</v>
      </c>
      <c r="M1996" t="s">
        <v>176</v>
      </c>
      <c r="N1996">
        <v>75</v>
      </c>
      <c r="O1996" t="s">
        <v>6600</v>
      </c>
    </row>
    <row r="1997" spans="1:15" ht="14.5">
      <c r="A1997" t="s">
        <v>29</v>
      </c>
      <c r="B1997">
        <v>1944562</v>
      </c>
      <c r="C1997">
        <v>1944942</v>
      </c>
      <c r="D1997">
        <v>1</v>
      </c>
      <c r="E1997" t="s">
        <v>76</v>
      </c>
      <c r="F1997" t="s">
        <v>6601</v>
      </c>
      <c r="G1997" t="s">
        <v>6602</v>
      </c>
      <c r="I1997" t="s">
        <v>49</v>
      </c>
      <c r="L1997" t="s">
        <v>6603</v>
      </c>
      <c r="M1997" t="s">
        <v>6601</v>
      </c>
      <c r="N1997">
        <v>126</v>
      </c>
      <c r="O1997" t="s">
        <v>6604</v>
      </c>
    </row>
    <row r="1998" spans="1:15" ht="14.5">
      <c r="A1998" t="s">
        <v>29</v>
      </c>
      <c r="B1998">
        <v>1944942</v>
      </c>
      <c r="C1998">
        <v>1945211</v>
      </c>
      <c r="D1998">
        <v>1</v>
      </c>
      <c r="E1998" t="s">
        <v>76</v>
      </c>
      <c r="F1998" t="s">
        <v>2875</v>
      </c>
      <c r="G1998" t="s">
        <v>6605</v>
      </c>
      <c r="I1998" t="s">
        <v>49</v>
      </c>
      <c r="L1998" t="s">
        <v>6606</v>
      </c>
      <c r="M1998" t="s">
        <v>2875</v>
      </c>
      <c r="N1998">
        <v>89</v>
      </c>
      <c r="O1998" t="s">
        <v>6607</v>
      </c>
    </row>
    <row r="1999" spans="1:15" ht="14.5">
      <c r="A1999" t="s">
        <v>29</v>
      </c>
      <c r="B1999">
        <v>1945215</v>
      </c>
      <c r="C1999">
        <v>1946183</v>
      </c>
      <c r="D1999">
        <v>1</v>
      </c>
      <c r="E1999" t="s">
        <v>47</v>
      </c>
      <c r="F1999" t="s">
        <v>607</v>
      </c>
      <c r="G1999" t="s">
        <v>6608</v>
      </c>
      <c r="I1999" t="s">
        <v>49</v>
      </c>
      <c r="L1999" t="s">
        <v>6609</v>
      </c>
      <c r="M1999" t="s">
        <v>607</v>
      </c>
      <c r="N1999">
        <v>322</v>
      </c>
      <c r="O1999" t="s">
        <v>6610</v>
      </c>
    </row>
    <row r="2000" spans="1:15" ht="14.5">
      <c r="A2000" t="s">
        <v>29</v>
      </c>
      <c r="B2000">
        <v>1946237</v>
      </c>
      <c r="C2000">
        <v>1946992</v>
      </c>
      <c r="D2000">
        <v>1</v>
      </c>
      <c r="E2000" t="s">
        <v>76</v>
      </c>
      <c r="F2000" t="s">
        <v>6611</v>
      </c>
      <c r="I2000" t="s">
        <v>49</v>
      </c>
      <c r="L2000" t="s">
        <v>6612</v>
      </c>
      <c r="M2000" t="s">
        <v>6611</v>
      </c>
      <c r="N2000">
        <v>251</v>
      </c>
      <c r="O2000" t="s">
        <v>6613</v>
      </c>
    </row>
    <row r="2001" spans="1:15" ht="14.5">
      <c r="A2001" t="s">
        <v>29</v>
      </c>
      <c r="B2001">
        <v>1947013</v>
      </c>
      <c r="C2001">
        <v>1947942</v>
      </c>
      <c r="D2001">
        <v>1</v>
      </c>
      <c r="E2001" t="s">
        <v>76</v>
      </c>
      <c r="F2001" t="s">
        <v>4339</v>
      </c>
      <c r="G2001" t="s">
        <v>6614</v>
      </c>
      <c r="I2001" t="s">
        <v>49</v>
      </c>
      <c r="L2001" t="s">
        <v>6615</v>
      </c>
      <c r="M2001" t="s">
        <v>4339</v>
      </c>
      <c r="N2001">
        <v>309</v>
      </c>
      <c r="O2001" t="s">
        <v>6616</v>
      </c>
    </row>
    <row r="2002" spans="1:15" ht="14.5">
      <c r="A2002" t="s">
        <v>29</v>
      </c>
      <c r="B2002">
        <v>1947957</v>
      </c>
      <c r="C2002">
        <v>1948580</v>
      </c>
      <c r="D2002">
        <v>1</v>
      </c>
      <c r="E2002" t="s">
        <v>76</v>
      </c>
      <c r="F2002" t="s">
        <v>6617</v>
      </c>
      <c r="I2002" t="s">
        <v>49</v>
      </c>
      <c r="L2002" t="s">
        <v>6618</v>
      </c>
      <c r="M2002" t="s">
        <v>6617</v>
      </c>
      <c r="N2002">
        <v>207</v>
      </c>
      <c r="O2002" t="s">
        <v>6619</v>
      </c>
    </row>
    <row r="2003" spans="1:15" ht="14.5">
      <c r="A2003" t="s">
        <v>29</v>
      </c>
      <c r="B2003">
        <v>1948573</v>
      </c>
      <c r="C2003">
        <v>1949811</v>
      </c>
      <c r="D2003">
        <v>1</v>
      </c>
      <c r="E2003" t="s">
        <v>76</v>
      </c>
      <c r="F2003" t="s">
        <v>6620</v>
      </c>
      <c r="G2003" t="s">
        <v>6621</v>
      </c>
      <c r="I2003" t="s">
        <v>49</v>
      </c>
      <c r="L2003" t="s">
        <v>6622</v>
      </c>
      <c r="M2003" t="s">
        <v>6620</v>
      </c>
      <c r="N2003">
        <v>412</v>
      </c>
      <c r="O2003" t="s">
        <v>6623</v>
      </c>
    </row>
    <row r="2004" spans="1:15" ht="14.5">
      <c r="A2004" t="s">
        <v>29</v>
      </c>
      <c r="B2004">
        <v>1949804</v>
      </c>
      <c r="C2004">
        <v>1950688</v>
      </c>
      <c r="D2004">
        <v>1</v>
      </c>
      <c r="E2004" t="s">
        <v>76</v>
      </c>
      <c r="F2004" t="s">
        <v>6624</v>
      </c>
      <c r="G2004" t="s">
        <v>6625</v>
      </c>
      <c r="I2004" t="s">
        <v>49</v>
      </c>
      <c r="L2004" t="s">
        <v>6626</v>
      </c>
      <c r="M2004" t="s">
        <v>6624</v>
      </c>
      <c r="N2004">
        <v>294</v>
      </c>
      <c r="O2004" t="s">
        <v>6627</v>
      </c>
    </row>
    <row r="2005" spans="1:15" ht="14.5">
      <c r="A2005" t="s">
        <v>29</v>
      </c>
      <c r="B2005">
        <v>1950809</v>
      </c>
      <c r="C2005">
        <v>1950979</v>
      </c>
      <c r="D2005">
        <v>1</v>
      </c>
      <c r="E2005" t="s">
        <v>47</v>
      </c>
      <c r="F2005" t="s">
        <v>6628</v>
      </c>
      <c r="I2005" t="s">
        <v>49</v>
      </c>
      <c r="L2005" t="s">
        <v>6629</v>
      </c>
      <c r="M2005" t="s">
        <v>6628</v>
      </c>
      <c r="N2005">
        <v>56</v>
      </c>
      <c r="O2005" t="s">
        <v>6630</v>
      </c>
    </row>
    <row r="2006" spans="1:15" ht="14.5">
      <c r="A2006" t="s">
        <v>29</v>
      </c>
      <c r="B2006">
        <v>1951027</v>
      </c>
      <c r="C2006">
        <v>1951866</v>
      </c>
      <c r="D2006">
        <v>1</v>
      </c>
      <c r="E2006" t="s">
        <v>76</v>
      </c>
      <c r="F2006" t="s">
        <v>6631</v>
      </c>
      <c r="G2006" t="s">
        <v>6632</v>
      </c>
      <c r="I2006" t="s">
        <v>49</v>
      </c>
      <c r="L2006" t="s">
        <v>6633</v>
      </c>
      <c r="M2006" t="s">
        <v>6631</v>
      </c>
      <c r="N2006">
        <v>279</v>
      </c>
      <c r="O2006" t="s">
        <v>6634</v>
      </c>
    </row>
    <row r="2007" spans="1:15" ht="14.5">
      <c r="A2007" t="s">
        <v>29</v>
      </c>
      <c r="B2007">
        <v>1951963</v>
      </c>
      <c r="C2007">
        <v>1952922</v>
      </c>
      <c r="D2007">
        <v>1</v>
      </c>
      <c r="E2007" t="s">
        <v>76</v>
      </c>
      <c r="F2007" t="s">
        <v>4720</v>
      </c>
      <c r="G2007" t="s">
        <v>6635</v>
      </c>
      <c r="I2007" t="s">
        <v>49</v>
      </c>
      <c r="L2007" t="s">
        <v>6636</v>
      </c>
      <c r="M2007" t="s">
        <v>4720</v>
      </c>
      <c r="N2007">
        <v>319</v>
      </c>
      <c r="O2007" t="s">
        <v>6637</v>
      </c>
    </row>
    <row r="2008" spans="1:15" ht="14.5">
      <c r="A2008" t="s">
        <v>29</v>
      </c>
      <c r="B2008">
        <v>1953049</v>
      </c>
      <c r="C2008">
        <v>1953663</v>
      </c>
      <c r="D2008">
        <v>1</v>
      </c>
      <c r="E2008" t="s">
        <v>76</v>
      </c>
      <c r="F2008" t="s">
        <v>4431</v>
      </c>
      <c r="G2008" t="s">
        <v>6638</v>
      </c>
      <c r="I2008" t="s">
        <v>49</v>
      </c>
      <c r="L2008" t="s">
        <v>6639</v>
      </c>
      <c r="M2008" t="s">
        <v>4431</v>
      </c>
      <c r="N2008">
        <v>204</v>
      </c>
      <c r="O2008" t="s">
        <v>6640</v>
      </c>
    </row>
    <row r="2009" spans="1:15" ht="14.5">
      <c r="A2009" t="s">
        <v>29</v>
      </c>
      <c r="B2009">
        <v>1953678</v>
      </c>
      <c r="C2009">
        <v>1954046</v>
      </c>
      <c r="D2009">
        <v>1</v>
      </c>
      <c r="E2009" t="s">
        <v>76</v>
      </c>
      <c r="F2009" t="s">
        <v>4431</v>
      </c>
      <c r="I2009" t="s">
        <v>49</v>
      </c>
      <c r="L2009" t="s">
        <v>6641</v>
      </c>
      <c r="M2009" t="s">
        <v>4431</v>
      </c>
      <c r="N2009">
        <v>122</v>
      </c>
      <c r="O2009" t="s">
        <v>6642</v>
      </c>
    </row>
    <row r="2010" spans="1:15" ht="14.5">
      <c r="A2010" t="s">
        <v>29</v>
      </c>
      <c r="B2010">
        <v>1954096</v>
      </c>
      <c r="C2010">
        <v>1954713</v>
      </c>
      <c r="D2010">
        <v>1</v>
      </c>
      <c r="E2010" t="s">
        <v>76</v>
      </c>
      <c r="F2010" t="s">
        <v>6643</v>
      </c>
      <c r="I2010" t="s">
        <v>49</v>
      </c>
      <c r="L2010" t="s">
        <v>6644</v>
      </c>
      <c r="M2010" t="s">
        <v>6643</v>
      </c>
      <c r="N2010">
        <v>205</v>
      </c>
      <c r="O2010" t="s">
        <v>6645</v>
      </c>
    </row>
    <row r="2011" spans="1:15" ht="14.5">
      <c r="A2011" t="s">
        <v>29</v>
      </c>
      <c r="B2011">
        <v>1954714</v>
      </c>
      <c r="C2011">
        <v>1956435</v>
      </c>
      <c r="D2011">
        <v>1</v>
      </c>
      <c r="E2011" t="s">
        <v>76</v>
      </c>
      <c r="F2011" t="s">
        <v>6646</v>
      </c>
      <c r="G2011" t="s">
        <v>6647</v>
      </c>
      <c r="I2011" t="s">
        <v>49</v>
      </c>
      <c r="L2011" t="s">
        <v>6648</v>
      </c>
      <c r="M2011" t="s">
        <v>6646</v>
      </c>
      <c r="N2011">
        <v>573</v>
      </c>
      <c r="O2011" t="s">
        <v>6649</v>
      </c>
    </row>
    <row r="2012" spans="1:15" ht="14.5">
      <c r="A2012" t="s">
        <v>29</v>
      </c>
      <c r="B2012">
        <v>1956496</v>
      </c>
      <c r="C2012">
        <v>1962138</v>
      </c>
      <c r="D2012">
        <v>1</v>
      </c>
      <c r="E2012" t="s">
        <v>76</v>
      </c>
      <c r="F2012" t="s">
        <v>6650</v>
      </c>
      <c r="G2012" t="s">
        <v>6651</v>
      </c>
      <c r="I2012" t="s">
        <v>49</v>
      </c>
      <c r="L2012" t="s">
        <v>6652</v>
      </c>
      <c r="M2012" t="s">
        <v>6650</v>
      </c>
      <c r="N2012">
        <v>1880</v>
      </c>
      <c r="O2012" t="s">
        <v>6653</v>
      </c>
    </row>
    <row r="2013" spans="1:15" ht="14.5">
      <c r="A2013" t="s">
        <v>29</v>
      </c>
      <c r="B2013">
        <v>1962160</v>
      </c>
      <c r="C2013">
        <v>1962723</v>
      </c>
      <c r="D2013">
        <v>1</v>
      </c>
      <c r="E2013" t="s">
        <v>76</v>
      </c>
      <c r="F2013" t="s">
        <v>6654</v>
      </c>
      <c r="I2013" t="s">
        <v>49</v>
      </c>
      <c r="L2013" t="s">
        <v>6655</v>
      </c>
      <c r="M2013" t="s">
        <v>6654</v>
      </c>
      <c r="N2013">
        <v>187</v>
      </c>
      <c r="O2013" t="s">
        <v>6656</v>
      </c>
    </row>
    <row r="2014" spans="1:15" ht="14.5">
      <c r="A2014" t="s">
        <v>29</v>
      </c>
      <c r="B2014">
        <v>1962839</v>
      </c>
      <c r="C2014">
        <v>1964530</v>
      </c>
      <c r="D2014">
        <v>1</v>
      </c>
      <c r="E2014" t="s">
        <v>76</v>
      </c>
      <c r="F2014" t="s">
        <v>409</v>
      </c>
      <c r="G2014" t="s">
        <v>6657</v>
      </c>
      <c r="I2014" t="s">
        <v>49</v>
      </c>
      <c r="L2014" t="s">
        <v>6658</v>
      </c>
      <c r="M2014" t="s">
        <v>409</v>
      </c>
      <c r="N2014">
        <v>563</v>
      </c>
      <c r="O2014" t="s">
        <v>6659</v>
      </c>
    </row>
    <row r="2015" spans="1:15" ht="14.5">
      <c r="A2015" t="s">
        <v>29</v>
      </c>
      <c r="B2015">
        <v>1964527</v>
      </c>
      <c r="C2015">
        <v>1965264</v>
      </c>
      <c r="D2015">
        <v>1</v>
      </c>
      <c r="E2015" t="s">
        <v>76</v>
      </c>
      <c r="F2015" t="s">
        <v>1943</v>
      </c>
      <c r="I2015" t="s">
        <v>49</v>
      </c>
      <c r="L2015" t="s">
        <v>6660</v>
      </c>
      <c r="M2015" t="s">
        <v>1943</v>
      </c>
      <c r="N2015">
        <v>245</v>
      </c>
      <c r="O2015" t="s">
        <v>6661</v>
      </c>
    </row>
    <row r="2016" spans="1:15" ht="14.5">
      <c r="A2016" t="s">
        <v>29</v>
      </c>
      <c r="B2016">
        <v>1965532</v>
      </c>
      <c r="C2016">
        <v>1966644</v>
      </c>
      <c r="D2016">
        <v>1</v>
      </c>
      <c r="E2016" t="s">
        <v>76</v>
      </c>
      <c r="F2016" t="s">
        <v>6662</v>
      </c>
      <c r="G2016" t="s">
        <v>6663</v>
      </c>
      <c r="I2016" t="s">
        <v>49</v>
      </c>
      <c r="L2016" t="s">
        <v>6664</v>
      </c>
      <c r="M2016" t="s">
        <v>6662</v>
      </c>
      <c r="N2016">
        <v>370</v>
      </c>
      <c r="O2016" t="s">
        <v>6665</v>
      </c>
    </row>
    <row r="2017" spans="1:15" ht="14.5">
      <c r="A2017" t="s">
        <v>29</v>
      </c>
      <c r="B2017">
        <v>1966655</v>
      </c>
      <c r="C2017">
        <v>1967221</v>
      </c>
      <c r="D2017">
        <v>1</v>
      </c>
      <c r="E2017" t="s">
        <v>76</v>
      </c>
      <c r="F2017" t="s">
        <v>3351</v>
      </c>
      <c r="I2017" t="s">
        <v>49</v>
      </c>
      <c r="L2017" t="s">
        <v>6666</v>
      </c>
      <c r="M2017" t="s">
        <v>3351</v>
      </c>
      <c r="N2017">
        <v>188</v>
      </c>
      <c r="O2017" t="s">
        <v>6667</v>
      </c>
    </row>
    <row r="2018" spans="1:15" ht="14.5">
      <c r="A2018" t="s">
        <v>29</v>
      </c>
      <c r="B2018">
        <v>1967241</v>
      </c>
      <c r="C2018">
        <v>1967951</v>
      </c>
      <c r="D2018">
        <v>1</v>
      </c>
      <c r="E2018" t="s">
        <v>76</v>
      </c>
      <c r="F2018" t="s">
        <v>6668</v>
      </c>
      <c r="G2018" t="s">
        <v>6669</v>
      </c>
      <c r="I2018" t="s">
        <v>49</v>
      </c>
      <c r="L2018" t="s">
        <v>6670</v>
      </c>
      <c r="M2018" t="s">
        <v>6668</v>
      </c>
      <c r="N2018">
        <v>236</v>
      </c>
      <c r="O2018" t="s">
        <v>6671</v>
      </c>
    </row>
    <row r="2019" spans="1:15" ht="14.5">
      <c r="A2019" t="s">
        <v>29</v>
      </c>
      <c r="B2019">
        <v>1968162</v>
      </c>
      <c r="C2019">
        <v>1969022</v>
      </c>
      <c r="D2019">
        <v>1</v>
      </c>
      <c r="E2019" t="s">
        <v>76</v>
      </c>
      <c r="F2019" t="s">
        <v>6672</v>
      </c>
      <c r="I2019" t="s">
        <v>49</v>
      </c>
      <c r="L2019" t="s">
        <v>6673</v>
      </c>
      <c r="M2019" t="s">
        <v>6672</v>
      </c>
      <c r="N2019">
        <v>286</v>
      </c>
      <c r="O2019" t="s">
        <v>6674</v>
      </c>
    </row>
    <row r="2020" spans="1:15" ht="14.5">
      <c r="A2020" t="s">
        <v>29</v>
      </c>
      <c r="B2020">
        <v>1969201</v>
      </c>
      <c r="C2020">
        <v>1971255</v>
      </c>
      <c r="D2020">
        <v>1</v>
      </c>
      <c r="E2020" t="s">
        <v>76</v>
      </c>
      <c r="F2020" t="s">
        <v>6675</v>
      </c>
      <c r="G2020" t="s">
        <v>6676</v>
      </c>
      <c r="I2020" t="s">
        <v>49</v>
      </c>
      <c r="L2020" t="s">
        <v>6677</v>
      </c>
      <c r="M2020" t="s">
        <v>6675</v>
      </c>
      <c r="N2020">
        <v>684</v>
      </c>
      <c r="O2020" t="s">
        <v>6678</v>
      </c>
    </row>
    <row r="2021" spans="1:15" ht="14.5">
      <c r="A2021" t="s">
        <v>29</v>
      </c>
      <c r="B2021">
        <v>1971267</v>
      </c>
      <c r="C2021">
        <v>1971521</v>
      </c>
      <c r="D2021">
        <v>1</v>
      </c>
      <c r="E2021" t="s">
        <v>76</v>
      </c>
      <c r="F2021" t="s">
        <v>176</v>
      </c>
      <c r="I2021" t="s">
        <v>49</v>
      </c>
      <c r="L2021" t="s">
        <v>6679</v>
      </c>
      <c r="M2021" t="s">
        <v>176</v>
      </c>
      <c r="N2021">
        <v>84</v>
      </c>
      <c r="O2021" t="s">
        <v>6680</v>
      </c>
    </row>
    <row r="2022" spans="1:15" ht="14.5">
      <c r="A2022" t="s">
        <v>29</v>
      </c>
      <c r="B2022">
        <v>1971514</v>
      </c>
      <c r="C2022">
        <v>1972071</v>
      </c>
      <c r="D2022">
        <v>1</v>
      </c>
      <c r="E2022" t="s">
        <v>76</v>
      </c>
      <c r="F2022" t="s">
        <v>3476</v>
      </c>
      <c r="I2022" t="s">
        <v>49</v>
      </c>
      <c r="L2022" t="s">
        <v>6681</v>
      </c>
      <c r="M2022" t="s">
        <v>3476</v>
      </c>
      <c r="N2022">
        <v>185</v>
      </c>
      <c r="O2022" t="s">
        <v>6682</v>
      </c>
    </row>
    <row r="2023" spans="1:15" ht="14.5">
      <c r="A2023" t="s">
        <v>29</v>
      </c>
      <c r="B2023">
        <v>1972055</v>
      </c>
      <c r="C2023">
        <v>1972501</v>
      </c>
      <c r="D2023">
        <v>1</v>
      </c>
      <c r="E2023" t="s">
        <v>76</v>
      </c>
      <c r="F2023" t="s">
        <v>6683</v>
      </c>
      <c r="I2023" t="s">
        <v>49</v>
      </c>
      <c r="L2023" t="s">
        <v>6684</v>
      </c>
      <c r="M2023" t="s">
        <v>6683</v>
      </c>
      <c r="N2023">
        <v>148</v>
      </c>
      <c r="O2023" t="s">
        <v>6685</v>
      </c>
    </row>
    <row r="2024" spans="1:15" ht="14.5">
      <c r="A2024" t="s">
        <v>29</v>
      </c>
      <c r="B2024">
        <v>1972502</v>
      </c>
      <c r="C2024">
        <v>1973032</v>
      </c>
      <c r="D2024">
        <v>1</v>
      </c>
      <c r="E2024" t="s">
        <v>76</v>
      </c>
      <c r="F2024" t="s">
        <v>6686</v>
      </c>
      <c r="I2024" t="s">
        <v>49</v>
      </c>
      <c r="L2024" t="s">
        <v>6687</v>
      </c>
      <c r="M2024" t="s">
        <v>6686</v>
      </c>
      <c r="N2024">
        <v>176</v>
      </c>
      <c r="O2024" t="s">
        <v>6688</v>
      </c>
    </row>
    <row r="2025" spans="1:15" ht="14.5">
      <c r="A2025" t="s">
        <v>29</v>
      </c>
      <c r="B2025">
        <v>1973103</v>
      </c>
      <c r="C2025">
        <v>1973462</v>
      </c>
      <c r="D2025">
        <v>1</v>
      </c>
      <c r="E2025" t="s">
        <v>47</v>
      </c>
      <c r="F2025" t="s">
        <v>769</v>
      </c>
      <c r="I2025" t="s">
        <v>49</v>
      </c>
      <c r="L2025" t="s">
        <v>6689</v>
      </c>
      <c r="M2025" t="s">
        <v>769</v>
      </c>
      <c r="N2025">
        <v>119</v>
      </c>
      <c r="O2025" t="s">
        <v>6690</v>
      </c>
    </row>
    <row r="2026" spans="1:15" ht="14.5">
      <c r="A2026" t="s">
        <v>29</v>
      </c>
      <c r="B2026">
        <v>1973673</v>
      </c>
      <c r="C2026">
        <v>1973918</v>
      </c>
      <c r="D2026">
        <v>1</v>
      </c>
      <c r="E2026" t="s">
        <v>47</v>
      </c>
      <c r="F2026" t="s">
        <v>483</v>
      </c>
      <c r="I2026" t="s">
        <v>49</v>
      </c>
      <c r="L2026" t="s">
        <v>6691</v>
      </c>
      <c r="M2026" t="s">
        <v>483</v>
      </c>
      <c r="N2026">
        <v>81</v>
      </c>
      <c r="O2026" t="s">
        <v>6692</v>
      </c>
    </row>
    <row r="2027" spans="1:15" ht="14.5">
      <c r="A2027" t="s">
        <v>29</v>
      </c>
      <c r="B2027">
        <v>1973906</v>
      </c>
      <c r="C2027">
        <v>1974529</v>
      </c>
      <c r="D2027">
        <v>1</v>
      </c>
      <c r="E2027" t="s">
        <v>47</v>
      </c>
      <c r="F2027" t="s">
        <v>483</v>
      </c>
      <c r="I2027" t="s">
        <v>49</v>
      </c>
      <c r="L2027" t="s">
        <v>6693</v>
      </c>
      <c r="M2027" t="s">
        <v>483</v>
      </c>
      <c r="N2027">
        <v>207</v>
      </c>
      <c r="O2027" t="s">
        <v>6694</v>
      </c>
    </row>
    <row r="2028" spans="1:15" ht="14.5">
      <c r="A2028" t="s">
        <v>29</v>
      </c>
      <c r="B2028">
        <v>1974777</v>
      </c>
      <c r="C2028">
        <v>1981478</v>
      </c>
      <c r="D2028">
        <v>1</v>
      </c>
      <c r="E2028" t="s">
        <v>76</v>
      </c>
      <c r="F2028" t="s">
        <v>6695</v>
      </c>
      <c r="G2028" t="s">
        <v>6696</v>
      </c>
      <c r="I2028" t="s">
        <v>49</v>
      </c>
      <c r="L2028" t="s">
        <v>6697</v>
      </c>
      <c r="M2028" t="s">
        <v>6695</v>
      </c>
      <c r="N2028">
        <v>2233</v>
      </c>
      <c r="O2028" t="s">
        <v>6698</v>
      </c>
    </row>
    <row r="2029" spans="1:15" ht="14.5">
      <c r="A2029" t="s">
        <v>29</v>
      </c>
      <c r="B2029">
        <v>1981738</v>
      </c>
      <c r="C2029">
        <v>1983213</v>
      </c>
      <c r="D2029">
        <v>1</v>
      </c>
      <c r="E2029" t="s">
        <v>76</v>
      </c>
      <c r="F2029" t="s">
        <v>6699</v>
      </c>
      <c r="G2029" t="s">
        <v>6700</v>
      </c>
      <c r="I2029" t="s">
        <v>49</v>
      </c>
      <c r="L2029" t="s">
        <v>6701</v>
      </c>
      <c r="M2029" t="s">
        <v>6699</v>
      </c>
      <c r="N2029">
        <v>491</v>
      </c>
      <c r="O2029" t="s">
        <v>6702</v>
      </c>
    </row>
    <row r="2030" spans="1:15" ht="14.5">
      <c r="A2030" t="s">
        <v>29</v>
      </c>
      <c r="B2030">
        <v>1983261</v>
      </c>
      <c r="C2030">
        <v>1983566</v>
      </c>
      <c r="D2030">
        <v>1</v>
      </c>
      <c r="E2030" t="s">
        <v>76</v>
      </c>
      <c r="F2030" t="s">
        <v>6703</v>
      </c>
      <c r="I2030" t="s">
        <v>49</v>
      </c>
      <c r="L2030" t="s">
        <v>6704</v>
      </c>
      <c r="M2030" t="s">
        <v>6703</v>
      </c>
      <c r="N2030">
        <v>101</v>
      </c>
      <c r="O2030" t="s">
        <v>6705</v>
      </c>
    </row>
    <row r="2031" spans="1:15" ht="14.5">
      <c r="A2031" t="s">
        <v>29</v>
      </c>
      <c r="B2031">
        <v>1983604</v>
      </c>
      <c r="C2031">
        <v>1984080</v>
      </c>
      <c r="D2031">
        <v>1</v>
      </c>
      <c r="E2031" t="s">
        <v>76</v>
      </c>
      <c r="F2031" t="s">
        <v>2508</v>
      </c>
      <c r="I2031" t="s">
        <v>49</v>
      </c>
      <c r="L2031" t="s">
        <v>6706</v>
      </c>
      <c r="M2031" t="s">
        <v>2508</v>
      </c>
      <c r="N2031">
        <v>158</v>
      </c>
      <c r="O2031" t="s">
        <v>6707</v>
      </c>
    </row>
    <row r="2032" spans="1:15" ht="14.5">
      <c r="A2032" t="s">
        <v>29</v>
      </c>
      <c r="B2032">
        <v>1986468</v>
      </c>
      <c r="C2032">
        <v>1992899</v>
      </c>
      <c r="D2032">
        <v>1</v>
      </c>
      <c r="E2032" t="s">
        <v>76</v>
      </c>
      <c r="F2032" t="s">
        <v>6708</v>
      </c>
      <c r="G2032" t="s">
        <v>6709</v>
      </c>
      <c r="I2032" t="s">
        <v>49</v>
      </c>
      <c r="L2032" t="s">
        <v>6710</v>
      </c>
      <c r="M2032" t="s">
        <v>6708</v>
      </c>
      <c r="N2032">
        <v>2143</v>
      </c>
      <c r="O2032" t="s">
        <v>6711</v>
      </c>
    </row>
    <row r="2033" spans="1:15" ht="14.5">
      <c r="A2033" t="s">
        <v>29</v>
      </c>
      <c r="B2033">
        <v>1993632</v>
      </c>
      <c r="C2033">
        <v>1993829</v>
      </c>
      <c r="D2033">
        <v>1</v>
      </c>
      <c r="E2033" t="s">
        <v>76</v>
      </c>
      <c r="F2033" t="s">
        <v>842</v>
      </c>
      <c r="I2033" t="s">
        <v>49</v>
      </c>
      <c r="L2033" t="s">
        <v>6712</v>
      </c>
      <c r="M2033" t="s">
        <v>842</v>
      </c>
      <c r="N2033">
        <v>65</v>
      </c>
      <c r="O2033" t="s">
        <v>6713</v>
      </c>
    </row>
    <row r="2034" spans="1:15" ht="14.5">
      <c r="A2034" t="s">
        <v>29</v>
      </c>
      <c r="B2034">
        <v>1993814</v>
      </c>
      <c r="C2034">
        <v>1994095</v>
      </c>
      <c r="D2034">
        <v>1</v>
      </c>
      <c r="E2034" t="s">
        <v>76</v>
      </c>
      <c r="F2034" t="s">
        <v>1040</v>
      </c>
      <c r="I2034" t="s">
        <v>49</v>
      </c>
      <c r="L2034" t="s">
        <v>6714</v>
      </c>
      <c r="M2034" t="s">
        <v>1040</v>
      </c>
      <c r="N2034">
        <v>93</v>
      </c>
      <c r="O2034" t="s">
        <v>6715</v>
      </c>
    </row>
    <row r="2035" spans="1:15" ht="14.5">
      <c r="A2035" t="s">
        <v>29</v>
      </c>
      <c r="B2035">
        <v>1994131</v>
      </c>
      <c r="C2035">
        <v>1994916</v>
      </c>
      <c r="D2035">
        <v>1</v>
      </c>
      <c r="E2035" t="s">
        <v>76</v>
      </c>
      <c r="F2035" t="s">
        <v>2828</v>
      </c>
      <c r="I2035" t="s">
        <v>49</v>
      </c>
      <c r="L2035" t="s">
        <v>6716</v>
      </c>
      <c r="M2035" t="s">
        <v>2828</v>
      </c>
      <c r="N2035">
        <v>261</v>
      </c>
      <c r="O2035" t="s">
        <v>6717</v>
      </c>
    </row>
    <row r="2036" spans="1:15" ht="14.5">
      <c r="A2036" t="s">
        <v>29</v>
      </c>
      <c r="B2036">
        <v>1994918</v>
      </c>
      <c r="C2036">
        <v>1995736</v>
      </c>
      <c r="D2036">
        <v>1</v>
      </c>
      <c r="E2036" t="s">
        <v>76</v>
      </c>
      <c r="F2036" t="s">
        <v>65</v>
      </c>
      <c r="I2036" t="s">
        <v>49</v>
      </c>
      <c r="L2036" t="s">
        <v>6718</v>
      </c>
      <c r="M2036" t="s">
        <v>65</v>
      </c>
      <c r="N2036">
        <v>272</v>
      </c>
      <c r="O2036" t="s">
        <v>6719</v>
      </c>
    </row>
    <row r="2037" spans="1:15" ht="14.5">
      <c r="A2037" t="s">
        <v>29</v>
      </c>
      <c r="B2037">
        <v>1995738</v>
      </c>
      <c r="C2037">
        <v>1996730</v>
      </c>
      <c r="D2037">
        <v>1</v>
      </c>
      <c r="E2037" t="s">
        <v>76</v>
      </c>
      <c r="F2037" t="s">
        <v>6720</v>
      </c>
      <c r="G2037" t="s">
        <v>6721</v>
      </c>
      <c r="I2037" t="s">
        <v>49</v>
      </c>
      <c r="L2037" t="s">
        <v>6722</v>
      </c>
      <c r="M2037" t="s">
        <v>6720</v>
      </c>
      <c r="N2037">
        <v>330</v>
      </c>
      <c r="O2037" t="s">
        <v>6723</v>
      </c>
    </row>
    <row r="2038" spans="1:15" ht="14.5">
      <c r="A2038" t="s">
        <v>29</v>
      </c>
      <c r="B2038">
        <v>1998942</v>
      </c>
      <c r="C2038">
        <v>1999631</v>
      </c>
      <c r="D2038">
        <v>1</v>
      </c>
      <c r="E2038" t="s">
        <v>76</v>
      </c>
      <c r="F2038" t="s">
        <v>6724</v>
      </c>
      <c r="G2038" t="s">
        <v>6725</v>
      </c>
      <c r="I2038" t="s">
        <v>49</v>
      </c>
      <c r="L2038" t="s">
        <v>6726</v>
      </c>
      <c r="M2038" t="s">
        <v>6724</v>
      </c>
      <c r="N2038">
        <v>229</v>
      </c>
      <c r="O2038" t="s">
        <v>6727</v>
      </c>
    </row>
    <row r="2039" spans="1:15" ht="14.5">
      <c r="A2039" t="s">
        <v>29</v>
      </c>
      <c r="B2039">
        <v>1999839</v>
      </c>
      <c r="C2039">
        <v>2000264</v>
      </c>
      <c r="D2039">
        <v>1</v>
      </c>
      <c r="E2039" t="s">
        <v>76</v>
      </c>
      <c r="F2039" t="s">
        <v>6728</v>
      </c>
      <c r="G2039" t="s">
        <v>6729</v>
      </c>
      <c r="I2039" t="s">
        <v>49</v>
      </c>
      <c r="L2039" t="s">
        <v>6730</v>
      </c>
      <c r="M2039" t="s">
        <v>6728</v>
      </c>
      <c r="N2039">
        <v>141</v>
      </c>
      <c r="O2039" t="s">
        <v>6731</v>
      </c>
    </row>
    <row r="2040" spans="1:15" ht="14.5">
      <c r="A2040" t="s">
        <v>29</v>
      </c>
      <c r="B2040">
        <v>2000573</v>
      </c>
      <c r="C2040">
        <v>2001289</v>
      </c>
      <c r="D2040">
        <v>1</v>
      </c>
      <c r="E2040" t="s">
        <v>76</v>
      </c>
      <c r="F2040" t="s">
        <v>6732</v>
      </c>
      <c r="G2040" t="s">
        <v>6733</v>
      </c>
      <c r="I2040" t="s">
        <v>49</v>
      </c>
      <c r="L2040" t="s">
        <v>6734</v>
      </c>
      <c r="M2040" t="s">
        <v>6732</v>
      </c>
      <c r="N2040">
        <v>238</v>
      </c>
      <c r="O2040" t="s">
        <v>6735</v>
      </c>
    </row>
    <row r="2041" spans="1:15" ht="14.5">
      <c r="A2041" t="s">
        <v>29</v>
      </c>
      <c r="B2041">
        <v>2001370</v>
      </c>
      <c r="C2041">
        <v>2001759</v>
      </c>
      <c r="D2041">
        <v>1</v>
      </c>
      <c r="E2041" t="s">
        <v>76</v>
      </c>
      <c r="F2041" t="s">
        <v>6736</v>
      </c>
      <c r="I2041" t="s">
        <v>49</v>
      </c>
      <c r="L2041" t="s">
        <v>6737</v>
      </c>
      <c r="M2041" t="s">
        <v>6736</v>
      </c>
      <c r="N2041">
        <v>129</v>
      </c>
      <c r="O2041" t="s">
        <v>6738</v>
      </c>
    </row>
    <row r="2042" spans="1:15" ht="14.5">
      <c r="A2042" t="s">
        <v>29</v>
      </c>
      <c r="B2042">
        <v>2001776</v>
      </c>
      <c r="C2042">
        <v>2002174</v>
      </c>
      <c r="D2042">
        <v>1</v>
      </c>
      <c r="E2042" t="s">
        <v>76</v>
      </c>
      <c r="F2042" t="s">
        <v>1490</v>
      </c>
      <c r="I2042" t="s">
        <v>49</v>
      </c>
      <c r="L2042" t="s">
        <v>6739</v>
      </c>
      <c r="M2042" t="s">
        <v>1490</v>
      </c>
      <c r="N2042">
        <v>132</v>
      </c>
      <c r="O2042" t="s">
        <v>6740</v>
      </c>
    </row>
    <row r="2043" spans="1:15" ht="14.5">
      <c r="A2043" t="s">
        <v>29</v>
      </c>
      <c r="B2043">
        <v>2002182</v>
      </c>
      <c r="C2043">
        <v>2002622</v>
      </c>
      <c r="D2043">
        <v>1</v>
      </c>
      <c r="E2043" t="s">
        <v>76</v>
      </c>
      <c r="F2043" t="s">
        <v>6741</v>
      </c>
      <c r="I2043" t="s">
        <v>49</v>
      </c>
      <c r="L2043" t="s">
        <v>6742</v>
      </c>
      <c r="M2043" t="s">
        <v>6741</v>
      </c>
      <c r="N2043">
        <v>146</v>
      </c>
      <c r="O2043" t="s">
        <v>6743</v>
      </c>
    </row>
    <row r="2044" spans="1:15" ht="14.5">
      <c r="A2044" t="s">
        <v>29</v>
      </c>
      <c r="B2044">
        <v>2002624</v>
      </c>
      <c r="C2044">
        <v>2003661</v>
      </c>
      <c r="D2044">
        <v>1</v>
      </c>
      <c r="E2044" t="s">
        <v>76</v>
      </c>
      <c r="F2044" t="s">
        <v>6744</v>
      </c>
      <c r="G2044" t="s">
        <v>6745</v>
      </c>
      <c r="I2044" t="s">
        <v>49</v>
      </c>
      <c r="L2044" t="s">
        <v>6746</v>
      </c>
      <c r="M2044" t="s">
        <v>6744</v>
      </c>
      <c r="N2044">
        <v>345</v>
      </c>
      <c r="O2044" t="s">
        <v>6747</v>
      </c>
    </row>
    <row r="2045" spans="1:15" ht="14.5">
      <c r="A2045" t="s">
        <v>29</v>
      </c>
      <c r="B2045">
        <v>2003759</v>
      </c>
      <c r="C2045">
        <v>2005084</v>
      </c>
      <c r="D2045">
        <v>1</v>
      </c>
      <c r="E2045" t="s">
        <v>76</v>
      </c>
      <c r="F2045" t="s">
        <v>6748</v>
      </c>
      <c r="G2045" t="s">
        <v>6749</v>
      </c>
      <c r="I2045" t="s">
        <v>49</v>
      </c>
      <c r="L2045" t="s">
        <v>6750</v>
      </c>
      <c r="M2045" t="s">
        <v>6748</v>
      </c>
      <c r="N2045">
        <v>441</v>
      </c>
      <c r="O2045" t="s">
        <v>6751</v>
      </c>
    </row>
    <row r="2046" spans="1:15" ht="14.5">
      <c r="A2046" t="s">
        <v>29</v>
      </c>
      <c r="B2046">
        <v>2005390</v>
      </c>
      <c r="C2046">
        <v>2005542</v>
      </c>
      <c r="D2046">
        <v>1</v>
      </c>
      <c r="E2046" t="s">
        <v>76</v>
      </c>
      <c r="F2046" t="s">
        <v>1335</v>
      </c>
      <c r="I2046" t="s">
        <v>49</v>
      </c>
      <c r="L2046" t="s">
        <v>6752</v>
      </c>
      <c r="M2046" t="s">
        <v>1335</v>
      </c>
      <c r="N2046">
        <v>50</v>
      </c>
      <c r="O2046" t="s">
        <v>6753</v>
      </c>
    </row>
    <row r="2047" spans="1:15" ht="14.5">
      <c r="A2047" t="s">
        <v>29</v>
      </c>
      <c r="B2047">
        <v>2005702</v>
      </c>
      <c r="C2047">
        <v>2006280</v>
      </c>
      <c r="D2047">
        <v>1</v>
      </c>
      <c r="E2047" t="s">
        <v>76</v>
      </c>
      <c r="F2047" t="s">
        <v>6754</v>
      </c>
      <c r="I2047" t="s">
        <v>49</v>
      </c>
      <c r="L2047" t="s">
        <v>6755</v>
      </c>
      <c r="M2047" t="s">
        <v>6754</v>
      </c>
      <c r="N2047">
        <v>192</v>
      </c>
      <c r="O2047" t="s">
        <v>6756</v>
      </c>
    </row>
    <row r="2048" spans="1:15" ht="14.5">
      <c r="A2048" t="s">
        <v>29</v>
      </c>
      <c r="B2048">
        <v>2006334</v>
      </c>
      <c r="C2048">
        <v>2007734</v>
      </c>
      <c r="D2048">
        <v>1</v>
      </c>
      <c r="E2048" t="s">
        <v>76</v>
      </c>
      <c r="F2048" t="s">
        <v>6757</v>
      </c>
      <c r="G2048" t="s">
        <v>6758</v>
      </c>
      <c r="I2048" t="s">
        <v>49</v>
      </c>
      <c r="L2048" t="s">
        <v>6759</v>
      </c>
      <c r="M2048" t="s">
        <v>6757</v>
      </c>
      <c r="N2048">
        <v>466</v>
      </c>
      <c r="O2048" t="s">
        <v>6760</v>
      </c>
    </row>
    <row r="2049" spans="1:15" ht="14.5">
      <c r="A2049" t="s">
        <v>29</v>
      </c>
      <c r="B2049">
        <v>2007747</v>
      </c>
      <c r="C2049">
        <v>2008352</v>
      </c>
      <c r="D2049">
        <v>1</v>
      </c>
      <c r="E2049" t="s">
        <v>76</v>
      </c>
      <c r="F2049" t="s">
        <v>6761</v>
      </c>
      <c r="I2049" t="s">
        <v>49</v>
      </c>
      <c r="L2049" t="s">
        <v>6762</v>
      </c>
      <c r="M2049" t="s">
        <v>6761</v>
      </c>
      <c r="N2049">
        <v>201</v>
      </c>
      <c r="O2049" t="s">
        <v>6763</v>
      </c>
    </row>
    <row r="2050" spans="1:15" ht="14.5">
      <c r="A2050" t="s">
        <v>29</v>
      </c>
      <c r="B2050">
        <v>2008523</v>
      </c>
      <c r="C2050">
        <v>2009323</v>
      </c>
      <c r="D2050">
        <v>1</v>
      </c>
      <c r="E2050" t="s">
        <v>47</v>
      </c>
      <c r="F2050" t="s">
        <v>6764</v>
      </c>
      <c r="G2050" t="s">
        <v>6765</v>
      </c>
      <c r="I2050" t="s">
        <v>49</v>
      </c>
      <c r="L2050" t="s">
        <v>6766</v>
      </c>
      <c r="M2050" t="s">
        <v>6764</v>
      </c>
      <c r="N2050">
        <v>266</v>
      </c>
      <c r="O2050" t="s">
        <v>6767</v>
      </c>
    </row>
    <row r="2051" spans="1:15" ht="14.5">
      <c r="A2051" t="s">
        <v>29</v>
      </c>
      <c r="B2051">
        <v>2009505</v>
      </c>
      <c r="C2051">
        <v>2010302</v>
      </c>
      <c r="D2051">
        <v>1</v>
      </c>
      <c r="E2051" t="s">
        <v>76</v>
      </c>
      <c r="F2051" t="s">
        <v>6768</v>
      </c>
      <c r="I2051" t="s">
        <v>49</v>
      </c>
      <c r="L2051" t="s">
        <v>6769</v>
      </c>
      <c r="M2051" t="s">
        <v>6768</v>
      </c>
      <c r="N2051">
        <v>265</v>
      </c>
      <c r="O2051" t="s">
        <v>6770</v>
      </c>
    </row>
    <row r="2052" spans="1:15" ht="14.5">
      <c r="A2052" t="s">
        <v>29</v>
      </c>
      <c r="B2052">
        <v>2010292</v>
      </c>
      <c r="C2052">
        <v>2012136</v>
      </c>
      <c r="D2052">
        <v>1</v>
      </c>
      <c r="E2052" t="s">
        <v>76</v>
      </c>
      <c r="F2052" t="s">
        <v>6771</v>
      </c>
      <c r="G2052" t="s">
        <v>6772</v>
      </c>
      <c r="I2052" t="s">
        <v>49</v>
      </c>
      <c r="L2052" t="s">
        <v>6773</v>
      </c>
      <c r="M2052" t="s">
        <v>6771</v>
      </c>
      <c r="N2052">
        <v>614</v>
      </c>
      <c r="O2052" t="s">
        <v>6774</v>
      </c>
    </row>
    <row r="2053" spans="1:15" ht="14.5">
      <c r="A2053" t="s">
        <v>29</v>
      </c>
      <c r="B2053">
        <v>2012176</v>
      </c>
      <c r="C2053">
        <v>2012877</v>
      </c>
      <c r="D2053">
        <v>1</v>
      </c>
      <c r="E2053" t="s">
        <v>76</v>
      </c>
      <c r="F2053" t="s">
        <v>6775</v>
      </c>
      <c r="I2053" t="s">
        <v>49</v>
      </c>
      <c r="L2053" t="s">
        <v>6776</v>
      </c>
      <c r="M2053" t="s">
        <v>6775</v>
      </c>
      <c r="N2053">
        <v>233</v>
      </c>
      <c r="O2053" t="s">
        <v>6777</v>
      </c>
    </row>
    <row r="2054" spans="1:15" ht="14.5">
      <c r="A2054" t="s">
        <v>29</v>
      </c>
      <c r="B2054">
        <v>2012956</v>
      </c>
      <c r="C2054">
        <v>2014188</v>
      </c>
      <c r="D2054">
        <v>1</v>
      </c>
      <c r="E2054" t="s">
        <v>76</v>
      </c>
      <c r="F2054" t="s">
        <v>6778</v>
      </c>
      <c r="G2054" t="s">
        <v>6779</v>
      </c>
      <c r="I2054" t="s">
        <v>49</v>
      </c>
      <c r="L2054" t="s">
        <v>6780</v>
      </c>
      <c r="M2054" t="s">
        <v>6778</v>
      </c>
      <c r="N2054">
        <v>410</v>
      </c>
      <c r="O2054" t="s">
        <v>6781</v>
      </c>
    </row>
    <row r="2055" spans="1:15" ht="14.5">
      <c r="A2055" t="s">
        <v>29</v>
      </c>
      <c r="B2055">
        <v>2014193</v>
      </c>
      <c r="C2055">
        <v>2015413</v>
      </c>
      <c r="D2055">
        <v>1</v>
      </c>
      <c r="E2055" t="s">
        <v>76</v>
      </c>
      <c r="F2055" t="s">
        <v>6782</v>
      </c>
      <c r="G2055" t="s">
        <v>6783</v>
      </c>
      <c r="I2055" t="s">
        <v>49</v>
      </c>
      <c r="L2055" t="s">
        <v>6784</v>
      </c>
      <c r="M2055" t="s">
        <v>6782</v>
      </c>
      <c r="N2055">
        <v>406</v>
      </c>
      <c r="O2055" t="s">
        <v>6785</v>
      </c>
    </row>
    <row r="2056" spans="1:15" ht="14.5">
      <c r="A2056" t="s">
        <v>29</v>
      </c>
      <c r="B2056">
        <v>2015525</v>
      </c>
      <c r="C2056">
        <v>2016304</v>
      </c>
      <c r="D2056">
        <v>1</v>
      </c>
      <c r="E2056" t="s">
        <v>76</v>
      </c>
      <c r="F2056" t="s">
        <v>5999</v>
      </c>
      <c r="G2056" t="s">
        <v>6786</v>
      </c>
      <c r="I2056" t="s">
        <v>49</v>
      </c>
      <c r="L2056" t="s">
        <v>6787</v>
      </c>
      <c r="M2056" t="s">
        <v>5999</v>
      </c>
      <c r="N2056">
        <v>259</v>
      </c>
      <c r="O2056" t="s">
        <v>6788</v>
      </c>
    </row>
    <row r="2057" spans="1:15" ht="14.5">
      <c r="A2057" t="s">
        <v>29</v>
      </c>
      <c r="B2057">
        <v>2016373</v>
      </c>
      <c r="C2057">
        <v>2018034</v>
      </c>
      <c r="D2057">
        <v>1</v>
      </c>
      <c r="E2057" t="s">
        <v>76</v>
      </c>
      <c r="F2057" t="s">
        <v>3781</v>
      </c>
      <c r="G2057" t="s">
        <v>6789</v>
      </c>
      <c r="I2057" t="s">
        <v>49</v>
      </c>
      <c r="L2057" t="s">
        <v>6790</v>
      </c>
      <c r="M2057" t="s">
        <v>3781</v>
      </c>
      <c r="N2057">
        <v>553</v>
      </c>
      <c r="O2057" t="s">
        <v>6791</v>
      </c>
    </row>
    <row r="2058" spans="1:15" ht="14.5">
      <c r="A2058" t="s">
        <v>29</v>
      </c>
      <c r="B2058">
        <v>2018209</v>
      </c>
      <c r="C2058">
        <v>2020431</v>
      </c>
      <c r="D2058">
        <v>1</v>
      </c>
      <c r="E2058" t="s">
        <v>76</v>
      </c>
      <c r="F2058" t="s">
        <v>6792</v>
      </c>
      <c r="G2058" t="s">
        <v>6793</v>
      </c>
      <c r="I2058" t="s">
        <v>49</v>
      </c>
      <c r="L2058" t="s">
        <v>6794</v>
      </c>
      <c r="M2058" t="s">
        <v>6792</v>
      </c>
      <c r="N2058">
        <v>740</v>
      </c>
      <c r="O2058" t="s">
        <v>6795</v>
      </c>
    </row>
    <row r="2059" spans="1:15" ht="14.5">
      <c r="A2059" t="s">
        <v>29</v>
      </c>
      <c r="B2059">
        <v>2020708</v>
      </c>
      <c r="C2059">
        <v>2021466</v>
      </c>
      <c r="D2059">
        <v>1</v>
      </c>
      <c r="E2059" t="s">
        <v>47</v>
      </c>
      <c r="F2059" t="s">
        <v>4205</v>
      </c>
      <c r="G2059" t="s">
        <v>6796</v>
      </c>
      <c r="I2059" t="s">
        <v>49</v>
      </c>
      <c r="L2059" t="s">
        <v>6797</v>
      </c>
      <c r="M2059" t="s">
        <v>4205</v>
      </c>
      <c r="N2059">
        <v>252</v>
      </c>
      <c r="O2059" t="s">
        <v>6798</v>
      </c>
    </row>
    <row r="2060" spans="1:15" ht="14.5">
      <c r="A2060" t="s">
        <v>29</v>
      </c>
      <c r="B2060">
        <v>2021477</v>
      </c>
      <c r="C2060">
        <v>2022271</v>
      </c>
      <c r="D2060">
        <v>1</v>
      </c>
      <c r="E2060" t="s">
        <v>47</v>
      </c>
      <c r="F2060" t="s">
        <v>6799</v>
      </c>
      <c r="G2060" t="s">
        <v>6800</v>
      </c>
      <c r="I2060" t="s">
        <v>49</v>
      </c>
      <c r="L2060" t="s">
        <v>6801</v>
      </c>
      <c r="M2060" t="s">
        <v>6799</v>
      </c>
      <c r="N2060">
        <v>264</v>
      </c>
      <c r="O2060" t="s">
        <v>6802</v>
      </c>
    </row>
    <row r="2061" spans="1:15" ht="14.5">
      <c r="A2061" t="s">
        <v>29</v>
      </c>
      <c r="B2061">
        <v>2022284</v>
      </c>
      <c r="C2061">
        <v>2022961</v>
      </c>
      <c r="D2061">
        <v>1</v>
      </c>
      <c r="E2061" t="s">
        <v>47</v>
      </c>
      <c r="F2061" t="s">
        <v>6803</v>
      </c>
      <c r="G2061" t="s">
        <v>6804</v>
      </c>
      <c r="I2061" t="s">
        <v>49</v>
      </c>
      <c r="L2061" t="s">
        <v>6805</v>
      </c>
      <c r="M2061" t="s">
        <v>6803</v>
      </c>
      <c r="N2061">
        <v>225</v>
      </c>
      <c r="O2061" t="s">
        <v>6806</v>
      </c>
    </row>
    <row r="2062" spans="1:15" ht="14.5">
      <c r="A2062" t="s">
        <v>29</v>
      </c>
      <c r="B2062">
        <v>2022971</v>
      </c>
      <c r="C2062">
        <v>2023630</v>
      </c>
      <c r="D2062">
        <v>1</v>
      </c>
      <c r="E2062" t="s">
        <v>47</v>
      </c>
      <c r="F2062" t="s">
        <v>6807</v>
      </c>
      <c r="G2062" t="s">
        <v>6808</v>
      </c>
      <c r="I2062" t="s">
        <v>49</v>
      </c>
      <c r="L2062" t="s">
        <v>6809</v>
      </c>
      <c r="M2062" t="s">
        <v>6807</v>
      </c>
      <c r="N2062">
        <v>219</v>
      </c>
      <c r="O2062" t="s">
        <v>6810</v>
      </c>
    </row>
    <row r="2063" spans="1:15" ht="14.5">
      <c r="A2063" t="s">
        <v>29</v>
      </c>
      <c r="B2063">
        <v>2023879</v>
      </c>
      <c r="C2063">
        <v>2025069</v>
      </c>
      <c r="D2063">
        <v>1</v>
      </c>
      <c r="E2063" t="s">
        <v>47</v>
      </c>
      <c r="F2063" t="s">
        <v>6811</v>
      </c>
      <c r="G2063" t="s">
        <v>6812</v>
      </c>
      <c r="I2063" t="s">
        <v>49</v>
      </c>
      <c r="L2063" t="s">
        <v>6813</v>
      </c>
      <c r="M2063" t="s">
        <v>6811</v>
      </c>
      <c r="N2063">
        <v>396</v>
      </c>
      <c r="O2063" t="s">
        <v>6814</v>
      </c>
    </row>
    <row r="2064" spans="1:15" ht="14.5">
      <c r="A2064" t="s">
        <v>29</v>
      </c>
      <c r="B2064">
        <v>2025390</v>
      </c>
      <c r="C2064">
        <v>2026271</v>
      </c>
      <c r="D2064">
        <v>1</v>
      </c>
      <c r="E2064" t="s">
        <v>76</v>
      </c>
      <c r="F2064" t="s">
        <v>6815</v>
      </c>
      <c r="G2064" t="s">
        <v>6816</v>
      </c>
      <c r="I2064" t="s">
        <v>49</v>
      </c>
      <c r="L2064" t="s">
        <v>6817</v>
      </c>
      <c r="M2064" t="s">
        <v>6815</v>
      </c>
      <c r="N2064">
        <v>293</v>
      </c>
      <c r="O2064" t="s">
        <v>6818</v>
      </c>
    </row>
    <row r="2065" spans="1:15" ht="14.5">
      <c r="A2065" t="s">
        <v>29</v>
      </c>
      <c r="B2065">
        <v>2026412</v>
      </c>
      <c r="C2065">
        <v>2027740</v>
      </c>
      <c r="D2065">
        <v>1</v>
      </c>
      <c r="E2065" t="s">
        <v>76</v>
      </c>
      <c r="F2065" t="s">
        <v>6819</v>
      </c>
      <c r="G2065" t="s">
        <v>6820</v>
      </c>
      <c r="I2065" t="s">
        <v>49</v>
      </c>
      <c r="L2065" t="s">
        <v>6821</v>
      </c>
      <c r="M2065" t="s">
        <v>6819</v>
      </c>
      <c r="N2065">
        <v>442</v>
      </c>
      <c r="O2065" t="s">
        <v>6822</v>
      </c>
    </row>
    <row r="2066" spans="1:15" ht="14.5">
      <c r="A2066" t="s">
        <v>29</v>
      </c>
      <c r="B2066">
        <v>2027737</v>
      </c>
      <c r="C2066">
        <v>2028393</v>
      </c>
      <c r="D2066">
        <v>1</v>
      </c>
      <c r="E2066" t="s">
        <v>76</v>
      </c>
      <c r="F2066" t="s">
        <v>6823</v>
      </c>
      <c r="G2066" t="s">
        <v>6824</v>
      </c>
      <c r="I2066" t="s">
        <v>49</v>
      </c>
      <c r="L2066" t="s">
        <v>6825</v>
      </c>
      <c r="M2066" t="s">
        <v>6823</v>
      </c>
      <c r="N2066">
        <v>218</v>
      </c>
      <c r="O2066" t="s">
        <v>6826</v>
      </c>
    </row>
    <row r="2067" spans="1:15" ht="14.5">
      <c r="A2067" t="s">
        <v>29</v>
      </c>
      <c r="B2067">
        <v>2028706</v>
      </c>
      <c r="C2067">
        <v>2030085</v>
      </c>
      <c r="D2067">
        <v>1</v>
      </c>
      <c r="E2067" t="s">
        <v>76</v>
      </c>
      <c r="F2067" t="s">
        <v>6827</v>
      </c>
      <c r="I2067" t="s">
        <v>49</v>
      </c>
      <c r="L2067" t="s">
        <v>6828</v>
      </c>
      <c r="M2067" t="s">
        <v>6827</v>
      </c>
      <c r="N2067">
        <v>459</v>
      </c>
      <c r="O2067" t="s">
        <v>6829</v>
      </c>
    </row>
    <row r="2068" spans="1:15" ht="14.5">
      <c r="A2068" t="s">
        <v>29</v>
      </c>
      <c r="B2068">
        <v>2030137</v>
      </c>
      <c r="C2068">
        <v>2030784</v>
      </c>
      <c r="D2068">
        <v>1</v>
      </c>
      <c r="E2068" t="s">
        <v>76</v>
      </c>
      <c r="F2068" t="s">
        <v>6830</v>
      </c>
      <c r="G2068" t="s">
        <v>6831</v>
      </c>
      <c r="I2068" t="s">
        <v>49</v>
      </c>
      <c r="L2068" t="s">
        <v>6832</v>
      </c>
      <c r="M2068" t="s">
        <v>6830</v>
      </c>
      <c r="N2068">
        <v>215</v>
      </c>
      <c r="O2068" t="s">
        <v>6833</v>
      </c>
    </row>
    <row r="2069" spans="1:15" ht="14.5">
      <c r="A2069" t="s">
        <v>29</v>
      </c>
      <c r="B2069">
        <v>2030797</v>
      </c>
      <c r="C2069">
        <v>2032074</v>
      </c>
      <c r="D2069">
        <v>1</v>
      </c>
      <c r="E2069" t="s">
        <v>76</v>
      </c>
      <c r="F2069" t="s">
        <v>140</v>
      </c>
      <c r="G2069" t="s">
        <v>6834</v>
      </c>
      <c r="I2069" t="s">
        <v>49</v>
      </c>
      <c r="L2069" t="s">
        <v>6835</v>
      </c>
      <c r="M2069" t="s">
        <v>140</v>
      </c>
      <c r="N2069">
        <v>425</v>
      </c>
      <c r="O2069" t="s">
        <v>6836</v>
      </c>
    </row>
    <row r="2070" spans="1:15" ht="14.5">
      <c r="A2070" t="s">
        <v>29</v>
      </c>
      <c r="B2070">
        <v>2032743</v>
      </c>
      <c r="C2070">
        <v>2033120</v>
      </c>
      <c r="D2070">
        <v>1</v>
      </c>
      <c r="E2070" t="s">
        <v>76</v>
      </c>
      <c r="F2070" t="s">
        <v>6837</v>
      </c>
      <c r="I2070" t="s">
        <v>49</v>
      </c>
      <c r="L2070" t="s">
        <v>6838</v>
      </c>
      <c r="M2070" t="s">
        <v>6837</v>
      </c>
      <c r="N2070">
        <v>125</v>
      </c>
      <c r="O2070" t="s">
        <v>6839</v>
      </c>
    </row>
    <row r="2071" spans="1:15" ht="14.5">
      <c r="A2071" t="s">
        <v>29</v>
      </c>
      <c r="B2071">
        <v>2033479</v>
      </c>
      <c r="C2071">
        <v>2034363</v>
      </c>
      <c r="D2071">
        <v>1</v>
      </c>
      <c r="E2071" t="s">
        <v>76</v>
      </c>
      <c r="F2071" t="s">
        <v>6840</v>
      </c>
      <c r="G2071" t="s">
        <v>6841</v>
      </c>
      <c r="I2071" t="s">
        <v>49</v>
      </c>
      <c r="L2071" t="s">
        <v>6842</v>
      </c>
      <c r="M2071" t="s">
        <v>6840</v>
      </c>
      <c r="N2071">
        <v>294</v>
      </c>
      <c r="O2071" t="s">
        <v>6843</v>
      </c>
    </row>
    <row r="2072" spans="1:15" ht="14.5">
      <c r="A2072" t="s">
        <v>29</v>
      </c>
      <c r="B2072">
        <v>2034367</v>
      </c>
      <c r="C2072">
        <v>2034753</v>
      </c>
      <c r="D2072">
        <v>1</v>
      </c>
      <c r="E2072" t="s">
        <v>76</v>
      </c>
      <c r="F2072" t="s">
        <v>6844</v>
      </c>
      <c r="G2072" t="s">
        <v>6845</v>
      </c>
      <c r="I2072" t="s">
        <v>49</v>
      </c>
      <c r="L2072" t="s">
        <v>6846</v>
      </c>
      <c r="M2072" t="s">
        <v>6844</v>
      </c>
      <c r="N2072">
        <v>128</v>
      </c>
      <c r="O2072" t="s">
        <v>6847</v>
      </c>
    </row>
    <row r="2073" spans="1:15" ht="14.5">
      <c r="A2073" t="s">
        <v>29</v>
      </c>
      <c r="B2073">
        <v>2034746</v>
      </c>
      <c r="C2073">
        <v>2036089</v>
      </c>
      <c r="D2073">
        <v>1</v>
      </c>
      <c r="E2073" t="s">
        <v>76</v>
      </c>
      <c r="F2073" t="s">
        <v>6848</v>
      </c>
      <c r="G2073" t="s">
        <v>6849</v>
      </c>
      <c r="I2073" t="s">
        <v>49</v>
      </c>
      <c r="L2073" t="s">
        <v>6850</v>
      </c>
      <c r="M2073" t="s">
        <v>6848</v>
      </c>
      <c r="N2073">
        <v>447</v>
      </c>
      <c r="O2073" t="s">
        <v>6851</v>
      </c>
    </row>
    <row r="2074" spans="1:15" ht="14.5">
      <c r="A2074" t="s">
        <v>29</v>
      </c>
      <c r="B2074">
        <v>2036171</v>
      </c>
      <c r="C2074">
        <v>2037055</v>
      </c>
      <c r="D2074">
        <v>1</v>
      </c>
      <c r="E2074" t="s">
        <v>76</v>
      </c>
      <c r="F2074" t="s">
        <v>1040</v>
      </c>
      <c r="I2074" t="s">
        <v>49</v>
      </c>
      <c r="L2074" t="s">
        <v>6852</v>
      </c>
      <c r="M2074" t="s">
        <v>1040</v>
      </c>
      <c r="N2074">
        <v>294</v>
      </c>
      <c r="O2074" t="s">
        <v>6853</v>
      </c>
    </row>
    <row r="2075" spans="1:15" ht="14.5">
      <c r="A2075" t="s">
        <v>29</v>
      </c>
      <c r="B2075">
        <v>2037067</v>
      </c>
      <c r="C2075">
        <v>2037684</v>
      </c>
      <c r="D2075">
        <v>1</v>
      </c>
      <c r="E2075" t="s">
        <v>76</v>
      </c>
      <c r="F2075" t="s">
        <v>6854</v>
      </c>
      <c r="G2075" t="s">
        <v>6855</v>
      </c>
      <c r="I2075" t="s">
        <v>49</v>
      </c>
      <c r="L2075" t="s">
        <v>6856</v>
      </c>
      <c r="M2075" t="s">
        <v>6854</v>
      </c>
      <c r="N2075">
        <v>205</v>
      </c>
      <c r="O2075" t="s">
        <v>6857</v>
      </c>
    </row>
    <row r="2076" spans="1:15" ht="14.5">
      <c r="A2076" t="s">
        <v>29</v>
      </c>
      <c r="B2076">
        <v>2037700</v>
      </c>
      <c r="C2076">
        <v>2039913</v>
      </c>
      <c r="D2076">
        <v>1</v>
      </c>
      <c r="E2076" t="s">
        <v>76</v>
      </c>
      <c r="F2076" t="s">
        <v>6858</v>
      </c>
      <c r="G2076" t="s">
        <v>6859</v>
      </c>
      <c r="I2076" t="s">
        <v>49</v>
      </c>
      <c r="L2076" t="s">
        <v>6860</v>
      </c>
      <c r="M2076" t="s">
        <v>6858</v>
      </c>
      <c r="N2076">
        <v>737</v>
      </c>
      <c r="O2076" t="s">
        <v>6861</v>
      </c>
    </row>
    <row r="2077" spans="1:15" ht="14.5">
      <c r="A2077" t="s">
        <v>29</v>
      </c>
      <c r="B2077">
        <v>2040472</v>
      </c>
      <c r="C2077">
        <v>2041338</v>
      </c>
      <c r="D2077">
        <v>1</v>
      </c>
      <c r="E2077" t="s">
        <v>76</v>
      </c>
      <c r="F2077" t="s">
        <v>6862</v>
      </c>
      <c r="G2077" t="s">
        <v>6863</v>
      </c>
      <c r="I2077" t="s">
        <v>49</v>
      </c>
      <c r="L2077" t="s">
        <v>6864</v>
      </c>
      <c r="M2077" t="s">
        <v>6862</v>
      </c>
      <c r="N2077">
        <v>288</v>
      </c>
      <c r="O2077" t="s">
        <v>6865</v>
      </c>
    </row>
    <row r="2078" spans="1:15" ht="14.5">
      <c r="A2078" t="s">
        <v>29</v>
      </c>
      <c r="B2078">
        <v>2041402</v>
      </c>
      <c r="C2078">
        <v>2043651</v>
      </c>
      <c r="D2078">
        <v>1</v>
      </c>
      <c r="E2078" t="s">
        <v>76</v>
      </c>
      <c r="F2078" t="s">
        <v>6866</v>
      </c>
      <c r="G2078" t="s">
        <v>6867</v>
      </c>
      <c r="I2078" t="s">
        <v>49</v>
      </c>
      <c r="L2078" t="s">
        <v>6868</v>
      </c>
      <c r="M2078" t="s">
        <v>6866</v>
      </c>
      <c r="N2078">
        <v>749</v>
      </c>
      <c r="O2078" t="s">
        <v>6869</v>
      </c>
    </row>
    <row r="2079" spans="1:15" ht="14.5">
      <c r="A2079" t="s">
        <v>29</v>
      </c>
      <c r="B2079">
        <v>2043911</v>
      </c>
      <c r="C2079">
        <v>2044108</v>
      </c>
      <c r="D2079">
        <v>1</v>
      </c>
      <c r="E2079" t="s">
        <v>76</v>
      </c>
      <c r="F2079" t="s">
        <v>6870</v>
      </c>
      <c r="I2079" t="s">
        <v>49</v>
      </c>
      <c r="L2079" t="s">
        <v>6871</v>
      </c>
      <c r="M2079" t="s">
        <v>6870</v>
      </c>
      <c r="N2079">
        <v>65</v>
      </c>
      <c r="O2079" t="s">
        <v>6872</v>
      </c>
    </row>
    <row r="2080" spans="1:15" ht="14.5">
      <c r="A2080" t="s">
        <v>29</v>
      </c>
      <c r="B2080">
        <v>2044448</v>
      </c>
      <c r="C2080">
        <v>2044750</v>
      </c>
      <c r="D2080">
        <v>1</v>
      </c>
      <c r="E2080" t="s">
        <v>76</v>
      </c>
      <c r="F2080" t="s">
        <v>6873</v>
      </c>
      <c r="I2080" t="s">
        <v>49</v>
      </c>
      <c r="L2080" t="s">
        <v>6874</v>
      </c>
      <c r="M2080" t="s">
        <v>6873</v>
      </c>
      <c r="N2080">
        <v>100</v>
      </c>
      <c r="O2080" t="s">
        <v>6875</v>
      </c>
    </row>
    <row r="2081" spans="1:15" ht="14.5">
      <c r="A2081" t="s">
        <v>29</v>
      </c>
      <c r="B2081">
        <v>2044906</v>
      </c>
      <c r="C2081">
        <v>2045907</v>
      </c>
      <c r="D2081">
        <v>1</v>
      </c>
      <c r="E2081" t="s">
        <v>47</v>
      </c>
      <c r="F2081" t="s">
        <v>6876</v>
      </c>
      <c r="I2081" t="s">
        <v>49</v>
      </c>
      <c r="L2081" t="s">
        <v>6877</v>
      </c>
      <c r="M2081" t="s">
        <v>6876</v>
      </c>
      <c r="N2081">
        <v>333</v>
      </c>
      <c r="O2081" t="s">
        <v>6878</v>
      </c>
    </row>
    <row r="2082" spans="1:15" ht="14.5">
      <c r="A2082" t="s">
        <v>29</v>
      </c>
      <c r="B2082">
        <v>2045975</v>
      </c>
      <c r="C2082">
        <v>2048377</v>
      </c>
      <c r="D2082">
        <v>1</v>
      </c>
      <c r="E2082" t="s">
        <v>76</v>
      </c>
      <c r="F2082" t="s">
        <v>6879</v>
      </c>
      <c r="G2082" t="s">
        <v>6880</v>
      </c>
      <c r="I2082" t="s">
        <v>49</v>
      </c>
      <c r="L2082" t="s">
        <v>6881</v>
      </c>
      <c r="M2082" t="s">
        <v>6879</v>
      </c>
      <c r="N2082">
        <v>800</v>
      </c>
      <c r="O2082" t="s">
        <v>6882</v>
      </c>
    </row>
    <row r="2083" spans="1:15" ht="14.5">
      <c r="A2083" t="s">
        <v>29</v>
      </c>
      <c r="B2083">
        <v>2048454</v>
      </c>
      <c r="C2083">
        <v>2048963</v>
      </c>
      <c r="D2083">
        <v>1</v>
      </c>
      <c r="E2083" t="s">
        <v>76</v>
      </c>
      <c r="F2083" t="s">
        <v>6883</v>
      </c>
      <c r="G2083" t="s">
        <v>6884</v>
      </c>
      <c r="I2083" t="s">
        <v>49</v>
      </c>
      <c r="L2083" t="s">
        <v>6885</v>
      </c>
      <c r="M2083" t="s">
        <v>6883</v>
      </c>
      <c r="N2083">
        <v>169</v>
      </c>
      <c r="O2083" t="s">
        <v>6886</v>
      </c>
    </row>
    <row r="2084" spans="1:15" ht="14.5">
      <c r="A2084" t="s">
        <v>29</v>
      </c>
      <c r="B2084">
        <v>2048963</v>
      </c>
      <c r="C2084">
        <v>2050009</v>
      </c>
      <c r="D2084">
        <v>1</v>
      </c>
      <c r="E2084" t="s">
        <v>76</v>
      </c>
      <c r="F2084" t="s">
        <v>6887</v>
      </c>
      <c r="G2084" t="s">
        <v>6888</v>
      </c>
      <c r="I2084" t="s">
        <v>49</v>
      </c>
      <c r="L2084" t="s">
        <v>6889</v>
      </c>
      <c r="M2084" t="s">
        <v>6887</v>
      </c>
      <c r="N2084">
        <v>348</v>
      </c>
      <c r="O2084" t="s">
        <v>6890</v>
      </c>
    </row>
    <row r="2085" spans="1:15" ht="14.5">
      <c r="A2085" t="s">
        <v>29</v>
      </c>
      <c r="B2085">
        <v>2050601</v>
      </c>
      <c r="C2085">
        <v>2052016</v>
      </c>
      <c r="D2085">
        <v>1</v>
      </c>
      <c r="E2085" t="s">
        <v>76</v>
      </c>
      <c r="F2085" t="s">
        <v>6891</v>
      </c>
      <c r="G2085" t="s">
        <v>6892</v>
      </c>
      <c r="I2085" t="s">
        <v>49</v>
      </c>
      <c r="L2085" t="s">
        <v>6893</v>
      </c>
      <c r="M2085" t="s">
        <v>6891</v>
      </c>
      <c r="N2085">
        <v>471</v>
      </c>
      <c r="O2085" t="s">
        <v>6894</v>
      </c>
    </row>
    <row r="2086" spans="1:15" ht="14.5">
      <c r="A2086" t="s">
        <v>29</v>
      </c>
      <c r="B2086">
        <v>2052029</v>
      </c>
      <c r="C2086">
        <v>2053867</v>
      </c>
      <c r="D2086">
        <v>1</v>
      </c>
      <c r="E2086" t="s">
        <v>76</v>
      </c>
      <c r="F2086" t="s">
        <v>6895</v>
      </c>
      <c r="G2086" t="s">
        <v>6896</v>
      </c>
      <c r="I2086" t="s">
        <v>49</v>
      </c>
      <c r="L2086" t="s">
        <v>6897</v>
      </c>
      <c r="M2086" t="s">
        <v>6895</v>
      </c>
      <c r="N2086">
        <v>612</v>
      </c>
      <c r="O2086" t="s">
        <v>6898</v>
      </c>
    </row>
    <row r="2087" spans="1:15" ht="14.5">
      <c r="A2087" t="s">
        <v>29</v>
      </c>
      <c r="B2087">
        <v>2053885</v>
      </c>
      <c r="C2087">
        <v>2054724</v>
      </c>
      <c r="D2087">
        <v>1</v>
      </c>
      <c r="E2087" t="s">
        <v>76</v>
      </c>
      <c r="F2087" t="s">
        <v>6899</v>
      </c>
      <c r="G2087" t="s">
        <v>6900</v>
      </c>
      <c r="I2087" t="s">
        <v>49</v>
      </c>
      <c r="L2087" t="s">
        <v>6901</v>
      </c>
      <c r="M2087" t="s">
        <v>6899</v>
      </c>
      <c r="N2087">
        <v>279</v>
      </c>
      <c r="O2087" t="s">
        <v>6902</v>
      </c>
    </row>
    <row r="2088" spans="1:15" ht="14.5">
      <c r="A2088" t="s">
        <v>29</v>
      </c>
      <c r="B2088">
        <v>2055025</v>
      </c>
      <c r="C2088">
        <v>2057004</v>
      </c>
      <c r="D2088">
        <v>1</v>
      </c>
      <c r="E2088" t="s">
        <v>76</v>
      </c>
      <c r="F2088" t="s">
        <v>6903</v>
      </c>
      <c r="I2088" t="s">
        <v>49</v>
      </c>
      <c r="L2088" t="s">
        <v>6904</v>
      </c>
      <c r="M2088" t="s">
        <v>6903</v>
      </c>
      <c r="N2088">
        <v>659</v>
      </c>
      <c r="O2088" t="s">
        <v>6905</v>
      </c>
    </row>
    <row r="2089" spans="1:15" ht="14.5">
      <c r="A2089" t="s">
        <v>29</v>
      </c>
      <c r="B2089">
        <v>2056943</v>
      </c>
      <c r="C2089">
        <v>2057704</v>
      </c>
      <c r="D2089">
        <v>1</v>
      </c>
      <c r="E2089" t="s">
        <v>76</v>
      </c>
      <c r="F2089" t="s">
        <v>6903</v>
      </c>
      <c r="I2089" t="s">
        <v>49</v>
      </c>
      <c r="L2089" t="s">
        <v>6906</v>
      </c>
      <c r="M2089" t="s">
        <v>6903</v>
      </c>
      <c r="N2089">
        <v>253</v>
      </c>
      <c r="O2089" t="s">
        <v>6907</v>
      </c>
    </row>
    <row r="2090" spans="1:15" ht="14.5">
      <c r="A2090" t="s">
        <v>29</v>
      </c>
      <c r="B2090">
        <v>2057894</v>
      </c>
      <c r="C2090">
        <v>2058787</v>
      </c>
      <c r="D2090">
        <v>1</v>
      </c>
      <c r="E2090" t="s">
        <v>47</v>
      </c>
      <c r="F2090" t="s">
        <v>6908</v>
      </c>
      <c r="I2090" t="s">
        <v>49</v>
      </c>
      <c r="L2090" t="s">
        <v>6909</v>
      </c>
      <c r="M2090" t="s">
        <v>6908</v>
      </c>
      <c r="N2090">
        <v>297</v>
      </c>
      <c r="O2090" t="s">
        <v>6910</v>
      </c>
    </row>
    <row r="2091" spans="1:15" ht="14.5">
      <c r="A2091" t="s">
        <v>29</v>
      </c>
      <c r="B2091">
        <v>2058881</v>
      </c>
      <c r="C2091">
        <v>2059222</v>
      </c>
      <c r="D2091">
        <v>1</v>
      </c>
      <c r="E2091" t="s">
        <v>47</v>
      </c>
      <c r="F2091" t="s">
        <v>6117</v>
      </c>
      <c r="I2091" t="s">
        <v>49</v>
      </c>
      <c r="L2091" t="s">
        <v>6911</v>
      </c>
      <c r="M2091" t="s">
        <v>6117</v>
      </c>
      <c r="N2091">
        <v>113</v>
      </c>
      <c r="O2091" t="s">
        <v>6912</v>
      </c>
    </row>
    <row r="2092" spans="1:15" ht="14.5">
      <c r="A2092" t="s">
        <v>29</v>
      </c>
      <c r="B2092">
        <v>2059338</v>
      </c>
      <c r="C2092">
        <v>2060141</v>
      </c>
      <c r="D2092">
        <v>1</v>
      </c>
      <c r="E2092" t="s">
        <v>76</v>
      </c>
      <c r="F2092" t="s">
        <v>6913</v>
      </c>
      <c r="I2092" t="s">
        <v>49</v>
      </c>
      <c r="L2092" t="s">
        <v>6914</v>
      </c>
      <c r="M2092" t="s">
        <v>6913</v>
      </c>
      <c r="N2092">
        <v>267</v>
      </c>
      <c r="O2092" t="s">
        <v>6915</v>
      </c>
    </row>
    <row r="2093" spans="1:15" ht="14.5">
      <c r="A2093" t="s">
        <v>29</v>
      </c>
      <c r="B2093">
        <v>2060416</v>
      </c>
      <c r="C2093">
        <v>2061171</v>
      </c>
      <c r="D2093">
        <v>1</v>
      </c>
      <c r="E2093" t="s">
        <v>76</v>
      </c>
      <c r="F2093" t="s">
        <v>6916</v>
      </c>
      <c r="I2093" t="s">
        <v>49</v>
      </c>
      <c r="L2093" t="s">
        <v>6917</v>
      </c>
      <c r="M2093" t="s">
        <v>6916</v>
      </c>
      <c r="N2093">
        <v>251</v>
      </c>
      <c r="O2093" t="s">
        <v>6918</v>
      </c>
    </row>
    <row r="2094" spans="1:15" ht="14.5">
      <c r="A2094" t="s">
        <v>29</v>
      </c>
      <c r="B2094">
        <v>2061241</v>
      </c>
      <c r="C2094">
        <v>2063892</v>
      </c>
      <c r="D2094">
        <v>1</v>
      </c>
      <c r="E2094" t="s">
        <v>76</v>
      </c>
      <c r="F2094" t="s">
        <v>6919</v>
      </c>
      <c r="G2094" t="s">
        <v>6920</v>
      </c>
      <c r="I2094" t="s">
        <v>49</v>
      </c>
      <c r="L2094" t="s">
        <v>6921</v>
      </c>
      <c r="M2094" t="s">
        <v>6919</v>
      </c>
      <c r="N2094">
        <v>883</v>
      </c>
      <c r="O2094" t="s">
        <v>6922</v>
      </c>
    </row>
    <row r="2095" spans="1:15" ht="14.5">
      <c r="A2095" t="s">
        <v>29</v>
      </c>
      <c r="B2095">
        <v>2063885</v>
      </c>
      <c r="C2095">
        <v>2064463</v>
      </c>
      <c r="D2095">
        <v>1</v>
      </c>
      <c r="E2095" t="s">
        <v>76</v>
      </c>
      <c r="F2095" t="s">
        <v>4588</v>
      </c>
      <c r="I2095" t="s">
        <v>49</v>
      </c>
      <c r="L2095" t="s">
        <v>6923</v>
      </c>
      <c r="M2095" t="s">
        <v>4588</v>
      </c>
      <c r="N2095">
        <v>192</v>
      </c>
      <c r="O2095" t="s">
        <v>6924</v>
      </c>
    </row>
    <row r="2096" spans="1:15" ht="14.5">
      <c r="A2096" t="s">
        <v>29</v>
      </c>
      <c r="B2096">
        <v>2064463</v>
      </c>
      <c r="C2096">
        <v>2065023</v>
      </c>
      <c r="D2096">
        <v>1</v>
      </c>
      <c r="E2096" t="s">
        <v>76</v>
      </c>
      <c r="F2096" t="s">
        <v>4959</v>
      </c>
      <c r="G2096" t="s">
        <v>6925</v>
      </c>
      <c r="I2096" t="s">
        <v>49</v>
      </c>
      <c r="L2096" t="s">
        <v>6926</v>
      </c>
      <c r="M2096" t="s">
        <v>4959</v>
      </c>
      <c r="N2096">
        <v>186</v>
      </c>
      <c r="O2096" t="s">
        <v>6927</v>
      </c>
    </row>
    <row r="2097" spans="1:15" ht="14.5">
      <c r="A2097" t="s">
        <v>29</v>
      </c>
      <c r="B2097">
        <v>2065010</v>
      </c>
      <c r="C2097">
        <v>2065459</v>
      </c>
      <c r="D2097">
        <v>1</v>
      </c>
      <c r="E2097" t="s">
        <v>76</v>
      </c>
      <c r="F2097" t="s">
        <v>6928</v>
      </c>
      <c r="I2097" t="s">
        <v>49</v>
      </c>
      <c r="L2097" t="s">
        <v>6929</v>
      </c>
      <c r="M2097" t="s">
        <v>6928</v>
      </c>
      <c r="N2097">
        <v>149</v>
      </c>
      <c r="O2097" t="s">
        <v>6930</v>
      </c>
    </row>
    <row r="2098" spans="1:15" ht="14.5">
      <c r="A2098" t="s">
        <v>29</v>
      </c>
      <c r="B2098">
        <v>2065872</v>
      </c>
      <c r="C2098">
        <v>2066267</v>
      </c>
      <c r="D2098">
        <v>1</v>
      </c>
      <c r="E2098" t="s">
        <v>76</v>
      </c>
      <c r="F2098" t="s">
        <v>6931</v>
      </c>
      <c r="I2098" t="s">
        <v>49</v>
      </c>
      <c r="L2098" t="s">
        <v>6932</v>
      </c>
      <c r="M2098" t="s">
        <v>6931</v>
      </c>
      <c r="N2098">
        <v>131</v>
      </c>
      <c r="O2098" t="s">
        <v>6933</v>
      </c>
    </row>
    <row r="2099" spans="1:15" ht="14.5">
      <c r="A2099" t="s">
        <v>29</v>
      </c>
      <c r="B2099">
        <v>2066363</v>
      </c>
      <c r="C2099">
        <v>2066617</v>
      </c>
      <c r="D2099">
        <v>1</v>
      </c>
      <c r="E2099" t="s">
        <v>76</v>
      </c>
      <c r="F2099" t="s">
        <v>1398</v>
      </c>
      <c r="I2099" t="s">
        <v>49</v>
      </c>
      <c r="L2099" t="s">
        <v>6934</v>
      </c>
      <c r="M2099" t="s">
        <v>1398</v>
      </c>
      <c r="N2099">
        <v>84</v>
      </c>
      <c r="O2099" t="s">
        <v>6935</v>
      </c>
    </row>
    <row r="2100" spans="1:15" ht="14.5">
      <c r="A2100" t="s">
        <v>29</v>
      </c>
      <c r="B2100">
        <v>2066627</v>
      </c>
      <c r="C2100">
        <v>2067961</v>
      </c>
      <c r="D2100">
        <v>1</v>
      </c>
      <c r="E2100" t="s">
        <v>76</v>
      </c>
      <c r="F2100" t="s">
        <v>6936</v>
      </c>
      <c r="I2100" t="s">
        <v>49</v>
      </c>
      <c r="L2100" t="s">
        <v>6937</v>
      </c>
      <c r="M2100" t="s">
        <v>6936</v>
      </c>
      <c r="N2100">
        <v>444</v>
      </c>
      <c r="O2100" t="s">
        <v>6938</v>
      </c>
    </row>
    <row r="2101" spans="1:15" ht="14.5">
      <c r="A2101" t="s">
        <v>29</v>
      </c>
      <c r="B2101">
        <v>2067961</v>
      </c>
      <c r="C2101">
        <v>2068194</v>
      </c>
      <c r="D2101">
        <v>1</v>
      </c>
      <c r="E2101" t="s">
        <v>76</v>
      </c>
      <c r="F2101" t="s">
        <v>6939</v>
      </c>
      <c r="I2101" t="s">
        <v>49</v>
      </c>
      <c r="L2101" t="s">
        <v>6940</v>
      </c>
      <c r="M2101" t="s">
        <v>6939</v>
      </c>
      <c r="N2101">
        <v>77</v>
      </c>
      <c r="O2101" t="s">
        <v>6941</v>
      </c>
    </row>
    <row r="2102" spans="1:15" ht="14.5">
      <c r="A2102" t="s">
        <v>29</v>
      </c>
      <c r="B2102">
        <v>2068507</v>
      </c>
      <c r="C2102">
        <v>2068647</v>
      </c>
      <c r="D2102">
        <v>1</v>
      </c>
      <c r="E2102" t="s">
        <v>76</v>
      </c>
      <c r="F2102" t="s">
        <v>176</v>
      </c>
      <c r="I2102" t="s">
        <v>49</v>
      </c>
      <c r="L2102" t="s">
        <v>6942</v>
      </c>
      <c r="M2102" t="s">
        <v>176</v>
      </c>
      <c r="N2102">
        <v>46</v>
      </c>
      <c r="O2102" t="s">
        <v>6943</v>
      </c>
    </row>
    <row r="2103" spans="1:15" ht="14.5">
      <c r="A2103" t="s">
        <v>29</v>
      </c>
      <c r="B2103">
        <v>2068644</v>
      </c>
      <c r="C2103">
        <v>2068826</v>
      </c>
      <c r="D2103">
        <v>1</v>
      </c>
      <c r="E2103" t="s">
        <v>76</v>
      </c>
      <c r="F2103" t="s">
        <v>176</v>
      </c>
      <c r="I2103" t="s">
        <v>49</v>
      </c>
      <c r="L2103" t="s">
        <v>6944</v>
      </c>
      <c r="M2103" t="s">
        <v>176</v>
      </c>
      <c r="N2103">
        <v>60</v>
      </c>
      <c r="O2103" t="s">
        <v>6945</v>
      </c>
    </row>
    <row r="2104" spans="1:15" ht="14.5">
      <c r="A2104" t="s">
        <v>29</v>
      </c>
      <c r="B2104">
        <v>2068828</v>
      </c>
      <c r="C2104">
        <v>2069607</v>
      </c>
      <c r="D2104">
        <v>1</v>
      </c>
      <c r="E2104" t="s">
        <v>76</v>
      </c>
      <c r="F2104" t="s">
        <v>1817</v>
      </c>
      <c r="I2104" t="s">
        <v>49</v>
      </c>
      <c r="L2104" t="s">
        <v>6946</v>
      </c>
      <c r="M2104" t="s">
        <v>1817</v>
      </c>
      <c r="N2104">
        <v>259</v>
      </c>
      <c r="O2104" t="s">
        <v>6947</v>
      </c>
    </row>
    <row r="2105" spans="1:15" ht="14.5">
      <c r="A2105" t="s">
        <v>29</v>
      </c>
      <c r="B2105">
        <v>2069886</v>
      </c>
      <c r="C2105">
        <v>2070236</v>
      </c>
      <c r="D2105">
        <v>1</v>
      </c>
      <c r="E2105" t="s">
        <v>76</v>
      </c>
      <c r="F2105" t="s">
        <v>6948</v>
      </c>
      <c r="G2105" t="s">
        <v>6949</v>
      </c>
      <c r="I2105" t="s">
        <v>49</v>
      </c>
      <c r="L2105" t="s">
        <v>6950</v>
      </c>
      <c r="M2105" t="s">
        <v>6948</v>
      </c>
      <c r="N2105">
        <v>116</v>
      </c>
      <c r="O2105" t="s">
        <v>6951</v>
      </c>
    </row>
    <row r="2106" spans="1:15" ht="14.5">
      <c r="A2106" t="s">
        <v>29</v>
      </c>
      <c r="B2106">
        <v>2070487</v>
      </c>
      <c r="C2106">
        <v>2073279</v>
      </c>
      <c r="D2106">
        <v>1</v>
      </c>
      <c r="E2106" t="s">
        <v>76</v>
      </c>
      <c r="F2106" t="s">
        <v>6952</v>
      </c>
      <c r="G2106" t="s">
        <v>6953</v>
      </c>
      <c r="I2106" t="s">
        <v>49</v>
      </c>
      <c r="L2106" t="s">
        <v>6954</v>
      </c>
      <c r="M2106" t="s">
        <v>6952</v>
      </c>
      <c r="N2106">
        <v>930</v>
      </c>
      <c r="O2106" t="s">
        <v>6955</v>
      </c>
    </row>
    <row r="2107" spans="1:15" ht="14.5">
      <c r="A2107" t="s">
        <v>29</v>
      </c>
      <c r="B2107">
        <v>2073296</v>
      </c>
      <c r="C2107">
        <v>2073595</v>
      </c>
      <c r="D2107">
        <v>1</v>
      </c>
      <c r="E2107" t="s">
        <v>76</v>
      </c>
      <c r="F2107" t="s">
        <v>6956</v>
      </c>
      <c r="I2107" t="s">
        <v>49</v>
      </c>
      <c r="L2107" t="s">
        <v>6957</v>
      </c>
      <c r="M2107" t="s">
        <v>6956</v>
      </c>
      <c r="N2107">
        <v>99</v>
      </c>
      <c r="O2107" t="s">
        <v>6958</v>
      </c>
    </row>
    <row r="2108" spans="1:15" ht="14.5">
      <c r="A2108" t="s">
        <v>29</v>
      </c>
      <c r="B2108">
        <v>2073588</v>
      </c>
      <c r="C2108">
        <v>2073881</v>
      </c>
      <c r="D2108">
        <v>1</v>
      </c>
      <c r="E2108" t="s">
        <v>76</v>
      </c>
      <c r="F2108" t="s">
        <v>6959</v>
      </c>
      <c r="G2108" t="s">
        <v>6960</v>
      </c>
      <c r="I2108" t="s">
        <v>49</v>
      </c>
      <c r="L2108" t="s">
        <v>6961</v>
      </c>
      <c r="M2108" t="s">
        <v>6959</v>
      </c>
      <c r="N2108">
        <v>97</v>
      </c>
      <c r="O2108" t="s">
        <v>6962</v>
      </c>
    </row>
    <row r="2109" spans="1:15" ht="14.5">
      <c r="A2109" t="s">
        <v>29</v>
      </c>
      <c r="B2109">
        <v>2073903</v>
      </c>
      <c r="C2109">
        <v>2075027</v>
      </c>
      <c r="D2109">
        <v>1</v>
      </c>
      <c r="E2109" t="s">
        <v>76</v>
      </c>
      <c r="F2109" t="s">
        <v>6963</v>
      </c>
      <c r="G2109" t="s">
        <v>6964</v>
      </c>
      <c r="I2109" t="s">
        <v>49</v>
      </c>
      <c r="L2109" t="s">
        <v>6965</v>
      </c>
      <c r="M2109" t="s">
        <v>6963</v>
      </c>
      <c r="N2109">
        <v>374</v>
      </c>
      <c r="O2109" t="s">
        <v>6966</v>
      </c>
    </row>
    <row r="2110" spans="1:15" ht="14.5">
      <c r="A2110" t="s">
        <v>29</v>
      </c>
      <c r="B2110">
        <v>2075083</v>
      </c>
      <c r="C2110">
        <v>2075562</v>
      </c>
      <c r="D2110">
        <v>1</v>
      </c>
      <c r="E2110" t="s">
        <v>76</v>
      </c>
      <c r="F2110" t="s">
        <v>6967</v>
      </c>
      <c r="G2110" t="s">
        <v>6968</v>
      </c>
      <c r="I2110" t="s">
        <v>49</v>
      </c>
      <c r="L2110" t="s">
        <v>6969</v>
      </c>
      <c r="M2110" t="s">
        <v>6967</v>
      </c>
      <c r="N2110">
        <v>159</v>
      </c>
      <c r="O2110" t="s">
        <v>6970</v>
      </c>
    </row>
    <row r="2111" spans="1:15" ht="14.5">
      <c r="A2111" t="s">
        <v>29</v>
      </c>
      <c r="B2111">
        <v>2075688</v>
      </c>
      <c r="C2111">
        <v>2076323</v>
      </c>
      <c r="D2111">
        <v>1</v>
      </c>
      <c r="E2111" t="s">
        <v>76</v>
      </c>
      <c r="F2111" t="s">
        <v>6971</v>
      </c>
      <c r="G2111" t="s">
        <v>6972</v>
      </c>
      <c r="I2111" t="s">
        <v>49</v>
      </c>
      <c r="L2111" t="s">
        <v>6973</v>
      </c>
      <c r="M2111" t="s">
        <v>6971</v>
      </c>
      <c r="N2111">
        <v>211</v>
      </c>
      <c r="O2111" t="s">
        <v>6974</v>
      </c>
    </row>
    <row r="2112" spans="1:15" ht="14.5">
      <c r="A2112" t="s">
        <v>29</v>
      </c>
      <c r="B2112">
        <v>2076320</v>
      </c>
      <c r="C2112">
        <v>2077114</v>
      </c>
      <c r="D2112">
        <v>1</v>
      </c>
      <c r="E2112" t="s">
        <v>76</v>
      </c>
      <c r="F2112" t="s">
        <v>6975</v>
      </c>
      <c r="G2112" t="s">
        <v>6976</v>
      </c>
      <c r="I2112" t="s">
        <v>49</v>
      </c>
      <c r="L2112" t="s">
        <v>6977</v>
      </c>
      <c r="M2112" t="s">
        <v>6975</v>
      </c>
      <c r="N2112">
        <v>264</v>
      </c>
      <c r="O2112" t="s">
        <v>6978</v>
      </c>
    </row>
    <row r="2113" spans="1:15" ht="14.5">
      <c r="A2113" t="s">
        <v>29</v>
      </c>
      <c r="B2113">
        <v>2077275</v>
      </c>
      <c r="C2113">
        <v>2077886</v>
      </c>
      <c r="D2113">
        <v>1</v>
      </c>
      <c r="E2113" t="s">
        <v>76</v>
      </c>
      <c r="F2113" t="s">
        <v>6979</v>
      </c>
      <c r="I2113" t="s">
        <v>49</v>
      </c>
      <c r="L2113" t="s">
        <v>6980</v>
      </c>
      <c r="M2113" t="s">
        <v>6979</v>
      </c>
      <c r="N2113">
        <v>203</v>
      </c>
      <c r="O2113" t="s">
        <v>6981</v>
      </c>
    </row>
    <row r="2114" spans="1:15" ht="14.5">
      <c r="A2114" t="s">
        <v>29</v>
      </c>
      <c r="B2114">
        <v>2078056</v>
      </c>
      <c r="C2114">
        <v>2078271</v>
      </c>
      <c r="D2114">
        <v>1</v>
      </c>
      <c r="E2114" t="s">
        <v>76</v>
      </c>
      <c r="F2114" t="s">
        <v>6982</v>
      </c>
      <c r="G2114" t="s">
        <v>6983</v>
      </c>
      <c r="I2114" t="s">
        <v>49</v>
      </c>
      <c r="L2114" t="s">
        <v>6984</v>
      </c>
      <c r="M2114" t="s">
        <v>6982</v>
      </c>
      <c r="N2114">
        <v>71</v>
      </c>
      <c r="O2114" t="s">
        <v>6985</v>
      </c>
    </row>
    <row r="2115" spans="1:15" ht="14.5">
      <c r="A2115" t="s">
        <v>29</v>
      </c>
      <c r="B2115">
        <v>2078313</v>
      </c>
      <c r="C2115">
        <v>2079002</v>
      </c>
      <c r="D2115">
        <v>1</v>
      </c>
      <c r="E2115" t="s">
        <v>76</v>
      </c>
      <c r="F2115" t="s">
        <v>6986</v>
      </c>
      <c r="G2115" t="s">
        <v>6987</v>
      </c>
      <c r="I2115" t="s">
        <v>49</v>
      </c>
      <c r="L2115" t="s">
        <v>6988</v>
      </c>
      <c r="M2115" t="s">
        <v>6986</v>
      </c>
      <c r="N2115">
        <v>229</v>
      </c>
      <c r="O2115" t="s">
        <v>6989</v>
      </c>
    </row>
    <row r="2116" spans="1:15" ht="14.5">
      <c r="A2116" t="s">
        <v>29</v>
      </c>
      <c r="B2116">
        <v>2079054</v>
      </c>
      <c r="C2116">
        <v>2079437</v>
      </c>
      <c r="D2116">
        <v>1</v>
      </c>
      <c r="E2116" t="s">
        <v>76</v>
      </c>
      <c r="F2116" t="s">
        <v>6990</v>
      </c>
      <c r="G2116" t="s">
        <v>6991</v>
      </c>
      <c r="I2116" t="s">
        <v>49</v>
      </c>
      <c r="L2116" t="s">
        <v>6992</v>
      </c>
      <c r="M2116" t="s">
        <v>6990</v>
      </c>
      <c r="N2116">
        <v>127</v>
      </c>
      <c r="O2116" t="s">
        <v>6993</v>
      </c>
    </row>
    <row r="2117" spans="1:15" ht="14.5">
      <c r="A2117" t="s">
        <v>29</v>
      </c>
      <c r="B2117">
        <v>2080066</v>
      </c>
      <c r="C2117">
        <v>2080437</v>
      </c>
      <c r="D2117">
        <v>1</v>
      </c>
      <c r="E2117" t="s">
        <v>76</v>
      </c>
      <c r="F2117" t="s">
        <v>6994</v>
      </c>
      <c r="I2117" t="s">
        <v>49</v>
      </c>
      <c r="L2117" t="s">
        <v>6995</v>
      </c>
      <c r="M2117" t="s">
        <v>6994</v>
      </c>
      <c r="N2117">
        <v>123</v>
      </c>
      <c r="O2117" t="s">
        <v>6996</v>
      </c>
    </row>
    <row r="2118" spans="1:15" ht="14.5">
      <c r="A2118" t="s">
        <v>29</v>
      </c>
      <c r="B2118">
        <v>2080447</v>
      </c>
      <c r="C2118">
        <v>2080608</v>
      </c>
      <c r="D2118">
        <v>1</v>
      </c>
      <c r="E2118" t="s">
        <v>76</v>
      </c>
      <c r="F2118" t="s">
        <v>2634</v>
      </c>
      <c r="G2118" t="s">
        <v>6997</v>
      </c>
      <c r="I2118" t="s">
        <v>49</v>
      </c>
      <c r="L2118" t="s">
        <v>6998</v>
      </c>
      <c r="M2118" t="s">
        <v>2634</v>
      </c>
      <c r="N2118">
        <v>53</v>
      </c>
      <c r="O2118" t="s">
        <v>6999</v>
      </c>
    </row>
    <row r="2119" spans="1:15" ht="14.5">
      <c r="A2119" t="s">
        <v>29</v>
      </c>
      <c r="B2119">
        <v>2081521</v>
      </c>
      <c r="C2119">
        <v>2081724</v>
      </c>
      <c r="D2119">
        <v>1</v>
      </c>
      <c r="E2119" t="s">
        <v>76</v>
      </c>
      <c r="F2119" t="s">
        <v>7000</v>
      </c>
      <c r="G2119" t="s">
        <v>7001</v>
      </c>
      <c r="I2119" t="s">
        <v>49</v>
      </c>
      <c r="L2119" t="s">
        <v>7002</v>
      </c>
      <c r="M2119" t="s">
        <v>7000</v>
      </c>
      <c r="N2119">
        <v>67</v>
      </c>
      <c r="O2119" t="s">
        <v>7003</v>
      </c>
    </row>
    <row r="2120" spans="1:15" ht="14.5">
      <c r="A2120" t="s">
        <v>29</v>
      </c>
      <c r="B2120">
        <v>2081740</v>
      </c>
      <c r="C2120">
        <v>2081994</v>
      </c>
      <c r="D2120">
        <v>1</v>
      </c>
      <c r="E2120" t="s">
        <v>76</v>
      </c>
      <c r="F2120" t="s">
        <v>7004</v>
      </c>
      <c r="G2120" t="s">
        <v>7005</v>
      </c>
      <c r="I2120" t="s">
        <v>49</v>
      </c>
      <c r="L2120" t="s">
        <v>7006</v>
      </c>
      <c r="M2120" t="s">
        <v>7004</v>
      </c>
      <c r="N2120">
        <v>84</v>
      </c>
      <c r="O2120" t="s">
        <v>7007</v>
      </c>
    </row>
    <row r="2121" spans="1:15" ht="14.5">
      <c r="A2121" t="s">
        <v>29</v>
      </c>
      <c r="B2121">
        <v>2082276</v>
      </c>
      <c r="C2121">
        <v>2084429</v>
      </c>
      <c r="D2121">
        <v>1</v>
      </c>
      <c r="E2121" t="s">
        <v>47</v>
      </c>
      <c r="F2121" t="s">
        <v>1482</v>
      </c>
      <c r="G2121" t="s">
        <v>7008</v>
      </c>
      <c r="I2121" t="s">
        <v>49</v>
      </c>
      <c r="L2121" t="s">
        <v>7009</v>
      </c>
      <c r="M2121" t="s">
        <v>1482</v>
      </c>
      <c r="N2121">
        <v>717</v>
      </c>
      <c r="O2121" t="s">
        <v>7010</v>
      </c>
    </row>
    <row r="2122" spans="1:15" ht="14.5">
      <c r="A2122" t="s">
        <v>29</v>
      </c>
      <c r="B2122">
        <v>2084440</v>
      </c>
      <c r="C2122">
        <v>2085801</v>
      </c>
      <c r="D2122">
        <v>1</v>
      </c>
      <c r="E2122" t="s">
        <v>47</v>
      </c>
      <c r="F2122" t="s">
        <v>7011</v>
      </c>
      <c r="G2122" t="s">
        <v>7012</v>
      </c>
      <c r="I2122" t="s">
        <v>49</v>
      </c>
      <c r="L2122" t="s">
        <v>7013</v>
      </c>
      <c r="M2122" t="s">
        <v>7011</v>
      </c>
      <c r="N2122">
        <v>453</v>
      </c>
      <c r="O2122" t="s">
        <v>7014</v>
      </c>
    </row>
    <row r="2123" spans="1:15" ht="14.5">
      <c r="A2123" t="s">
        <v>29</v>
      </c>
      <c r="B2123">
        <v>2085858</v>
      </c>
      <c r="C2123">
        <v>2086013</v>
      </c>
      <c r="D2123">
        <v>1</v>
      </c>
      <c r="E2123" t="s">
        <v>47</v>
      </c>
      <c r="F2123" t="s">
        <v>7015</v>
      </c>
      <c r="I2123" t="s">
        <v>49</v>
      </c>
      <c r="L2123" t="s">
        <v>7016</v>
      </c>
      <c r="M2123" t="s">
        <v>7015</v>
      </c>
      <c r="N2123">
        <v>51</v>
      </c>
      <c r="O2123" t="s">
        <v>7017</v>
      </c>
    </row>
    <row r="2124" spans="1:15" ht="14.5">
      <c r="A2124" t="s">
        <v>29</v>
      </c>
      <c r="B2124">
        <v>2086057</v>
      </c>
      <c r="C2124">
        <v>2087397</v>
      </c>
      <c r="D2124">
        <v>1</v>
      </c>
      <c r="E2124" t="s">
        <v>76</v>
      </c>
      <c r="F2124" t="s">
        <v>409</v>
      </c>
      <c r="G2124" t="s">
        <v>7018</v>
      </c>
      <c r="I2124" t="s">
        <v>49</v>
      </c>
      <c r="L2124" t="s">
        <v>7019</v>
      </c>
      <c r="M2124" t="s">
        <v>409</v>
      </c>
      <c r="N2124">
        <v>446</v>
      </c>
      <c r="O2124" t="s">
        <v>7020</v>
      </c>
    </row>
    <row r="2125" spans="1:15" ht="14.5">
      <c r="A2125" t="s">
        <v>29</v>
      </c>
      <c r="B2125">
        <v>2087411</v>
      </c>
      <c r="C2125">
        <v>2088148</v>
      </c>
      <c r="D2125">
        <v>1</v>
      </c>
      <c r="E2125" t="s">
        <v>76</v>
      </c>
      <c r="F2125" t="s">
        <v>405</v>
      </c>
      <c r="G2125" t="s">
        <v>7021</v>
      </c>
      <c r="I2125" t="s">
        <v>49</v>
      </c>
      <c r="L2125" t="s">
        <v>7022</v>
      </c>
      <c r="M2125" t="s">
        <v>405</v>
      </c>
      <c r="N2125">
        <v>245</v>
      </c>
      <c r="O2125" t="s">
        <v>7023</v>
      </c>
    </row>
    <row r="2126" spans="1:15" ht="14.5">
      <c r="A2126" t="s">
        <v>29</v>
      </c>
      <c r="B2126">
        <v>2088153</v>
      </c>
      <c r="C2126">
        <v>2088491</v>
      </c>
      <c r="D2126">
        <v>1</v>
      </c>
      <c r="E2126" t="s">
        <v>76</v>
      </c>
      <c r="F2126" t="s">
        <v>7024</v>
      </c>
      <c r="G2126" t="s">
        <v>7025</v>
      </c>
      <c r="I2126" t="s">
        <v>49</v>
      </c>
      <c r="L2126" t="s">
        <v>7026</v>
      </c>
      <c r="M2126" t="s">
        <v>7024</v>
      </c>
      <c r="N2126">
        <v>112</v>
      </c>
      <c r="O2126" t="s">
        <v>7027</v>
      </c>
    </row>
    <row r="2127" spans="1:15" ht="14.5">
      <c r="A2127" t="s">
        <v>29</v>
      </c>
      <c r="B2127">
        <v>2088768</v>
      </c>
      <c r="C2127">
        <v>2089097</v>
      </c>
      <c r="D2127">
        <v>1</v>
      </c>
      <c r="E2127" t="s">
        <v>47</v>
      </c>
      <c r="F2127" t="s">
        <v>7028</v>
      </c>
      <c r="I2127" t="s">
        <v>49</v>
      </c>
      <c r="L2127" t="s">
        <v>7029</v>
      </c>
      <c r="M2127" t="s">
        <v>7028</v>
      </c>
      <c r="N2127">
        <v>109</v>
      </c>
      <c r="O2127" t="s">
        <v>7030</v>
      </c>
    </row>
    <row r="2128" spans="1:15" ht="14.5">
      <c r="A2128" t="s">
        <v>29</v>
      </c>
      <c r="B2128">
        <v>2089265</v>
      </c>
      <c r="C2128">
        <v>2090314</v>
      </c>
      <c r="D2128">
        <v>1</v>
      </c>
      <c r="E2128" t="s">
        <v>76</v>
      </c>
      <c r="F2128" t="s">
        <v>140</v>
      </c>
      <c r="I2128" t="s">
        <v>49</v>
      </c>
      <c r="L2128" t="s">
        <v>7031</v>
      </c>
      <c r="M2128" t="s">
        <v>140</v>
      </c>
      <c r="N2128">
        <v>349</v>
      </c>
      <c r="O2128" t="s">
        <v>7032</v>
      </c>
    </row>
    <row r="2129" spans="1:15" ht="14.5">
      <c r="A2129" t="s">
        <v>29</v>
      </c>
      <c r="B2129">
        <v>2090311</v>
      </c>
      <c r="C2129">
        <v>2091042</v>
      </c>
      <c r="D2129">
        <v>1</v>
      </c>
      <c r="E2129" t="s">
        <v>76</v>
      </c>
      <c r="F2129" t="s">
        <v>218</v>
      </c>
      <c r="G2129" t="s">
        <v>7033</v>
      </c>
      <c r="I2129" t="s">
        <v>49</v>
      </c>
      <c r="L2129" t="s">
        <v>7034</v>
      </c>
      <c r="M2129" t="s">
        <v>218</v>
      </c>
      <c r="N2129">
        <v>243</v>
      </c>
      <c r="O2129" t="s">
        <v>7035</v>
      </c>
    </row>
    <row r="2130" spans="1:15" ht="14.5">
      <c r="A2130" t="s">
        <v>29</v>
      </c>
      <c r="B2130">
        <v>2091110</v>
      </c>
      <c r="C2130">
        <v>2091520</v>
      </c>
      <c r="D2130">
        <v>1</v>
      </c>
      <c r="E2130" t="s">
        <v>47</v>
      </c>
      <c r="F2130" t="s">
        <v>7036</v>
      </c>
      <c r="G2130" t="s">
        <v>7037</v>
      </c>
      <c r="I2130" t="s">
        <v>49</v>
      </c>
      <c r="L2130" t="s">
        <v>7038</v>
      </c>
      <c r="M2130" t="s">
        <v>7036</v>
      </c>
      <c r="N2130">
        <v>136</v>
      </c>
      <c r="O2130" t="s">
        <v>7039</v>
      </c>
    </row>
    <row r="2131" spans="1:15" ht="14.5">
      <c r="A2131" t="s">
        <v>29</v>
      </c>
      <c r="B2131">
        <v>2091530</v>
      </c>
      <c r="C2131">
        <v>2091817</v>
      </c>
      <c r="D2131">
        <v>1</v>
      </c>
      <c r="E2131" t="s">
        <v>47</v>
      </c>
      <c r="F2131" t="s">
        <v>7040</v>
      </c>
      <c r="I2131" t="s">
        <v>49</v>
      </c>
      <c r="L2131" t="s">
        <v>7041</v>
      </c>
      <c r="M2131" t="s">
        <v>7040</v>
      </c>
      <c r="N2131">
        <v>95</v>
      </c>
      <c r="O2131" t="s">
        <v>7042</v>
      </c>
    </row>
    <row r="2132" spans="1:15" ht="14.5">
      <c r="A2132" t="s">
        <v>29</v>
      </c>
      <c r="B2132">
        <v>2091979</v>
      </c>
      <c r="C2132">
        <v>2092353</v>
      </c>
      <c r="D2132">
        <v>1</v>
      </c>
      <c r="E2132" t="s">
        <v>47</v>
      </c>
      <c r="F2132" t="s">
        <v>1369</v>
      </c>
      <c r="I2132" t="s">
        <v>49</v>
      </c>
      <c r="L2132" t="s">
        <v>7043</v>
      </c>
      <c r="M2132" t="s">
        <v>1369</v>
      </c>
      <c r="N2132">
        <v>124</v>
      </c>
      <c r="O2132" t="s">
        <v>7044</v>
      </c>
    </row>
    <row r="2133" spans="1:15" ht="14.5">
      <c r="A2133" t="s">
        <v>29</v>
      </c>
      <c r="B2133">
        <v>2092675</v>
      </c>
      <c r="C2133">
        <v>2093811</v>
      </c>
      <c r="D2133">
        <v>1</v>
      </c>
      <c r="E2133" t="s">
        <v>76</v>
      </c>
      <c r="F2133" t="s">
        <v>7045</v>
      </c>
      <c r="G2133" t="s">
        <v>7046</v>
      </c>
      <c r="I2133" t="s">
        <v>49</v>
      </c>
      <c r="L2133" t="s">
        <v>7047</v>
      </c>
      <c r="M2133" t="s">
        <v>7045</v>
      </c>
      <c r="N2133">
        <v>378</v>
      </c>
      <c r="O2133" t="s">
        <v>7048</v>
      </c>
    </row>
    <row r="2134" spans="1:15" ht="14.5">
      <c r="A2134" t="s">
        <v>29</v>
      </c>
      <c r="B2134">
        <v>2094016</v>
      </c>
      <c r="C2134">
        <v>2094369</v>
      </c>
      <c r="D2134">
        <v>1</v>
      </c>
      <c r="E2134" t="s">
        <v>76</v>
      </c>
      <c r="F2134" t="s">
        <v>176</v>
      </c>
      <c r="I2134" t="s">
        <v>49</v>
      </c>
      <c r="L2134" t="s">
        <v>7049</v>
      </c>
      <c r="M2134" t="s">
        <v>176</v>
      </c>
      <c r="N2134">
        <v>117</v>
      </c>
      <c r="O2134" t="s">
        <v>7050</v>
      </c>
    </row>
    <row r="2135" spans="1:15" ht="14.5">
      <c r="A2135" t="s">
        <v>29</v>
      </c>
      <c r="B2135">
        <v>2094382</v>
      </c>
      <c r="C2135">
        <v>2096205</v>
      </c>
      <c r="D2135">
        <v>1</v>
      </c>
      <c r="E2135" t="s">
        <v>76</v>
      </c>
      <c r="F2135" t="s">
        <v>7051</v>
      </c>
      <c r="G2135" t="s">
        <v>7052</v>
      </c>
      <c r="I2135" t="s">
        <v>49</v>
      </c>
      <c r="L2135" t="s">
        <v>7053</v>
      </c>
      <c r="M2135" t="s">
        <v>7051</v>
      </c>
      <c r="N2135">
        <v>607</v>
      </c>
      <c r="O2135" t="s">
        <v>7054</v>
      </c>
    </row>
    <row r="2136" spans="1:15" ht="14.5">
      <c r="A2136" t="s">
        <v>29</v>
      </c>
      <c r="B2136">
        <v>2096685</v>
      </c>
      <c r="C2136">
        <v>2097209</v>
      </c>
      <c r="D2136">
        <v>1</v>
      </c>
      <c r="E2136" t="s">
        <v>76</v>
      </c>
      <c r="F2136" t="s">
        <v>7055</v>
      </c>
      <c r="G2136" t="s">
        <v>7056</v>
      </c>
      <c r="I2136" t="s">
        <v>49</v>
      </c>
      <c r="L2136" t="s">
        <v>7057</v>
      </c>
      <c r="M2136" t="s">
        <v>7055</v>
      </c>
      <c r="N2136">
        <v>174</v>
      </c>
      <c r="O2136" t="s">
        <v>7058</v>
      </c>
    </row>
    <row r="2137" spans="1:15" ht="14.5">
      <c r="A2137" t="s">
        <v>29</v>
      </c>
      <c r="B2137">
        <v>2097236</v>
      </c>
      <c r="C2137">
        <v>2098270</v>
      </c>
      <c r="D2137">
        <v>1</v>
      </c>
      <c r="E2137" t="s">
        <v>76</v>
      </c>
      <c r="F2137" t="s">
        <v>7059</v>
      </c>
      <c r="G2137" t="s">
        <v>7060</v>
      </c>
      <c r="I2137" t="s">
        <v>49</v>
      </c>
      <c r="L2137" t="s">
        <v>7061</v>
      </c>
      <c r="M2137" t="s">
        <v>7059</v>
      </c>
      <c r="N2137">
        <v>344</v>
      </c>
      <c r="O2137" t="s">
        <v>7062</v>
      </c>
    </row>
    <row r="2138" spans="1:15" ht="14.5">
      <c r="A2138" t="s">
        <v>29</v>
      </c>
      <c r="B2138">
        <v>2098434</v>
      </c>
      <c r="C2138">
        <v>2098943</v>
      </c>
      <c r="D2138">
        <v>1</v>
      </c>
      <c r="E2138" t="s">
        <v>76</v>
      </c>
      <c r="F2138" t="s">
        <v>7063</v>
      </c>
      <c r="I2138" t="s">
        <v>49</v>
      </c>
      <c r="L2138" t="s">
        <v>7064</v>
      </c>
      <c r="M2138" t="s">
        <v>7063</v>
      </c>
      <c r="N2138">
        <v>169</v>
      </c>
      <c r="O2138" t="s">
        <v>7065</v>
      </c>
    </row>
    <row r="2139" spans="1:15" ht="14.5">
      <c r="A2139" t="s">
        <v>29</v>
      </c>
      <c r="B2139">
        <v>2099551</v>
      </c>
      <c r="C2139">
        <v>2101884</v>
      </c>
      <c r="D2139">
        <v>1</v>
      </c>
      <c r="E2139" t="s">
        <v>47</v>
      </c>
      <c r="F2139" t="s">
        <v>7066</v>
      </c>
      <c r="G2139" t="s">
        <v>7067</v>
      </c>
      <c r="I2139" t="s">
        <v>49</v>
      </c>
      <c r="L2139" t="s">
        <v>7068</v>
      </c>
      <c r="M2139" t="s">
        <v>7066</v>
      </c>
      <c r="N2139">
        <v>777</v>
      </c>
      <c r="O2139" t="s">
        <v>7069</v>
      </c>
    </row>
    <row r="2140" spans="1:15" ht="14.5">
      <c r="A2140" t="s">
        <v>29</v>
      </c>
      <c r="B2140">
        <v>2101897</v>
      </c>
      <c r="C2140">
        <v>2103360</v>
      </c>
      <c r="D2140">
        <v>1</v>
      </c>
      <c r="E2140" t="s">
        <v>47</v>
      </c>
      <c r="F2140" t="s">
        <v>7070</v>
      </c>
      <c r="I2140" t="s">
        <v>49</v>
      </c>
      <c r="L2140" t="s">
        <v>7071</v>
      </c>
      <c r="M2140" t="s">
        <v>7070</v>
      </c>
      <c r="N2140">
        <v>487</v>
      </c>
      <c r="O2140" t="s">
        <v>7072</v>
      </c>
    </row>
    <row r="2141" spans="1:15" ht="14.5">
      <c r="A2141" t="s">
        <v>29</v>
      </c>
      <c r="B2141">
        <v>2103360</v>
      </c>
      <c r="C2141">
        <v>2103767</v>
      </c>
      <c r="D2141">
        <v>1</v>
      </c>
      <c r="E2141" t="s">
        <v>47</v>
      </c>
      <c r="F2141" t="s">
        <v>7073</v>
      </c>
      <c r="I2141" t="s">
        <v>49</v>
      </c>
      <c r="L2141" t="s">
        <v>7074</v>
      </c>
      <c r="M2141" t="s">
        <v>7073</v>
      </c>
      <c r="N2141">
        <v>135</v>
      </c>
      <c r="O2141" t="s">
        <v>7075</v>
      </c>
    </row>
    <row r="2142" spans="1:15" ht="14.5">
      <c r="A2142" t="s">
        <v>29</v>
      </c>
      <c r="B2142">
        <v>2104042</v>
      </c>
      <c r="C2142">
        <v>2104944</v>
      </c>
      <c r="D2142">
        <v>1</v>
      </c>
      <c r="E2142" t="s">
        <v>47</v>
      </c>
      <c r="F2142" t="s">
        <v>80</v>
      </c>
      <c r="I2142" t="s">
        <v>49</v>
      </c>
      <c r="L2142" t="s">
        <v>7076</v>
      </c>
      <c r="M2142" t="s">
        <v>80</v>
      </c>
      <c r="N2142">
        <v>300</v>
      </c>
      <c r="O2142" t="s">
        <v>7077</v>
      </c>
    </row>
    <row r="2143" spans="1:15" ht="14.5">
      <c r="A2143" t="s">
        <v>29</v>
      </c>
      <c r="B2143">
        <v>2105001</v>
      </c>
      <c r="C2143">
        <v>2105798</v>
      </c>
      <c r="D2143">
        <v>1</v>
      </c>
      <c r="E2143" t="s">
        <v>47</v>
      </c>
      <c r="F2143" t="s">
        <v>84</v>
      </c>
      <c r="G2143" t="s">
        <v>7078</v>
      </c>
      <c r="I2143" t="s">
        <v>49</v>
      </c>
      <c r="L2143" t="s">
        <v>7079</v>
      </c>
      <c r="M2143" t="s">
        <v>84</v>
      </c>
      <c r="N2143">
        <v>265</v>
      </c>
      <c r="O2143" t="s">
        <v>7080</v>
      </c>
    </row>
    <row r="2144" spans="1:15" ht="14.5">
      <c r="A2144" t="s">
        <v>29</v>
      </c>
      <c r="B2144">
        <v>2105809</v>
      </c>
      <c r="C2144">
        <v>2106417</v>
      </c>
      <c r="D2144">
        <v>1</v>
      </c>
      <c r="E2144" t="s">
        <v>47</v>
      </c>
      <c r="F2144" t="s">
        <v>7081</v>
      </c>
      <c r="I2144" t="s">
        <v>49</v>
      </c>
      <c r="L2144" t="s">
        <v>7082</v>
      </c>
      <c r="M2144" t="s">
        <v>7081</v>
      </c>
      <c r="N2144">
        <v>202</v>
      </c>
      <c r="O2144" t="s">
        <v>7083</v>
      </c>
    </row>
    <row r="2145" spans="1:15" ht="14.5">
      <c r="A2145" t="s">
        <v>29</v>
      </c>
      <c r="B2145">
        <v>2106365</v>
      </c>
      <c r="C2145">
        <v>2107645</v>
      </c>
      <c r="D2145">
        <v>1</v>
      </c>
      <c r="E2145" t="s">
        <v>76</v>
      </c>
      <c r="F2145" t="s">
        <v>80</v>
      </c>
      <c r="G2145" t="s">
        <v>7084</v>
      </c>
      <c r="I2145" t="s">
        <v>49</v>
      </c>
      <c r="L2145" t="s">
        <v>7085</v>
      </c>
      <c r="M2145" t="s">
        <v>80</v>
      </c>
      <c r="N2145">
        <v>426</v>
      </c>
      <c r="O2145" t="s">
        <v>7086</v>
      </c>
    </row>
    <row r="2146" spans="1:15" ht="14.5">
      <c r="A2146" t="s">
        <v>29</v>
      </c>
      <c r="B2146">
        <v>2108354</v>
      </c>
      <c r="C2146">
        <v>2109760</v>
      </c>
      <c r="D2146">
        <v>1</v>
      </c>
      <c r="E2146" t="s">
        <v>47</v>
      </c>
      <c r="F2146" t="s">
        <v>77</v>
      </c>
      <c r="I2146" t="s">
        <v>49</v>
      </c>
      <c r="L2146" t="s">
        <v>7087</v>
      </c>
      <c r="M2146" t="s">
        <v>77</v>
      </c>
      <c r="N2146">
        <v>468</v>
      </c>
      <c r="O2146" t="s">
        <v>7088</v>
      </c>
    </row>
    <row r="2147" spans="1:15" ht="14.5">
      <c r="A2147" t="s">
        <v>29</v>
      </c>
      <c r="B2147">
        <v>2109767</v>
      </c>
      <c r="C2147">
        <v>2109970</v>
      </c>
      <c r="D2147">
        <v>1</v>
      </c>
      <c r="E2147" t="s">
        <v>76</v>
      </c>
      <c r="F2147" t="s">
        <v>7089</v>
      </c>
      <c r="I2147" t="s">
        <v>49</v>
      </c>
      <c r="L2147" t="s">
        <v>7090</v>
      </c>
      <c r="M2147" t="s">
        <v>7089</v>
      </c>
      <c r="N2147">
        <v>67</v>
      </c>
      <c r="O2147" t="s">
        <v>7091</v>
      </c>
    </row>
    <row r="2148" spans="1:15" ht="14.5">
      <c r="A2148" t="s">
        <v>29</v>
      </c>
      <c r="B2148">
        <v>2110144</v>
      </c>
      <c r="C2148">
        <v>2110743</v>
      </c>
      <c r="D2148">
        <v>1</v>
      </c>
      <c r="E2148" t="s">
        <v>76</v>
      </c>
      <c r="F2148" t="s">
        <v>72</v>
      </c>
      <c r="G2148" t="s">
        <v>7092</v>
      </c>
      <c r="I2148" t="s">
        <v>49</v>
      </c>
      <c r="L2148" t="s">
        <v>7093</v>
      </c>
      <c r="M2148" t="s">
        <v>72</v>
      </c>
      <c r="N2148">
        <v>199</v>
      </c>
      <c r="O2148" t="s">
        <v>7094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53"/>
  <sheetViews>
    <sheetView workbookViewId="0">
      <selection activeCell="H390" sqref="H390"/>
    </sheetView>
  </sheetViews>
  <sheetFormatPr defaultColWidth="14.453125" defaultRowHeight="15" customHeight="1"/>
  <cols>
    <col min="1" max="1" width="18.7265625" customWidth="1"/>
    <col min="2" max="2" width="20.08984375" customWidth="1"/>
    <col min="3" max="3" width="11.453125" customWidth="1"/>
    <col min="4" max="4" width="17.26953125" customWidth="1"/>
    <col min="5" max="5" width="42.453125" customWidth="1"/>
    <col min="6" max="6" width="35.7265625" customWidth="1"/>
    <col min="7" max="7" width="38.26953125" customWidth="1"/>
    <col min="8" max="8" width="34" customWidth="1"/>
    <col min="9" max="26" width="9.08984375" customWidth="1"/>
  </cols>
  <sheetData>
    <row r="1" spans="1:8" ht="14.5">
      <c r="A1" t="s">
        <v>43</v>
      </c>
      <c r="B1" t="s">
        <v>46</v>
      </c>
      <c r="C1" t="s">
        <v>7095</v>
      </c>
      <c r="D1" t="s">
        <v>7096</v>
      </c>
      <c r="E1" t="s">
        <v>7097</v>
      </c>
      <c r="F1" t="s">
        <v>7098</v>
      </c>
      <c r="G1" t="s">
        <v>7099</v>
      </c>
      <c r="H1" t="s">
        <v>7100</v>
      </c>
    </row>
    <row r="2" spans="1:8" ht="14.5">
      <c r="A2" t="s">
        <v>50</v>
      </c>
      <c r="B2" t="s">
        <v>51</v>
      </c>
    </row>
    <row r="3" spans="1:8" ht="14.5">
      <c r="A3" t="s">
        <v>52</v>
      </c>
      <c r="B3" t="s">
        <v>53</v>
      </c>
    </row>
    <row r="4" spans="1:8" ht="14.5">
      <c r="A4" t="s">
        <v>56</v>
      </c>
      <c r="B4" t="s">
        <v>57</v>
      </c>
      <c r="C4" t="s">
        <v>7101</v>
      </c>
      <c r="E4" s="12" t="s">
        <v>7102</v>
      </c>
      <c r="F4" s="12" t="s">
        <v>7103</v>
      </c>
      <c r="G4" t="s">
        <v>7104</v>
      </c>
      <c r="H4" t="s">
        <v>7105</v>
      </c>
    </row>
    <row r="5" spans="1:8" ht="14.5">
      <c r="A5" t="s">
        <v>59</v>
      </c>
      <c r="B5" t="s">
        <v>60</v>
      </c>
      <c r="C5" t="s">
        <v>7101</v>
      </c>
      <c r="E5" s="12" t="s">
        <v>7102</v>
      </c>
      <c r="F5" s="12" t="s">
        <v>7103</v>
      </c>
      <c r="G5" t="s">
        <v>7104</v>
      </c>
      <c r="H5" t="s">
        <v>7105</v>
      </c>
    </row>
    <row r="6" spans="1:8" ht="14.5">
      <c r="A6" t="s">
        <v>63</v>
      </c>
      <c r="B6" t="s">
        <v>64</v>
      </c>
      <c r="C6" t="s">
        <v>7101</v>
      </c>
      <c r="E6" s="12" t="s">
        <v>7102</v>
      </c>
      <c r="F6" s="12" t="s">
        <v>7103</v>
      </c>
      <c r="G6" t="s">
        <v>7104</v>
      </c>
      <c r="H6" t="s">
        <v>7105</v>
      </c>
    </row>
    <row r="7" spans="1:8" ht="14.5">
      <c r="A7" t="s">
        <v>66</v>
      </c>
      <c r="B7" t="s">
        <v>67</v>
      </c>
    </row>
    <row r="8" spans="1:8" ht="14.5">
      <c r="A8" t="s">
        <v>70</v>
      </c>
      <c r="B8" t="s">
        <v>71</v>
      </c>
    </row>
    <row r="9" spans="1:8" ht="14.5">
      <c r="A9" t="s">
        <v>74</v>
      </c>
      <c r="B9" t="s">
        <v>75</v>
      </c>
      <c r="C9" t="s">
        <v>7106</v>
      </c>
      <c r="E9" s="12" t="s">
        <v>7107</v>
      </c>
      <c r="F9" s="12" t="s">
        <v>7108</v>
      </c>
      <c r="G9" t="s">
        <v>7109</v>
      </c>
      <c r="H9" t="s">
        <v>7110</v>
      </c>
    </row>
    <row r="10" spans="1:8" ht="14.5">
      <c r="A10" t="s">
        <v>78</v>
      </c>
      <c r="B10" t="s">
        <v>79</v>
      </c>
    </row>
    <row r="11" spans="1:8" ht="14.5">
      <c r="A11" t="s">
        <v>82</v>
      </c>
      <c r="B11" t="s">
        <v>83</v>
      </c>
    </row>
    <row r="12" spans="1:8" ht="14.5">
      <c r="A12" t="s">
        <v>86</v>
      </c>
      <c r="B12" t="s">
        <v>87</v>
      </c>
    </row>
    <row r="13" spans="1:8" ht="14.5">
      <c r="A13" t="s">
        <v>89</v>
      </c>
      <c r="B13" t="s">
        <v>90</v>
      </c>
    </row>
    <row r="14" spans="1:8" ht="14.5">
      <c r="A14" t="s">
        <v>93</v>
      </c>
      <c r="B14" t="s">
        <v>94</v>
      </c>
    </row>
    <row r="15" spans="1:8" ht="14.5">
      <c r="A15" t="s">
        <v>95</v>
      </c>
      <c r="B15" t="s">
        <v>96</v>
      </c>
    </row>
    <row r="16" spans="1:8" ht="14.5">
      <c r="A16" t="s">
        <v>98</v>
      </c>
      <c r="B16" t="s">
        <v>99</v>
      </c>
      <c r="C16" t="s">
        <v>7106</v>
      </c>
      <c r="E16" s="12" t="s">
        <v>7107</v>
      </c>
      <c r="F16" s="12" t="s">
        <v>7108</v>
      </c>
      <c r="G16" t="s">
        <v>7109</v>
      </c>
      <c r="H16" t="s">
        <v>7110</v>
      </c>
    </row>
    <row r="17" spans="1:8" ht="14.5">
      <c r="A17" t="s">
        <v>101</v>
      </c>
      <c r="B17" t="s">
        <v>102</v>
      </c>
    </row>
    <row r="18" spans="1:8" ht="14.5">
      <c r="A18" t="s">
        <v>103</v>
      </c>
      <c r="B18" t="s">
        <v>104</v>
      </c>
    </row>
    <row r="19" spans="1:8" ht="14.5">
      <c r="A19" t="s">
        <v>106</v>
      </c>
      <c r="B19" t="s">
        <v>107</v>
      </c>
      <c r="C19" t="s">
        <v>7101</v>
      </c>
      <c r="E19" s="12" t="s">
        <v>7102</v>
      </c>
      <c r="F19" s="12" t="s">
        <v>7103</v>
      </c>
      <c r="G19" t="s">
        <v>7104</v>
      </c>
      <c r="H19" t="s">
        <v>7105</v>
      </c>
    </row>
    <row r="20" spans="1:8" ht="14.5">
      <c r="A20" t="s">
        <v>109</v>
      </c>
      <c r="B20" t="s">
        <v>110</v>
      </c>
      <c r="C20" t="s">
        <v>7111</v>
      </c>
      <c r="E20" s="12" t="s">
        <v>7112</v>
      </c>
      <c r="F20" s="12" t="s">
        <v>7113</v>
      </c>
      <c r="G20" t="s">
        <v>7114</v>
      </c>
      <c r="H20" t="s">
        <v>7115</v>
      </c>
    </row>
    <row r="21" spans="1:8" ht="15.75" customHeight="1">
      <c r="A21" t="s">
        <v>109</v>
      </c>
      <c r="B21" t="s">
        <v>110</v>
      </c>
      <c r="C21" t="s">
        <v>7111</v>
      </c>
      <c r="E21" s="12" t="s">
        <v>7112</v>
      </c>
      <c r="F21" s="12" t="s">
        <v>7116</v>
      </c>
      <c r="G21" t="s">
        <v>7117</v>
      </c>
      <c r="H21" t="s">
        <v>7118</v>
      </c>
    </row>
    <row r="22" spans="1:8" ht="15.75" customHeight="1">
      <c r="A22" t="s">
        <v>109</v>
      </c>
      <c r="B22" t="s">
        <v>110</v>
      </c>
      <c r="C22" t="s">
        <v>7111</v>
      </c>
      <c r="E22" s="12" t="s">
        <v>7112</v>
      </c>
      <c r="F22" s="12" t="s">
        <v>7119</v>
      </c>
      <c r="G22" t="s">
        <v>7120</v>
      </c>
      <c r="H22" t="s">
        <v>7121</v>
      </c>
    </row>
    <row r="23" spans="1:8" ht="15.75" customHeight="1">
      <c r="A23" t="s">
        <v>109</v>
      </c>
      <c r="B23" t="s">
        <v>110</v>
      </c>
      <c r="C23" t="s">
        <v>7111</v>
      </c>
      <c r="E23" s="12" t="s">
        <v>7112</v>
      </c>
      <c r="F23" s="12" t="s">
        <v>7122</v>
      </c>
      <c r="G23" t="s">
        <v>7123</v>
      </c>
      <c r="H23" t="s">
        <v>7124</v>
      </c>
    </row>
    <row r="24" spans="1:8" ht="15.75" customHeight="1">
      <c r="A24" t="s">
        <v>109</v>
      </c>
      <c r="B24" t="s">
        <v>110</v>
      </c>
      <c r="C24" t="s">
        <v>7111</v>
      </c>
      <c r="E24" s="12" t="s">
        <v>7112</v>
      </c>
      <c r="F24" s="12" t="s">
        <v>7125</v>
      </c>
      <c r="G24" t="s">
        <v>7126</v>
      </c>
      <c r="H24" t="s">
        <v>7127</v>
      </c>
    </row>
    <row r="25" spans="1:8" ht="15.75" customHeight="1">
      <c r="A25" t="s">
        <v>109</v>
      </c>
      <c r="B25" t="s">
        <v>110</v>
      </c>
      <c r="C25" t="s">
        <v>7111</v>
      </c>
      <c r="E25" s="12" t="s">
        <v>7112</v>
      </c>
      <c r="F25" s="12" t="s">
        <v>7128</v>
      </c>
      <c r="G25" t="s">
        <v>7129</v>
      </c>
      <c r="H25" t="s">
        <v>7130</v>
      </c>
    </row>
    <row r="26" spans="1:8" ht="15.75" customHeight="1">
      <c r="A26" t="s">
        <v>109</v>
      </c>
      <c r="B26" t="s">
        <v>110</v>
      </c>
      <c r="C26" t="s">
        <v>7111</v>
      </c>
      <c r="E26" s="12" t="s">
        <v>7112</v>
      </c>
      <c r="F26" s="12" t="s">
        <v>7131</v>
      </c>
      <c r="G26" t="s">
        <v>7132</v>
      </c>
      <c r="H26" t="s">
        <v>7133</v>
      </c>
    </row>
    <row r="27" spans="1:8" ht="15.75" customHeight="1">
      <c r="A27" t="s">
        <v>109</v>
      </c>
      <c r="B27" t="s">
        <v>110</v>
      </c>
      <c r="C27" t="s">
        <v>7111</v>
      </c>
      <c r="E27" s="12" t="s">
        <v>7112</v>
      </c>
      <c r="F27" s="12" t="s">
        <v>7134</v>
      </c>
      <c r="G27" t="s">
        <v>7135</v>
      </c>
      <c r="H27" t="s">
        <v>7115</v>
      </c>
    </row>
    <row r="28" spans="1:8" ht="15.75" customHeight="1">
      <c r="A28" t="s">
        <v>109</v>
      </c>
      <c r="B28" t="s">
        <v>110</v>
      </c>
      <c r="C28" t="s">
        <v>7111</v>
      </c>
      <c r="E28" s="12" t="s">
        <v>7112</v>
      </c>
      <c r="F28" s="12" t="s">
        <v>7136</v>
      </c>
      <c r="G28" t="s">
        <v>7137</v>
      </c>
      <c r="H28" t="s">
        <v>7138</v>
      </c>
    </row>
    <row r="29" spans="1:8" ht="15.75" customHeight="1">
      <c r="A29" t="s">
        <v>109</v>
      </c>
      <c r="B29" t="s">
        <v>110</v>
      </c>
      <c r="C29" t="s">
        <v>7111</v>
      </c>
      <c r="E29" s="12" t="s">
        <v>7112</v>
      </c>
      <c r="F29" s="12" t="s">
        <v>7139</v>
      </c>
      <c r="G29" t="s">
        <v>7140</v>
      </c>
      <c r="H29" t="s">
        <v>7141</v>
      </c>
    </row>
    <row r="30" spans="1:8" ht="15.75" customHeight="1">
      <c r="A30" t="s">
        <v>109</v>
      </c>
      <c r="B30" t="s">
        <v>110</v>
      </c>
      <c r="C30" t="s">
        <v>7111</v>
      </c>
      <c r="E30" s="12" t="s">
        <v>7112</v>
      </c>
      <c r="F30" s="12" t="s">
        <v>7142</v>
      </c>
      <c r="G30" t="s">
        <v>7143</v>
      </c>
      <c r="H30" t="s">
        <v>7144</v>
      </c>
    </row>
    <row r="31" spans="1:8" ht="15.75" customHeight="1">
      <c r="A31" t="s">
        <v>109</v>
      </c>
      <c r="B31" t="s">
        <v>110</v>
      </c>
      <c r="C31" t="s">
        <v>7111</v>
      </c>
      <c r="E31" s="12" t="s">
        <v>7112</v>
      </c>
      <c r="F31" s="12" t="s">
        <v>7145</v>
      </c>
      <c r="G31" t="s">
        <v>7146</v>
      </c>
      <c r="H31" t="s">
        <v>7147</v>
      </c>
    </row>
    <row r="32" spans="1:8" ht="15.75" customHeight="1">
      <c r="A32" t="s">
        <v>109</v>
      </c>
      <c r="B32" t="s">
        <v>110</v>
      </c>
      <c r="C32" t="s">
        <v>7111</v>
      </c>
      <c r="E32" s="12" t="s">
        <v>7112</v>
      </c>
      <c r="F32" s="12" t="s">
        <v>7148</v>
      </c>
      <c r="G32" t="s">
        <v>7149</v>
      </c>
      <c r="H32" t="s">
        <v>7150</v>
      </c>
    </row>
    <row r="33" spans="1:8" ht="15.75" customHeight="1">
      <c r="A33" t="s">
        <v>109</v>
      </c>
      <c r="B33" t="s">
        <v>110</v>
      </c>
      <c r="C33" t="s">
        <v>7111</v>
      </c>
      <c r="E33" s="12" t="s">
        <v>7112</v>
      </c>
      <c r="F33" s="12" t="s">
        <v>7151</v>
      </c>
      <c r="G33" t="s">
        <v>7152</v>
      </c>
      <c r="H33" t="s">
        <v>7153</v>
      </c>
    </row>
    <row r="34" spans="1:8" ht="15.75" customHeight="1">
      <c r="A34" t="s">
        <v>109</v>
      </c>
      <c r="B34" t="s">
        <v>110</v>
      </c>
      <c r="C34" t="s">
        <v>7111</v>
      </c>
      <c r="E34" s="12" t="s">
        <v>7112</v>
      </c>
      <c r="F34" s="12" t="s">
        <v>7154</v>
      </c>
      <c r="G34" t="s">
        <v>7155</v>
      </c>
      <c r="H34" t="s">
        <v>7156</v>
      </c>
    </row>
    <row r="35" spans="1:8" ht="15.75" customHeight="1">
      <c r="A35" t="s">
        <v>112</v>
      </c>
      <c r="B35" t="s">
        <v>113</v>
      </c>
    </row>
    <row r="36" spans="1:8" ht="15.75" customHeight="1">
      <c r="A36" t="s">
        <v>116</v>
      </c>
      <c r="B36" t="s">
        <v>117</v>
      </c>
      <c r="C36" t="s">
        <v>7157</v>
      </c>
      <c r="E36" s="12" t="s">
        <v>7158</v>
      </c>
      <c r="F36" s="12" t="s">
        <v>7159</v>
      </c>
      <c r="G36" t="s">
        <v>7160</v>
      </c>
      <c r="H36" t="s">
        <v>7161</v>
      </c>
    </row>
    <row r="37" spans="1:8" ht="15.75" customHeight="1">
      <c r="A37" t="s">
        <v>116</v>
      </c>
      <c r="B37" t="s">
        <v>117</v>
      </c>
      <c r="C37" t="s">
        <v>7157</v>
      </c>
      <c r="E37" s="12" t="s">
        <v>7158</v>
      </c>
      <c r="F37" s="12" t="s">
        <v>7162</v>
      </c>
      <c r="G37" t="s">
        <v>7163</v>
      </c>
      <c r="H37" t="s">
        <v>7164</v>
      </c>
    </row>
    <row r="38" spans="1:8" ht="15.75" customHeight="1">
      <c r="A38" t="s">
        <v>116</v>
      </c>
      <c r="B38" t="s">
        <v>117</v>
      </c>
      <c r="C38" t="s">
        <v>7157</v>
      </c>
      <c r="E38" s="12" t="s">
        <v>7158</v>
      </c>
      <c r="F38" s="12" t="s">
        <v>7165</v>
      </c>
      <c r="G38" t="s">
        <v>7166</v>
      </c>
      <c r="H38" t="s">
        <v>7167</v>
      </c>
    </row>
    <row r="39" spans="1:8" ht="15.75" customHeight="1">
      <c r="A39" t="s">
        <v>120</v>
      </c>
      <c r="B39" t="s">
        <v>121</v>
      </c>
    </row>
    <row r="40" spans="1:8" ht="15.75" customHeight="1">
      <c r="A40" t="s">
        <v>123</v>
      </c>
      <c r="B40" t="s">
        <v>124</v>
      </c>
    </row>
    <row r="41" spans="1:8" ht="15.75" customHeight="1">
      <c r="A41" t="s">
        <v>126</v>
      </c>
      <c r="B41" t="s">
        <v>127</v>
      </c>
    </row>
    <row r="42" spans="1:8" ht="15.75" customHeight="1">
      <c r="A42" t="s">
        <v>130</v>
      </c>
      <c r="B42" t="s">
        <v>131</v>
      </c>
      <c r="C42" t="s">
        <v>7168</v>
      </c>
      <c r="E42" s="12" t="s">
        <v>7169</v>
      </c>
      <c r="F42" s="12" t="s">
        <v>7170</v>
      </c>
      <c r="G42" t="s">
        <v>7171</v>
      </c>
      <c r="H42" t="s">
        <v>7172</v>
      </c>
    </row>
    <row r="43" spans="1:8" ht="15.75" customHeight="1">
      <c r="A43" t="s">
        <v>134</v>
      </c>
      <c r="B43" t="s">
        <v>135</v>
      </c>
    </row>
    <row r="44" spans="1:8" ht="15.75" customHeight="1">
      <c r="A44" t="s">
        <v>138</v>
      </c>
      <c r="B44" t="s">
        <v>139</v>
      </c>
      <c r="C44" t="s">
        <v>7173</v>
      </c>
      <c r="E44" s="12" t="s">
        <v>7174</v>
      </c>
    </row>
    <row r="45" spans="1:8" ht="15.75" customHeight="1">
      <c r="A45" t="s">
        <v>142</v>
      </c>
      <c r="B45" t="s">
        <v>143</v>
      </c>
    </row>
    <row r="46" spans="1:8" ht="15.75" customHeight="1">
      <c r="A46" t="s">
        <v>146</v>
      </c>
      <c r="B46" t="s">
        <v>147</v>
      </c>
      <c r="C46" t="s">
        <v>7175</v>
      </c>
    </row>
    <row r="47" spans="1:8" ht="15.75" customHeight="1">
      <c r="A47" t="s">
        <v>149</v>
      </c>
      <c r="B47" t="s">
        <v>150</v>
      </c>
    </row>
    <row r="48" spans="1:8" ht="15.75" customHeight="1">
      <c r="A48" t="s">
        <v>152</v>
      </c>
      <c r="B48" t="s">
        <v>153</v>
      </c>
    </row>
    <row r="49" spans="1:8" ht="15.75" customHeight="1">
      <c r="A49" t="s">
        <v>155</v>
      </c>
      <c r="B49" t="s">
        <v>156</v>
      </c>
    </row>
    <row r="50" spans="1:8" ht="15.75" customHeight="1">
      <c r="A50" t="s">
        <v>159</v>
      </c>
      <c r="B50" t="s">
        <v>160</v>
      </c>
    </row>
    <row r="51" spans="1:8" ht="15.75" customHeight="1">
      <c r="A51" t="s">
        <v>162</v>
      </c>
      <c r="B51" t="s">
        <v>163</v>
      </c>
    </row>
    <row r="52" spans="1:8" ht="15.75" customHeight="1">
      <c r="A52" t="s">
        <v>166</v>
      </c>
      <c r="B52" t="s">
        <v>167</v>
      </c>
      <c r="C52" t="s">
        <v>7176</v>
      </c>
      <c r="E52" s="12" t="s">
        <v>7177</v>
      </c>
    </row>
    <row r="53" spans="1:8" ht="15.75" customHeight="1">
      <c r="A53" t="s">
        <v>170</v>
      </c>
      <c r="B53" t="s">
        <v>171</v>
      </c>
      <c r="C53" t="s">
        <v>7178</v>
      </c>
      <c r="E53" s="12" t="s">
        <v>7179</v>
      </c>
      <c r="F53" s="12" t="s">
        <v>7180</v>
      </c>
      <c r="G53" t="s">
        <v>7181</v>
      </c>
      <c r="H53" t="s">
        <v>7182</v>
      </c>
    </row>
    <row r="54" spans="1:8" ht="15.75" customHeight="1">
      <c r="A54" t="s">
        <v>170</v>
      </c>
      <c r="B54" t="s">
        <v>171</v>
      </c>
      <c r="C54" t="s">
        <v>7178</v>
      </c>
      <c r="E54" s="12" t="s">
        <v>7179</v>
      </c>
      <c r="F54" s="12" t="s">
        <v>7183</v>
      </c>
      <c r="G54" t="s">
        <v>7184</v>
      </c>
      <c r="H54" t="s">
        <v>7185</v>
      </c>
    </row>
    <row r="55" spans="1:8" ht="15.75" customHeight="1">
      <c r="A55" t="s">
        <v>170</v>
      </c>
      <c r="B55" t="s">
        <v>171</v>
      </c>
      <c r="C55" t="s">
        <v>7178</v>
      </c>
      <c r="E55" s="12" t="s">
        <v>7179</v>
      </c>
      <c r="F55" s="12" t="s">
        <v>7186</v>
      </c>
      <c r="G55" t="s">
        <v>7187</v>
      </c>
      <c r="H55" t="s">
        <v>7185</v>
      </c>
    </row>
    <row r="56" spans="1:8" ht="15.75" customHeight="1">
      <c r="A56" t="s">
        <v>174</v>
      </c>
      <c r="B56" t="s">
        <v>175</v>
      </c>
      <c r="C56" t="s">
        <v>7188</v>
      </c>
    </row>
    <row r="57" spans="1:8" ht="15.75" customHeight="1">
      <c r="A57" t="s">
        <v>177</v>
      </c>
      <c r="B57" t="s">
        <v>178</v>
      </c>
    </row>
    <row r="58" spans="1:8" ht="15.75" customHeight="1">
      <c r="A58" t="s">
        <v>181</v>
      </c>
      <c r="B58" t="s">
        <v>182</v>
      </c>
    </row>
    <row r="59" spans="1:8" ht="15.75" customHeight="1">
      <c r="A59" t="s">
        <v>185</v>
      </c>
      <c r="B59" t="s">
        <v>186</v>
      </c>
    </row>
    <row r="60" spans="1:8" ht="15.75" customHeight="1">
      <c r="A60" t="s">
        <v>188</v>
      </c>
      <c r="B60" t="s">
        <v>189</v>
      </c>
    </row>
    <row r="61" spans="1:8" ht="15.75" customHeight="1">
      <c r="A61" t="s">
        <v>190</v>
      </c>
      <c r="B61" t="s">
        <v>191</v>
      </c>
    </row>
    <row r="62" spans="1:8" ht="15.75" customHeight="1">
      <c r="A62" t="s">
        <v>192</v>
      </c>
      <c r="B62" t="s">
        <v>193</v>
      </c>
    </row>
    <row r="63" spans="1:8" ht="15.75" customHeight="1">
      <c r="A63" t="s">
        <v>196</v>
      </c>
      <c r="B63" t="s">
        <v>197</v>
      </c>
      <c r="C63" t="s">
        <v>7189</v>
      </c>
      <c r="E63" s="12" t="s">
        <v>7190</v>
      </c>
      <c r="F63" s="12" t="s">
        <v>7191</v>
      </c>
      <c r="G63" t="s">
        <v>7192</v>
      </c>
      <c r="H63" t="s">
        <v>7193</v>
      </c>
    </row>
    <row r="64" spans="1:8" ht="15.75" customHeight="1">
      <c r="A64" t="s">
        <v>196</v>
      </c>
      <c r="B64" t="s">
        <v>197</v>
      </c>
      <c r="C64" t="s">
        <v>7189</v>
      </c>
      <c r="E64" s="12" t="s">
        <v>7190</v>
      </c>
      <c r="F64" s="12" t="s">
        <v>7194</v>
      </c>
      <c r="G64" t="s">
        <v>7195</v>
      </c>
      <c r="H64" t="s">
        <v>7196</v>
      </c>
    </row>
    <row r="65" spans="1:8" ht="15.75" customHeight="1">
      <c r="A65" t="s">
        <v>200</v>
      </c>
      <c r="B65" t="s">
        <v>201</v>
      </c>
      <c r="C65" t="s">
        <v>7197</v>
      </c>
      <c r="E65" s="12" t="s">
        <v>7198</v>
      </c>
      <c r="F65" s="12" t="s">
        <v>7199</v>
      </c>
      <c r="G65" t="s">
        <v>7200</v>
      </c>
      <c r="H65" t="s">
        <v>7201</v>
      </c>
    </row>
    <row r="66" spans="1:8" ht="15.75" customHeight="1">
      <c r="A66" t="s">
        <v>200</v>
      </c>
      <c r="B66" t="s">
        <v>201</v>
      </c>
      <c r="C66" t="s">
        <v>7197</v>
      </c>
      <c r="E66" s="12" t="s">
        <v>7198</v>
      </c>
      <c r="F66" s="12" t="s">
        <v>7202</v>
      </c>
      <c r="G66" t="s">
        <v>7203</v>
      </c>
      <c r="H66" t="s">
        <v>7201</v>
      </c>
    </row>
    <row r="67" spans="1:8" ht="15.75" customHeight="1">
      <c r="A67" t="s">
        <v>200</v>
      </c>
      <c r="B67" t="s">
        <v>201</v>
      </c>
      <c r="C67" t="s">
        <v>7197</v>
      </c>
      <c r="E67" s="12" t="s">
        <v>7198</v>
      </c>
      <c r="F67" s="12" t="s">
        <v>7204</v>
      </c>
      <c r="G67" t="s">
        <v>7205</v>
      </c>
      <c r="H67" t="s">
        <v>7201</v>
      </c>
    </row>
    <row r="68" spans="1:8" ht="15.75" customHeight="1">
      <c r="A68" t="s">
        <v>200</v>
      </c>
      <c r="B68" t="s">
        <v>201</v>
      </c>
      <c r="C68" t="s">
        <v>7197</v>
      </c>
      <c r="E68" s="12" t="s">
        <v>7198</v>
      </c>
      <c r="F68" s="12" t="s">
        <v>7206</v>
      </c>
      <c r="G68" t="s">
        <v>7207</v>
      </c>
      <c r="H68" t="s">
        <v>7201</v>
      </c>
    </row>
    <row r="69" spans="1:8" ht="15.75" customHeight="1">
      <c r="A69" t="s">
        <v>200</v>
      </c>
      <c r="B69" t="s">
        <v>201</v>
      </c>
      <c r="C69" t="s">
        <v>7197</v>
      </c>
      <c r="E69" s="12" t="s">
        <v>7198</v>
      </c>
      <c r="F69" s="12" t="s">
        <v>7208</v>
      </c>
      <c r="G69" t="s">
        <v>7209</v>
      </c>
      <c r="H69" t="s">
        <v>7201</v>
      </c>
    </row>
    <row r="70" spans="1:8" ht="15.75" customHeight="1">
      <c r="A70" t="s">
        <v>200</v>
      </c>
      <c r="B70" t="s">
        <v>201</v>
      </c>
      <c r="C70" t="s">
        <v>7197</v>
      </c>
      <c r="E70" s="12" t="s">
        <v>7198</v>
      </c>
      <c r="F70" s="12" t="s">
        <v>7210</v>
      </c>
      <c r="G70" t="s">
        <v>7211</v>
      </c>
      <c r="H70" t="s">
        <v>7212</v>
      </c>
    </row>
    <row r="71" spans="1:8" ht="15.75" customHeight="1">
      <c r="A71" t="s">
        <v>204</v>
      </c>
      <c r="B71" t="s">
        <v>205</v>
      </c>
      <c r="C71" t="s">
        <v>7168</v>
      </c>
      <c r="E71" s="12" t="s">
        <v>7169</v>
      </c>
      <c r="F71" s="12" t="s">
        <v>7170</v>
      </c>
      <c r="G71" t="s">
        <v>7171</v>
      </c>
      <c r="H71" t="s">
        <v>7172</v>
      </c>
    </row>
    <row r="72" spans="1:8" ht="15.75" customHeight="1">
      <c r="A72" t="s">
        <v>207</v>
      </c>
      <c r="B72" t="s">
        <v>208</v>
      </c>
    </row>
    <row r="73" spans="1:8" ht="15.75" customHeight="1">
      <c r="A73" t="s">
        <v>209</v>
      </c>
      <c r="B73" t="s">
        <v>210</v>
      </c>
    </row>
    <row r="74" spans="1:8" ht="15.75" customHeight="1">
      <c r="A74" t="s">
        <v>212</v>
      </c>
      <c r="B74" t="s">
        <v>213</v>
      </c>
    </row>
    <row r="75" spans="1:8" ht="15.75" customHeight="1">
      <c r="A75" t="s">
        <v>216</v>
      </c>
      <c r="B75" t="s">
        <v>217</v>
      </c>
    </row>
    <row r="76" spans="1:8" ht="15.75" customHeight="1">
      <c r="A76" t="s">
        <v>220</v>
      </c>
      <c r="B76" t="s">
        <v>221</v>
      </c>
    </row>
    <row r="77" spans="1:8" ht="15.75" customHeight="1">
      <c r="A77" t="s">
        <v>222</v>
      </c>
      <c r="B77" t="s">
        <v>223</v>
      </c>
    </row>
    <row r="78" spans="1:8" ht="15.75" customHeight="1">
      <c r="A78" t="s">
        <v>226</v>
      </c>
      <c r="B78" t="s">
        <v>227</v>
      </c>
      <c r="C78" t="s">
        <v>7213</v>
      </c>
      <c r="E78" s="12" t="s">
        <v>7214</v>
      </c>
      <c r="F78" s="12" t="s">
        <v>7215</v>
      </c>
      <c r="G78" t="s">
        <v>7216</v>
      </c>
      <c r="H78" t="s">
        <v>7217</v>
      </c>
    </row>
    <row r="79" spans="1:8" ht="15.75" customHeight="1">
      <c r="A79" t="s">
        <v>226</v>
      </c>
      <c r="B79" t="s">
        <v>227</v>
      </c>
      <c r="C79" t="s">
        <v>7213</v>
      </c>
      <c r="E79" s="12" t="s">
        <v>7214</v>
      </c>
      <c r="F79" s="12" t="s">
        <v>7218</v>
      </c>
      <c r="G79" t="s">
        <v>7219</v>
      </c>
      <c r="H79" t="s">
        <v>7217</v>
      </c>
    </row>
    <row r="80" spans="1:8" ht="15.75" customHeight="1">
      <c r="A80" t="s">
        <v>226</v>
      </c>
      <c r="B80" t="s">
        <v>227</v>
      </c>
      <c r="C80" t="s">
        <v>7213</v>
      </c>
      <c r="E80" s="12" t="s">
        <v>7214</v>
      </c>
      <c r="F80" s="12" t="s">
        <v>7220</v>
      </c>
      <c r="G80" t="s">
        <v>7221</v>
      </c>
      <c r="H80" t="s">
        <v>7222</v>
      </c>
    </row>
    <row r="81" spans="1:8" ht="15.75" customHeight="1">
      <c r="A81" t="s">
        <v>226</v>
      </c>
      <c r="B81" t="s">
        <v>227</v>
      </c>
      <c r="C81" t="s">
        <v>7213</v>
      </c>
      <c r="E81" s="12" t="s">
        <v>7214</v>
      </c>
      <c r="F81" s="12" t="s">
        <v>7223</v>
      </c>
      <c r="G81" t="s">
        <v>7224</v>
      </c>
      <c r="H81" t="s">
        <v>7225</v>
      </c>
    </row>
    <row r="82" spans="1:8" ht="15.75" customHeight="1">
      <c r="A82" t="s">
        <v>226</v>
      </c>
      <c r="B82" t="s">
        <v>227</v>
      </c>
      <c r="C82" t="s">
        <v>7213</v>
      </c>
      <c r="E82" s="12" t="s">
        <v>7214</v>
      </c>
      <c r="F82" s="12" t="s">
        <v>7226</v>
      </c>
      <c r="G82" t="s">
        <v>7227</v>
      </c>
      <c r="H82" t="s">
        <v>7228</v>
      </c>
    </row>
    <row r="83" spans="1:8" ht="15.75" customHeight="1">
      <c r="A83" t="s">
        <v>229</v>
      </c>
      <c r="B83" t="s">
        <v>230</v>
      </c>
    </row>
    <row r="84" spans="1:8" ht="15.75" customHeight="1">
      <c r="A84" t="s">
        <v>231</v>
      </c>
      <c r="B84" t="s">
        <v>232</v>
      </c>
    </row>
    <row r="85" spans="1:8" ht="15.75" customHeight="1">
      <c r="A85" t="s">
        <v>234</v>
      </c>
      <c r="B85" t="s">
        <v>235</v>
      </c>
      <c r="C85" t="s">
        <v>7229</v>
      </c>
      <c r="E85" s="12" t="s">
        <v>7230</v>
      </c>
      <c r="F85" s="12" t="s">
        <v>7231</v>
      </c>
      <c r="G85" t="s">
        <v>7232</v>
      </c>
      <c r="H85" t="s">
        <v>7233</v>
      </c>
    </row>
    <row r="86" spans="1:8" ht="15.75" customHeight="1">
      <c r="A86" t="s">
        <v>234</v>
      </c>
      <c r="B86" t="s">
        <v>235</v>
      </c>
      <c r="C86" t="s">
        <v>7229</v>
      </c>
      <c r="E86" s="12" t="s">
        <v>7230</v>
      </c>
      <c r="F86" s="12" t="s">
        <v>7234</v>
      </c>
      <c r="G86" t="s">
        <v>7235</v>
      </c>
      <c r="H86" t="s">
        <v>7236</v>
      </c>
    </row>
    <row r="87" spans="1:8" ht="15.75" customHeight="1">
      <c r="A87" t="s">
        <v>234</v>
      </c>
      <c r="B87" t="s">
        <v>235</v>
      </c>
      <c r="C87" t="s">
        <v>7229</v>
      </c>
      <c r="E87" s="12" t="s">
        <v>7230</v>
      </c>
      <c r="F87" s="12" t="s">
        <v>7237</v>
      </c>
      <c r="G87" t="s">
        <v>7232</v>
      </c>
      <c r="H87" t="s">
        <v>7238</v>
      </c>
    </row>
    <row r="88" spans="1:8" ht="15.75" customHeight="1">
      <c r="A88" t="s">
        <v>234</v>
      </c>
      <c r="B88" t="s">
        <v>235</v>
      </c>
      <c r="C88" t="s">
        <v>7229</v>
      </c>
      <c r="E88" s="12" t="s">
        <v>7230</v>
      </c>
      <c r="F88" s="12" t="s">
        <v>7239</v>
      </c>
      <c r="G88" t="s">
        <v>7240</v>
      </c>
      <c r="H88" t="s">
        <v>7241</v>
      </c>
    </row>
    <row r="89" spans="1:8" ht="15.75" customHeight="1">
      <c r="A89" t="s">
        <v>234</v>
      </c>
      <c r="B89" t="s">
        <v>235</v>
      </c>
      <c r="C89" t="s">
        <v>7229</v>
      </c>
      <c r="E89" s="12" t="s">
        <v>7230</v>
      </c>
      <c r="F89" s="12" t="s">
        <v>7242</v>
      </c>
      <c r="G89" t="s">
        <v>7243</v>
      </c>
      <c r="H89" t="s">
        <v>7244</v>
      </c>
    </row>
    <row r="90" spans="1:8" ht="15.75" customHeight="1">
      <c r="A90" t="s">
        <v>234</v>
      </c>
      <c r="B90" t="s">
        <v>235</v>
      </c>
      <c r="C90" t="s">
        <v>7229</v>
      </c>
      <c r="E90" s="12" t="s">
        <v>7230</v>
      </c>
      <c r="F90" s="12" t="s">
        <v>7245</v>
      </c>
      <c r="G90" t="s">
        <v>7246</v>
      </c>
      <c r="H90" t="s">
        <v>7247</v>
      </c>
    </row>
    <row r="91" spans="1:8" ht="15.75" customHeight="1">
      <c r="A91" t="s">
        <v>238</v>
      </c>
      <c r="B91" t="s">
        <v>239</v>
      </c>
      <c r="C91" t="s">
        <v>7248</v>
      </c>
      <c r="E91" s="12" t="s">
        <v>7249</v>
      </c>
      <c r="F91" s="12" t="s">
        <v>7250</v>
      </c>
      <c r="G91" t="s">
        <v>7251</v>
      </c>
      <c r="H91" t="s">
        <v>7252</v>
      </c>
    </row>
    <row r="92" spans="1:8" ht="15.75" customHeight="1">
      <c r="A92" t="s">
        <v>238</v>
      </c>
      <c r="B92" t="s">
        <v>239</v>
      </c>
      <c r="C92" t="s">
        <v>7248</v>
      </c>
      <c r="E92" s="12" t="s">
        <v>7249</v>
      </c>
      <c r="F92" s="12" t="s">
        <v>7253</v>
      </c>
      <c r="G92" t="s">
        <v>7254</v>
      </c>
      <c r="H92" t="s">
        <v>7252</v>
      </c>
    </row>
    <row r="93" spans="1:8" ht="15.75" customHeight="1">
      <c r="A93" t="s">
        <v>238</v>
      </c>
      <c r="B93" t="s">
        <v>239</v>
      </c>
      <c r="C93" t="s">
        <v>7248</v>
      </c>
      <c r="E93" s="12" t="s">
        <v>7249</v>
      </c>
      <c r="F93" s="12" t="s">
        <v>7255</v>
      </c>
      <c r="G93" t="s">
        <v>7256</v>
      </c>
      <c r="H93" t="s">
        <v>7257</v>
      </c>
    </row>
    <row r="94" spans="1:8" ht="15.75" customHeight="1">
      <c r="A94" t="s">
        <v>238</v>
      </c>
      <c r="B94" t="s">
        <v>239</v>
      </c>
      <c r="C94" t="s">
        <v>7248</v>
      </c>
      <c r="E94" s="12" t="s">
        <v>7249</v>
      </c>
      <c r="F94" s="12" t="s">
        <v>7258</v>
      </c>
      <c r="G94" t="s">
        <v>7259</v>
      </c>
      <c r="H94" t="s">
        <v>7260</v>
      </c>
    </row>
    <row r="95" spans="1:8" ht="15.75" customHeight="1">
      <c r="A95" t="s">
        <v>238</v>
      </c>
      <c r="B95" t="s">
        <v>239</v>
      </c>
      <c r="C95" t="s">
        <v>7248</v>
      </c>
      <c r="E95" s="12" t="s">
        <v>7249</v>
      </c>
      <c r="F95" s="12" t="s">
        <v>7261</v>
      </c>
      <c r="G95" t="s">
        <v>7262</v>
      </c>
      <c r="H95" t="s">
        <v>7260</v>
      </c>
    </row>
    <row r="96" spans="1:8" ht="15.75" customHeight="1">
      <c r="A96" t="s">
        <v>238</v>
      </c>
      <c r="B96" t="s">
        <v>239</v>
      </c>
      <c r="C96" t="s">
        <v>7248</v>
      </c>
      <c r="E96" s="12" t="s">
        <v>7249</v>
      </c>
      <c r="F96" s="12" t="s">
        <v>7263</v>
      </c>
      <c r="G96" t="s">
        <v>7264</v>
      </c>
      <c r="H96" t="s">
        <v>7265</v>
      </c>
    </row>
    <row r="97" spans="1:8" ht="15.75" customHeight="1">
      <c r="A97" t="s">
        <v>238</v>
      </c>
      <c r="B97" t="s">
        <v>239</v>
      </c>
      <c r="C97" t="s">
        <v>7248</v>
      </c>
      <c r="E97" s="12" t="s">
        <v>7249</v>
      </c>
      <c r="F97" s="12" t="s">
        <v>7266</v>
      </c>
      <c r="G97" t="s">
        <v>7267</v>
      </c>
      <c r="H97" t="s">
        <v>7268</v>
      </c>
    </row>
    <row r="98" spans="1:8" ht="15.75" customHeight="1">
      <c r="A98" t="s">
        <v>242</v>
      </c>
      <c r="B98" t="s">
        <v>243</v>
      </c>
      <c r="C98" t="s">
        <v>7248</v>
      </c>
      <c r="E98" s="12" t="s">
        <v>7249</v>
      </c>
      <c r="F98" s="12" t="s">
        <v>7250</v>
      </c>
      <c r="G98" t="s">
        <v>7251</v>
      </c>
      <c r="H98" t="s">
        <v>7252</v>
      </c>
    </row>
    <row r="99" spans="1:8" ht="15.75" customHeight="1">
      <c r="A99" t="s">
        <v>242</v>
      </c>
      <c r="B99" t="s">
        <v>243</v>
      </c>
      <c r="C99" t="s">
        <v>7248</v>
      </c>
      <c r="E99" s="12" t="s">
        <v>7249</v>
      </c>
      <c r="F99" s="12" t="s">
        <v>7253</v>
      </c>
      <c r="G99" t="s">
        <v>7254</v>
      </c>
      <c r="H99" t="s">
        <v>7252</v>
      </c>
    </row>
    <row r="100" spans="1:8" ht="15.75" customHeight="1">
      <c r="A100" t="s">
        <v>242</v>
      </c>
      <c r="B100" t="s">
        <v>243</v>
      </c>
      <c r="C100" t="s">
        <v>7248</v>
      </c>
      <c r="E100" s="12" t="s">
        <v>7249</v>
      </c>
      <c r="F100" s="12" t="s">
        <v>7255</v>
      </c>
      <c r="G100" t="s">
        <v>7256</v>
      </c>
      <c r="H100" t="s">
        <v>7257</v>
      </c>
    </row>
    <row r="101" spans="1:8" ht="15.75" customHeight="1">
      <c r="A101" t="s">
        <v>242</v>
      </c>
      <c r="B101" t="s">
        <v>243</v>
      </c>
      <c r="C101" t="s">
        <v>7248</v>
      </c>
      <c r="E101" s="12" t="s">
        <v>7249</v>
      </c>
      <c r="F101" s="12" t="s">
        <v>7258</v>
      </c>
      <c r="G101" t="s">
        <v>7259</v>
      </c>
      <c r="H101" t="s">
        <v>7260</v>
      </c>
    </row>
    <row r="102" spans="1:8" ht="15.75" customHeight="1">
      <c r="A102" t="s">
        <v>242</v>
      </c>
      <c r="B102" t="s">
        <v>243</v>
      </c>
      <c r="C102" t="s">
        <v>7248</v>
      </c>
      <c r="E102" s="12" t="s">
        <v>7249</v>
      </c>
      <c r="F102" s="12" t="s">
        <v>7261</v>
      </c>
      <c r="G102" t="s">
        <v>7262</v>
      </c>
      <c r="H102" t="s">
        <v>7260</v>
      </c>
    </row>
    <row r="103" spans="1:8" ht="15.75" customHeight="1">
      <c r="A103" t="s">
        <v>242</v>
      </c>
      <c r="B103" t="s">
        <v>243</v>
      </c>
      <c r="C103" t="s">
        <v>7248</v>
      </c>
      <c r="E103" s="12" t="s">
        <v>7249</v>
      </c>
      <c r="F103" s="12" t="s">
        <v>7263</v>
      </c>
      <c r="G103" t="s">
        <v>7264</v>
      </c>
      <c r="H103" t="s">
        <v>7265</v>
      </c>
    </row>
    <row r="104" spans="1:8" ht="15.75" customHeight="1">
      <c r="A104" t="s">
        <v>242</v>
      </c>
      <c r="B104" t="s">
        <v>243</v>
      </c>
      <c r="C104" t="s">
        <v>7248</v>
      </c>
      <c r="E104" s="12" t="s">
        <v>7249</v>
      </c>
      <c r="F104" s="12" t="s">
        <v>7266</v>
      </c>
    </row>
    <row r="105" spans="1:8" ht="15.75" customHeight="1">
      <c r="A105" t="s">
        <v>245</v>
      </c>
      <c r="B105" t="s">
        <v>246</v>
      </c>
    </row>
    <row r="106" spans="1:8" ht="15.75" customHeight="1">
      <c r="A106" t="s">
        <v>249</v>
      </c>
      <c r="B106" t="s">
        <v>250</v>
      </c>
    </row>
    <row r="107" spans="1:8" ht="15.75" customHeight="1">
      <c r="A107" t="s">
        <v>253</v>
      </c>
      <c r="B107" t="s">
        <v>254</v>
      </c>
    </row>
    <row r="108" spans="1:8" ht="15.75" customHeight="1">
      <c r="A108" t="s">
        <v>257</v>
      </c>
      <c r="B108" t="s">
        <v>258</v>
      </c>
    </row>
    <row r="109" spans="1:8" ht="15.75" customHeight="1">
      <c r="A109" t="s">
        <v>261</v>
      </c>
      <c r="B109" t="s">
        <v>262</v>
      </c>
    </row>
    <row r="110" spans="1:8" ht="15.75" customHeight="1">
      <c r="A110" t="s">
        <v>265</v>
      </c>
      <c r="B110" t="s">
        <v>266</v>
      </c>
      <c r="C110" t="s">
        <v>7269</v>
      </c>
    </row>
    <row r="111" spans="1:8" ht="15.75" customHeight="1">
      <c r="A111" t="s">
        <v>269</v>
      </c>
      <c r="B111" t="s">
        <v>270</v>
      </c>
      <c r="C111" t="s">
        <v>7269</v>
      </c>
    </row>
    <row r="112" spans="1:8" ht="15.75" customHeight="1">
      <c r="A112" t="s">
        <v>273</v>
      </c>
      <c r="B112" t="s">
        <v>274</v>
      </c>
      <c r="C112" t="s">
        <v>7269</v>
      </c>
    </row>
    <row r="113" spans="1:8" ht="15.75" customHeight="1">
      <c r="A113" t="s">
        <v>277</v>
      </c>
      <c r="B113" t="s">
        <v>278</v>
      </c>
      <c r="C113" t="s">
        <v>7270</v>
      </c>
      <c r="E113" s="12" t="s">
        <v>7271</v>
      </c>
      <c r="F113" s="12" t="s">
        <v>7272</v>
      </c>
      <c r="G113" t="s">
        <v>7273</v>
      </c>
      <c r="H113" t="s">
        <v>7274</v>
      </c>
    </row>
    <row r="114" spans="1:8" ht="15.75" customHeight="1">
      <c r="A114" t="s">
        <v>277</v>
      </c>
      <c r="B114" t="s">
        <v>278</v>
      </c>
      <c r="C114" t="s">
        <v>7270</v>
      </c>
      <c r="E114" s="12" t="s">
        <v>7271</v>
      </c>
      <c r="F114" s="12" t="s">
        <v>7275</v>
      </c>
      <c r="G114" t="s">
        <v>7276</v>
      </c>
      <c r="H114" t="s">
        <v>7277</v>
      </c>
    </row>
    <row r="115" spans="1:8" ht="15.75" customHeight="1">
      <c r="A115" t="s">
        <v>277</v>
      </c>
      <c r="B115" t="s">
        <v>278</v>
      </c>
      <c r="C115" t="s">
        <v>7270</v>
      </c>
      <c r="E115" s="12" t="s">
        <v>7271</v>
      </c>
      <c r="F115" s="12" t="s">
        <v>7278</v>
      </c>
      <c r="G115" t="s">
        <v>7279</v>
      </c>
      <c r="H115" t="s">
        <v>7280</v>
      </c>
    </row>
    <row r="116" spans="1:8" ht="15.75" customHeight="1">
      <c r="A116" t="s">
        <v>281</v>
      </c>
      <c r="B116" t="s">
        <v>282</v>
      </c>
    </row>
    <row r="117" spans="1:8" ht="15.75" customHeight="1">
      <c r="A117" t="s">
        <v>284</v>
      </c>
      <c r="B117" t="s">
        <v>285</v>
      </c>
    </row>
    <row r="118" spans="1:8" ht="15.75" customHeight="1">
      <c r="A118" t="s">
        <v>288</v>
      </c>
      <c r="B118" t="s">
        <v>289</v>
      </c>
    </row>
    <row r="119" spans="1:8" ht="15.75" customHeight="1">
      <c r="A119" t="s">
        <v>291</v>
      </c>
      <c r="B119" t="s">
        <v>292</v>
      </c>
    </row>
    <row r="120" spans="1:8" ht="15.75" customHeight="1">
      <c r="A120" t="s">
        <v>293</v>
      </c>
      <c r="B120" t="s">
        <v>294</v>
      </c>
    </row>
    <row r="121" spans="1:8" ht="15.75" customHeight="1">
      <c r="A121" t="s">
        <v>297</v>
      </c>
      <c r="B121" t="s">
        <v>298</v>
      </c>
      <c r="C121" t="s">
        <v>7281</v>
      </c>
      <c r="E121" s="12" t="s">
        <v>7282</v>
      </c>
      <c r="F121" s="12" t="s">
        <v>7283</v>
      </c>
      <c r="G121" t="s">
        <v>7284</v>
      </c>
      <c r="H121" t="s">
        <v>7285</v>
      </c>
    </row>
    <row r="122" spans="1:8" ht="15.75" customHeight="1">
      <c r="A122" t="s">
        <v>301</v>
      </c>
      <c r="B122" t="s">
        <v>302</v>
      </c>
      <c r="C122" t="s">
        <v>7281</v>
      </c>
      <c r="E122" s="12" t="s">
        <v>7282</v>
      </c>
      <c r="F122" s="12" t="s">
        <v>7283</v>
      </c>
      <c r="G122" t="s">
        <v>7284</v>
      </c>
      <c r="H122" t="s">
        <v>7285</v>
      </c>
    </row>
    <row r="123" spans="1:8" ht="15.75" customHeight="1">
      <c r="A123" t="s">
        <v>305</v>
      </c>
      <c r="B123" t="s">
        <v>306</v>
      </c>
      <c r="C123" t="s">
        <v>7286</v>
      </c>
      <c r="E123" s="12" t="s">
        <v>7287</v>
      </c>
      <c r="F123" s="12" t="s">
        <v>7288</v>
      </c>
      <c r="G123" t="s">
        <v>7289</v>
      </c>
      <c r="H123" t="s">
        <v>7290</v>
      </c>
    </row>
    <row r="124" spans="1:8" ht="15.75" customHeight="1">
      <c r="A124" t="s">
        <v>309</v>
      </c>
      <c r="B124" t="s">
        <v>310</v>
      </c>
      <c r="C124" t="s">
        <v>7291</v>
      </c>
    </row>
    <row r="125" spans="1:8" ht="15.75" customHeight="1">
      <c r="A125" t="s">
        <v>313</v>
      </c>
      <c r="B125" t="s">
        <v>314</v>
      </c>
      <c r="C125" t="s">
        <v>7281</v>
      </c>
      <c r="E125" s="12" t="s">
        <v>7282</v>
      </c>
      <c r="F125" s="12" t="s">
        <v>7283</v>
      </c>
      <c r="G125" t="s">
        <v>7284</v>
      </c>
      <c r="H125" t="s">
        <v>7285</v>
      </c>
    </row>
    <row r="126" spans="1:8" ht="15.75" customHeight="1">
      <c r="A126" t="s">
        <v>317</v>
      </c>
      <c r="B126" t="s">
        <v>318</v>
      </c>
      <c r="C126" t="s">
        <v>7292</v>
      </c>
      <c r="E126" s="12" t="s">
        <v>7293</v>
      </c>
      <c r="F126" s="12" t="s">
        <v>7294</v>
      </c>
      <c r="G126" t="s">
        <v>7295</v>
      </c>
      <c r="H126" t="s">
        <v>7296</v>
      </c>
    </row>
    <row r="127" spans="1:8" ht="15.75" customHeight="1">
      <c r="A127" t="s">
        <v>317</v>
      </c>
      <c r="B127" t="s">
        <v>318</v>
      </c>
      <c r="C127" t="s">
        <v>7292</v>
      </c>
      <c r="E127" s="12" t="s">
        <v>7293</v>
      </c>
      <c r="F127" s="12" t="s">
        <v>7297</v>
      </c>
      <c r="G127" t="s">
        <v>7298</v>
      </c>
      <c r="H127" t="s">
        <v>7299</v>
      </c>
    </row>
    <row r="128" spans="1:8" ht="15.75" customHeight="1">
      <c r="A128" t="s">
        <v>317</v>
      </c>
      <c r="B128" t="s">
        <v>318</v>
      </c>
      <c r="C128" t="s">
        <v>7292</v>
      </c>
      <c r="E128" s="12" t="s">
        <v>7293</v>
      </c>
      <c r="F128" s="12" t="s">
        <v>7300</v>
      </c>
      <c r="G128" t="s">
        <v>7301</v>
      </c>
      <c r="H128" t="s">
        <v>7302</v>
      </c>
    </row>
    <row r="129" spans="1:8" ht="15.75" customHeight="1">
      <c r="A129" t="s">
        <v>317</v>
      </c>
      <c r="B129" t="s">
        <v>318</v>
      </c>
      <c r="C129" t="s">
        <v>7292</v>
      </c>
      <c r="E129" s="12" t="s">
        <v>7293</v>
      </c>
      <c r="F129" s="12" t="s">
        <v>7303</v>
      </c>
      <c r="G129" t="s">
        <v>7304</v>
      </c>
      <c r="H129" t="s">
        <v>7305</v>
      </c>
    </row>
    <row r="130" spans="1:8" ht="15.75" customHeight="1">
      <c r="A130" t="s">
        <v>317</v>
      </c>
      <c r="B130" t="s">
        <v>318</v>
      </c>
      <c r="C130" t="s">
        <v>7292</v>
      </c>
      <c r="E130" s="12" t="s">
        <v>7293</v>
      </c>
      <c r="F130" s="12" t="s">
        <v>7306</v>
      </c>
      <c r="G130" t="s">
        <v>7307</v>
      </c>
      <c r="H130" t="s">
        <v>7308</v>
      </c>
    </row>
    <row r="131" spans="1:8" ht="15.75" customHeight="1">
      <c r="A131" t="s">
        <v>317</v>
      </c>
      <c r="B131" t="s">
        <v>318</v>
      </c>
      <c r="C131" t="s">
        <v>7292</v>
      </c>
      <c r="E131" s="12" t="s">
        <v>7293</v>
      </c>
      <c r="F131" s="12" t="s">
        <v>7309</v>
      </c>
      <c r="G131" t="s">
        <v>7310</v>
      </c>
      <c r="H131" t="s">
        <v>7311</v>
      </c>
    </row>
    <row r="132" spans="1:8" ht="15.75" customHeight="1">
      <c r="A132" t="s">
        <v>317</v>
      </c>
      <c r="B132" t="s">
        <v>318</v>
      </c>
      <c r="C132" t="s">
        <v>7292</v>
      </c>
      <c r="E132" s="12" t="s">
        <v>7293</v>
      </c>
      <c r="F132" s="12" t="s">
        <v>7312</v>
      </c>
      <c r="G132" t="s">
        <v>7313</v>
      </c>
      <c r="H132" t="s">
        <v>7314</v>
      </c>
    </row>
    <row r="133" spans="1:8" ht="15.75" customHeight="1">
      <c r="A133" t="s">
        <v>317</v>
      </c>
      <c r="B133" t="s">
        <v>318</v>
      </c>
      <c r="C133" t="s">
        <v>7292</v>
      </c>
      <c r="E133" s="12" t="s">
        <v>7293</v>
      </c>
      <c r="F133" s="12" t="s">
        <v>7315</v>
      </c>
      <c r="G133" t="s">
        <v>7316</v>
      </c>
      <c r="H133" t="s">
        <v>7317</v>
      </c>
    </row>
    <row r="134" spans="1:8" ht="15.75" customHeight="1">
      <c r="A134" t="s">
        <v>317</v>
      </c>
      <c r="B134" t="s">
        <v>318</v>
      </c>
      <c r="C134" t="s">
        <v>7292</v>
      </c>
      <c r="E134" s="12" t="s">
        <v>7293</v>
      </c>
      <c r="F134" s="12" t="s">
        <v>7318</v>
      </c>
      <c r="G134" t="s">
        <v>7319</v>
      </c>
      <c r="H134" t="s">
        <v>7320</v>
      </c>
    </row>
    <row r="135" spans="1:8" ht="15.75" customHeight="1">
      <c r="A135" t="s">
        <v>317</v>
      </c>
      <c r="B135" t="s">
        <v>318</v>
      </c>
      <c r="C135" t="s">
        <v>7292</v>
      </c>
      <c r="E135" s="12" t="s">
        <v>7293</v>
      </c>
      <c r="F135" s="12" t="s">
        <v>7321</v>
      </c>
      <c r="G135" t="s">
        <v>7322</v>
      </c>
      <c r="H135" t="s">
        <v>7323</v>
      </c>
    </row>
    <row r="136" spans="1:8" ht="15.75" customHeight="1">
      <c r="A136" t="s">
        <v>317</v>
      </c>
      <c r="B136" t="s">
        <v>318</v>
      </c>
      <c r="C136" t="s">
        <v>7292</v>
      </c>
      <c r="E136" s="12" t="s">
        <v>7293</v>
      </c>
      <c r="F136" s="12" t="s">
        <v>7324</v>
      </c>
      <c r="G136" t="s">
        <v>7325</v>
      </c>
      <c r="H136" t="s">
        <v>7326</v>
      </c>
    </row>
    <row r="137" spans="1:8" ht="15.75" customHeight="1">
      <c r="A137" t="s">
        <v>321</v>
      </c>
      <c r="B137" t="s">
        <v>322</v>
      </c>
      <c r="C137" t="s">
        <v>7327</v>
      </c>
      <c r="E137" s="12" t="s">
        <v>7328</v>
      </c>
      <c r="F137" s="12" t="s">
        <v>7329</v>
      </c>
      <c r="G137" t="s">
        <v>7330</v>
      </c>
      <c r="H137" t="s">
        <v>7331</v>
      </c>
    </row>
    <row r="138" spans="1:8" ht="15.75" customHeight="1">
      <c r="A138" t="s">
        <v>321</v>
      </c>
      <c r="B138" t="s">
        <v>322</v>
      </c>
      <c r="C138" t="s">
        <v>7327</v>
      </c>
      <c r="E138" s="12" t="s">
        <v>7328</v>
      </c>
      <c r="F138" s="12" t="s">
        <v>7332</v>
      </c>
      <c r="G138" t="s">
        <v>7333</v>
      </c>
      <c r="H138" t="s">
        <v>7334</v>
      </c>
    </row>
    <row r="139" spans="1:8" ht="15.75" customHeight="1">
      <c r="A139" t="s">
        <v>321</v>
      </c>
      <c r="B139" t="s">
        <v>322</v>
      </c>
      <c r="C139" t="s">
        <v>7327</v>
      </c>
      <c r="E139" s="12" t="s">
        <v>7328</v>
      </c>
      <c r="F139" s="12" t="s">
        <v>7335</v>
      </c>
      <c r="G139" t="s">
        <v>7336</v>
      </c>
      <c r="H139" t="s">
        <v>7337</v>
      </c>
    </row>
    <row r="140" spans="1:8" ht="15.75" customHeight="1">
      <c r="A140" t="s">
        <v>321</v>
      </c>
      <c r="B140" t="s">
        <v>322</v>
      </c>
      <c r="C140" t="s">
        <v>7327</v>
      </c>
      <c r="E140" s="12" t="s">
        <v>7328</v>
      </c>
      <c r="F140" s="12" t="s">
        <v>7338</v>
      </c>
      <c r="G140" t="s">
        <v>7339</v>
      </c>
      <c r="H140" t="s">
        <v>7340</v>
      </c>
    </row>
    <row r="141" spans="1:8" ht="15.75" customHeight="1">
      <c r="A141" t="s">
        <v>321</v>
      </c>
      <c r="B141" t="s">
        <v>322</v>
      </c>
      <c r="C141" t="s">
        <v>7327</v>
      </c>
      <c r="E141" s="12" t="s">
        <v>7328</v>
      </c>
      <c r="F141" s="12" t="s">
        <v>7341</v>
      </c>
      <c r="G141" t="s">
        <v>7342</v>
      </c>
      <c r="H141" t="s">
        <v>7343</v>
      </c>
    </row>
    <row r="142" spans="1:8" ht="15.75" customHeight="1">
      <c r="A142" t="s">
        <v>321</v>
      </c>
      <c r="B142" t="s">
        <v>322</v>
      </c>
      <c r="C142" t="s">
        <v>7327</v>
      </c>
      <c r="E142" s="12" t="s">
        <v>7328</v>
      </c>
      <c r="F142" s="12" t="s">
        <v>7344</v>
      </c>
      <c r="G142" t="s">
        <v>7345</v>
      </c>
      <c r="H142" t="s">
        <v>7346</v>
      </c>
    </row>
    <row r="143" spans="1:8" ht="15.75" customHeight="1">
      <c r="A143" t="s">
        <v>321</v>
      </c>
      <c r="B143" t="s">
        <v>322</v>
      </c>
      <c r="C143" t="s">
        <v>7327</v>
      </c>
      <c r="E143" s="12" t="s">
        <v>7328</v>
      </c>
      <c r="F143" s="12" t="s">
        <v>7347</v>
      </c>
      <c r="G143" t="s">
        <v>7348</v>
      </c>
      <c r="H143" t="s">
        <v>7349</v>
      </c>
    </row>
    <row r="144" spans="1:8" ht="15.75" customHeight="1">
      <c r="A144" t="s">
        <v>321</v>
      </c>
      <c r="B144" t="s">
        <v>322</v>
      </c>
      <c r="C144" t="s">
        <v>7327</v>
      </c>
      <c r="E144" s="12" t="s">
        <v>7328</v>
      </c>
      <c r="F144" s="12" t="s">
        <v>7350</v>
      </c>
      <c r="G144" t="s">
        <v>7351</v>
      </c>
      <c r="H144" t="s">
        <v>7352</v>
      </c>
    </row>
    <row r="145" spans="1:8" ht="15.75" customHeight="1">
      <c r="A145" t="s">
        <v>321</v>
      </c>
      <c r="B145" t="s">
        <v>322</v>
      </c>
      <c r="C145" t="s">
        <v>7327</v>
      </c>
      <c r="E145" s="12" t="s">
        <v>7328</v>
      </c>
      <c r="F145" s="12" t="s">
        <v>7353</v>
      </c>
      <c r="G145" t="s">
        <v>7354</v>
      </c>
      <c r="H145" t="s">
        <v>7355</v>
      </c>
    </row>
    <row r="146" spans="1:8" ht="15.75" customHeight="1">
      <c r="A146" t="s">
        <v>321</v>
      </c>
      <c r="B146" t="s">
        <v>322</v>
      </c>
      <c r="C146" t="s">
        <v>7327</v>
      </c>
      <c r="E146" s="12" t="s">
        <v>7328</v>
      </c>
      <c r="F146" s="12" t="s">
        <v>7356</v>
      </c>
      <c r="G146" t="s">
        <v>7357</v>
      </c>
      <c r="H146" t="s">
        <v>7358</v>
      </c>
    </row>
    <row r="147" spans="1:8" ht="15.75" customHeight="1">
      <c r="A147" t="s">
        <v>321</v>
      </c>
      <c r="B147" t="s">
        <v>322</v>
      </c>
      <c r="C147" t="s">
        <v>7327</v>
      </c>
      <c r="E147" s="12" t="s">
        <v>7328</v>
      </c>
      <c r="F147" s="12" t="s">
        <v>7359</v>
      </c>
      <c r="G147" t="s">
        <v>7360</v>
      </c>
      <c r="H147" t="s">
        <v>7361</v>
      </c>
    </row>
    <row r="148" spans="1:8" ht="15.75" customHeight="1">
      <c r="A148" t="s">
        <v>325</v>
      </c>
      <c r="B148" t="s">
        <v>326</v>
      </c>
      <c r="C148" t="s">
        <v>7362</v>
      </c>
      <c r="E148" s="12" t="s">
        <v>7363</v>
      </c>
      <c r="F148" s="12" t="s">
        <v>7364</v>
      </c>
      <c r="G148" t="s">
        <v>7365</v>
      </c>
      <c r="H148" t="s">
        <v>7366</v>
      </c>
    </row>
    <row r="149" spans="1:8" ht="15.75" customHeight="1">
      <c r="A149" t="s">
        <v>328</v>
      </c>
      <c r="B149" t="s">
        <v>329</v>
      </c>
      <c r="C149" t="s">
        <v>7367</v>
      </c>
      <c r="E149" s="12" t="s">
        <v>7368</v>
      </c>
      <c r="F149" s="12" t="s">
        <v>7369</v>
      </c>
      <c r="G149" t="s">
        <v>7370</v>
      </c>
      <c r="H149" t="s">
        <v>7371</v>
      </c>
    </row>
    <row r="150" spans="1:8" ht="15.75" customHeight="1">
      <c r="A150" t="s">
        <v>328</v>
      </c>
      <c r="B150" t="s">
        <v>329</v>
      </c>
      <c r="C150" t="s">
        <v>7372</v>
      </c>
    </row>
    <row r="151" spans="1:8" ht="15.75" customHeight="1">
      <c r="A151" t="s">
        <v>332</v>
      </c>
      <c r="B151" t="s">
        <v>333</v>
      </c>
    </row>
    <row r="152" spans="1:8" ht="15.75" customHeight="1">
      <c r="A152" t="s">
        <v>336</v>
      </c>
      <c r="B152" t="s">
        <v>337</v>
      </c>
      <c r="C152" t="s">
        <v>7373</v>
      </c>
      <c r="E152" s="12" t="s">
        <v>7374</v>
      </c>
      <c r="F152" s="12" t="s">
        <v>7375</v>
      </c>
      <c r="G152" t="s">
        <v>7376</v>
      </c>
      <c r="H152" t="s">
        <v>7377</v>
      </c>
    </row>
    <row r="153" spans="1:8" ht="15.75" customHeight="1">
      <c r="A153" t="s">
        <v>336</v>
      </c>
      <c r="B153" t="s">
        <v>337</v>
      </c>
      <c r="C153" t="s">
        <v>7378</v>
      </c>
      <c r="E153" s="12" t="s">
        <v>7379</v>
      </c>
      <c r="F153" s="12" t="s">
        <v>7294</v>
      </c>
      <c r="G153" t="s">
        <v>7295</v>
      </c>
      <c r="H153" t="s">
        <v>7296</v>
      </c>
    </row>
    <row r="154" spans="1:8" ht="15.75" customHeight="1">
      <c r="A154" t="s">
        <v>336</v>
      </c>
      <c r="B154" t="s">
        <v>337</v>
      </c>
      <c r="C154" t="s">
        <v>7378</v>
      </c>
      <c r="E154" s="12" t="s">
        <v>7379</v>
      </c>
      <c r="F154" s="12" t="s">
        <v>7297</v>
      </c>
      <c r="G154" t="s">
        <v>7298</v>
      </c>
      <c r="H154" t="s">
        <v>7299</v>
      </c>
    </row>
    <row r="155" spans="1:8" ht="15.75" customHeight="1">
      <c r="A155" t="s">
        <v>336</v>
      </c>
      <c r="B155" t="s">
        <v>337</v>
      </c>
      <c r="C155" t="s">
        <v>7378</v>
      </c>
      <c r="E155" s="12" t="s">
        <v>7379</v>
      </c>
      <c r="F155" s="12" t="s">
        <v>7300</v>
      </c>
      <c r="G155" t="s">
        <v>7301</v>
      </c>
      <c r="H155" t="s">
        <v>7302</v>
      </c>
    </row>
    <row r="156" spans="1:8" ht="15.75" customHeight="1">
      <c r="A156" t="s">
        <v>336</v>
      </c>
      <c r="B156" t="s">
        <v>337</v>
      </c>
      <c r="C156" t="s">
        <v>7378</v>
      </c>
      <c r="E156" s="12" t="s">
        <v>7379</v>
      </c>
      <c r="F156" s="12" t="s">
        <v>7303</v>
      </c>
      <c r="G156" t="s">
        <v>7304</v>
      </c>
      <c r="H156" t="s">
        <v>7305</v>
      </c>
    </row>
    <row r="157" spans="1:8" ht="15.75" customHeight="1">
      <c r="A157" t="s">
        <v>336</v>
      </c>
      <c r="B157" t="s">
        <v>337</v>
      </c>
      <c r="C157" t="s">
        <v>7378</v>
      </c>
      <c r="E157" s="12" t="s">
        <v>7379</v>
      </c>
      <c r="F157" s="12" t="s">
        <v>7306</v>
      </c>
      <c r="G157" t="s">
        <v>7307</v>
      </c>
      <c r="H157" t="s">
        <v>7308</v>
      </c>
    </row>
    <row r="158" spans="1:8" ht="15.75" customHeight="1">
      <c r="A158" t="s">
        <v>336</v>
      </c>
      <c r="B158" t="s">
        <v>337</v>
      </c>
      <c r="C158" t="s">
        <v>7378</v>
      </c>
      <c r="E158" s="12" t="s">
        <v>7379</v>
      </c>
      <c r="F158" s="12" t="s">
        <v>7309</v>
      </c>
      <c r="G158" t="s">
        <v>7310</v>
      </c>
      <c r="H158" t="s">
        <v>7311</v>
      </c>
    </row>
    <row r="159" spans="1:8" ht="15.75" customHeight="1">
      <c r="A159" t="s">
        <v>336</v>
      </c>
      <c r="B159" t="s">
        <v>337</v>
      </c>
      <c r="C159" t="s">
        <v>7378</v>
      </c>
      <c r="E159" s="12" t="s">
        <v>7379</v>
      </c>
      <c r="F159" s="12" t="s">
        <v>7312</v>
      </c>
      <c r="G159" t="s">
        <v>7313</v>
      </c>
      <c r="H159" t="s">
        <v>7314</v>
      </c>
    </row>
    <row r="160" spans="1:8" ht="15.75" customHeight="1">
      <c r="A160" t="s">
        <v>336</v>
      </c>
      <c r="B160" t="s">
        <v>337</v>
      </c>
      <c r="C160" t="s">
        <v>7378</v>
      </c>
      <c r="E160" s="12" t="s">
        <v>7379</v>
      </c>
      <c r="F160" s="12" t="s">
        <v>7315</v>
      </c>
      <c r="G160" t="s">
        <v>7316</v>
      </c>
      <c r="H160" t="s">
        <v>7317</v>
      </c>
    </row>
    <row r="161" spans="1:8" ht="15.75" customHeight="1">
      <c r="A161" t="s">
        <v>336</v>
      </c>
      <c r="B161" t="s">
        <v>337</v>
      </c>
      <c r="C161" t="s">
        <v>7378</v>
      </c>
      <c r="E161" s="12" t="s">
        <v>7379</v>
      </c>
      <c r="F161" s="12" t="s">
        <v>7318</v>
      </c>
      <c r="G161" t="s">
        <v>7319</v>
      </c>
      <c r="H161" t="s">
        <v>7320</v>
      </c>
    </row>
    <row r="162" spans="1:8" ht="15.75" customHeight="1">
      <c r="A162" t="s">
        <v>336</v>
      </c>
      <c r="B162" t="s">
        <v>337</v>
      </c>
      <c r="C162" t="s">
        <v>7378</v>
      </c>
      <c r="E162" s="12" t="s">
        <v>7379</v>
      </c>
      <c r="F162" s="12" t="s">
        <v>7321</v>
      </c>
      <c r="G162" t="s">
        <v>7322</v>
      </c>
      <c r="H162" t="s">
        <v>7323</v>
      </c>
    </row>
    <row r="163" spans="1:8" ht="15.75" customHeight="1">
      <c r="A163" t="s">
        <v>336</v>
      </c>
      <c r="B163" t="s">
        <v>337</v>
      </c>
      <c r="C163" t="s">
        <v>7378</v>
      </c>
      <c r="E163" s="12" t="s">
        <v>7379</v>
      </c>
      <c r="F163" s="12" t="s">
        <v>7324</v>
      </c>
      <c r="G163" t="s">
        <v>7325</v>
      </c>
      <c r="H163" t="s">
        <v>7326</v>
      </c>
    </row>
    <row r="164" spans="1:8" ht="15.75" customHeight="1">
      <c r="A164" t="s">
        <v>340</v>
      </c>
      <c r="B164" t="s">
        <v>341</v>
      </c>
    </row>
    <row r="165" spans="1:8" ht="15.75" customHeight="1">
      <c r="A165" t="s">
        <v>344</v>
      </c>
      <c r="B165" t="s">
        <v>345</v>
      </c>
      <c r="C165" t="s">
        <v>7380</v>
      </c>
      <c r="E165" s="12" t="s">
        <v>7381</v>
      </c>
      <c r="F165" s="12" t="s">
        <v>7382</v>
      </c>
      <c r="G165" t="s">
        <v>7383</v>
      </c>
      <c r="H165" t="s">
        <v>7384</v>
      </c>
    </row>
    <row r="166" spans="1:8" ht="15.75" customHeight="1">
      <c r="A166" t="s">
        <v>344</v>
      </c>
      <c r="B166" t="s">
        <v>345</v>
      </c>
      <c r="C166" t="s">
        <v>7380</v>
      </c>
      <c r="E166" s="12" t="s">
        <v>7381</v>
      </c>
      <c r="F166" s="13" t="s">
        <v>7385</v>
      </c>
      <c r="G166" t="s">
        <v>7386</v>
      </c>
      <c r="H166" t="s">
        <v>7387</v>
      </c>
    </row>
    <row r="167" spans="1:8" ht="15.75" customHeight="1">
      <c r="A167" t="s">
        <v>344</v>
      </c>
      <c r="B167" t="s">
        <v>345</v>
      </c>
      <c r="C167" t="s">
        <v>7380</v>
      </c>
      <c r="E167" s="12" t="s">
        <v>7381</v>
      </c>
      <c r="F167" s="12" t="s">
        <v>7388</v>
      </c>
      <c r="G167" t="s">
        <v>7389</v>
      </c>
      <c r="H167" t="s">
        <v>7390</v>
      </c>
    </row>
    <row r="168" spans="1:8" ht="15.75" customHeight="1">
      <c r="A168" t="s">
        <v>344</v>
      </c>
      <c r="B168" t="s">
        <v>345</v>
      </c>
      <c r="C168" t="s">
        <v>7380</v>
      </c>
      <c r="E168" s="12" t="s">
        <v>7381</v>
      </c>
      <c r="F168" s="12" t="s">
        <v>7391</v>
      </c>
      <c r="G168" t="s">
        <v>7392</v>
      </c>
      <c r="H168" t="s">
        <v>7393</v>
      </c>
    </row>
    <row r="169" spans="1:8" ht="15.75" customHeight="1">
      <c r="A169" t="s">
        <v>344</v>
      </c>
      <c r="B169" t="s">
        <v>345</v>
      </c>
      <c r="C169" t="s">
        <v>7380</v>
      </c>
      <c r="E169" s="12" t="s">
        <v>7381</v>
      </c>
      <c r="F169" s="12" t="s">
        <v>7394</v>
      </c>
      <c r="G169" t="s">
        <v>7395</v>
      </c>
      <c r="H169" t="s">
        <v>7396</v>
      </c>
    </row>
    <row r="170" spans="1:8" ht="15.75" customHeight="1">
      <c r="A170" t="s">
        <v>344</v>
      </c>
      <c r="B170" t="s">
        <v>345</v>
      </c>
      <c r="C170" t="s">
        <v>7380</v>
      </c>
      <c r="E170" s="12" t="s">
        <v>7381</v>
      </c>
      <c r="F170" s="12" t="s">
        <v>7397</v>
      </c>
      <c r="G170" t="s">
        <v>7398</v>
      </c>
      <c r="H170" t="s">
        <v>7399</v>
      </c>
    </row>
    <row r="171" spans="1:8" ht="15.75" customHeight="1">
      <c r="A171" t="s">
        <v>344</v>
      </c>
      <c r="B171" t="s">
        <v>345</v>
      </c>
      <c r="C171" t="s">
        <v>7380</v>
      </c>
      <c r="E171" s="12" t="s">
        <v>7381</v>
      </c>
      <c r="F171" s="12" t="s">
        <v>7400</v>
      </c>
      <c r="G171" t="s">
        <v>7401</v>
      </c>
      <c r="H171" t="s">
        <v>7402</v>
      </c>
    </row>
    <row r="172" spans="1:8" ht="15.75" customHeight="1">
      <c r="A172" t="s">
        <v>344</v>
      </c>
      <c r="B172" t="s">
        <v>345</v>
      </c>
      <c r="C172" t="s">
        <v>7380</v>
      </c>
      <c r="E172" s="12" t="s">
        <v>7381</v>
      </c>
      <c r="F172" s="12" t="s">
        <v>7403</v>
      </c>
      <c r="G172" t="s">
        <v>7404</v>
      </c>
      <c r="H172" t="s">
        <v>7405</v>
      </c>
    </row>
    <row r="173" spans="1:8" ht="15.75" customHeight="1">
      <c r="A173" t="s">
        <v>344</v>
      </c>
      <c r="B173" t="s">
        <v>345</v>
      </c>
      <c r="C173" t="s">
        <v>7380</v>
      </c>
      <c r="E173" s="12" t="s">
        <v>7381</v>
      </c>
      <c r="F173" s="12" t="s">
        <v>7406</v>
      </c>
      <c r="G173" t="s">
        <v>7407</v>
      </c>
      <c r="H173" t="s">
        <v>7408</v>
      </c>
    </row>
    <row r="174" spans="1:8" ht="15.75" customHeight="1">
      <c r="A174" t="s">
        <v>344</v>
      </c>
      <c r="B174" t="s">
        <v>345</v>
      </c>
      <c r="C174" t="s">
        <v>7380</v>
      </c>
      <c r="E174" s="12" t="s">
        <v>7381</v>
      </c>
      <c r="F174" s="12" t="s">
        <v>7409</v>
      </c>
      <c r="G174" t="s">
        <v>7410</v>
      </c>
      <c r="H174" t="s">
        <v>7411</v>
      </c>
    </row>
    <row r="175" spans="1:8" ht="15.75" customHeight="1">
      <c r="A175" t="s">
        <v>344</v>
      </c>
      <c r="B175" t="s">
        <v>345</v>
      </c>
      <c r="C175" t="s">
        <v>7380</v>
      </c>
      <c r="E175" s="12" t="s">
        <v>7381</v>
      </c>
      <c r="F175" s="12" t="s">
        <v>7412</v>
      </c>
      <c r="G175" t="s">
        <v>7413</v>
      </c>
      <c r="H175" t="s">
        <v>7414</v>
      </c>
    </row>
    <row r="176" spans="1:8" ht="15.75" customHeight="1">
      <c r="A176" t="s">
        <v>344</v>
      </c>
      <c r="B176" t="s">
        <v>345</v>
      </c>
      <c r="C176" t="s">
        <v>7380</v>
      </c>
      <c r="E176" s="12" t="s">
        <v>7381</v>
      </c>
      <c r="F176" s="12" t="s">
        <v>7415</v>
      </c>
      <c r="G176" t="s">
        <v>7416</v>
      </c>
      <c r="H176" t="s">
        <v>7417</v>
      </c>
    </row>
    <row r="177" spans="1:8" ht="15.75" customHeight="1">
      <c r="A177" t="s">
        <v>344</v>
      </c>
      <c r="B177" t="s">
        <v>345</v>
      </c>
      <c r="C177" t="s">
        <v>7380</v>
      </c>
      <c r="E177" s="12" t="s">
        <v>7381</v>
      </c>
      <c r="F177" s="12" t="s">
        <v>7418</v>
      </c>
      <c r="G177" t="s">
        <v>7419</v>
      </c>
      <c r="H177" t="s">
        <v>7420</v>
      </c>
    </row>
    <row r="178" spans="1:8" ht="15.75" customHeight="1">
      <c r="A178" t="s">
        <v>344</v>
      </c>
      <c r="B178" t="s">
        <v>345</v>
      </c>
      <c r="C178" t="s">
        <v>7380</v>
      </c>
      <c r="E178" s="12" t="s">
        <v>7381</v>
      </c>
      <c r="F178" s="12" t="s">
        <v>7421</v>
      </c>
      <c r="G178" t="s">
        <v>7422</v>
      </c>
      <c r="H178" t="s">
        <v>7423</v>
      </c>
    </row>
    <row r="179" spans="1:8" ht="15.75" customHeight="1">
      <c r="A179" t="s">
        <v>344</v>
      </c>
      <c r="B179" t="s">
        <v>345</v>
      </c>
      <c r="C179" t="s">
        <v>7380</v>
      </c>
      <c r="E179" s="12" t="s">
        <v>7381</v>
      </c>
      <c r="F179" s="12" t="s">
        <v>7424</v>
      </c>
      <c r="G179" t="s">
        <v>7383</v>
      </c>
      <c r="H179" t="s">
        <v>7425</v>
      </c>
    </row>
    <row r="180" spans="1:8" ht="15.75" customHeight="1">
      <c r="A180" t="s">
        <v>344</v>
      </c>
      <c r="B180" t="s">
        <v>345</v>
      </c>
      <c r="C180" t="s">
        <v>7380</v>
      </c>
      <c r="E180" s="12" t="s">
        <v>7381</v>
      </c>
      <c r="F180" s="12" t="s">
        <v>7426</v>
      </c>
      <c r="G180" t="s">
        <v>7427</v>
      </c>
      <c r="H180" t="s">
        <v>7428</v>
      </c>
    </row>
    <row r="181" spans="1:8" ht="15.75" customHeight="1">
      <c r="A181" t="s">
        <v>344</v>
      </c>
      <c r="B181" t="s">
        <v>345</v>
      </c>
      <c r="C181" t="s">
        <v>7380</v>
      </c>
      <c r="E181" s="12" t="s">
        <v>7381</v>
      </c>
      <c r="F181" s="12" t="s">
        <v>7429</v>
      </c>
      <c r="G181" t="s">
        <v>7430</v>
      </c>
      <c r="H181" t="s">
        <v>7431</v>
      </c>
    </row>
    <row r="182" spans="1:8" ht="15.75" customHeight="1">
      <c r="A182" t="s">
        <v>344</v>
      </c>
      <c r="B182" t="s">
        <v>345</v>
      </c>
      <c r="C182" t="s">
        <v>7380</v>
      </c>
      <c r="E182" s="12" t="s">
        <v>7381</v>
      </c>
      <c r="F182" s="12" t="s">
        <v>7432</v>
      </c>
      <c r="G182" t="s">
        <v>7387</v>
      </c>
      <c r="H182" t="s">
        <v>7433</v>
      </c>
    </row>
    <row r="183" spans="1:8" ht="15.75" customHeight="1">
      <c r="A183" t="s">
        <v>344</v>
      </c>
      <c r="B183" t="s">
        <v>345</v>
      </c>
      <c r="C183" t="s">
        <v>7380</v>
      </c>
      <c r="E183" s="12" t="s">
        <v>7381</v>
      </c>
      <c r="F183" s="12" t="s">
        <v>7434</v>
      </c>
      <c r="G183" t="s">
        <v>7435</v>
      </c>
      <c r="H183" t="s">
        <v>7436</v>
      </c>
    </row>
    <row r="184" spans="1:8" ht="15.75" customHeight="1">
      <c r="A184" t="s">
        <v>344</v>
      </c>
      <c r="B184" t="s">
        <v>345</v>
      </c>
      <c r="C184" t="s">
        <v>7380</v>
      </c>
      <c r="E184" s="12" t="s">
        <v>7381</v>
      </c>
      <c r="F184" s="12" t="s">
        <v>7437</v>
      </c>
      <c r="G184" t="s">
        <v>7438</v>
      </c>
      <c r="H184" t="s">
        <v>7436</v>
      </c>
    </row>
    <row r="185" spans="1:8" ht="15.75" customHeight="1">
      <c r="A185" t="s">
        <v>344</v>
      </c>
      <c r="B185" t="s">
        <v>345</v>
      </c>
      <c r="C185" t="s">
        <v>7380</v>
      </c>
      <c r="E185" s="12" t="s">
        <v>7381</v>
      </c>
      <c r="F185" s="12" t="s">
        <v>7439</v>
      </c>
      <c r="G185" t="s">
        <v>7440</v>
      </c>
      <c r="H185" t="s">
        <v>7441</v>
      </c>
    </row>
    <row r="186" spans="1:8" ht="15.75" customHeight="1">
      <c r="A186" t="s">
        <v>344</v>
      </c>
      <c r="B186" t="s">
        <v>345</v>
      </c>
      <c r="C186" t="s">
        <v>7380</v>
      </c>
      <c r="E186" s="12" t="s">
        <v>7381</v>
      </c>
      <c r="F186" s="12" t="s">
        <v>7442</v>
      </c>
      <c r="G186" t="s">
        <v>7443</v>
      </c>
      <c r="H186" t="s">
        <v>7444</v>
      </c>
    </row>
    <row r="187" spans="1:8" ht="15.75" customHeight="1">
      <c r="A187" t="s">
        <v>348</v>
      </c>
      <c r="B187" t="s">
        <v>349</v>
      </c>
      <c r="C187" t="s">
        <v>7445</v>
      </c>
      <c r="E187" s="12" t="s">
        <v>7446</v>
      </c>
      <c r="F187" s="12" t="s">
        <v>7447</v>
      </c>
      <c r="G187" t="s">
        <v>7448</v>
      </c>
      <c r="H187" t="s">
        <v>7449</v>
      </c>
    </row>
    <row r="188" spans="1:8" ht="15.75" customHeight="1">
      <c r="A188" t="s">
        <v>348</v>
      </c>
      <c r="B188" t="s">
        <v>349</v>
      </c>
      <c r="C188" t="s">
        <v>7445</v>
      </c>
      <c r="E188" s="12" t="s">
        <v>7446</v>
      </c>
      <c r="F188" s="12" t="s">
        <v>7450</v>
      </c>
      <c r="G188" t="s">
        <v>7448</v>
      </c>
      <c r="H188" t="s">
        <v>7451</v>
      </c>
    </row>
    <row r="189" spans="1:8" ht="15.75" customHeight="1">
      <c r="A189" t="s">
        <v>351</v>
      </c>
      <c r="B189" t="s">
        <v>352</v>
      </c>
    </row>
    <row r="190" spans="1:8" ht="15.75" customHeight="1">
      <c r="A190" t="s">
        <v>355</v>
      </c>
      <c r="B190" t="s">
        <v>356</v>
      </c>
      <c r="C190" t="s">
        <v>7452</v>
      </c>
      <c r="E190" s="12" t="s">
        <v>7453</v>
      </c>
      <c r="F190" s="12" t="s">
        <v>7454</v>
      </c>
      <c r="G190" t="s">
        <v>7455</v>
      </c>
      <c r="H190" t="s">
        <v>7456</v>
      </c>
    </row>
    <row r="191" spans="1:8" ht="15.75" customHeight="1">
      <c r="A191" t="s">
        <v>355</v>
      </c>
      <c r="B191" t="s">
        <v>356</v>
      </c>
      <c r="C191" t="s">
        <v>7452</v>
      </c>
      <c r="E191" s="12" t="s">
        <v>7453</v>
      </c>
      <c r="F191" s="12" t="s">
        <v>7457</v>
      </c>
      <c r="G191" t="s">
        <v>7458</v>
      </c>
      <c r="H191" t="s">
        <v>7459</v>
      </c>
    </row>
    <row r="192" spans="1:8" ht="15.75" customHeight="1">
      <c r="A192" t="s">
        <v>359</v>
      </c>
      <c r="B192" t="s">
        <v>360</v>
      </c>
    </row>
    <row r="193" spans="1:8" ht="15.75" customHeight="1">
      <c r="A193" t="s">
        <v>362</v>
      </c>
      <c r="B193" t="s">
        <v>363</v>
      </c>
    </row>
    <row r="194" spans="1:8" ht="15.75" customHeight="1">
      <c r="A194" t="s">
        <v>365</v>
      </c>
      <c r="B194" t="s">
        <v>366</v>
      </c>
    </row>
    <row r="195" spans="1:8" ht="15.75" customHeight="1">
      <c r="A195" t="s">
        <v>369</v>
      </c>
      <c r="B195" t="s">
        <v>370</v>
      </c>
    </row>
    <row r="196" spans="1:8" ht="15.75" customHeight="1">
      <c r="A196" t="s">
        <v>373</v>
      </c>
      <c r="B196" t="s">
        <v>374</v>
      </c>
    </row>
    <row r="197" spans="1:8" ht="15.75" customHeight="1">
      <c r="A197" t="s">
        <v>375</v>
      </c>
      <c r="B197" t="s">
        <v>376</v>
      </c>
      <c r="C197" t="s">
        <v>7452</v>
      </c>
      <c r="E197" s="12" t="s">
        <v>7453</v>
      </c>
      <c r="F197" s="12" t="s">
        <v>7454</v>
      </c>
      <c r="G197" t="s">
        <v>7455</v>
      </c>
      <c r="H197" t="s">
        <v>7456</v>
      </c>
    </row>
    <row r="198" spans="1:8" ht="15.75" customHeight="1">
      <c r="A198" t="s">
        <v>375</v>
      </c>
      <c r="B198" t="s">
        <v>376</v>
      </c>
      <c r="C198" t="s">
        <v>7452</v>
      </c>
      <c r="E198" s="12" t="s">
        <v>7453</v>
      </c>
      <c r="F198" s="12" t="s">
        <v>7457</v>
      </c>
      <c r="G198" t="s">
        <v>7458</v>
      </c>
      <c r="H198" t="s">
        <v>7459</v>
      </c>
    </row>
    <row r="199" spans="1:8" ht="15.75" customHeight="1">
      <c r="A199" t="s">
        <v>379</v>
      </c>
      <c r="B199" t="s">
        <v>380</v>
      </c>
      <c r="C199" t="s">
        <v>7460</v>
      </c>
      <c r="E199" s="12" t="s">
        <v>7461</v>
      </c>
    </row>
    <row r="200" spans="1:8" ht="15.75" customHeight="1">
      <c r="A200" t="s">
        <v>383</v>
      </c>
      <c r="B200" t="s">
        <v>384</v>
      </c>
      <c r="C200" t="s">
        <v>7462</v>
      </c>
      <c r="E200" s="12" t="s">
        <v>7463</v>
      </c>
    </row>
    <row r="201" spans="1:8" ht="15.75" customHeight="1">
      <c r="A201" t="s">
        <v>387</v>
      </c>
      <c r="B201" t="s">
        <v>388</v>
      </c>
      <c r="C201" t="s">
        <v>7464</v>
      </c>
      <c r="E201" s="12" t="s">
        <v>7465</v>
      </c>
    </row>
    <row r="202" spans="1:8" ht="15.75" customHeight="1">
      <c r="A202" t="s">
        <v>391</v>
      </c>
      <c r="B202" t="s">
        <v>392</v>
      </c>
      <c r="C202" t="s">
        <v>7466</v>
      </c>
      <c r="E202" s="12" t="s">
        <v>7467</v>
      </c>
      <c r="F202" s="12" t="s">
        <v>7468</v>
      </c>
      <c r="G202" t="s">
        <v>7469</v>
      </c>
      <c r="H202" t="s">
        <v>7470</v>
      </c>
    </row>
    <row r="203" spans="1:8" ht="15.75" customHeight="1">
      <c r="A203" t="s">
        <v>394</v>
      </c>
      <c r="B203" t="s">
        <v>395</v>
      </c>
    </row>
    <row r="204" spans="1:8" ht="15.75" customHeight="1">
      <c r="A204" t="s">
        <v>397</v>
      </c>
      <c r="B204" t="s">
        <v>398</v>
      </c>
    </row>
    <row r="205" spans="1:8" ht="15.75" customHeight="1">
      <c r="A205" t="s">
        <v>400</v>
      </c>
      <c r="B205" t="s">
        <v>401</v>
      </c>
      <c r="C205" t="s">
        <v>7471</v>
      </c>
      <c r="E205" s="12" t="s">
        <v>7472</v>
      </c>
    </row>
    <row r="206" spans="1:8" ht="15.75" customHeight="1">
      <c r="A206" t="s">
        <v>403</v>
      </c>
      <c r="B206" t="s">
        <v>404</v>
      </c>
    </row>
    <row r="207" spans="1:8" ht="15.75" customHeight="1">
      <c r="A207" t="s">
        <v>407</v>
      </c>
      <c r="B207" t="s">
        <v>408</v>
      </c>
    </row>
    <row r="208" spans="1:8" ht="15.75" customHeight="1">
      <c r="A208" t="s">
        <v>411</v>
      </c>
      <c r="B208" t="s">
        <v>412</v>
      </c>
      <c r="C208" t="s">
        <v>7473</v>
      </c>
    </row>
    <row r="209" spans="1:8" ht="15.75" customHeight="1">
      <c r="A209" t="s">
        <v>411</v>
      </c>
      <c r="B209" t="s">
        <v>412</v>
      </c>
      <c r="C209" t="s">
        <v>7474</v>
      </c>
      <c r="E209" s="12" t="s">
        <v>7475</v>
      </c>
    </row>
    <row r="210" spans="1:8" ht="15.75" customHeight="1">
      <c r="A210" t="s">
        <v>414</v>
      </c>
      <c r="B210" t="s">
        <v>415</v>
      </c>
    </row>
    <row r="211" spans="1:8" ht="15.75" customHeight="1">
      <c r="A211" t="s">
        <v>418</v>
      </c>
      <c r="B211" t="s">
        <v>419</v>
      </c>
      <c r="C211" t="s">
        <v>7476</v>
      </c>
      <c r="E211" s="12" t="s">
        <v>7477</v>
      </c>
      <c r="F211" s="12" t="s">
        <v>7478</v>
      </c>
      <c r="G211" t="s">
        <v>7479</v>
      </c>
      <c r="H211" t="s">
        <v>7480</v>
      </c>
    </row>
    <row r="212" spans="1:8" ht="15.75" customHeight="1">
      <c r="A212" t="s">
        <v>421</v>
      </c>
      <c r="B212" t="s">
        <v>422</v>
      </c>
      <c r="C212" t="s">
        <v>7481</v>
      </c>
      <c r="E212" s="12" t="s">
        <v>7482</v>
      </c>
      <c r="F212" s="12" t="s">
        <v>7483</v>
      </c>
      <c r="G212" t="s">
        <v>7484</v>
      </c>
      <c r="H212" t="s">
        <v>7485</v>
      </c>
    </row>
    <row r="213" spans="1:8" ht="15.75" customHeight="1">
      <c r="A213" t="s">
        <v>425</v>
      </c>
      <c r="B213" t="s">
        <v>426</v>
      </c>
      <c r="C213" t="s">
        <v>7486</v>
      </c>
      <c r="E213" s="12" t="s">
        <v>7487</v>
      </c>
      <c r="F213" s="12" t="s">
        <v>7488</v>
      </c>
      <c r="G213" t="s">
        <v>7489</v>
      </c>
      <c r="H213" t="s">
        <v>7490</v>
      </c>
    </row>
    <row r="214" spans="1:8" ht="15.75" customHeight="1">
      <c r="A214" t="s">
        <v>428</v>
      </c>
      <c r="B214" t="s">
        <v>429</v>
      </c>
    </row>
    <row r="215" spans="1:8" ht="15.75" customHeight="1">
      <c r="A215" t="s">
        <v>431</v>
      </c>
      <c r="B215" t="s">
        <v>432</v>
      </c>
    </row>
    <row r="216" spans="1:8" ht="15.75" customHeight="1">
      <c r="A216" t="s">
        <v>434</v>
      </c>
      <c r="B216" t="s">
        <v>435</v>
      </c>
    </row>
    <row r="217" spans="1:8" ht="15.75" customHeight="1">
      <c r="A217" t="s">
        <v>437</v>
      </c>
      <c r="B217" t="s">
        <v>438</v>
      </c>
    </row>
    <row r="218" spans="1:8" ht="15.75" customHeight="1">
      <c r="A218" t="s">
        <v>441</v>
      </c>
      <c r="B218" t="s">
        <v>442</v>
      </c>
      <c r="C218" t="s">
        <v>7491</v>
      </c>
      <c r="E218" s="12" t="s">
        <v>7492</v>
      </c>
      <c r="F218" s="12" t="s">
        <v>7493</v>
      </c>
      <c r="G218" t="s">
        <v>7494</v>
      </c>
      <c r="H218" t="s">
        <v>7495</v>
      </c>
    </row>
    <row r="219" spans="1:8" ht="15.75" customHeight="1">
      <c r="A219" t="s">
        <v>445</v>
      </c>
      <c r="B219" t="s">
        <v>446</v>
      </c>
    </row>
    <row r="220" spans="1:8" ht="15.75" customHeight="1">
      <c r="A220" t="s">
        <v>448</v>
      </c>
      <c r="B220" t="s">
        <v>449</v>
      </c>
    </row>
    <row r="221" spans="1:8" ht="15.75" customHeight="1">
      <c r="A221" t="s">
        <v>451</v>
      </c>
      <c r="B221" t="s">
        <v>452</v>
      </c>
      <c r="C221" t="s">
        <v>7496</v>
      </c>
      <c r="E221" s="12" t="s">
        <v>7497</v>
      </c>
      <c r="F221" s="12" t="s">
        <v>7498</v>
      </c>
      <c r="G221" t="s">
        <v>7499</v>
      </c>
      <c r="H221" t="s">
        <v>7500</v>
      </c>
    </row>
    <row r="222" spans="1:8" ht="15.75" customHeight="1">
      <c r="A222" t="s">
        <v>454</v>
      </c>
      <c r="B222" t="s">
        <v>455</v>
      </c>
      <c r="C222" t="s">
        <v>7501</v>
      </c>
      <c r="E222" s="12" t="s">
        <v>7502</v>
      </c>
    </row>
    <row r="223" spans="1:8" ht="15.75" customHeight="1">
      <c r="A223" t="s">
        <v>458</v>
      </c>
      <c r="B223" t="s">
        <v>459</v>
      </c>
      <c r="C223" t="s">
        <v>7503</v>
      </c>
      <c r="E223" s="12" t="s">
        <v>7504</v>
      </c>
      <c r="F223" s="12" t="s">
        <v>7505</v>
      </c>
      <c r="G223" t="s">
        <v>7506</v>
      </c>
      <c r="H223" t="s">
        <v>7507</v>
      </c>
    </row>
    <row r="224" spans="1:8" ht="15.75" customHeight="1">
      <c r="A224" t="s">
        <v>462</v>
      </c>
      <c r="B224" t="s">
        <v>463</v>
      </c>
    </row>
    <row r="225" spans="1:8" ht="15.75" customHeight="1">
      <c r="A225" t="s">
        <v>466</v>
      </c>
      <c r="B225" t="s">
        <v>467</v>
      </c>
    </row>
    <row r="226" spans="1:8" ht="15.75" customHeight="1">
      <c r="A226" t="s">
        <v>470</v>
      </c>
      <c r="B226" t="s">
        <v>471</v>
      </c>
      <c r="C226" t="s">
        <v>7508</v>
      </c>
    </row>
    <row r="227" spans="1:8" ht="15.75" customHeight="1">
      <c r="A227" t="s">
        <v>474</v>
      </c>
      <c r="B227" t="s">
        <v>475</v>
      </c>
    </row>
    <row r="228" spans="1:8" ht="15.75" customHeight="1">
      <c r="A228" t="s">
        <v>477</v>
      </c>
      <c r="B228" t="s">
        <v>478</v>
      </c>
      <c r="C228" t="s">
        <v>7509</v>
      </c>
      <c r="E228" s="12" t="s">
        <v>7510</v>
      </c>
      <c r="F228" s="12" t="s">
        <v>7511</v>
      </c>
      <c r="G228" t="s">
        <v>7512</v>
      </c>
      <c r="H228" t="s">
        <v>7513</v>
      </c>
    </row>
    <row r="229" spans="1:8" ht="15.75" customHeight="1">
      <c r="A229" t="s">
        <v>477</v>
      </c>
      <c r="B229" t="s">
        <v>478</v>
      </c>
      <c r="C229" t="s">
        <v>7509</v>
      </c>
      <c r="E229" s="12" t="s">
        <v>7510</v>
      </c>
      <c r="F229" s="12" t="s">
        <v>7514</v>
      </c>
      <c r="G229" t="s">
        <v>7515</v>
      </c>
      <c r="H229" t="s">
        <v>7516</v>
      </c>
    </row>
    <row r="230" spans="1:8" ht="15.75" customHeight="1">
      <c r="A230" t="s">
        <v>481</v>
      </c>
      <c r="B230" t="s">
        <v>482</v>
      </c>
    </row>
    <row r="231" spans="1:8" ht="15.75" customHeight="1">
      <c r="A231" t="s">
        <v>484</v>
      </c>
      <c r="B231" t="s">
        <v>485</v>
      </c>
    </row>
    <row r="232" spans="1:8" ht="15.75" customHeight="1">
      <c r="A232" t="s">
        <v>488</v>
      </c>
      <c r="B232" t="s">
        <v>489</v>
      </c>
      <c r="C232" t="s">
        <v>7517</v>
      </c>
      <c r="E232" s="12" t="s">
        <v>7518</v>
      </c>
      <c r="F232" s="12" t="s">
        <v>7519</v>
      </c>
      <c r="G232" t="s">
        <v>7520</v>
      </c>
      <c r="H232" t="s">
        <v>7521</v>
      </c>
    </row>
    <row r="233" spans="1:8" ht="15.75" customHeight="1">
      <c r="A233" t="s">
        <v>492</v>
      </c>
      <c r="B233" t="s">
        <v>493</v>
      </c>
      <c r="C233" t="s">
        <v>7517</v>
      </c>
      <c r="E233" s="12" t="s">
        <v>7518</v>
      </c>
      <c r="F233" s="12" t="s">
        <v>7519</v>
      </c>
      <c r="G233" t="s">
        <v>7520</v>
      </c>
      <c r="H233" t="s">
        <v>7521</v>
      </c>
    </row>
    <row r="234" spans="1:8" ht="15.75" customHeight="1">
      <c r="A234" t="s">
        <v>496</v>
      </c>
      <c r="B234" t="s">
        <v>497</v>
      </c>
      <c r="C234" t="s">
        <v>7522</v>
      </c>
      <c r="E234" s="12" t="s">
        <v>7523</v>
      </c>
      <c r="F234" s="12" t="s">
        <v>7524</v>
      </c>
      <c r="G234" t="s">
        <v>7525</v>
      </c>
      <c r="H234" t="s">
        <v>7526</v>
      </c>
    </row>
    <row r="235" spans="1:8" ht="15.75" customHeight="1">
      <c r="A235" t="s">
        <v>500</v>
      </c>
      <c r="B235" t="s">
        <v>501</v>
      </c>
      <c r="C235" t="s">
        <v>7527</v>
      </c>
      <c r="E235" s="12" t="s">
        <v>7528</v>
      </c>
      <c r="F235" s="12" t="s">
        <v>7529</v>
      </c>
      <c r="G235" t="s">
        <v>7530</v>
      </c>
      <c r="H235" t="s">
        <v>7531</v>
      </c>
    </row>
    <row r="236" spans="1:8" ht="15.75" customHeight="1">
      <c r="A236" t="s">
        <v>504</v>
      </c>
      <c r="B236" t="s">
        <v>505</v>
      </c>
      <c r="C236" t="s">
        <v>7532</v>
      </c>
      <c r="E236" s="12" t="s">
        <v>7533</v>
      </c>
      <c r="F236" s="12" t="s">
        <v>7534</v>
      </c>
      <c r="G236" t="s">
        <v>7535</v>
      </c>
      <c r="H236" t="s">
        <v>7536</v>
      </c>
    </row>
    <row r="237" spans="1:8" ht="15.75" customHeight="1">
      <c r="A237" t="s">
        <v>506</v>
      </c>
      <c r="B237" t="s">
        <v>507</v>
      </c>
    </row>
    <row r="238" spans="1:8" ht="15.75" customHeight="1">
      <c r="A238" t="s">
        <v>508</v>
      </c>
      <c r="B238" t="s">
        <v>509</v>
      </c>
    </row>
    <row r="239" spans="1:8" ht="15.75" customHeight="1">
      <c r="A239" t="s">
        <v>511</v>
      </c>
      <c r="B239" t="s">
        <v>512</v>
      </c>
    </row>
    <row r="240" spans="1:8" ht="15.75" customHeight="1">
      <c r="A240" t="s">
        <v>514</v>
      </c>
      <c r="B240" t="s">
        <v>515</v>
      </c>
    </row>
    <row r="241" spans="1:8" ht="15.75" customHeight="1">
      <c r="A241" t="s">
        <v>518</v>
      </c>
      <c r="B241" t="s">
        <v>519</v>
      </c>
      <c r="C241" t="s">
        <v>7537</v>
      </c>
      <c r="E241" s="12" t="s">
        <v>7538</v>
      </c>
      <c r="F241" s="12" t="s">
        <v>7539</v>
      </c>
      <c r="G241" t="s">
        <v>7540</v>
      </c>
      <c r="H241" t="s">
        <v>7541</v>
      </c>
    </row>
    <row r="242" spans="1:8" ht="15.75" customHeight="1">
      <c r="A242" t="s">
        <v>522</v>
      </c>
      <c r="B242" t="s">
        <v>523</v>
      </c>
      <c r="C242" t="s">
        <v>7522</v>
      </c>
      <c r="E242" s="12" t="s">
        <v>7523</v>
      </c>
      <c r="F242" s="12" t="s">
        <v>7524</v>
      </c>
      <c r="G242" t="s">
        <v>7525</v>
      </c>
      <c r="H242" t="s">
        <v>7526</v>
      </c>
    </row>
    <row r="243" spans="1:8" ht="15.75" customHeight="1">
      <c r="A243" t="s">
        <v>526</v>
      </c>
      <c r="B243" t="s">
        <v>527</v>
      </c>
      <c r="C243" t="s">
        <v>7542</v>
      </c>
      <c r="E243" s="12" t="s">
        <v>7543</v>
      </c>
    </row>
    <row r="244" spans="1:8" ht="15.75" customHeight="1">
      <c r="A244" t="s">
        <v>530</v>
      </c>
      <c r="B244" t="s">
        <v>531</v>
      </c>
    </row>
    <row r="245" spans="1:8" ht="15.75" customHeight="1">
      <c r="A245" t="s">
        <v>533</v>
      </c>
      <c r="B245" t="s">
        <v>534</v>
      </c>
      <c r="C245" t="s">
        <v>7544</v>
      </c>
    </row>
    <row r="246" spans="1:8" ht="15.75" customHeight="1">
      <c r="A246" t="s">
        <v>537</v>
      </c>
      <c r="B246" t="s">
        <v>538</v>
      </c>
      <c r="C246" t="s">
        <v>7545</v>
      </c>
    </row>
    <row r="247" spans="1:8" ht="15.75" customHeight="1">
      <c r="A247" t="s">
        <v>537</v>
      </c>
      <c r="B247" t="s">
        <v>538</v>
      </c>
      <c r="C247" t="s">
        <v>7546</v>
      </c>
    </row>
    <row r="248" spans="1:8" ht="15.75" customHeight="1">
      <c r="A248" t="s">
        <v>541</v>
      </c>
      <c r="B248" t="s">
        <v>542</v>
      </c>
      <c r="C248" t="s">
        <v>7547</v>
      </c>
    </row>
    <row r="249" spans="1:8" ht="15.75" customHeight="1">
      <c r="A249" t="s">
        <v>545</v>
      </c>
      <c r="B249" t="s">
        <v>546</v>
      </c>
      <c r="C249" t="s">
        <v>7548</v>
      </c>
      <c r="E249" s="12" t="s">
        <v>7549</v>
      </c>
      <c r="F249" s="12" t="s">
        <v>7550</v>
      </c>
      <c r="G249" t="s">
        <v>7551</v>
      </c>
      <c r="H249" t="s">
        <v>7552</v>
      </c>
    </row>
    <row r="250" spans="1:8" ht="15.75" customHeight="1">
      <c r="A250" t="s">
        <v>549</v>
      </c>
      <c r="B250" t="s">
        <v>550</v>
      </c>
    </row>
    <row r="251" spans="1:8" ht="15.75" customHeight="1">
      <c r="A251" t="s">
        <v>553</v>
      </c>
      <c r="B251" t="s">
        <v>554</v>
      </c>
      <c r="C251" t="s">
        <v>7553</v>
      </c>
      <c r="E251" s="12" t="s">
        <v>7554</v>
      </c>
      <c r="F251" s="12" t="s">
        <v>7555</v>
      </c>
      <c r="G251" t="s">
        <v>7556</v>
      </c>
      <c r="H251" t="s">
        <v>7557</v>
      </c>
    </row>
    <row r="252" spans="1:8" ht="15.75" customHeight="1">
      <c r="A252" t="s">
        <v>557</v>
      </c>
      <c r="B252" t="s">
        <v>558</v>
      </c>
    </row>
    <row r="253" spans="1:8" ht="15.75" customHeight="1">
      <c r="A253" t="s">
        <v>560</v>
      </c>
      <c r="B253" t="s">
        <v>561</v>
      </c>
    </row>
    <row r="254" spans="1:8" ht="15.75" customHeight="1">
      <c r="A254" t="s">
        <v>563</v>
      </c>
      <c r="B254" t="s">
        <v>564</v>
      </c>
    </row>
    <row r="255" spans="1:8" ht="15.75" customHeight="1">
      <c r="A255" t="s">
        <v>565</v>
      </c>
      <c r="B255" t="s">
        <v>566</v>
      </c>
    </row>
    <row r="256" spans="1:8" ht="15.75" customHeight="1">
      <c r="A256" t="s">
        <v>567</v>
      </c>
      <c r="B256" t="s">
        <v>568</v>
      </c>
    </row>
    <row r="257" spans="1:8" ht="15.75" customHeight="1">
      <c r="A257" t="s">
        <v>569</v>
      </c>
      <c r="B257" t="s">
        <v>570</v>
      </c>
    </row>
    <row r="258" spans="1:8" ht="15.75" customHeight="1">
      <c r="A258" t="s">
        <v>572</v>
      </c>
      <c r="B258" t="s">
        <v>573</v>
      </c>
    </row>
    <row r="259" spans="1:8" ht="15.75" customHeight="1">
      <c r="A259" t="s">
        <v>576</v>
      </c>
      <c r="B259" t="s">
        <v>577</v>
      </c>
      <c r="C259" t="s">
        <v>7558</v>
      </c>
      <c r="E259" s="12" t="s">
        <v>7559</v>
      </c>
    </row>
    <row r="260" spans="1:8" ht="15.75" customHeight="1">
      <c r="A260" t="s">
        <v>579</v>
      </c>
      <c r="B260" t="s">
        <v>580</v>
      </c>
    </row>
    <row r="261" spans="1:8" ht="15.75" customHeight="1">
      <c r="A261" t="s">
        <v>583</v>
      </c>
      <c r="B261" t="s">
        <v>584</v>
      </c>
      <c r="C261" t="s">
        <v>7560</v>
      </c>
      <c r="E261" s="12" t="s">
        <v>7561</v>
      </c>
      <c r="F261" s="12" t="s">
        <v>7562</v>
      </c>
      <c r="G261" t="s">
        <v>7563</v>
      </c>
      <c r="H261" t="s">
        <v>7564</v>
      </c>
    </row>
    <row r="262" spans="1:8" ht="15.75" customHeight="1">
      <c r="A262" t="s">
        <v>587</v>
      </c>
      <c r="B262" t="s">
        <v>588</v>
      </c>
    </row>
    <row r="263" spans="1:8" ht="15.75" customHeight="1">
      <c r="A263" t="s">
        <v>589</v>
      </c>
      <c r="B263" t="s">
        <v>590</v>
      </c>
    </row>
    <row r="264" spans="1:8" ht="15.75" customHeight="1">
      <c r="A264" t="s">
        <v>593</v>
      </c>
      <c r="B264" t="s">
        <v>594</v>
      </c>
      <c r="C264" t="s">
        <v>7565</v>
      </c>
      <c r="E264" s="12" t="s">
        <v>7566</v>
      </c>
      <c r="F264" s="12" t="s">
        <v>7567</v>
      </c>
      <c r="G264" t="s">
        <v>7568</v>
      </c>
      <c r="H264" t="s">
        <v>7569</v>
      </c>
    </row>
    <row r="265" spans="1:8" ht="15.75" customHeight="1">
      <c r="A265" t="s">
        <v>593</v>
      </c>
      <c r="B265" t="s">
        <v>594</v>
      </c>
      <c r="C265" t="s">
        <v>7565</v>
      </c>
      <c r="E265" s="12" t="s">
        <v>7566</v>
      </c>
      <c r="F265" s="12" t="s">
        <v>7570</v>
      </c>
      <c r="G265" t="s">
        <v>7571</v>
      </c>
      <c r="H265" t="s">
        <v>7572</v>
      </c>
    </row>
    <row r="266" spans="1:8" ht="15.75" customHeight="1">
      <c r="A266" t="s">
        <v>597</v>
      </c>
      <c r="B266" t="s">
        <v>598</v>
      </c>
    </row>
    <row r="267" spans="1:8" ht="15.75" customHeight="1">
      <c r="A267" t="s">
        <v>601</v>
      </c>
      <c r="B267" t="s">
        <v>602</v>
      </c>
    </row>
    <row r="268" spans="1:8" ht="15.75" customHeight="1">
      <c r="A268" t="s">
        <v>605</v>
      </c>
      <c r="B268" t="s">
        <v>606</v>
      </c>
      <c r="C268" t="s">
        <v>7573</v>
      </c>
      <c r="E268" s="12" t="s">
        <v>7574</v>
      </c>
    </row>
    <row r="269" spans="1:8" ht="15.75" customHeight="1">
      <c r="A269" t="s">
        <v>608</v>
      </c>
      <c r="B269" t="s">
        <v>609</v>
      </c>
    </row>
    <row r="270" spans="1:8" ht="15.75" customHeight="1">
      <c r="A270" t="s">
        <v>610</v>
      </c>
      <c r="B270" t="s">
        <v>611</v>
      </c>
    </row>
    <row r="271" spans="1:8" ht="15.75" customHeight="1">
      <c r="A271" t="s">
        <v>612</v>
      </c>
      <c r="B271" t="s">
        <v>613</v>
      </c>
    </row>
    <row r="272" spans="1:8" ht="15.75" customHeight="1">
      <c r="A272" t="s">
        <v>614</v>
      </c>
      <c r="B272" t="s">
        <v>615</v>
      </c>
    </row>
    <row r="273" spans="1:8" ht="15.75" customHeight="1">
      <c r="A273" t="s">
        <v>618</v>
      </c>
      <c r="B273" t="s">
        <v>619</v>
      </c>
    </row>
    <row r="274" spans="1:8" ht="15.75" customHeight="1">
      <c r="A274" t="s">
        <v>621</v>
      </c>
      <c r="B274" t="s">
        <v>622</v>
      </c>
    </row>
    <row r="275" spans="1:8" ht="15.75" customHeight="1">
      <c r="A275" t="s">
        <v>624</v>
      </c>
      <c r="B275" t="s">
        <v>625</v>
      </c>
    </row>
    <row r="276" spans="1:8" ht="15.75" customHeight="1">
      <c r="A276" t="s">
        <v>628</v>
      </c>
      <c r="B276" t="s">
        <v>629</v>
      </c>
    </row>
    <row r="277" spans="1:8" ht="15.75" customHeight="1">
      <c r="A277" t="s">
        <v>632</v>
      </c>
      <c r="B277" t="s">
        <v>633</v>
      </c>
      <c r="C277" t="s">
        <v>7176</v>
      </c>
      <c r="E277" s="12" t="s">
        <v>7177</v>
      </c>
    </row>
    <row r="278" spans="1:8" ht="15.75" customHeight="1">
      <c r="A278" t="s">
        <v>636</v>
      </c>
      <c r="B278" t="s">
        <v>637</v>
      </c>
      <c r="C278" t="s">
        <v>7176</v>
      </c>
      <c r="E278" s="12" t="s">
        <v>7177</v>
      </c>
    </row>
    <row r="279" spans="1:8" ht="15.75" customHeight="1">
      <c r="A279" t="s">
        <v>640</v>
      </c>
      <c r="B279" t="s">
        <v>641</v>
      </c>
      <c r="C279" t="s">
        <v>7575</v>
      </c>
      <c r="E279" s="12" t="s">
        <v>7576</v>
      </c>
      <c r="F279" s="12" t="s">
        <v>7577</v>
      </c>
      <c r="G279" t="s">
        <v>7578</v>
      </c>
      <c r="H279" t="s">
        <v>7579</v>
      </c>
    </row>
    <row r="280" spans="1:8" ht="15.75" customHeight="1">
      <c r="A280" t="s">
        <v>644</v>
      </c>
      <c r="B280" t="s">
        <v>645</v>
      </c>
    </row>
    <row r="281" spans="1:8" ht="15.75" customHeight="1">
      <c r="A281" t="s">
        <v>648</v>
      </c>
      <c r="B281" t="s">
        <v>649</v>
      </c>
      <c r="C281" t="s">
        <v>7580</v>
      </c>
      <c r="E281" s="12" t="s">
        <v>7581</v>
      </c>
      <c r="F281" s="12" t="s">
        <v>7582</v>
      </c>
      <c r="G281" t="s">
        <v>7583</v>
      </c>
      <c r="H281" t="s">
        <v>7584</v>
      </c>
    </row>
    <row r="282" spans="1:8" ht="15.75" customHeight="1">
      <c r="A282" t="s">
        <v>648</v>
      </c>
      <c r="B282" t="s">
        <v>649</v>
      </c>
      <c r="C282" t="s">
        <v>7580</v>
      </c>
      <c r="E282" s="12" t="s">
        <v>7581</v>
      </c>
      <c r="F282" s="12" t="s">
        <v>7585</v>
      </c>
      <c r="G282" t="s">
        <v>7586</v>
      </c>
      <c r="H282" t="s">
        <v>7587</v>
      </c>
    </row>
    <row r="283" spans="1:8" ht="15.75" customHeight="1">
      <c r="A283" t="s">
        <v>651</v>
      </c>
      <c r="B283" t="s">
        <v>652</v>
      </c>
    </row>
    <row r="284" spans="1:8" ht="15.75" customHeight="1">
      <c r="A284" t="s">
        <v>654</v>
      </c>
      <c r="B284" t="s">
        <v>655</v>
      </c>
    </row>
    <row r="285" spans="1:8" ht="15.75" customHeight="1">
      <c r="A285" t="s">
        <v>658</v>
      </c>
      <c r="B285" t="s">
        <v>659</v>
      </c>
      <c r="C285" t="s">
        <v>7588</v>
      </c>
      <c r="E285" s="12" t="s">
        <v>7589</v>
      </c>
      <c r="F285" s="12" t="s">
        <v>7590</v>
      </c>
      <c r="G285" t="s">
        <v>7591</v>
      </c>
      <c r="H285" t="s">
        <v>7592</v>
      </c>
    </row>
    <row r="286" spans="1:8" ht="15.75" customHeight="1">
      <c r="A286" t="s">
        <v>661</v>
      </c>
      <c r="B286" t="s">
        <v>662</v>
      </c>
    </row>
    <row r="287" spans="1:8" ht="15.75" customHeight="1">
      <c r="A287" t="s">
        <v>664</v>
      </c>
      <c r="B287" t="s">
        <v>665</v>
      </c>
      <c r="C287" t="s">
        <v>7593</v>
      </c>
      <c r="E287" s="12" t="s">
        <v>7594</v>
      </c>
      <c r="F287" s="12" t="s">
        <v>7595</v>
      </c>
      <c r="G287" t="s">
        <v>7596</v>
      </c>
      <c r="H287" t="s">
        <v>7597</v>
      </c>
    </row>
    <row r="288" spans="1:8" ht="15.75" customHeight="1">
      <c r="A288" t="s">
        <v>664</v>
      </c>
      <c r="B288" t="s">
        <v>665</v>
      </c>
      <c r="C288" t="s">
        <v>7593</v>
      </c>
      <c r="E288" s="12" t="s">
        <v>7594</v>
      </c>
      <c r="F288" s="12" t="s">
        <v>7598</v>
      </c>
      <c r="G288" t="s">
        <v>7599</v>
      </c>
      <c r="H288" t="s">
        <v>7600</v>
      </c>
    </row>
    <row r="289" spans="1:8" ht="15.75" customHeight="1">
      <c r="A289" t="s">
        <v>668</v>
      </c>
      <c r="B289" t="s">
        <v>669</v>
      </c>
      <c r="C289" t="s">
        <v>7601</v>
      </c>
      <c r="E289" s="12" t="s">
        <v>7602</v>
      </c>
      <c r="F289" s="12" t="s">
        <v>7603</v>
      </c>
      <c r="G289" t="s">
        <v>7604</v>
      </c>
      <c r="H289" t="s">
        <v>7605</v>
      </c>
    </row>
    <row r="290" spans="1:8" ht="15.75" customHeight="1">
      <c r="A290" t="s">
        <v>672</v>
      </c>
      <c r="B290" t="s">
        <v>673</v>
      </c>
      <c r="C290" t="s">
        <v>7606</v>
      </c>
      <c r="E290" s="12" t="s">
        <v>7607</v>
      </c>
    </row>
    <row r="291" spans="1:8" ht="15.75" customHeight="1">
      <c r="A291" t="s">
        <v>675</v>
      </c>
      <c r="B291" t="s">
        <v>676</v>
      </c>
    </row>
    <row r="292" spans="1:8" ht="15.75" customHeight="1">
      <c r="A292" t="s">
        <v>677</v>
      </c>
      <c r="B292" t="s">
        <v>678</v>
      </c>
    </row>
    <row r="293" spans="1:8" ht="15.75" customHeight="1">
      <c r="A293" t="s">
        <v>681</v>
      </c>
      <c r="B293" t="s">
        <v>682</v>
      </c>
    </row>
    <row r="294" spans="1:8" ht="15.75" customHeight="1">
      <c r="A294" t="s">
        <v>684</v>
      </c>
      <c r="B294" t="s">
        <v>685</v>
      </c>
    </row>
    <row r="295" spans="1:8" ht="15.75" customHeight="1">
      <c r="A295" t="s">
        <v>688</v>
      </c>
      <c r="B295" t="s">
        <v>689</v>
      </c>
      <c r="C295" t="s">
        <v>7188</v>
      </c>
    </row>
    <row r="296" spans="1:8" ht="15.75" customHeight="1">
      <c r="A296" t="s">
        <v>692</v>
      </c>
      <c r="B296" t="s">
        <v>693</v>
      </c>
    </row>
    <row r="297" spans="1:8" ht="15.75" customHeight="1">
      <c r="A297" t="s">
        <v>696</v>
      </c>
      <c r="B297" t="s">
        <v>697</v>
      </c>
      <c r="C297" t="s">
        <v>7176</v>
      </c>
      <c r="E297" s="12" t="s">
        <v>7177</v>
      </c>
    </row>
    <row r="298" spans="1:8" ht="15.75" customHeight="1">
      <c r="A298" t="s">
        <v>699</v>
      </c>
      <c r="B298" t="s">
        <v>700</v>
      </c>
    </row>
    <row r="299" spans="1:8" ht="15.75" customHeight="1">
      <c r="A299" t="s">
        <v>703</v>
      </c>
      <c r="B299" t="s">
        <v>704</v>
      </c>
      <c r="C299" t="s">
        <v>7608</v>
      </c>
      <c r="E299" s="12" t="s">
        <v>7609</v>
      </c>
      <c r="F299" s="12" t="s">
        <v>7610</v>
      </c>
      <c r="G299" t="s">
        <v>7611</v>
      </c>
      <c r="H299" t="s">
        <v>7612</v>
      </c>
    </row>
    <row r="300" spans="1:8" ht="15.75" customHeight="1">
      <c r="A300" t="s">
        <v>703</v>
      </c>
      <c r="B300" t="s">
        <v>704</v>
      </c>
      <c r="C300" t="s">
        <v>7608</v>
      </c>
      <c r="E300" s="12" t="s">
        <v>7609</v>
      </c>
      <c r="F300" s="12" t="s">
        <v>7613</v>
      </c>
      <c r="G300" t="s">
        <v>7614</v>
      </c>
      <c r="H300" t="s">
        <v>7612</v>
      </c>
    </row>
    <row r="301" spans="1:8" ht="15.75" customHeight="1">
      <c r="A301" t="s">
        <v>703</v>
      </c>
      <c r="B301" t="s">
        <v>704</v>
      </c>
      <c r="C301" t="s">
        <v>7608</v>
      </c>
      <c r="E301" s="12" t="s">
        <v>7609</v>
      </c>
      <c r="F301" s="12" t="s">
        <v>7615</v>
      </c>
      <c r="G301" t="s">
        <v>7616</v>
      </c>
      <c r="H301" t="s">
        <v>7617</v>
      </c>
    </row>
    <row r="302" spans="1:8" ht="15.75" customHeight="1">
      <c r="A302" t="s">
        <v>703</v>
      </c>
      <c r="B302" t="s">
        <v>704</v>
      </c>
      <c r="C302" t="s">
        <v>7608</v>
      </c>
      <c r="E302" s="12" t="s">
        <v>7609</v>
      </c>
      <c r="F302" s="12" t="s">
        <v>7618</v>
      </c>
      <c r="G302" t="s">
        <v>7619</v>
      </c>
      <c r="H302" t="s">
        <v>7620</v>
      </c>
    </row>
    <row r="303" spans="1:8" ht="15.75" customHeight="1">
      <c r="A303" t="s">
        <v>706</v>
      </c>
      <c r="B303" t="s">
        <v>707</v>
      </c>
    </row>
    <row r="304" spans="1:8" ht="15.75" customHeight="1">
      <c r="A304" t="s">
        <v>710</v>
      </c>
      <c r="B304" t="s">
        <v>711</v>
      </c>
    </row>
    <row r="305" spans="1:8" ht="15.75" customHeight="1">
      <c r="A305" t="s">
        <v>714</v>
      </c>
      <c r="B305" t="s">
        <v>715</v>
      </c>
    </row>
    <row r="306" spans="1:8" ht="15.75" customHeight="1">
      <c r="A306" t="s">
        <v>717</v>
      </c>
      <c r="B306" t="s">
        <v>718</v>
      </c>
    </row>
    <row r="307" spans="1:8" ht="15.75" customHeight="1">
      <c r="A307" t="s">
        <v>721</v>
      </c>
      <c r="B307" t="s">
        <v>722</v>
      </c>
      <c r="C307" t="s">
        <v>7621</v>
      </c>
      <c r="E307" s="12" t="s">
        <v>7622</v>
      </c>
      <c r="F307" s="12" t="s">
        <v>7623</v>
      </c>
      <c r="G307" t="s">
        <v>7624</v>
      </c>
      <c r="H307" t="s">
        <v>7625</v>
      </c>
    </row>
    <row r="308" spans="1:8" ht="15.75" customHeight="1">
      <c r="A308" t="s">
        <v>725</v>
      </c>
      <c r="B308" t="s">
        <v>726</v>
      </c>
      <c r="C308" t="s">
        <v>7626</v>
      </c>
      <c r="E308" s="12" t="s">
        <v>7627</v>
      </c>
      <c r="F308" s="12" t="s">
        <v>7628</v>
      </c>
      <c r="G308" t="s">
        <v>7629</v>
      </c>
      <c r="H308" t="s">
        <v>7630</v>
      </c>
    </row>
    <row r="309" spans="1:8" ht="15.75" customHeight="1">
      <c r="A309" t="s">
        <v>725</v>
      </c>
      <c r="B309" t="s">
        <v>726</v>
      </c>
      <c r="C309" t="s">
        <v>7626</v>
      </c>
      <c r="E309" s="12" t="s">
        <v>7627</v>
      </c>
      <c r="F309" s="12" t="s">
        <v>7631</v>
      </c>
      <c r="G309" t="s">
        <v>7629</v>
      </c>
      <c r="H309" t="s">
        <v>7632</v>
      </c>
    </row>
    <row r="310" spans="1:8" ht="15.75" customHeight="1">
      <c r="A310" t="s">
        <v>725</v>
      </c>
      <c r="B310" t="s">
        <v>726</v>
      </c>
      <c r="C310" t="s">
        <v>7626</v>
      </c>
      <c r="E310" s="12" t="s">
        <v>7627</v>
      </c>
      <c r="F310" s="12" t="s">
        <v>7633</v>
      </c>
      <c r="G310" t="s">
        <v>7634</v>
      </c>
      <c r="H310" t="s">
        <v>7635</v>
      </c>
    </row>
    <row r="311" spans="1:8" ht="15.75" customHeight="1">
      <c r="A311" t="s">
        <v>725</v>
      </c>
      <c r="B311" t="s">
        <v>726</v>
      </c>
      <c r="C311" t="s">
        <v>7626</v>
      </c>
      <c r="E311" s="12" t="s">
        <v>7627</v>
      </c>
      <c r="F311" s="12" t="s">
        <v>7636</v>
      </c>
      <c r="G311" t="s">
        <v>7637</v>
      </c>
      <c r="H311" t="s">
        <v>7638</v>
      </c>
    </row>
    <row r="312" spans="1:8" ht="15.75" customHeight="1">
      <c r="A312" t="s">
        <v>725</v>
      </c>
      <c r="B312" t="s">
        <v>726</v>
      </c>
      <c r="C312" t="s">
        <v>7626</v>
      </c>
      <c r="E312" s="12" t="s">
        <v>7627</v>
      </c>
      <c r="F312" s="12" t="s">
        <v>7639</v>
      </c>
      <c r="G312" t="s">
        <v>7640</v>
      </c>
      <c r="H312" t="s">
        <v>7635</v>
      </c>
    </row>
    <row r="313" spans="1:8" ht="15.75" customHeight="1">
      <c r="A313" t="s">
        <v>729</v>
      </c>
      <c r="B313" t="s">
        <v>730</v>
      </c>
      <c r="C313" t="s">
        <v>7641</v>
      </c>
      <c r="E313" s="12" t="s">
        <v>7642</v>
      </c>
      <c r="F313" s="12" t="s">
        <v>7643</v>
      </c>
      <c r="G313" t="s">
        <v>7644</v>
      </c>
      <c r="H313" t="s">
        <v>7645</v>
      </c>
    </row>
    <row r="314" spans="1:8" ht="15.75" customHeight="1">
      <c r="A314" t="s">
        <v>729</v>
      </c>
      <c r="B314" t="s">
        <v>730</v>
      </c>
      <c r="C314" t="s">
        <v>7641</v>
      </c>
      <c r="E314" s="12" t="s">
        <v>7642</v>
      </c>
      <c r="F314" s="12" t="s">
        <v>7646</v>
      </c>
      <c r="G314" t="s">
        <v>7647</v>
      </c>
      <c r="H314" t="s">
        <v>7648</v>
      </c>
    </row>
    <row r="315" spans="1:8" ht="15.75" customHeight="1">
      <c r="A315" t="s">
        <v>729</v>
      </c>
      <c r="B315" t="s">
        <v>730</v>
      </c>
      <c r="C315" t="s">
        <v>7641</v>
      </c>
      <c r="E315" s="12" t="s">
        <v>7642</v>
      </c>
      <c r="F315" s="12" t="s">
        <v>7649</v>
      </c>
      <c r="G315" t="s">
        <v>7650</v>
      </c>
      <c r="H315" t="s">
        <v>7651</v>
      </c>
    </row>
    <row r="316" spans="1:8" ht="15.75" customHeight="1">
      <c r="A316" t="s">
        <v>729</v>
      </c>
      <c r="B316" t="s">
        <v>730</v>
      </c>
      <c r="C316" t="s">
        <v>7641</v>
      </c>
      <c r="E316" s="12" t="s">
        <v>7642</v>
      </c>
      <c r="F316" s="12" t="s">
        <v>7652</v>
      </c>
      <c r="G316" t="s">
        <v>7653</v>
      </c>
      <c r="H316" t="s">
        <v>7654</v>
      </c>
    </row>
    <row r="317" spans="1:8" ht="15.75" customHeight="1">
      <c r="A317" t="s">
        <v>729</v>
      </c>
      <c r="B317" t="s">
        <v>730</v>
      </c>
      <c r="C317" t="s">
        <v>7641</v>
      </c>
      <c r="E317" s="12" t="s">
        <v>7642</v>
      </c>
      <c r="F317" s="12" t="s">
        <v>7655</v>
      </c>
      <c r="G317" t="s">
        <v>7656</v>
      </c>
      <c r="H317" t="s">
        <v>7657</v>
      </c>
    </row>
    <row r="318" spans="1:8" ht="15.75" customHeight="1">
      <c r="A318" t="s">
        <v>729</v>
      </c>
      <c r="B318" t="s">
        <v>730</v>
      </c>
      <c r="C318" t="s">
        <v>7658</v>
      </c>
      <c r="E318" s="12" t="s">
        <v>7659</v>
      </c>
      <c r="F318" s="12" t="s">
        <v>7652</v>
      </c>
      <c r="G318" t="s">
        <v>7653</v>
      </c>
      <c r="H318" t="s">
        <v>7654</v>
      </c>
    </row>
    <row r="319" spans="1:8" ht="15.75" customHeight="1">
      <c r="A319" t="s">
        <v>729</v>
      </c>
      <c r="B319" t="s">
        <v>730</v>
      </c>
      <c r="C319" t="s">
        <v>7658</v>
      </c>
      <c r="E319" s="12" t="s">
        <v>7659</v>
      </c>
      <c r="F319" s="12" t="s">
        <v>7649</v>
      </c>
      <c r="G319" t="s">
        <v>7650</v>
      </c>
      <c r="H319" t="s">
        <v>7651</v>
      </c>
    </row>
    <row r="320" spans="1:8" ht="15.75" customHeight="1">
      <c r="A320" t="s">
        <v>733</v>
      </c>
      <c r="B320" t="s">
        <v>734</v>
      </c>
      <c r="C320" t="s">
        <v>7660</v>
      </c>
      <c r="E320" s="12" t="s">
        <v>7661</v>
      </c>
      <c r="F320" s="12" t="s">
        <v>7662</v>
      </c>
      <c r="G320" t="s">
        <v>7663</v>
      </c>
      <c r="H320" t="s">
        <v>7664</v>
      </c>
    </row>
    <row r="321" spans="1:8" ht="15.75" customHeight="1">
      <c r="A321" t="s">
        <v>733</v>
      </c>
      <c r="B321" t="s">
        <v>734</v>
      </c>
      <c r="C321" t="s">
        <v>7660</v>
      </c>
      <c r="E321" s="12" t="s">
        <v>7661</v>
      </c>
      <c r="F321" s="12" t="s">
        <v>7665</v>
      </c>
      <c r="G321" t="s">
        <v>7666</v>
      </c>
      <c r="H321" t="s">
        <v>7667</v>
      </c>
    </row>
    <row r="322" spans="1:8" ht="15.75" customHeight="1">
      <c r="A322" t="s">
        <v>735</v>
      </c>
      <c r="B322" t="s">
        <v>736</v>
      </c>
    </row>
    <row r="323" spans="1:8" ht="15.75" customHeight="1">
      <c r="A323" t="s">
        <v>739</v>
      </c>
      <c r="B323" t="s">
        <v>740</v>
      </c>
    </row>
    <row r="324" spans="1:8" ht="15.75" customHeight="1">
      <c r="A324" t="s">
        <v>743</v>
      </c>
      <c r="B324" t="s">
        <v>744</v>
      </c>
      <c r="C324" t="s">
        <v>7668</v>
      </c>
    </row>
    <row r="325" spans="1:8" ht="15.75" customHeight="1">
      <c r="A325" t="s">
        <v>747</v>
      </c>
      <c r="B325" t="s">
        <v>748</v>
      </c>
      <c r="C325" t="s">
        <v>7669</v>
      </c>
      <c r="E325" s="12" t="s">
        <v>7670</v>
      </c>
      <c r="F325" s="12" t="s">
        <v>7671</v>
      </c>
      <c r="G325" s="10" t="s">
        <v>7672</v>
      </c>
      <c r="H325" s="10" t="s">
        <v>7673</v>
      </c>
    </row>
    <row r="326" spans="1:8" ht="15.75" customHeight="1">
      <c r="A326" t="s">
        <v>747</v>
      </c>
      <c r="B326" t="s">
        <v>748</v>
      </c>
      <c r="C326" t="s">
        <v>7669</v>
      </c>
      <c r="E326" s="12" t="s">
        <v>7670</v>
      </c>
      <c r="F326" s="12" t="s">
        <v>7674</v>
      </c>
      <c r="G326" s="10" t="s">
        <v>7675</v>
      </c>
      <c r="H326" s="10" t="s">
        <v>7676</v>
      </c>
    </row>
    <row r="327" spans="1:8" ht="15.75" customHeight="1">
      <c r="A327" t="s">
        <v>747</v>
      </c>
      <c r="B327" t="s">
        <v>748</v>
      </c>
      <c r="C327" t="s">
        <v>7669</v>
      </c>
      <c r="E327" s="12" t="s">
        <v>7670</v>
      </c>
      <c r="F327" s="12" t="s">
        <v>7677</v>
      </c>
      <c r="G327" s="10" t="s">
        <v>7678</v>
      </c>
      <c r="H327" s="10" t="s">
        <v>7679</v>
      </c>
    </row>
    <row r="328" spans="1:8" ht="15.75" customHeight="1">
      <c r="A328" t="s">
        <v>747</v>
      </c>
      <c r="B328" t="s">
        <v>748</v>
      </c>
      <c r="C328" t="s">
        <v>7669</v>
      </c>
      <c r="E328" s="12" t="s">
        <v>7670</v>
      </c>
      <c r="F328" s="12" t="s">
        <v>7680</v>
      </c>
      <c r="G328" s="10" t="s">
        <v>7681</v>
      </c>
      <c r="H328" s="10" t="s">
        <v>7682</v>
      </c>
    </row>
    <row r="329" spans="1:8" ht="15.75" customHeight="1">
      <c r="A329" t="s">
        <v>747</v>
      </c>
      <c r="B329" t="s">
        <v>748</v>
      </c>
      <c r="C329" t="s">
        <v>7669</v>
      </c>
      <c r="E329" s="12" t="s">
        <v>7670</v>
      </c>
      <c r="F329" s="12" t="s">
        <v>7683</v>
      </c>
      <c r="G329" s="10" t="s">
        <v>7684</v>
      </c>
      <c r="H329" s="10" t="s">
        <v>7685</v>
      </c>
    </row>
    <row r="330" spans="1:8" ht="15.75" customHeight="1">
      <c r="A330" t="s">
        <v>747</v>
      </c>
      <c r="B330" t="s">
        <v>748</v>
      </c>
      <c r="C330" t="s">
        <v>7669</v>
      </c>
      <c r="E330" s="12" t="s">
        <v>7670</v>
      </c>
      <c r="F330" s="12" t="s">
        <v>7686</v>
      </c>
      <c r="G330" s="10" t="s">
        <v>7687</v>
      </c>
      <c r="H330" s="10" t="s">
        <v>7688</v>
      </c>
    </row>
    <row r="331" spans="1:8" ht="15.75" customHeight="1">
      <c r="A331" t="s">
        <v>747</v>
      </c>
      <c r="B331" t="s">
        <v>748</v>
      </c>
      <c r="C331" t="s">
        <v>7669</v>
      </c>
      <c r="E331" s="12" t="s">
        <v>7670</v>
      </c>
      <c r="F331" s="12" t="s">
        <v>7689</v>
      </c>
      <c r="G331" s="10" t="s">
        <v>7690</v>
      </c>
      <c r="H331" s="10" t="s">
        <v>7691</v>
      </c>
    </row>
    <row r="332" spans="1:8" ht="15.75" customHeight="1">
      <c r="A332" t="s">
        <v>747</v>
      </c>
      <c r="B332" t="s">
        <v>748</v>
      </c>
      <c r="C332" t="s">
        <v>7669</v>
      </c>
      <c r="E332" s="12" t="s">
        <v>7670</v>
      </c>
      <c r="F332" s="12" t="s">
        <v>7692</v>
      </c>
      <c r="G332" s="10" t="s">
        <v>7693</v>
      </c>
      <c r="H332" s="10" t="s">
        <v>7694</v>
      </c>
    </row>
    <row r="333" spans="1:8" ht="15.75" customHeight="1">
      <c r="A333" t="s">
        <v>747</v>
      </c>
      <c r="B333" t="s">
        <v>748</v>
      </c>
      <c r="C333" t="s">
        <v>7669</v>
      </c>
      <c r="E333" s="12" t="s">
        <v>7670</v>
      </c>
      <c r="F333" s="12" t="s">
        <v>7695</v>
      </c>
      <c r="G333" s="10" t="s">
        <v>7696</v>
      </c>
      <c r="H333" s="10" t="s">
        <v>7697</v>
      </c>
    </row>
    <row r="334" spans="1:8" ht="15.75" customHeight="1">
      <c r="A334" t="s">
        <v>747</v>
      </c>
      <c r="B334" t="s">
        <v>748</v>
      </c>
      <c r="C334" t="s">
        <v>7669</v>
      </c>
      <c r="E334" s="12" t="s">
        <v>7670</v>
      </c>
      <c r="F334" s="12" t="s">
        <v>7698</v>
      </c>
      <c r="G334" s="10" t="s">
        <v>7699</v>
      </c>
      <c r="H334" s="10" t="s">
        <v>7700</v>
      </c>
    </row>
    <row r="335" spans="1:8" ht="15.75" customHeight="1">
      <c r="A335" t="s">
        <v>747</v>
      </c>
      <c r="B335" t="s">
        <v>748</v>
      </c>
      <c r="C335" t="s">
        <v>7669</v>
      </c>
      <c r="E335" s="12" t="s">
        <v>7670</v>
      </c>
      <c r="F335" s="12" t="s">
        <v>7701</v>
      </c>
      <c r="G335" s="10" t="s">
        <v>7702</v>
      </c>
      <c r="H335" s="10" t="s">
        <v>7703</v>
      </c>
    </row>
    <row r="336" spans="1:8" ht="15.75" customHeight="1">
      <c r="A336" t="s">
        <v>747</v>
      </c>
      <c r="B336" t="s">
        <v>748</v>
      </c>
      <c r="C336" t="s">
        <v>7669</v>
      </c>
      <c r="E336" s="12" t="s">
        <v>7670</v>
      </c>
      <c r="F336" s="12" t="s">
        <v>7704</v>
      </c>
      <c r="G336" s="10" t="s">
        <v>7705</v>
      </c>
      <c r="H336" s="10" t="s">
        <v>7706</v>
      </c>
    </row>
    <row r="337" spans="1:8" ht="15.75" customHeight="1">
      <c r="A337" t="s">
        <v>747</v>
      </c>
      <c r="B337" t="s">
        <v>748</v>
      </c>
      <c r="C337" t="s">
        <v>7669</v>
      </c>
      <c r="E337" s="12" t="s">
        <v>7670</v>
      </c>
      <c r="F337" s="12" t="s">
        <v>7707</v>
      </c>
      <c r="G337" s="10" t="s">
        <v>7708</v>
      </c>
      <c r="H337" s="10" t="s">
        <v>7709</v>
      </c>
    </row>
    <row r="338" spans="1:8" ht="15.75" customHeight="1">
      <c r="A338" t="s">
        <v>747</v>
      </c>
      <c r="B338" t="s">
        <v>748</v>
      </c>
      <c r="C338" t="s">
        <v>7669</v>
      </c>
      <c r="E338" s="12" t="s">
        <v>7670</v>
      </c>
      <c r="F338" s="12" t="s">
        <v>7710</v>
      </c>
      <c r="G338" s="10" t="s">
        <v>7711</v>
      </c>
      <c r="H338" s="10" t="s">
        <v>7712</v>
      </c>
    </row>
    <row r="339" spans="1:8" ht="15.75" customHeight="1">
      <c r="A339" t="s">
        <v>747</v>
      </c>
      <c r="B339" t="s">
        <v>748</v>
      </c>
      <c r="C339" t="s">
        <v>7669</v>
      </c>
      <c r="E339" s="12" t="s">
        <v>7670</v>
      </c>
      <c r="F339" s="12" t="s">
        <v>7713</v>
      </c>
      <c r="G339" s="10" t="s">
        <v>7714</v>
      </c>
      <c r="H339" s="10" t="s">
        <v>7715</v>
      </c>
    </row>
    <row r="340" spans="1:8" ht="15.75" customHeight="1">
      <c r="A340" t="s">
        <v>747</v>
      </c>
      <c r="B340" t="s">
        <v>748</v>
      </c>
      <c r="C340" t="s">
        <v>7669</v>
      </c>
      <c r="E340" s="12" t="s">
        <v>7670</v>
      </c>
      <c r="F340" s="12" t="s">
        <v>7716</v>
      </c>
      <c r="G340" s="10" t="s">
        <v>7717</v>
      </c>
      <c r="H340" s="10" t="s">
        <v>7718</v>
      </c>
    </row>
    <row r="341" spans="1:8" ht="15.75" customHeight="1">
      <c r="A341" t="s">
        <v>747</v>
      </c>
      <c r="B341" t="s">
        <v>748</v>
      </c>
      <c r="C341" t="s">
        <v>7669</v>
      </c>
      <c r="E341" s="12" t="s">
        <v>7670</v>
      </c>
      <c r="F341" s="12" t="s">
        <v>7719</v>
      </c>
      <c r="G341" s="10" t="s">
        <v>7720</v>
      </c>
      <c r="H341" s="10" t="s">
        <v>7721</v>
      </c>
    </row>
    <row r="342" spans="1:8" ht="15.75" customHeight="1">
      <c r="A342" t="s">
        <v>747</v>
      </c>
      <c r="B342" t="s">
        <v>748</v>
      </c>
      <c r="C342" t="s">
        <v>7669</v>
      </c>
      <c r="E342" s="12" t="s">
        <v>7670</v>
      </c>
      <c r="F342" s="12" t="s">
        <v>7722</v>
      </c>
      <c r="G342" s="10" t="s">
        <v>7723</v>
      </c>
      <c r="H342" s="10" t="s">
        <v>7724</v>
      </c>
    </row>
    <row r="343" spans="1:8" ht="15.75" customHeight="1">
      <c r="A343" t="s">
        <v>747</v>
      </c>
      <c r="B343" t="s">
        <v>748</v>
      </c>
      <c r="C343" t="s">
        <v>7669</v>
      </c>
      <c r="E343" s="12" t="s">
        <v>7670</v>
      </c>
      <c r="F343" s="12" t="s">
        <v>7725</v>
      </c>
      <c r="G343" s="10" t="s">
        <v>7726</v>
      </c>
      <c r="H343" s="10" t="s">
        <v>7727</v>
      </c>
    </row>
    <row r="344" spans="1:8" ht="15.75" customHeight="1">
      <c r="A344" t="s">
        <v>751</v>
      </c>
      <c r="B344" t="s">
        <v>752</v>
      </c>
      <c r="C344" t="s">
        <v>7176</v>
      </c>
      <c r="E344" s="12" t="s">
        <v>7177</v>
      </c>
    </row>
    <row r="345" spans="1:8" ht="15.75" customHeight="1">
      <c r="A345" t="s">
        <v>755</v>
      </c>
      <c r="B345" t="s">
        <v>756</v>
      </c>
    </row>
    <row r="346" spans="1:8" ht="15.75" customHeight="1">
      <c r="A346" t="s">
        <v>759</v>
      </c>
      <c r="B346" t="s">
        <v>760</v>
      </c>
    </row>
    <row r="347" spans="1:8" ht="15.75" customHeight="1">
      <c r="A347" t="s">
        <v>763</v>
      </c>
      <c r="B347" t="s">
        <v>764</v>
      </c>
      <c r="C347" t="s">
        <v>7728</v>
      </c>
      <c r="E347" s="12" t="s">
        <v>7729</v>
      </c>
    </row>
    <row r="348" spans="1:8" ht="15.75" customHeight="1">
      <c r="A348" t="s">
        <v>763</v>
      </c>
      <c r="B348" t="s">
        <v>764</v>
      </c>
      <c r="C348" t="s">
        <v>7730</v>
      </c>
    </row>
    <row r="349" spans="1:8" ht="15.75" customHeight="1">
      <c r="A349" t="s">
        <v>767</v>
      </c>
      <c r="B349" t="s">
        <v>768</v>
      </c>
      <c r="C349" t="s">
        <v>7731</v>
      </c>
      <c r="E349" s="12" t="s">
        <v>7732</v>
      </c>
      <c r="F349" s="12" t="s">
        <v>7733</v>
      </c>
      <c r="G349" t="s">
        <v>7734</v>
      </c>
      <c r="H349" t="s">
        <v>7735</v>
      </c>
    </row>
    <row r="350" spans="1:8" ht="15.75" customHeight="1">
      <c r="A350" t="s">
        <v>767</v>
      </c>
      <c r="B350" t="s">
        <v>768</v>
      </c>
      <c r="C350" t="s">
        <v>7736</v>
      </c>
      <c r="E350" s="12" t="s">
        <v>7737</v>
      </c>
    </row>
    <row r="351" spans="1:8" ht="15.75" customHeight="1">
      <c r="A351" t="s">
        <v>770</v>
      </c>
      <c r="B351" t="s">
        <v>771</v>
      </c>
    </row>
    <row r="352" spans="1:8" ht="15.75" customHeight="1">
      <c r="A352" t="s">
        <v>774</v>
      </c>
      <c r="B352" t="s">
        <v>775</v>
      </c>
      <c r="C352" t="s">
        <v>7738</v>
      </c>
    </row>
    <row r="353" spans="1:8" ht="15.75" customHeight="1">
      <c r="A353" t="s">
        <v>778</v>
      </c>
      <c r="B353" t="s">
        <v>779</v>
      </c>
      <c r="C353" t="s">
        <v>7197</v>
      </c>
      <c r="E353" s="12" t="s">
        <v>7198</v>
      </c>
      <c r="F353" s="12" t="s">
        <v>7199</v>
      </c>
      <c r="G353" t="s">
        <v>7200</v>
      </c>
      <c r="H353" t="s">
        <v>7201</v>
      </c>
    </row>
    <row r="354" spans="1:8" ht="15.75" customHeight="1">
      <c r="A354" t="s">
        <v>778</v>
      </c>
      <c r="B354" t="s">
        <v>779</v>
      </c>
      <c r="C354" t="s">
        <v>7197</v>
      </c>
      <c r="E354" s="12" t="s">
        <v>7198</v>
      </c>
      <c r="F354" s="12" t="s">
        <v>7202</v>
      </c>
      <c r="G354" t="s">
        <v>7203</v>
      </c>
      <c r="H354" t="s">
        <v>7201</v>
      </c>
    </row>
    <row r="355" spans="1:8" ht="15.75" customHeight="1">
      <c r="A355" t="s">
        <v>778</v>
      </c>
      <c r="B355" t="s">
        <v>779</v>
      </c>
      <c r="C355" t="s">
        <v>7197</v>
      </c>
      <c r="E355" s="12" t="s">
        <v>7198</v>
      </c>
      <c r="F355" s="12" t="s">
        <v>7204</v>
      </c>
      <c r="G355" t="s">
        <v>7205</v>
      </c>
      <c r="H355" t="s">
        <v>7201</v>
      </c>
    </row>
    <row r="356" spans="1:8" ht="15.75" customHeight="1">
      <c r="A356" t="s">
        <v>778</v>
      </c>
      <c r="B356" t="s">
        <v>779</v>
      </c>
      <c r="C356" t="s">
        <v>7197</v>
      </c>
      <c r="E356" s="12" t="s">
        <v>7198</v>
      </c>
      <c r="F356" s="12" t="s">
        <v>7206</v>
      </c>
      <c r="G356" t="s">
        <v>7207</v>
      </c>
      <c r="H356" t="s">
        <v>7201</v>
      </c>
    </row>
    <row r="357" spans="1:8" ht="15.75" customHeight="1">
      <c r="A357" t="s">
        <v>778</v>
      </c>
      <c r="B357" t="s">
        <v>779</v>
      </c>
      <c r="C357" t="s">
        <v>7197</v>
      </c>
      <c r="E357" s="12" t="s">
        <v>7198</v>
      </c>
      <c r="F357" s="12" t="s">
        <v>7208</v>
      </c>
      <c r="G357" t="s">
        <v>7209</v>
      </c>
      <c r="H357" t="s">
        <v>7201</v>
      </c>
    </row>
    <row r="358" spans="1:8" ht="15.75" customHeight="1">
      <c r="A358" t="s">
        <v>778</v>
      </c>
      <c r="B358" t="s">
        <v>779</v>
      </c>
      <c r="C358" t="s">
        <v>7197</v>
      </c>
      <c r="E358" s="12" t="s">
        <v>7198</v>
      </c>
      <c r="F358" s="12" t="s">
        <v>7210</v>
      </c>
      <c r="G358" t="s">
        <v>7211</v>
      </c>
      <c r="H358" t="s">
        <v>7212</v>
      </c>
    </row>
    <row r="359" spans="1:8" ht="15.75" customHeight="1">
      <c r="A359" t="s">
        <v>782</v>
      </c>
      <c r="B359" t="s">
        <v>783</v>
      </c>
      <c r="C359" t="s">
        <v>7739</v>
      </c>
    </row>
    <row r="360" spans="1:8" ht="15.75" customHeight="1">
      <c r="A360" t="s">
        <v>785</v>
      </c>
      <c r="B360" t="s">
        <v>786</v>
      </c>
    </row>
    <row r="361" spans="1:8" ht="15.75" customHeight="1">
      <c r="A361" t="s">
        <v>789</v>
      </c>
      <c r="B361" t="s">
        <v>790</v>
      </c>
      <c r="C361" t="s">
        <v>7197</v>
      </c>
      <c r="E361" s="12" t="s">
        <v>7198</v>
      </c>
      <c r="F361" s="12" t="s">
        <v>7199</v>
      </c>
      <c r="G361" t="s">
        <v>7200</v>
      </c>
      <c r="H361" t="s">
        <v>7201</v>
      </c>
    </row>
    <row r="362" spans="1:8" ht="15.75" customHeight="1">
      <c r="A362" t="s">
        <v>789</v>
      </c>
      <c r="B362" t="s">
        <v>790</v>
      </c>
      <c r="C362" t="s">
        <v>7197</v>
      </c>
      <c r="E362" s="12" t="s">
        <v>7198</v>
      </c>
      <c r="F362" s="12" t="s">
        <v>7202</v>
      </c>
      <c r="G362" t="s">
        <v>7203</v>
      </c>
      <c r="H362" t="s">
        <v>7201</v>
      </c>
    </row>
    <row r="363" spans="1:8" ht="15.75" customHeight="1">
      <c r="A363" t="s">
        <v>789</v>
      </c>
      <c r="B363" t="s">
        <v>790</v>
      </c>
      <c r="C363" t="s">
        <v>7197</v>
      </c>
      <c r="E363" s="12" t="s">
        <v>7198</v>
      </c>
      <c r="F363" s="12" t="s">
        <v>7204</v>
      </c>
      <c r="G363" t="s">
        <v>7205</v>
      </c>
      <c r="H363" t="s">
        <v>7201</v>
      </c>
    </row>
    <row r="364" spans="1:8" ht="15.75" customHeight="1">
      <c r="A364" t="s">
        <v>789</v>
      </c>
      <c r="B364" t="s">
        <v>790</v>
      </c>
      <c r="C364" t="s">
        <v>7197</v>
      </c>
      <c r="E364" s="12" t="s">
        <v>7198</v>
      </c>
      <c r="F364" s="12" t="s">
        <v>7206</v>
      </c>
      <c r="G364" t="s">
        <v>7207</v>
      </c>
      <c r="H364" t="s">
        <v>7201</v>
      </c>
    </row>
    <row r="365" spans="1:8" ht="15.75" customHeight="1">
      <c r="A365" t="s">
        <v>789</v>
      </c>
      <c r="B365" t="s">
        <v>790</v>
      </c>
      <c r="C365" t="s">
        <v>7197</v>
      </c>
      <c r="E365" s="12" t="s">
        <v>7198</v>
      </c>
      <c r="F365" s="12" t="s">
        <v>7208</v>
      </c>
      <c r="G365" t="s">
        <v>7209</v>
      </c>
      <c r="H365" t="s">
        <v>7201</v>
      </c>
    </row>
    <row r="366" spans="1:8" ht="15.75" customHeight="1">
      <c r="A366" t="s">
        <v>789</v>
      </c>
      <c r="B366" t="s">
        <v>790</v>
      </c>
      <c r="C366" t="s">
        <v>7197</v>
      </c>
      <c r="E366" s="12" t="s">
        <v>7198</v>
      </c>
      <c r="F366" s="12" t="s">
        <v>7210</v>
      </c>
      <c r="G366" t="s">
        <v>7211</v>
      </c>
      <c r="H366" t="s">
        <v>7212</v>
      </c>
    </row>
    <row r="367" spans="1:8" ht="15.75" customHeight="1">
      <c r="A367" t="s">
        <v>793</v>
      </c>
      <c r="B367" t="s">
        <v>794</v>
      </c>
      <c r="C367" t="s">
        <v>7740</v>
      </c>
      <c r="E367" s="12" t="s">
        <v>7741</v>
      </c>
      <c r="F367" s="12" t="s">
        <v>7742</v>
      </c>
      <c r="G367" t="s">
        <v>7629</v>
      </c>
      <c r="H367" t="s">
        <v>7743</v>
      </c>
    </row>
    <row r="368" spans="1:8" ht="15.75" customHeight="1">
      <c r="A368" t="s">
        <v>797</v>
      </c>
      <c r="B368" t="s">
        <v>798</v>
      </c>
    </row>
    <row r="369" spans="1:8" ht="15.75" customHeight="1">
      <c r="A369" t="s">
        <v>801</v>
      </c>
      <c r="B369" t="s">
        <v>802</v>
      </c>
    </row>
    <row r="370" spans="1:8" ht="15.75" customHeight="1">
      <c r="A370" t="s">
        <v>805</v>
      </c>
      <c r="B370" t="s">
        <v>806</v>
      </c>
      <c r="C370" t="s">
        <v>7744</v>
      </c>
      <c r="E370" s="12" t="s">
        <v>7745</v>
      </c>
    </row>
    <row r="371" spans="1:8" ht="15.75" customHeight="1">
      <c r="A371" t="s">
        <v>809</v>
      </c>
      <c r="B371" t="s">
        <v>810</v>
      </c>
      <c r="C371" t="s">
        <v>7746</v>
      </c>
      <c r="E371" s="12" t="s">
        <v>7747</v>
      </c>
      <c r="F371" s="12" t="s">
        <v>7748</v>
      </c>
      <c r="G371" t="s">
        <v>7749</v>
      </c>
      <c r="H371" t="s">
        <v>7750</v>
      </c>
    </row>
    <row r="372" spans="1:8" ht="15.75" customHeight="1">
      <c r="A372" t="s">
        <v>809</v>
      </c>
      <c r="B372" t="s">
        <v>810</v>
      </c>
      <c r="C372" t="s">
        <v>7746</v>
      </c>
      <c r="E372" s="12" t="s">
        <v>7747</v>
      </c>
      <c r="F372" s="12" t="s">
        <v>7751</v>
      </c>
      <c r="G372" t="s">
        <v>7752</v>
      </c>
      <c r="H372" t="s">
        <v>7753</v>
      </c>
    </row>
    <row r="373" spans="1:8" ht="15.75" customHeight="1">
      <c r="A373" t="s">
        <v>809</v>
      </c>
      <c r="B373" t="s">
        <v>810</v>
      </c>
      <c r="C373" t="s">
        <v>7746</v>
      </c>
      <c r="E373" s="12" t="s">
        <v>7747</v>
      </c>
      <c r="F373" s="12" t="s">
        <v>7754</v>
      </c>
      <c r="G373" t="s">
        <v>7755</v>
      </c>
      <c r="H373" t="s">
        <v>7756</v>
      </c>
    </row>
    <row r="374" spans="1:8" ht="15.75" customHeight="1">
      <c r="A374" t="s">
        <v>809</v>
      </c>
      <c r="B374" t="s">
        <v>810</v>
      </c>
      <c r="C374" t="s">
        <v>7746</v>
      </c>
      <c r="E374" s="12" t="s">
        <v>7747</v>
      </c>
      <c r="F374" s="12" t="s">
        <v>7757</v>
      </c>
      <c r="G374" t="s">
        <v>7758</v>
      </c>
      <c r="H374" t="s">
        <v>7759</v>
      </c>
    </row>
    <row r="375" spans="1:8" ht="15.75" customHeight="1">
      <c r="A375" t="s">
        <v>813</v>
      </c>
      <c r="B375" t="s">
        <v>814</v>
      </c>
      <c r="C375" t="s">
        <v>7760</v>
      </c>
      <c r="E375" s="12" t="s">
        <v>7761</v>
      </c>
      <c r="F375" s="12" t="s">
        <v>7762</v>
      </c>
      <c r="G375" t="s">
        <v>7763</v>
      </c>
      <c r="H375" t="s">
        <v>7764</v>
      </c>
    </row>
    <row r="376" spans="1:8" ht="15.75" customHeight="1">
      <c r="A376" t="s">
        <v>817</v>
      </c>
      <c r="B376" t="s">
        <v>818</v>
      </c>
      <c r="C376" t="s">
        <v>7608</v>
      </c>
      <c r="E376" s="12" t="s">
        <v>7609</v>
      </c>
      <c r="F376" s="12" t="s">
        <v>7610</v>
      </c>
      <c r="G376" t="s">
        <v>7611</v>
      </c>
      <c r="H376" t="s">
        <v>7612</v>
      </c>
    </row>
    <row r="377" spans="1:8" ht="15.75" customHeight="1">
      <c r="A377" t="s">
        <v>817</v>
      </c>
      <c r="B377" t="s">
        <v>818</v>
      </c>
      <c r="C377" t="s">
        <v>7608</v>
      </c>
      <c r="E377" s="12" t="s">
        <v>7609</v>
      </c>
      <c r="F377" s="12" t="s">
        <v>7613</v>
      </c>
      <c r="G377" t="s">
        <v>7614</v>
      </c>
      <c r="H377" t="s">
        <v>7612</v>
      </c>
    </row>
    <row r="378" spans="1:8" ht="15.75" customHeight="1">
      <c r="A378" t="s">
        <v>817</v>
      </c>
      <c r="B378" t="s">
        <v>818</v>
      </c>
      <c r="C378" t="s">
        <v>7608</v>
      </c>
      <c r="E378" s="12" t="s">
        <v>7609</v>
      </c>
      <c r="F378" s="12" t="s">
        <v>7615</v>
      </c>
      <c r="G378" t="s">
        <v>7616</v>
      </c>
      <c r="H378" t="s">
        <v>7617</v>
      </c>
    </row>
    <row r="379" spans="1:8" ht="15.75" customHeight="1">
      <c r="A379" t="s">
        <v>817</v>
      </c>
      <c r="B379" t="s">
        <v>818</v>
      </c>
      <c r="C379" t="s">
        <v>7608</v>
      </c>
      <c r="E379" s="12" t="s">
        <v>7609</v>
      </c>
      <c r="F379" s="12" t="s">
        <v>7618</v>
      </c>
      <c r="G379" t="s">
        <v>7619</v>
      </c>
      <c r="H379" t="s">
        <v>7620</v>
      </c>
    </row>
    <row r="380" spans="1:8" ht="15.75" customHeight="1">
      <c r="A380" t="s">
        <v>817</v>
      </c>
      <c r="B380" t="s">
        <v>818</v>
      </c>
      <c r="C380" t="s">
        <v>7765</v>
      </c>
      <c r="E380" s="12" t="s">
        <v>7766</v>
      </c>
      <c r="F380" s="12" t="s">
        <v>7767</v>
      </c>
      <c r="G380" t="s">
        <v>7768</v>
      </c>
      <c r="H380" t="s">
        <v>7769</v>
      </c>
    </row>
    <row r="381" spans="1:8" ht="15.75" customHeight="1">
      <c r="A381" t="s">
        <v>817</v>
      </c>
      <c r="B381" t="s">
        <v>818</v>
      </c>
      <c r="C381" t="s">
        <v>7765</v>
      </c>
      <c r="E381" s="12" t="s">
        <v>7766</v>
      </c>
      <c r="F381" s="12" t="s">
        <v>7770</v>
      </c>
      <c r="G381" t="s">
        <v>7768</v>
      </c>
      <c r="H381" t="s">
        <v>7771</v>
      </c>
    </row>
    <row r="382" spans="1:8" ht="15.75" customHeight="1">
      <c r="A382" t="s">
        <v>817</v>
      </c>
      <c r="B382" t="s">
        <v>818</v>
      </c>
      <c r="C382" t="s">
        <v>7765</v>
      </c>
      <c r="E382" s="12" t="s">
        <v>7766</v>
      </c>
      <c r="F382" s="12" t="s">
        <v>7772</v>
      </c>
      <c r="G382" t="s">
        <v>7773</v>
      </c>
      <c r="H382" t="s">
        <v>7774</v>
      </c>
    </row>
    <row r="383" spans="1:8" ht="15.75" customHeight="1">
      <c r="A383" t="s">
        <v>817</v>
      </c>
      <c r="B383" t="s">
        <v>818</v>
      </c>
      <c r="C383" t="s">
        <v>7765</v>
      </c>
      <c r="E383" s="12" t="s">
        <v>7766</v>
      </c>
      <c r="F383" s="12" t="s">
        <v>7775</v>
      </c>
      <c r="G383" t="s">
        <v>7776</v>
      </c>
      <c r="H383" t="s">
        <v>7777</v>
      </c>
    </row>
    <row r="384" spans="1:8" ht="15.75" customHeight="1">
      <c r="A384" t="s">
        <v>817</v>
      </c>
      <c r="B384" t="s">
        <v>818</v>
      </c>
      <c r="C384" t="s">
        <v>7765</v>
      </c>
      <c r="E384" s="12" t="s">
        <v>7766</v>
      </c>
      <c r="F384" s="12" t="s">
        <v>7778</v>
      </c>
      <c r="G384" t="s">
        <v>7779</v>
      </c>
      <c r="H384" t="s">
        <v>7780</v>
      </c>
    </row>
    <row r="385" spans="1:8" ht="15.75" customHeight="1">
      <c r="A385" t="s">
        <v>817</v>
      </c>
      <c r="B385" t="s">
        <v>818</v>
      </c>
      <c r="C385" t="s">
        <v>7765</v>
      </c>
      <c r="E385" s="12" t="s">
        <v>7766</v>
      </c>
      <c r="F385" s="12" t="s">
        <v>7781</v>
      </c>
      <c r="G385" t="s">
        <v>7782</v>
      </c>
      <c r="H385" t="s">
        <v>7783</v>
      </c>
    </row>
    <row r="386" spans="1:8" ht="15.75" customHeight="1">
      <c r="A386" t="s">
        <v>817</v>
      </c>
      <c r="B386" t="s">
        <v>818</v>
      </c>
      <c r="C386" t="s">
        <v>7765</v>
      </c>
      <c r="E386" s="12" t="s">
        <v>7766</v>
      </c>
      <c r="F386" s="12" t="s">
        <v>7784</v>
      </c>
      <c r="G386" t="s">
        <v>7785</v>
      </c>
      <c r="H386" t="s">
        <v>7786</v>
      </c>
    </row>
    <row r="387" spans="1:8" ht="15.75" customHeight="1">
      <c r="A387" t="s">
        <v>817</v>
      </c>
      <c r="B387" t="s">
        <v>818</v>
      </c>
      <c r="C387" t="s">
        <v>7765</v>
      </c>
      <c r="E387" s="12" t="s">
        <v>7766</v>
      </c>
      <c r="F387" s="12" t="s">
        <v>7787</v>
      </c>
      <c r="G387" t="s">
        <v>7788</v>
      </c>
      <c r="H387" t="s">
        <v>7789</v>
      </c>
    </row>
    <row r="388" spans="1:8" ht="15.75" customHeight="1">
      <c r="A388" t="s">
        <v>817</v>
      </c>
      <c r="B388" t="s">
        <v>818</v>
      </c>
      <c r="C388" t="s">
        <v>7765</v>
      </c>
      <c r="E388" s="12" t="s">
        <v>7766</v>
      </c>
      <c r="F388" s="12" t="s">
        <v>7790</v>
      </c>
      <c r="G388" t="s">
        <v>7791</v>
      </c>
      <c r="H388" t="s">
        <v>7792</v>
      </c>
    </row>
    <row r="389" spans="1:8" ht="15.75" customHeight="1">
      <c r="A389" t="s">
        <v>817</v>
      </c>
      <c r="B389" t="s">
        <v>818</v>
      </c>
      <c r="C389" t="s">
        <v>7765</v>
      </c>
      <c r="E389" s="12" t="s">
        <v>7766</v>
      </c>
      <c r="F389" s="12" t="s">
        <v>7793</v>
      </c>
      <c r="G389" t="s">
        <v>7794</v>
      </c>
      <c r="H389" t="s">
        <v>7769</v>
      </c>
    </row>
    <row r="390" spans="1:8" ht="15.75" customHeight="1">
      <c r="A390" t="s">
        <v>817</v>
      </c>
      <c r="B390" t="s">
        <v>818</v>
      </c>
      <c r="C390" t="s">
        <v>7765</v>
      </c>
      <c r="E390" s="12" t="s">
        <v>7766</v>
      </c>
      <c r="F390" s="12" t="s">
        <v>7795</v>
      </c>
      <c r="G390" t="s">
        <v>7794</v>
      </c>
      <c r="H390" t="s">
        <v>7796</v>
      </c>
    </row>
    <row r="391" spans="1:8" ht="15.75" customHeight="1">
      <c r="A391" t="s">
        <v>817</v>
      </c>
      <c r="B391" t="s">
        <v>818</v>
      </c>
      <c r="C391" t="s">
        <v>7765</v>
      </c>
      <c r="E391" s="12" t="s">
        <v>7766</v>
      </c>
      <c r="F391" s="12" t="s">
        <v>7797</v>
      </c>
      <c r="G391" t="s">
        <v>7798</v>
      </c>
      <c r="H391" t="s">
        <v>7799</v>
      </c>
    </row>
    <row r="392" spans="1:8" ht="15.75" customHeight="1">
      <c r="A392" t="s">
        <v>817</v>
      </c>
      <c r="B392" t="s">
        <v>818</v>
      </c>
      <c r="C392" t="s">
        <v>7765</v>
      </c>
      <c r="E392" s="12" t="s">
        <v>7766</v>
      </c>
      <c r="F392" s="12" t="s">
        <v>7800</v>
      </c>
      <c r="G392" t="s">
        <v>7801</v>
      </c>
      <c r="H392" t="s">
        <v>7802</v>
      </c>
    </row>
    <row r="393" spans="1:8" ht="15.75" customHeight="1">
      <c r="A393" t="s">
        <v>817</v>
      </c>
      <c r="B393" t="s">
        <v>818</v>
      </c>
      <c r="C393" t="s">
        <v>7765</v>
      </c>
      <c r="E393" s="12" t="s">
        <v>7766</v>
      </c>
      <c r="F393" s="12" t="s">
        <v>7803</v>
      </c>
      <c r="G393" t="s">
        <v>7804</v>
      </c>
      <c r="H393" t="s">
        <v>7805</v>
      </c>
    </row>
    <row r="394" spans="1:8" ht="15.75" customHeight="1">
      <c r="A394" t="s">
        <v>817</v>
      </c>
      <c r="B394" t="s">
        <v>818</v>
      </c>
      <c r="C394" t="s">
        <v>7765</v>
      </c>
      <c r="E394" s="12" t="s">
        <v>7766</v>
      </c>
      <c r="F394" s="12" t="s">
        <v>7806</v>
      </c>
      <c r="G394" t="s">
        <v>7807</v>
      </c>
      <c r="H394" t="s">
        <v>7808</v>
      </c>
    </row>
    <row r="395" spans="1:8" ht="15.75" customHeight="1">
      <c r="A395" t="s">
        <v>817</v>
      </c>
      <c r="B395" t="s">
        <v>818</v>
      </c>
      <c r="C395" t="s">
        <v>7765</v>
      </c>
      <c r="E395" s="12" t="s">
        <v>7766</v>
      </c>
      <c r="F395" s="12" t="s">
        <v>7809</v>
      </c>
      <c r="G395" t="s">
        <v>7810</v>
      </c>
      <c r="H395" t="s">
        <v>7811</v>
      </c>
    </row>
    <row r="396" spans="1:8" ht="15.75" customHeight="1">
      <c r="A396" t="s">
        <v>817</v>
      </c>
      <c r="B396" t="s">
        <v>818</v>
      </c>
      <c r="C396" t="s">
        <v>7765</v>
      </c>
      <c r="E396" s="12" t="s">
        <v>7766</v>
      </c>
      <c r="F396" s="12" t="s">
        <v>7812</v>
      </c>
      <c r="G396" t="s">
        <v>7813</v>
      </c>
      <c r="H396" t="s">
        <v>7814</v>
      </c>
    </row>
    <row r="397" spans="1:8" ht="15.75" customHeight="1">
      <c r="A397" t="s">
        <v>817</v>
      </c>
      <c r="B397" t="s">
        <v>818</v>
      </c>
      <c r="C397" t="s">
        <v>7765</v>
      </c>
      <c r="E397" s="12" t="s">
        <v>7766</v>
      </c>
      <c r="F397" s="12" t="s">
        <v>7815</v>
      </c>
      <c r="G397" t="s">
        <v>7816</v>
      </c>
      <c r="H397" t="s">
        <v>7817</v>
      </c>
    </row>
    <row r="398" spans="1:8" ht="15.75" customHeight="1">
      <c r="A398" t="s">
        <v>821</v>
      </c>
      <c r="B398" t="s">
        <v>822</v>
      </c>
      <c r="C398" t="s">
        <v>7818</v>
      </c>
      <c r="E398" s="12" t="s">
        <v>7819</v>
      </c>
      <c r="F398" s="12" t="s">
        <v>7820</v>
      </c>
      <c r="G398" t="s">
        <v>7821</v>
      </c>
      <c r="H398" t="s">
        <v>7822</v>
      </c>
    </row>
    <row r="399" spans="1:8" ht="15.75" customHeight="1">
      <c r="A399" t="s">
        <v>825</v>
      </c>
      <c r="B399" t="s">
        <v>826</v>
      </c>
      <c r="C399" t="s">
        <v>7823</v>
      </c>
    </row>
    <row r="400" spans="1:8" ht="15.75" customHeight="1">
      <c r="A400" t="s">
        <v>829</v>
      </c>
      <c r="B400" t="s">
        <v>830</v>
      </c>
      <c r="C400" t="s">
        <v>7824</v>
      </c>
      <c r="E400" s="12" t="s">
        <v>7825</v>
      </c>
      <c r="F400" s="12" t="s">
        <v>7826</v>
      </c>
      <c r="G400" t="s">
        <v>7827</v>
      </c>
      <c r="H400" t="s">
        <v>7828</v>
      </c>
    </row>
    <row r="401" spans="1:8" ht="15.75" customHeight="1">
      <c r="A401" t="s">
        <v>833</v>
      </c>
      <c r="B401" t="s">
        <v>834</v>
      </c>
      <c r="C401" t="s">
        <v>7829</v>
      </c>
      <c r="E401" s="12" t="s">
        <v>7830</v>
      </c>
      <c r="F401" s="12" t="s">
        <v>7831</v>
      </c>
      <c r="G401" t="s">
        <v>7832</v>
      </c>
      <c r="H401" t="s">
        <v>7833</v>
      </c>
    </row>
    <row r="402" spans="1:8" ht="15.75" customHeight="1">
      <c r="A402" t="s">
        <v>836</v>
      </c>
      <c r="B402" t="s">
        <v>837</v>
      </c>
    </row>
    <row r="403" spans="1:8" ht="15.75" customHeight="1">
      <c r="A403" t="s">
        <v>840</v>
      </c>
      <c r="B403" t="s">
        <v>841</v>
      </c>
      <c r="C403" t="s">
        <v>7834</v>
      </c>
      <c r="E403" s="12" t="s">
        <v>7835</v>
      </c>
    </row>
    <row r="404" spans="1:8" ht="15.75" customHeight="1">
      <c r="A404" t="s">
        <v>843</v>
      </c>
      <c r="B404" t="s">
        <v>844</v>
      </c>
    </row>
    <row r="405" spans="1:8" ht="15.75" customHeight="1">
      <c r="A405" t="s">
        <v>847</v>
      </c>
      <c r="B405" t="s">
        <v>848</v>
      </c>
      <c r="C405" t="s">
        <v>7545</v>
      </c>
    </row>
    <row r="406" spans="1:8" ht="15.75" customHeight="1">
      <c r="A406" t="s">
        <v>851</v>
      </c>
      <c r="B406" t="s">
        <v>852</v>
      </c>
      <c r="C406" t="s">
        <v>7836</v>
      </c>
      <c r="E406" s="12" t="s">
        <v>7837</v>
      </c>
      <c r="F406" s="12" t="s">
        <v>7838</v>
      </c>
      <c r="G406" t="s">
        <v>7839</v>
      </c>
      <c r="H406" t="s">
        <v>7840</v>
      </c>
    </row>
    <row r="407" spans="1:8" ht="15.75" customHeight="1">
      <c r="A407" t="s">
        <v>855</v>
      </c>
      <c r="B407" t="s">
        <v>856</v>
      </c>
      <c r="C407" t="s">
        <v>7841</v>
      </c>
      <c r="E407" s="12" t="s">
        <v>7842</v>
      </c>
      <c r="F407" s="12" t="s">
        <v>7843</v>
      </c>
      <c r="G407" t="s">
        <v>7844</v>
      </c>
      <c r="H407" t="s">
        <v>7845</v>
      </c>
    </row>
    <row r="408" spans="1:8" ht="15.75" customHeight="1">
      <c r="A408" t="s">
        <v>855</v>
      </c>
      <c r="B408" t="s">
        <v>856</v>
      </c>
      <c r="C408" t="s">
        <v>7841</v>
      </c>
      <c r="E408" s="12" t="s">
        <v>7842</v>
      </c>
      <c r="F408" s="12" t="s">
        <v>7846</v>
      </c>
      <c r="G408" t="s">
        <v>7847</v>
      </c>
      <c r="H408" t="s">
        <v>7848</v>
      </c>
    </row>
    <row r="409" spans="1:8" ht="15.75" customHeight="1">
      <c r="A409" t="s">
        <v>855</v>
      </c>
      <c r="B409" t="s">
        <v>856</v>
      </c>
      <c r="C409" t="s">
        <v>7841</v>
      </c>
      <c r="E409" s="12" t="s">
        <v>7842</v>
      </c>
      <c r="F409" s="12" t="s">
        <v>7849</v>
      </c>
      <c r="G409" t="s">
        <v>7850</v>
      </c>
      <c r="H409" t="s">
        <v>7851</v>
      </c>
    </row>
    <row r="410" spans="1:8" ht="15.75" customHeight="1">
      <c r="A410" t="s">
        <v>859</v>
      </c>
      <c r="B410" t="s">
        <v>860</v>
      </c>
      <c r="C410" t="s">
        <v>7852</v>
      </c>
    </row>
    <row r="411" spans="1:8" ht="15.75" customHeight="1">
      <c r="A411" t="s">
        <v>863</v>
      </c>
      <c r="B411" t="s">
        <v>864</v>
      </c>
      <c r="C411" t="s">
        <v>7853</v>
      </c>
      <c r="E411" s="12" t="s">
        <v>7854</v>
      </c>
      <c r="F411" s="12" t="s">
        <v>7855</v>
      </c>
      <c r="G411" t="s">
        <v>7856</v>
      </c>
      <c r="H411" t="s">
        <v>7857</v>
      </c>
    </row>
    <row r="412" spans="1:8" ht="15.75" customHeight="1">
      <c r="A412" t="s">
        <v>866</v>
      </c>
      <c r="B412" t="s">
        <v>867</v>
      </c>
    </row>
    <row r="413" spans="1:8" ht="15.75" customHeight="1">
      <c r="A413" t="s">
        <v>870</v>
      </c>
      <c r="B413" t="s">
        <v>871</v>
      </c>
      <c r="C413" t="s">
        <v>7176</v>
      </c>
      <c r="E413" s="12" t="s">
        <v>7177</v>
      </c>
    </row>
    <row r="414" spans="1:8" ht="15.75" customHeight="1">
      <c r="A414" t="s">
        <v>874</v>
      </c>
      <c r="B414" t="s">
        <v>875</v>
      </c>
      <c r="C414" t="s">
        <v>7188</v>
      </c>
    </row>
    <row r="415" spans="1:8" ht="15.75" customHeight="1">
      <c r="A415" t="s">
        <v>877</v>
      </c>
      <c r="B415" t="s">
        <v>878</v>
      </c>
    </row>
    <row r="416" spans="1:8" ht="15.75" customHeight="1">
      <c r="A416" t="s">
        <v>881</v>
      </c>
      <c r="B416" t="s">
        <v>882</v>
      </c>
    </row>
    <row r="417" spans="1:8" ht="15.75" customHeight="1">
      <c r="A417" t="s">
        <v>885</v>
      </c>
      <c r="B417" t="s">
        <v>886</v>
      </c>
      <c r="C417" t="s">
        <v>7858</v>
      </c>
    </row>
    <row r="418" spans="1:8" ht="15.75" customHeight="1">
      <c r="A418" t="s">
        <v>888</v>
      </c>
      <c r="B418" t="s">
        <v>889</v>
      </c>
    </row>
    <row r="419" spans="1:8" ht="15.75" customHeight="1">
      <c r="A419" t="s">
        <v>891</v>
      </c>
      <c r="B419" t="s">
        <v>892</v>
      </c>
    </row>
    <row r="420" spans="1:8" ht="15.75" customHeight="1">
      <c r="A420" t="s">
        <v>894</v>
      </c>
      <c r="B420" t="s">
        <v>895</v>
      </c>
    </row>
    <row r="421" spans="1:8" ht="15.75" customHeight="1">
      <c r="A421" t="s">
        <v>898</v>
      </c>
      <c r="B421" t="s">
        <v>899</v>
      </c>
      <c r="C421" t="s">
        <v>7859</v>
      </c>
      <c r="E421" s="12" t="s">
        <v>7860</v>
      </c>
    </row>
    <row r="422" spans="1:8" ht="15.75" customHeight="1">
      <c r="A422" t="s">
        <v>901</v>
      </c>
      <c r="B422" t="s">
        <v>902</v>
      </c>
    </row>
    <row r="423" spans="1:8" ht="15.75" customHeight="1">
      <c r="A423" t="s">
        <v>905</v>
      </c>
      <c r="B423" t="s">
        <v>906</v>
      </c>
    </row>
    <row r="424" spans="1:8" ht="15.75" customHeight="1">
      <c r="A424" t="s">
        <v>909</v>
      </c>
      <c r="B424" t="s">
        <v>910</v>
      </c>
      <c r="C424" t="s">
        <v>7861</v>
      </c>
    </row>
    <row r="425" spans="1:8" ht="15.75" customHeight="1">
      <c r="A425" t="s">
        <v>912</v>
      </c>
      <c r="B425" t="s">
        <v>913</v>
      </c>
    </row>
    <row r="426" spans="1:8" ht="15.75" customHeight="1">
      <c r="A426" t="s">
        <v>915</v>
      </c>
      <c r="B426" t="s">
        <v>916</v>
      </c>
    </row>
    <row r="427" spans="1:8" ht="15.75" customHeight="1">
      <c r="A427" t="s">
        <v>919</v>
      </c>
      <c r="B427" t="s">
        <v>920</v>
      </c>
    </row>
    <row r="428" spans="1:8" ht="15.75" customHeight="1">
      <c r="A428" t="s">
        <v>923</v>
      </c>
      <c r="B428" t="s">
        <v>924</v>
      </c>
      <c r="C428" t="s">
        <v>7862</v>
      </c>
      <c r="E428" s="12" t="s">
        <v>7863</v>
      </c>
      <c r="F428" s="12" t="s">
        <v>7864</v>
      </c>
      <c r="G428" t="s">
        <v>7865</v>
      </c>
      <c r="H428" t="s">
        <v>7866</v>
      </c>
    </row>
    <row r="429" spans="1:8" ht="15.75" customHeight="1">
      <c r="A429" t="s">
        <v>923</v>
      </c>
      <c r="B429" t="s">
        <v>924</v>
      </c>
      <c r="C429" t="s">
        <v>7862</v>
      </c>
      <c r="E429" s="12" t="s">
        <v>7863</v>
      </c>
      <c r="F429" s="12" t="s">
        <v>7867</v>
      </c>
      <c r="G429" t="s">
        <v>7868</v>
      </c>
      <c r="H429" t="s">
        <v>7866</v>
      </c>
    </row>
    <row r="430" spans="1:8" ht="15.75" customHeight="1">
      <c r="A430" t="s">
        <v>923</v>
      </c>
      <c r="B430" t="s">
        <v>924</v>
      </c>
      <c r="C430" t="s">
        <v>7862</v>
      </c>
      <c r="E430" s="12" t="s">
        <v>7863</v>
      </c>
      <c r="F430" s="12" t="s">
        <v>7869</v>
      </c>
      <c r="G430" t="s">
        <v>7870</v>
      </c>
      <c r="H430" t="s">
        <v>7866</v>
      </c>
    </row>
    <row r="431" spans="1:8" ht="15.75" customHeight="1">
      <c r="A431" t="s">
        <v>923</v>
      </c>
      <c r="B431" t="s">
        <v>924</v>
      </c>
      <c r="C431" t="s">
        <v>7862</v>
      </c>
      <c r="E431" s="12" t="s">
        <v>7863</v>
      </c>
      <c r="F431" s="12" t="s">
        <v>7871</v>
      </c>
      <c r="G431" t="s">
        <v>7872</v>
      </c>
      <c r="H431" t="s">
        <v>7866</v>
      </c>
    </row>
    <row r="432" spans="1:8" ht="15.75" customHeight="1">
      <c r="A432" t="s">
        <v>923</v>
      </c>
      <c r="B432" t="s">
        <v>924</v>
      </c>
      <c r="C432" t="s">
        <v>7862</v>
      </c>
      <c r="E432" s="12" t="s">
        <v>7863</v>
      </c>
      <c r="F432" s="12" t="s">
        <v>7873</v>
      </c>
      <c r="G432" t="s">
        <v>7874</v>
      </c>
      <c r="H432" t="s">
        <v>7866</v>
      </c>
    </row>
    <row r="433" spans="1:8" ht="15.75" customHeight="1">
      <c r="A433" t="s">
        <v>923</v>
      </c>
      <c r="B433" t="s">
        <v>924</v>
      </c>
      <c r="C433" t="s">
        <v>7862</v>
      </c>
      <c r="E433" s="12" t="s">
        <v>7863</v>
      </c>
      <c r="F433" s="12" t="s">
        <v>7875</v>
      </c>
      <c r="G433" t="s">
        <v>7876</v>
      </c>
      <c r="H433" t="s">
        <v>7877</v>
      </c>
    </row>
    <row r="434" spans="1:8" ht="15.75" customHeight="1">
      <c r="A434" t="s">
        <v>927</v>
      </c>
      <c r="B434" t="s">
        <v>928</v>
      </c>
    </row>
    <row r="435" spans="1:8" ht="15.75" customHeight="1">
      <c r="A435" t="s">
        <v>931</v>
      </c>
      <c r="B435" t="s">
        <v>932</v>
      </c>
    </row>
    <row r="436" spans="1:8" ht="15.75" customHeight="1">
      <c r="A436" t="s">
        <v>935</v>
      </c>
      <c r="B436" t="s">
        <v>936</v>
      </c>
    </row>
    <row r="437" spans="1:8" ht="15.75" customHeight="1">
      <c r="A437" t="s">
        <v>939</v>
      </c>
      <c r="B437" t="s">
        <v>940</v>
      </c>
    </row>
    <row r="438" spans="1:8" ht="15.75" customHeight="1">
      <c r="A438" t="s">
        <v>943</v>
      </c>
      <c r="B438" t="s">
        <v>944</v>
      </c>
      <c r="C438" t="s">
        <v>7878</v>
      </c>
      <c r="E438" s="12" t="s">
        <v>7879</v>
      </c>
      <c r="F438" s="12" t="s">
        <v>7880</v>
      </c>
      <c r="G438" t="s">
        <v>7881</v>
      </c>
      <c r="H438" t="s">
        <v>7882</v>
      </c>
    </row>
    <row r="439" spans="1:8" ht="15.75" customHeight="1">
      <c r="A439" t="s">
        <v>943</v>
      </c>
      <c r="B439" t="s">
        <v>944</v>
      </c>
      <c r="C439" t="s">
        <v>7878</v>
      </c>
      <c r="E439" s="12" t="s">
        <v>7879</v>
      </c>
      <c r="F439" s="12" t="s">
        <v>7883</v>
      </c>
      <c r="G439" t="s">
        <v>7884</v>
      </c>
      <c r="H439" t="s">
        <v>7885</v>
      </c>
    </row>
    <row r="440" spans="1:8" ht="15.75" customHeight="1">
      <c r="A440" t="s">
        <v>943</v>
      </c>
      <c r="B440" t="s">
        <v>944</v>
      </c>
      <c r="C440" t="s">
        <v>7878</v>
      </c>
      <c r="E440" s="12" t="s">
        <v>7879</v>
      </c>
      <c r="F440" s="12" t="s">
        <v>7886</v>
      </c>
      <c r="G440" t="s">
        <v>7887</v>
      </c>
      <c r="H440" t="s">
        <v>7888</v>
      </c>
    </row>
    <row r="441" spans="1:8" ht="15.75" customHeight="1">
      <c r="A441" t="s">
        <v>947</v>
      </c>
      <c r="B441" t="s">
        <v>948</v>
      </c>
    </row>
    <row r="442" spans="1:8" ht="15.75" customHeight="1">
      <c r="A442" t="s">
        <v>951</v>
      </c>
      <c r="B442" t="s">
        <v>952</v>
      </c>
    </row>
    <row r="443" spans="1:8" ht="15.75" customHeight="1">
      <c r="A443" t="s">
        <v>955</v>
      </c>
      <c r="B443" t="s">
        <v>956</v>
      </c>
    </row>
    <row r="444" spans="1:8" ht="15.75" customHeight="1">
      <c r="A444" t="s">
        <v>959</v>
      </c>
      <c r="B444" t="s">
        <v>960</v>
      </c>
    </row>
    <row r="445" spans="1:8" ht="15.75" customHeight="1">
      <c r="A445" t="s">
        <v>963</v>
      </c>
      <c r="B445" t="s">
        <v>964</v>
      </c>
    </row>
    <row r="446" spans="1:8" ht="15.75" customHeight="1">
      <c r="A446" t="s">
        <v>967</v>
      </c>
      <c r="B446" t="s">
        <v>968</v>
      </c>
    </row>
    <row r="447" spans="1:8" ht="15.75" customHeight="1">
      <c r="A447" t="s">
        <v>971</v>
      </c>
      <c r="B447" t="s">
        <v>972</v>
      </c>
    </row>
    <row r="448" spans="1:8" ht="15.75" customHeight="1">
      <c r="A448" t="s">
        <v>975</v>
      </c>
      <c r="B448" t="s">
        <v>976</v>
      </c>
    </row>
    <row r="449" spans="1:8" ht="15.75" customHeight="1">
      <c r="A449" t="s">
        <v>979</v>
      </c>
      <c r="B449" t="s">
        <v>980</v>
      </c>
    </row>
    <row r="450" spans="1:8" ht="15.75" customHeight="1">
      <c r="A450" t="s">
        <v>983</v>
      </c>
      <c r="B450" t="s">
        <v>984</v>
      </c>
    </row>
    <row r="451" spans="1:8" ht="15.75" customHeight="1">
      <c r="A451" t="s">
        <v>987</v>
      </c>
      <c r="B451" t="s">
        <v>988</v>
      </c>
    </row>
    <row r="452" spans="1:8" ht="15.75" customHeight="1">
      <c r="A452" t="s">
        <v>991</v>
      </c>
      <c r="B452" t="s">
        <v>992</v>
      </c>
    </row>
    <row r="453" spans="1:8" ht="15.75" customHeight="1">
      <c r="A453" t="s">
        <v>995</v>
      </c>
      <c r="B453" t="s">
        <v>996</v>
      </c>
    </row>
    <row r="454" spans="1:8" ht="15.75" customHeight="1">
      <c r="A454" t="s">
        <v>999</v>
      </c>
      <c r="B454" t="s">
        <v>1000</v>
      </c>
    </row>
    <row r="455" spans="1:8" ht="15.75" customHeight="1">
      <c r="A455" t="s">
        <v>1003</v>
      </c>
      <c r="B455" t="s">
        <v>1004</v>
      </c>
    </row>
    <row r="456" spans="1:8" ht="15.75" customHeight="1">
      <c r="A456" t="s">
        <v>1007</v>
      </c>
      <c r="B456" t="s">
        <v>1008</v>
      </c>
    </row>
    <row r="457" spans="1:8" ht="15.75" customHeight="1">
      <c r="A457" t="s">
        <v>1011</v>
      </c>
      <c r="B457" t="s">
        <v>1012</v>
      </c>
    </row>
    <row r="458" spans="1:8" ht="15.75" customHeight="1">
      <c r="A458" t="s">
        <v>1015</v>
      </c>
      <c r="B458" t="s">
        <v>1016</v>
      </c>
    </row>
    <row r="459" spans="1:8" ht="15.75" customHeight="1">
      <c r="A459" t="s">
        <v>1019</v>
      </c>
      <c r="B459" t="s">
        <v>1020</v>
      </c>
    </row>
    <row r="460" spans="1:8" ht="15.75" customHeight="1">
      <c r="A460" t="s">
        <v>1023</v>
      </c>
      <c r="B460" t="s">
        <v>1024</v>
      </c>
    </row>
    <row r="461" spans="1:8" ht="15.75" customHeight="1">
      <c r="A461" t="s">
        <v>1027</v>
      </c>
      <c r="B461" t="s">
        <v>1028</v>
      </c>
    </row>
    <row r="462" spans="1:8" ht="15.75" customHeight="1">
      <c r="A462" t="s">
        <v>1031</v>
      </c>
      <c r="B462" t="s">
        <v>1032</v>
      </c>
    </row>
    <row r="463" spans="1:8" ht="15.75" customHeight="1">
      <c r="A463" t="s">
        <v>1034</v>
      </c>
      <c r="B463" t="s">
        <v>1035</v>
      </c>
    </row>
    <row r="464" spans="1:8" ht="15.75" customHeight="1">
      <c r="A464" t="s">
        <v>1038</v>
      </c>
      <c r="B464" t="s">
        <v>1039</v>
      </c>
      <c r="C464" t="s">
        <v>7889</v>
      </c>
      <c r="E464" s="12" t="s">
        <v>7890</v>
      </c>
      <c r="F464" s="12" t="s">
        <v>7891</v>
      </c>
      <c r="G464" t="s">
        <v>7892</v>
      </c>
      <c r="H464" t="s">
        <v>7893</v>
      </c>
    </row>
    <row r="465" spans="1:8" ht="15.75" customHeight="1">
      <c r="A465" t="s">
        <v>1041</v>
      </c>
      <c r="B465" t="s">
        <v>1042</v>
      </c>
    </row>
    <row r="466" spans="1:8" ht="15.75" customHeight="1">
      <c r="A466" t="s">
        <v>1045</v>
      </c>
      <c r="B466" t="s">
        <v>1046</v>
      </c>
      <c r="C466" t="s">
        <v>7894</v>
      </c>
      <c r="E466" s="12" t="s">
        <v>7895</v>
      </c>
      <c r="F466" s="12" t="s">
        <v>7896</v>
      </c>
      <c r="G466" t="s">
        <v>7897</v>
      </c>
      <c r="H466" t="s">
        <v>7898</v>
      </c>
    </row>
    <row r="467" spans="1:8" ht="15.75" customHeight="1">
      <c r="A467" t="s">
        <v>1045</v>
      </c>
      <c r="B467" t="s">
        <v>1046</v>
      </c>
      <c r="C467" t="s">
        <v>7894</v>
      </c>
      <c r="E467" s="12" t="s">
        <v>7895</v>
      </c>
      <c r="F467" s="12" t="s">
        <v>7899</v>
      </c>
      <c r="G467" t="s">
        <v>7900</v>
      </c>
      <c r="H467" t="s">
        <v>7901</v>
      </c>
    </row>
    <row r="468" spans="1:8" ht="15.75" customHeight="1">
      <c r="A468" t="s">
        <v>1045</v>
      </c>
      <c r="B468" t="s">
        <v>1046</v>
      </c>
      <c r="C468" t="s">
        <v>7894</v>
      </c>
      <c r="E468" s="12" t="s">
        <v>7895</v>
      </c>
      <c r="F468" s="12" t="s">
        <v>7902</v>
      </c>
      <c r="G468" t="s">
        <v>7903</v>
      </c>
      <c r="H468" t="s">
        <v>7904</v>
      </c>
    </row>
    <row r="469" spans="1:8" ht="15.75" customHeight="1">
      <c r="A469" t="s">
        <v>1045</v>
      </c>
      <c r="B469" t="s">
        <v>1046</v>
      </c>
      <c r="C469" t="s">
        <v>7894</v>
      </c>
      <c r="E469" s="12" t="s">
        <v>7895</v>
      </c>
      <c r="F469" s="12" t="s">
        <v>7905</v>
      </c>
      <c r="G469" t="s">
        <v>7906</v>
      </c>
      <c r="H469" t="s">
        <v>7907</v>
      </c>
    </row>
    <row r="470" spans="1:8" ht="15.75" customHeight="1">
      <c r="A470" t="s">
        <v>1045</v>
      </c>
      <c r="B470" t="s">
        <v>1046</v>
      </c>
      <c r="C470" t="s">
        <v>7894</v>
      </c>
      <c r="E470" s="12" t="s">
        <v>7895</v>
      </c>
      <c r="F470" s="12" t="s">
        <v>7908</v>
      </c>
      <c r="G470" t="s">
        <v>7909</v>
      </c>
      <c r="H470" t="s">
        <v>7910</v>
      </c>
    </row>
    <row r="471" spans="1:8" ht="15.75" customHeight="1">
      <c r="A471" t="s">
        <v>1048</v>
      </c>
      <c r="B471" t="s">
        <v>1049</v>
      </c>
    </row>
    <row r="472" spans="1:8" ht="15.75" customHeight="1">
      <c r="A472" t="s">
        <v>1050</v>
      </c>
      <c r="B472" t="s">
        <v>1051</v>
      </c>
    </row>
    <row r="473" spans="1:8" ht="15.75" customHeight="1">
      <c r="A473" t="s">
        <v>1054</v>
      </c>
      <c r="B473" t="s">
        <v>1055</v>
      </c>
      <c r="C473" t="s">
        <v>7911</v>
      </c>
    </row>
    <row r="474" spans="1:8" ht="15.75" customHeight="1">
      <c r="A474" t="s">
        <v>1057</v>
      </c>
      <c r="B474" t="s">
        <v>1058</v>
      </c>
    </row>
    <row r="475" spans="1:8" ht="15.75" customHeight="1">
      <c r="A475" t="s">
        <v>1060</v>
      </c>
      <c r="B475" t="s">
        <v>1061</v>
      </c>
      <c r="C475" t="s">
        <v>7641</v>
      </c>
      <c r="E475" s="12" t="s">
        <v>7642</v>
      </c>
      <c r="F475" s="12" t="s">
        <v>7643</v>
      </c>
      <c r="G475" t="s">
        <v>7644</v>
      </c>
      <c r="H475" t="s">
        <v>7645</v>
      </c>
    </row>
    <row r="476" spans="1:8" ht="15.75" customHeight="1">
      <c r="A476" t="s">
        <v>1060</v>
      </c>
      <c r="B476" t="s">
        <v>1061</v>
      </c>
      <c r="C476" t="s">
        <v>7641</v>
      </c>
      <c r="E476" s="12" t="s">
        <v>7642</v>
      </c>
      <c r="F476" s="12" t="s">
        <v>7646</v>
      </c>
      <c r="G476" t="s">
        <v>7647</v>
      </c>
      <c r="H476" t="s">
        <v>7648</v>
      </c>
    </row>
    <row r="477" spans="1:8" ht="15.75" customHeight="1">
      <c r="A477" t="s">
        <v>1060</v>
      </c>
      <c r="B477" t="s">
        <v>1061</v>
      </c>
      <c r="C477" t="s">
        <v>7641</v>
      </c>
      <c r="E477" s="12" t="s">
        <v>7642</v>
      </c>
      <c r="F477" s="12" t="s">
        <v>7649</v>
      </c>
      <c r="G477" t="s">
        <v>7650</v>
      </c>
      <c r="H477" t="s">
        <v>7651</v>
      </c>
    </row>
    <row r="478" spans="1:8" ht="15.75" customHeight="1">
      <c r="A478" t="s">
        <v>1060</v>
      </c>
      <c r="B478" t="s">
        <v>1061</v>
      </c>
      <c r="C478" t="s">
        <v>7641</v>
      </c>
      <c r="E478" s="12" t="s">
        <v>7642</v>
      </c>
      <c r="F478" s="12" t="s">
        <v>7652</v>
      </c>
      <c r="G478" t="s">
        <v>7653</v>
      </c>
      <c r="H478" t="s">
        <v>7654</v>
      </c>
    </row>
    <row r="479" spans="1:8" ht="15.75" customHeight="1">
      <c r="A479" t="s">
        <v>1060</v>
      </c>
      <c r="B479" t="s">
        <v>1061</v>
      </c>
      <c r="C479" t="s">
        <v>7641</v>
      </c>
      <c r="E479" s="12" t="s">
        <v>7642</v>
      </c>
      <c r="F479" s="12" t="s">
        <v>7655</v>
      </c>
      <c r="G479" t="s">
        <v>7656</v>
      </c>
      <c r="H479" t="s">
        <v>7657</v>
      </c>
    </row>
    <row r="480" spans="1:8" ht="15.75" customHeight="1">
      <c r="A480" t="s">
        <v>1063</v>
      </c>
      <c r="B480" t="s">
        <v>1064</v>
      </c>
    </row>
    <row r="481" spans="1:8" ht="15.75" customHeight="1">
      <c r="A481" t="s">
        <v>1067</v>
      </c>
      <c r="B481" t="s">
        <v>1068</v>
      </c>
      <c r="C481" t="s">
        <v>7739</v>
      </c>
    </row>
    <row r="482" spans="1:8" ht="15.75" customHeight="1">
      <c r="A482" t="s">
        <v>1070</v>
      </c>
      <c r="B482" t="s">
        <v>1071</v>
      </c>
    </row>
    <row r="483" spans="1:8" ht="15.75" customHeight="1">
      <c r="A483" t="s">
        <v>1072</v>
      </c>
      <c r="B483" t="s">
        <v>1073</v>
      </c>
    </row>
    <row r="484" spans="1:8" ht="15.75" customHeight="1">
      <c r="A484" t="s">
        <v>1076</v>
      </c>
      <c r="B484" t="s">
        <v>1077</v>
      </c>
    </row>
    <row r="485" spans="1:8" ht="15.75" customHeight="1">
      <c r="A485" t="s">
        <v>1080</v>
      </c>
      <c r="B485" t="s">
        <v>1081</v>
      </c>
      <c r="C485" t="s">
        <v>7912</v>
      </c>
    </row>
    <row r="486" spans="1:8" ht="15.75" customHeight="1">
      <c r="A486" t="s">
        <v>1080</v>
      </c>
      <c r="B486" t="s">
        <v>1081</v>
      </c>
      <c r="C486" t="s">
        <v>7913</v>
      </c>
      <c r="E486" s="12" t="s">
        <v>7914</v>
      </c>
    </row>
    <row r="487" spans="1:8" ht="15.75" customHeight="1">
      <c r="A487" t="s">
        <v>1084</v>
      </c>
      <c r="B487" t="s">
        <v>1085</v>
      </c>
    </row>
    <row r="488" spans="1:8" ht="15.75" customHeight="1">
      <c r="A488" t="s">
        <v>1087</v>
      </c>
      <c r="B488" t="s">
        <v>1088</v>
      </c>
    </row>
    <row r="489" spans="1:8" ht="15.75" customHeight="1">
      <c r="A489" t="s">
        <v>1090</v>
      </c>
      <c r="B489" t="s">
        <v>1091</v>
      </c>
    </row>
    <row r="490" spans="1:8" ht="15.75" customHeight="1">
      <c r="A490" t="s">
        <v>1092</v>
      </c>
      <c r="B490" t="s">
        <v>1093</v>
      </c>
    </row>
    <row r="491" spans="1:8" ht="15.75" customHeight="1">
      <c r="A491" t="s">
        <v>1095</v>
      </c>
      <c r="B491" t="s">
        <v>1096</v>
      </c>
    </row>
    <row r="492" spans="1:8" ht="15.75" customHeight="1">
      <c r="A492" t="s">
        <v>1097</v>
      </c>
      <c r="B492" t="s">
        <v>1098</v>
      </c>
    </row>
    <row r="493" spans="1:8" ht="15.75" customHeight="1">
      <c r="A493" t="s">
        <v>1101</v>
      </c>
      <c r="B493" t="s">
        <v>1102</v>
      </c>
      <c r="C493" t="s">
        <v>7915</v>
      </c>
      <c r="E493" s="12" t="s">
        <v>7916</v>
      </c>
    </row>
    <row r="494" spans="1:8" ht="15.75" customHeight="1">
      <c r="A494" t="s">
        <v>1105</v>
      </c>
      <c r="B494" t="s">
        <v>1106</v>
      </c>
      <c r="C494" t="s">
        <v>7834</v>
      </c>
      <c r="E494" s="12" t="s">
        <v>7835</v>
      </c>
    </row>
    <row r="495" spans="1:8" ht="15.75" customHeight="1">
      <c r="A495" t="s">
        <v>1109</v>
      </c>
      <c r="B495" t="s">
        <v>1110</v>
      </c>
    </row>
    <row r="496" spans="1:8" ht="15.75" customHeight="1">
      <c r="A496" t="s">
        <v>1113</v>
      </c>
      <c r="B496" t="s">
        <v>1114</v>
      </c>
      <c r="C496" t="s">
        <v>7917</v>
      </c>
      <c r="E496" s="12" t="s">
        <v>7918</v>
      </c>
      <c r="F496" s="12" t="s">
        <v>7919</v>
      </c>
      <c r="G496" t="s">
        <v>7920</v>
      </c>
      <c r="H496" t="s">
        <v>7921</v>
      </c>
    </row>
    <row r="497" spans="1:8" ht="15.75" customHeight="1">
      <c r="A497" t="s">
        <v>1117</v>
      </c>
      <c r="B497" t="s">
        <v>1118</v>
      </c>
    </row>
    <row r="498" spans="1:8" ht="15.75" customHeight="1">
      <c r="A498" t="s">
        <v>1121</v>
      </c>
      <c r="B498" t="s">
        <v>1122</v>
      </c>
      <c r="C498" t="s">
        <v>7917</v>
      </c>
      <c r="E498" s="12" t="s">
        <v>7918</v>
      </c>
      <c r="F498" s="12" t="s">
        <v>7919</v>
      </c>
      <c r="G498" t="s">
        <v>7920</v>
      </c>
      <c r="H498" t="s">
        <v>7921</v>
      </c>
    </row>
    <row r="499" spans="1:8" ht="15.75" customHeight="1">
      <c r="A499" t="s">
        <v>1121</v>
      </c>
      <c r="B499" t="s">
        <v>1122</v>
      </c>
      <c r="C499" t="s">
        <v>7922</v>
      </c>
    </row>
    <row r="500" spans="1:8" ht="15.75" customHeight="1">
      <c r="A500" t="s">
        <v>1125</v>
      </c>
      <c r="B500" t="s">
        <v>1126</v>
      </c>
    </row>
    <row r="501" spans="1:8" ht="15.75" customHeight="1">
      <c r="A501" t="s">
        <v>1127</v>
      </c>
      <c r="B501" t="s">
        <v>1128</v>
      </c>
    </row>
    <row r="502" spans="1:8" ht="15.75" customHeight="1">
      <c r="A502" t="s">
        <v>1129</v>
      </c>
      <c r="B502" t="s">
        <v>1130</v>
      </c>
    </row>
    <row r="503" spans="1:8" ht="15.75" customHeight="1">
      <c r="A503" t="s">
        <v>1132</v>
      </c>
      <c r="B503" t="s">
        <v>1133</v>
      </c>
    </row>
    <row r="504" spans="1:8" ht="15.75" customHeight="1">
      <c r="A504" t="s">
        <v>1136</v>
      </c>
      <c r="B504" t="s">
        <v>1137</v>
      </c>
    </row>
    <row r="505" spans="1:8" ht="15.75" customHeight="1">
      <c r="A505" t="s">
        <v>1138</v>
      </c>
      <c r="B505" t="s">
        <v>1139</v>
      </c>
    </row>
    <row r="506" spans="1:8" ht="15.75" customHeight="1">
      <c r="A506" t="s">
        <v>1140</v>
      </c>
      <c r="B506" t="s">
        <v>1141</v>
      </c>
    </row>
    <row r="507" spans="1:8" ht="15.75" customHeight="1">
      <c r="A507" t="s">
        <v>1144</v>
      </c>
      <c r="B507" t="s">
        <v>1145</v>
      </c>
    </row>
    <row r="508" spans="1:8" ht="15.75" customHeight="1">
      <c r="A508" t="s">
        <v>1147</v>
      </c>
      <c r="B508" t="s">
        <v>1148</v>
      </c>
    </row>
    <row r="509" spans="1:8" ht="15.75" customHeight="1">
      <c r="A509" t="s">
        <v>1150</v>
      </c>
      <c r="B509" t="s">
        <v>1151</v>
      </c>
    </row>
    <row r="510" spans="1:8" ht="15.75" customHeight="1">
      <c r="A510" t="s">
        <v>1153</v>
      </c>
      <c r="B510" t="s">
        <v>1154</v>
      </c>
    </row>
    <row r="511" spans="1:8" ht="15.75" customHeight="1">
      <c r="A511" t="s">
        <v>1156</v>
      </c>
      <c r="B511" t="s">
        <v>1157</v>
      </c>
      <c r="C511" t="s">
        <v>7175</v>
      </c>
    </row>
    <row r="512" spans="1:8" ht="15.75" customHeight="1">
      <c r="A512" t="s">
        <v>1160</v>
      </c>
      <c r="B512" t="s">
        <v>1161</v>
      </c>
      <c r="C512" t="s">
        <v>7923</v>
      </c>
      <c r="E512" s="12" t="s">
        <v>7924</v>
      </c>
      <c r="F512" s="12" t="s">
        <v>7925</v>
      </c>
      <c r="G512" t="s">
        <v>7926</v>
      </c>
      <c r="H512" t="s">
        <v>7927</v>
      </c>
    </row>
    <row r="513" spans="1:8" ht="15.75" customHeight="1">
      <c r="A513" t="s">
        <v>1160</v>
      </c>
      <c r="B513" t="s">
        <v>1161</v>
      </c>
      <c r="C513" t="s">
        <v>7923</v>
      </c>
      <c r="E513" s="12" t="s">
        <v>7924</v>
      </c>
      <c r="F513" s="12" t="s">
        <v>7928</v>
      </c>
      <c r="G513" t="s">
        <v>7929</v>
      </c>
      <c r="H513" t="s">
        <v>7930</v>
      </c>
    </row>
    <row r="514" spans="1:8" ht="15.75" customHeight="1">
      <c r="A514" t="s">
        <v>1164</v>
      </c>
      <c r="B514" t="s">
        <v>1165</v>
      </c>
    </row>
    <row r="515" spans="1:8" ht="15.75" customHeight="1">
      <c r="A515" t="s">
        <v>1167</v>
      </c>
      <c r="B515" t="s">
        <v>1168</v>
      </c>
    </row>
    <row r="516" spans="1:8" ht="15.75" customHeight="1">
      <c r="A516" t="s">
        <v>1171</v>
      </c>
      <c r="B516" t="s">
        <v>1172</v>
      </c>
    </row>
    <row r="517" spans="1:8" ht="15.75" customHeight="1">
      <c r="A517" t="s">
        <v>1174</v>
      </c>
      <c r="B517" t="s">
        <v>1175</v>
      </c>
    </row>
    <row r="518" spans="1:8" ht="15.75" customHeight="1">
      <c r="A518" t="s">
        <v>1177</v>
      </c>
      <c r="B518" t="s">
        <v>1178</v>
      </c>
    </row>
    <row r="519" spans="1:8" ht="15.75" customHeight="1">
      <c r="A519" t="s">
        <v>1179</v>
      </c>
      <c r="B519" t="s">
        <v>1180</v>
      </c>
    </row>
    <row r="520" spans="1:8" ht="15.75" customHeight="1">
      <c r="A520" t="s">
        <v>1181</v>
      </c>
      <c r="B520" t="s">
        <v>1182</v>
      </c>
    </row>
    <row r="521" spans="1:8" ht="15.75" customHeight="1">
      <c r="A521" t="s">
        <v>1184</v>
      </c>
      <c r="B521" t="s">
        <v>1185</v>
      </c>
    </row>
    <row r="522" spans="1:8" ht="15.75" customHeight="1">
      <c r="A522" t="s">
        <v>1187</v>
      </c>
      <c r="B522" t="s">
        <v>1188</v>
      </c>
      <c r="C522" t="s">
        <v>7537</v>
      </c>
      <c r="E522" s="12" t="s">
        <v>7538</v>
      </c>
      <c r="F522" s="12" t="s">
        <v>7539</v>
      </c>
      <c r="G522" t="s">
        <v>7540</v>
      </c>
      <c r="H522" t="s">
        <v>7541</v>
      </c>
    </row>
    <row r="523" spans="1:8" ht="15.75" customHeight="1">
      <c r="A523" t="s">
        <v>1190</v>
      </c>
      <c r="B523" t="s">
        <v>1191</v>
      </c>
    </row>
    <row r="524" spans="1:8" ht="15.75" customHeight="1">
      <c r="A524" t="s">
        <v>1192</v>
      </c>
      <c r="B524" t="s">
        <v>1193</v>
      </c>
    </row>
    <row r="525" spans="1:8" ht="15.75" customHeight="1">
      <c r="A525" t="s">
        <v>1195</v>
      </c>
      <c r="B525" t="s">
        <v>1196</v>
      </c>
    </row>
    <row r="526" spans="1:8" ht="15.75" customHeight="1">
      <c r="A526" t="s">
        <v>1197</v>
      </c>
      <c r="B526" t="s">
        <v>1198</v>
      </c>
    </row>
    <row r="527" spans="1:8" ht="15.75" customHeight="1">
      <c r="A527" t="s">
        <v>1199</v>
      </c>
      <c r="B527" t="s">
        <v>1200</v>
      </c>
    </row>
    <row r="528" spans="1:8" ht="15.75" customHeight="1">
      <c r="A528" t="s">
        <v>1201</v>
      </c>
      <c r="B528" t="s">
        <v>1202</v>
      </c>
    </row>
    <row r="529" spans="1:5" ht="15.75" customHeight="1">
      <c r="A529" t="s">
        <v>1204</v>
      </c>
      <c r="B529" t="s">
        <v>1205</v>
      </c>
      <c r="C529" t="s">
        <v>7175</v>
      </c>
    </row>
    <row r="530" spans="1:5" ht="15.75" customHeight="1">
      <c r="A530" t="s">
        <v>1208</v>
      </c>
      <c r="B530" t="s">
        <v>1209</v>
      </c>
    </row>
    <row r="531" spans="1:5" ht="15.75" customHeight="1">
      <c r="A531" t="s">
        <v>1210</v>
      </c>
      <c r="B531" t="s">
        <v>1211</v>
      </c>
    </row>
    <row r="532" spans="1:5" ht="15.75" customHeight="1">
      <c r="A532" t="s">
        <v>1213</v>
      </c>
      <c r="B532" t="s">
        <v>1214</v>
      </c>
    </row>
    <row r="533" spans="1:5" ht="15.75" customHeight="1">
      <c r="A533" t="s">
        <v>1216</v>
      </c>
      <c r="B533" t="s">
        <v>1217</v>
      </c>
    </row>
    <row r="534" spans="1:5" ht="15.75" customHeight="1">
      <c r="A534" t="s">
        <v>1218</v>
      </c>
      <c r="B534" t="s">
        <v>1219</v>
      </c>
    </row>
    <row r="535" spans="1:5" ht="15.75" customHeight="1">
      <c r="A535" t="s">
        <v>1222</v>
      </c>
      <c r="B535" t="s">
        <v>1223</v>
      </c>
      <c r="C535" t="s">
        <v>7931</v>
      </c>
      <c r="E535" s="12" t="s">
        <v>7932</v>
      </c>
    </row>
    <row r="536" spans="1:5" ht="15.75" customHeight="1">
      <c r="A536" t="s">
        <v>1224</v>
      </c>
      <c r="B536" t="s">
        <v>1225</v>
      </c>
    </row>
    <row r="537" spans="1:5" ht="15.75" customHeight="1">
      <c r="A537" t="s">
        <v>1228</v>
      </c>
      <c r="B537" t="s">
        <v>1229</v>
      </c>
    </row>
    <row r="538" spans="1:5" ht="15.75" customHeight="1">
      <c r="A538" t="s">
        <v>1232</v>
      </c>
      <c r="B538" t="s">
        <v>1233</v>
      </c>
    </row>
    <row r="539" spans="1:5" ht="15.75" customHeight="1">
      <c r="A539" t="s">
        <v>1235</v>
      </c>
      <c r="B539" t="s">
        <v>1236</v>
      </c>
    </row>
    <row r="540" spans="1:5" ht="15.75" customHeight="1">
      <c r="A540" t="s">
        <v>1237</v>
      </c>
      <c r="B540" t="s">
        <v>1238</v>
      </c>
    </row>
    <row r="541" spans="1:5" ht="15.75" customHeight="1">
      <c r="A541" t="s">
        <v>1239</v>
      </c>
      <c r="B541" t="s">
        <v>1240</v>
      </c>
    </row>
    <row r="542" spans="1:5" ht="15.75" customHeight="1">
      <c r="A542" t="s">
        <v>1242</v>
      </c>
      <c r="B542" t="s">
        <v>1243</v>
      </c>
      <c r="C542" t="s">
        <v>7739</v>
      </c>
    </row>
    <row r="543" spans="1:5" ht="15.75" customHeight="1">
      <c r="A543" t="s">
        <v>1246</v>
      </c>
      <c r="B543" t="s">
        <v>1247</v>
      </c>
    </row>
    <row r="544" spans="1:5" ht="15.75" customHeight="1">
      <c r="A544" t="s">
        <v>1249</v>
      </c>
      <c r="B544" t="s">
        <v>1250</v>
      </c>
    </row>
    <row r="545" spans="1:8" ht="15.75" customHeight="1">
      <c r="A545" t="s">
        <v>1253</v>
      </c>
      <c r="B545" t="s">
        <v>1254</v>
      </c>
      <c r="C545" t="s">
        <v>7933</v>
      </c>
    </row>
    <row r="546" spans="1:8" ht="15.75" customHeight="1">
      <c r="A546" t="s">
        <v>1257</v>
      </c>
      <c r="B546" t="s">
        <v>1258</v>
      </c>
      <c r="C546" t="s">
        <v>7934</v>
      </c>
      <c r="E546" s="12" t="s">
        <v>7935</v>
      </c>
    </row>
    <row r="547" spans="1:8" ht="15.75" customHeight="1">
      <c r="A547" t="s">
        <v>1260</v>
      </c>
      <c r="B547" t="s">
        <v>1261</v>
      </c>
    </row>
    <row r="548" spans="1:8" ht="15.75" customHeight="1">
      <c r="A548" t="s">
        <v>1263</v>
      </c>
      <c r="B548" t="s">
        <v>1264</v>
      </c>
    </row>
    <row r="549" spans="1:8" ht="15.75" customHeight="1">
      <c r="A549" t="s">
        <v>1265</v>
      </c>
      <c r="B549" t="s">
        <v>1266</v>
      </c>
    </row>
    <row r="550" spans="1:8" ht="15.75" customHeight="1">
      <c r="A550" t="s">
        <v>1268</v>
      </c>
      <c r="B550" t="s">
        <v>1269</v>
      </c>
    </row>
    <row r="551" spans="1:8" ht="15.75" customHeight="1">
      <c r="A551" t="s">
        <v>1270</v>
      </c>
      <c r="B551" t="s">
        <v>1271</v>
      </c>
    </row>
    <row r="552" spans="1:8" ht="15.75" customHeight="1">
      <c r="A552" t="s">
        <v>1272</v>
      </c>
      <c r="B552" t="s">
        <v>1273</v>
      </c>
    </row>
    <row r="553" spans="1:8" ht="15.75" customHeight="1">
      <c r="A553" t="s">
        <v>1275</v>
      </c>
      <c r="B553" t="s">
        <v>1276</v>
      </c>
    </row>
    <row r="554" spans="1:8" ht="15.75" customHeight="1">
      <c r="A554" t="s">
        <v>1277</v>
      </c>
      <c r="B554" t="s">
        <v>1278</v>
      </c>
    </row>
    <row r="555" spans="1:8" ht="15.75" customHeight="1">
      <c r="A555" t="s">
        <v>1279</v>
      </c>
      <c r="B555" t="s">
        <v>1280</v>
      </c>
    </row>
    <row r="556" spans="1:8" ht="15.75" customHeight="1">
      <c r="A556" t="s">
        <v>1281</v>
      </c>
      <c r="B556" t="s">
        <v>1282</v>
      </c>
    </row>
    <row r="557" spans="1:8" ht="15.75" customHeight="1">
      <c r="A557" t="s">
        <v>1285</v>
      </c>
      <c r="B557" t="s">
        <v>1286</v>
      </c>
      <c r="C557" t="s">
        <v>7936</v>
      </c>
      <c r="E557" s="12" t="s">
        <v>7937</v>
      </c>
      <c r="F557" s="12" t="s">
        <v>7938</v>
      </c>
      <c r="G557" t="s">
        <v>7939</v>
      </c>
      <c r="H557" t="s">
        <v>7940</v>
      </c>
    </row>
    <row r="558" spans="1:8" ht="15.75" customHeight="1">
      <c r="A558" t="s">
        <v>1289</v>
      </c>
      <c r="B558" t="s">
        <v>1290</v>
      </c>
    </row>
    <row r="559" spans="1:8" ht="15.75" customHeight="1">
      <c r="A559" t="s">
        <v>1292</v>
      </c>
      <c r="B559" t="s">
        <v>1293</v>
      </c>
      <c r="C559" t="s">
        <v>7175</v>
      </c>
    </row>
    <row r="560" spans="1:8" ht="15.75" customHeight="1">
      <c r="A560" t="s">
        <v>1295</v>
      </c>
      <c r="B560" t="s">
        <v>1296</v>
      </c>
    </row>
    <row r="561" spans="1:8" ht="15.75" customHeight="1">
      <c r="A561" t="s">
        <v>1298</v>
      </c>
      <c r="B561" t="s">
        <v>1299</v>
      </c>
    </row>
    <row r="562" spans="1:8" ht="15.75" customHeight="1">
      <c r="A562" t="s">
        <v>1302</v>
      </c>
      <c r="B562" t="s">
        <v>1303</v>
      </c>
      <c r="C562" t="s">
        <v>7491</v>
      </c>
      <c r="E562" s="12" t="s">
        <v>7492</v>
      </c>
      <c r="F562" s="12" t="s">
        <v>7493</v>
      </c>
      <c r="G562" t="s">
        <v>7494</v>
      </c>
      <c r="H562" t="s">
        <v>7495</v>
      </c>
    </row>
    <row r="563" spans="1:8" ht="15.75" customHeight="1">
      <c r="A563" t="s">
        <v>1306</v>
      </c>
      <c r="B563" t="s">
        <v>1307</v>
      </c>
      <c r="C563" t="s">
        <v>7941</v>
      </c>
      <c r="E563" s="12" t="s">
        <v>7942</v>
      </c>
      <c r="F563" s="12" t="s">
        <v>7223</v>
      </c>
      <c r="G563" t="s">
        <v>7224</v>
      </c>
      <c r="H563" t="s">
        <v>7225</v>
      </c>
    </row>
    <row r="564" spans="1:8" ht="15.75" customHeight="1">
      <c r="A564" t="s">
        <v>1306</v>
      </c>
      <c r="B564" t="s">
        <v>1307</v>
      </c>
      <c r="C564" t="s">
        <v>7941</v>
      </c>
      <c r="E564" s="12" t="s">
        <v>7942</v>
      </c>
      <c r="F564" s="12" t="s">
        <v>7943</v>
      </c>
      <c r="G564" t="s">
        <v>7224</v>
      </c>
      <c r="H564" t="s">
        <v>7944</v>
      </c>
    </row>
    <row r="565" spans="1:8" ht="15.75" customHeight="1">
      <c r="A565" t="s">
        <v>1306</v>
      </c>
      <c r="B565" t="s">
        <v>1307</v>
      </c>
      <c r="C565" t="s">
        <v>7941</v>
      </c>
      <c r="E565" s="12" t="s">
        <v>7942</v>
      </c>
      <c r="F565" s="12" t="s">
        <v>7945</v>
      </c>
      <c r="G565" t="s">
        <v>7946</v>
      </c>
      <c r="H565" t="s">
        <v>7225</v>
      </c>
    </row>
    <row r="566" spans="1:8" ht="15.75" customHeight="1">
      <c r="A566" t="s">
        <v>1306</v>
      </c>
      <c r="B566" t="s">
        <v>1307</v>
      </c>
      <c r="C566" t="s">
        <v>7941</v>
      </c>
      <c r="E566" s="12" t="s">
        <v>7942</v>
      </c>
      <c r="F566" s="12" t="s">
        <v>7947</v>
      </c>
      <c r="G566" t="s">
        <v>7948</v>
      </c>
      <c r="H566" t="s">
        <v>7949</v>
      </c>
    </row>
    <row r="567" spans="1:8" ht="15.75" customHeight="1">
      <c r="A567" t="s">
        <v>1306</v>
      </c>
      <c r="B567" t="s">
        <v>1307</v>
      </c>
      <c r="C567" t="s">
        <v>7941</v>
      </c>
      <c r="E567" s="12" t="s">
        <v>7942</v>
      </c>
      <c r="F567" s="12" t="s">
        <v>7226</v>
      </c>
      <c r="G567" t="s">
        <v>7227</v>
      </c>
      <c r="H567" t="s">
        <v>7228</v>
      </c>
    </row>
    <row r="568" spans="1:8" ht="15.75" customHeight="1">
      <c r="A568" t="s">
        <v>1310</v>
      </c>
      <c r="B568" t="s">
        <v>1311</v>
      </c>
      <c r="C568" t="s">
        <v>7941</v>
      </c>
      <c r="E568" s="12" t="s">
        <v>7942</v>
      </c>
      <c r="F568" s="12" t="s">
        <v>7223</v>
      </c>
      <c r="G568" t="s">
        <v>7224</v>
      </c>
      <c r="H568" t="s">
        <v>7225</v>
      </c>
    </row>
    <row r="569" spans="1:8" ht="15.75" customHeight="1">
      <c r="A569" t="s">
        <v>1310</v>
      </c>
      <c r="B569" t="s">
        <v>1311</v>
      </c>
      <c r="C569" t="s">
        <v>7941</v>
      </c>
      <c r="E569" s="12" t="s">
        <v>7942</v>
      </c>
      <c r="F569" s="12" t="s">
        <v>7943</v>
      </c>
      <c r="G569" t="s">
        <v>7224</v>
      </c>
      <c r="H569" t="s">
        <v>7944</v>
      </c>
    </row>
    <row r="570" spans="1:8" ht="15.75" customHeight="1">
      <c r="A570" t="s">
        <v>1310</v>
      </c>
      <c r="B570" t="s">
        <v>1311</v>
      </c>
      <c r="C570" t="s">
        <v>7941</v>
      </c>
      <c r="E570" s="12" t="s">
        <v>7942</v>
      </c>
      <c r="F570" s="12" t="s">
        <v>7945</v>
      </c>
      <c r="G570" t="s">
        <v>7946</v>
      </c>
      <c r="H570" t="s">
        <v>7225</v>
      </c>
    </row>
    <row r="571" spans="1:8" ht="15.75" customHeight="1">
      <c r="A571" t="s">
        <v>1310</v>
      </c>
      <c r="B571" t="s">
        <v>1311</v>
      </c>
      <c r="C571" t="s">
        <v>7941</v>
      </c>
      <c r="E571" s="12" t="s">
        <v>7942</v>
      </c>
      <c r="F571" s="12" t="s">
        <v>7947</v>
      </c>
      <c r="G571" t="s">
        <v>7948</v>
      </c>
      <c r="H571" t="s">
        <v>7949</v>
      </c>
    </row>
    <row r="572" spans="1:8" ht="15.75" customHeight="1">
      <c r="A572" t="s">
        <v>1310</v>
      </c>
      <c r="B572" t="s">
        <v>1311</v>
      </c>
      <c r="C572" t="s">
        <v>7941</v>
      </c>
      <c r="E572" s="12" t="s">
        <v>7942</v>
      </c>
      <c r="F572" s="12" t="s">
        <v>7226</v>
      </c>
      <c r="G572" t="s">
        <v>7227</v>
      </c>
      <c r="H572" t="s">
        <v>7228</v>
      </c>
    </row>
    <row r="573" spans="1:8" ht="15.75" customHeight="1">
      <c r="A573" t="s">
        <v>1312</v>
      </c>
      <c r="B573" t="s">
        <v>1313</v>
      </c>
      <c r="C573" t="s">
        <v>7950</v>
      </c>
      <c r="E573" s="12" t="s">
        <v>7951</v>
      </c>
      <c r="F573" s="12" t="s">
        <v>7952</v>
      </c>
      <c r="G573" t="s">
        <v>7953</v>
      </c>
      <c r="H573" t="s">
        <v>7954</v>
      </c>
    </row>
    <row r="574" spans="1:8" ht="15.75" customHeight="1">
      <c r="A574" t="s">
        <v>1312</v>
      </c>
      <c r="B574" t="s">
        <v>1313</v>
      </c>
      <c r="C574" t="s">
        <v>7950</v>
      </c>
      <c r="E574" s="12" t="s">
        <v>7951</v>
      </c>
      <c r="F574" s="12" t="s">
        <v>7955</v>
      </c>
      <c r="G574" t="s">
        <v>7956</v>
      </c>
      <c r="H574" t="s">
        <v>7957</v>
      </c>
    </row>
    <row r="575" spans="1:8" ht="15.75" customHeight="1">
      <c r="A575" t="s">
        <v>1312</v>
      </c>
      <c r="B575" t="s">
        <v>1313</v>
      </c>
      <c r="C575" t="s">
        <v>7950</v>
      </c>
      <c r="E575" s="12" t="s">
        <v>7951</v>
      </c>
      <c r="F575" s="12" t="s">
        <v>7958</v>
      </c>
      <c r="G575" t="s">
        <v>7959</v>
      </c>
      <c r="H575" t="s">
        <v>7960</v>
      </c>
    </row>
    <row r="576" spans="1:8" ht="15.75" customHeight="1">
      <c r="A576" t="s">
        <v>1312</v>
      </c>
      <c r="B576" t="s">
        <v>1313</v>
      </c>
      <c r="C576" t="s">
        <v>7950</v>
      </c>
      <c r="E576" s="12" t="s">
        <v>7951</v>
      </c>
      <c r="F576" s="12" t="s">
        <v>7961</v>
      </c>
      <c r="G576" t="s">
        <v>7962</v>
      </c>
      <c r="H576" t="s">
        <v>7963</v>
      </c>
    </row>
    <row r="577" spans="1:8" ht="15.75" customHeight="1">
      <c r="A577" t="s">
        <v>1312</v>
      </c>
      <c r="B577" t="s">
        <v>1313</v>
      </c>
      <c r="C577" t="s">
        <v>7950</v>
      </c>
      <c r="E577" s="12" t="s">
        <v>7951</v>
      </c>
      <c r="F577" s="12" t="s">
        <v>7964</v>
      </c>
      <c r="G577" t="s">
        <v>7965</v>
      </c>
      <c r="H577" t="s">
        <v>7966</v>
      </c>
    </row>
    <row r="578" spans="1:8" ht="15.75" customHeight="1">
      <c r="A578" t="s">
        <v>1312</v>
      </c>
      <c r="B578" t="s">
        <v>1313</v>
      </c>
      <c r="C578" t="s">
        <v>7950</v>
      </c>
      <c r="E578" s="12" t="s">
        <v>7951</v>
      </c>
      <c r="F578" s="12" t="s">
        <v>7967</v>
      </c>
      <c r="G578" t="s">
        <v>7968</v>
      </c>
      <c r="H578" t="s">
        <v>7969</v>
      </c>
    </row>
    <row r="579" spans="1:8" ht="15.75" customHeight="1">
      <c r="A579" t="s">
        <v>1312</v>
      </c>
      <c r="B579" t="s">
        <v>1313</v>
      </c>
      <c r="C579" t="s">
        <v>7950</v>
      </c>
      <c r="E579" s="12" t="s">
        <v>7951</v>
      </c>
      <c r="F579" s="12" t="s">
        <v>7970</v>
      </c>
      <c r="G579" t="s">
        <v>7971</v>
      </c>
      <c r="H579" t="s">
        <v>7972</v>
      </c>
    </row>
    <row r="580" spans="1:8" ht="15.75" customHeight="1">
      <c r="A580" t="s">
        <v>1312</v>
      </c>
      <c r="B580" t="s">
        <v>1313</v>
      </c>
      <c r="C580" t="s">
        <v>7950</v>
      </c>
      <c r="E580" s="12" t="s">
        <v>7951</v>
      </c>
      <c r="F580" s="12" t="s">
        <v>7973</v>
      </c>
      <c r="G580" t="s">
        <v>7974</v>
      </c>
      <c r="H580" t="s">
        <v>7975</v>
      </c>
    </row>
    <row r="581" spans="1:8" ht="15.75" customHeight="1">
      <c r="A581" t="s">
        <v>1312</v>
      </c>
      <c r="B581" t="s">
        <v>1313</v>
      </c>
      <c r="C581" t="s">
        <v>7950</v>
      </c>
      <c r="E581" s="12" t="s">
        <v>7951</v>
      </c>
      <c r="F581" s="12" t="s">
        <v>7976</v>
      </c>
      <c r="G581" t="s">
        <v>7977</v>
      </c>
      <c r="H581" t="s">
        <v>7978</v>
      </c>
    </row>
    <row r="582" spans="1:8" ht="15.75" customHeight="1">
      <c r="A582" t="s">
        <v>1312</v>
      </c>
      <c r="B582" t="s">
        <v>1313</v>
      </c>
      <c r="C582" t="s">
        <v>7950</v>
      </c>
      <c r="E582" s="12" t="s">
        <v>7951</v>
      </c>
      <c r="F582" s="12" t="s">
        <v>7979</v>
      </c>
      <c r="G582" t="s">
        <v>7980</v>
      </c>
      <c r="H582" t="s">
        <v>7981</v>
      </c>
    </row>
    <row r="583" spans="1:8" ht="15.75" customHeight="1">
      <c r="A583" t="s">
        <v>1312</v>
      </c>
      <c r="B583" t="s">
        <v>1313</v>
      </c>
      <c r="C583" t="s">
        <v>7950</v>
      </c>
      <c r="E583" s="12" t="s">
        <v>7951</v>
      </c>
      <c r="F583" s="12" t="s">
        <v>7982</v>
      </c>
      <c r="G583" t="s">
        <v>7983</v>
      </c>
      <c r="H583" t="s">
        <v>7984</v>
      </c>
    </row>
    <row r="584" spans="1:8" ht="15.75" customHeight="1">
      <c r="A584" t="s">
        <v>1312</v>
      </c>
      <c r="B584" t="s">
        <v>1313</v>
      </c>
      <c r="C584" t="s">
        <v>7950</v>
      </c>
      <c r="E584" s="12" t="s">
        <v>7951</v>
      </c>
      <c r="F584" s="12" t="s">
        <v>7985</v>
      </c>
      <c r="G584" t="s">
        <v>7986</v>
      </c>
      <c r="H584" t="s">
        <v>7987</v>
      </c>
    </row>
    <row r="585" spans="1:8" ht="15.75" customHeight="1">
      <c r="A585" t="s">
        <v>1312</v>
      </c>
      <c r="B585" t="s">
        <v>1313</v>
      </c>
      <c r="C585" t="s">
        <v>7950</v>
      </c>
      <c r="E585" s="12" t="s">
        <v>7951</v>
      </c>
      <c r="F585" s="12" t="s">
        <v>7988</v>
      </c>
      <c r="G585" t="s">
        <v>7989</v>
      </c>
      <c r="H585" t="s">
        <v>7990</v>
      </c>
    </row>
    <row r="586" spans="1:8" ht="15.75" customHeight="1">
      <c r="A586" t="s">
        <v>1312</v>
      </c>
      <c r="B586" t="s">
        <v>1313</v>
      </c>
      <c r="C586" t="s">
        <v>7950</v>
      </c>
      <c r="E586" s="12" t="s">
        <v>7951</v>
      </c>
      <c r="F586" s="12" t="s">
        <v>7991</v>
      </c>
      <c r="G586" t="s">
        <v>7992</v>
      </c>
      <c r="H586" t="s">
        <v>7993</v>
      </c>
    </row>
    <row r="587" spans="1:8" ht="15.75" customHeight="1">
      <c r="A587" t="s">
        <v>1312</v>
      </c>
      <c r="B587" t="s">
        <v>1313</v>
      </c>
      <c r="C587" t="s">
        <v>7950</v>
      </c>
      <c r="E587" s="12" t="s">
        <v>7951</v>
      </c>
      <c r="F587" s="12" t="s">
        <v>7994</v>
      </c>
      <c r="G587" t="s">
        <v>7995</v>
      </c>
      <c r="H587" t="s">
        <v>7996</v>
      </c>
    </row>
    <row r="588" spans="1:8" ht="15.75" customHeight="1">
      <c r="A588" t="s">
        <v>1316</v>
      </c>
      <c r="B588" t="s">
        <v>1317</v>
      </c>
      <c r="C588" t="s">
        <v>7997</v>
      </c>
      <c r="E588" s="12" t="s">
        <v>7998</v>
      </c>
      <c r="F588" s="12" t="s">
        <v>7999</v>
      </c>
      <c r="G588" t="s">
        <v>8000</v>
      </c>
      <c r="H588" t="s">
        <v>8001</v>
      </c>
    </row>
    <row r="589" spans="1:8" ht="15.75" customHeight="1">
      <c r="A589" t="s">
        <v>1316</v>
      </c>
      <c r="B589" t="s">
        <v>1317</v>
      </c>
      <c r="C589" t="s">
        <v>7997</v>
      </c>
      <c r="E589" s="12" t="s">
        <v>7998</v>
      </c>
      <c r="F589" s="12" t="s">
        <v>8002</v>
      </c>
      <c r="G589" t="s">
        <v>8003</v>
      </c>
      <c r="H589" t="s">
        <v>8004</v>
      </c>
    </row>
    <row r="590" spans="1:8" ht="15.75" customHeight="1">
      <c r="A590" t="s">
        <v>1316</v>
      </c>
      <c r="B590" t="s">
        <v>1317</v>
      </c>
      <c r="C590" t="s">
        <v>7997</v>
      </c>
      <c r="E590" s="12" t="s">
        <v>7998</v>
      </c>
      <c r="F590" s="12" t="s">
        <v>8005</v>
      </c>
      <c r="G590" t="s">
        <v>7525</v>
      </c>
      <c r="H590" t="s">
        <v>8006</v>
      </c>
    </row>
    <row r="591" spans="1:8" ht="15.75" customHeight="1">
      <c r="A591" t="s">
        <v>1319</v>
      </c>
      <c r="B591" t="s">
        <v>1320</v>
      </c>
      <c r="C591" t="s">
        <v>7544</v>
      </c>
    </row>
    <row r="592" spans="1:8" ht="15.75" customHeight="1">
      <c r="A592" t="s">
        <v>1323</v>
      </c>
      <c r="B592" t="s">
        <v>1324</v>
      </c>
    </row>
    <row r="593" spans="1:5" ht="15.75" customHeight="1">
      <c r="A593" t="s">
        <v>1325</v>
      </c>
      <c r="B593" t="s">
        <v>1326</v>
      </c>
    </row>
    <row r="594" spans="1:5" ht="15.75" customHeight="1">
      <c r="A594" t="s">
        <v>1327</v>
      </c>
      <c r="B594" t="s">
        <v>1328</v>
      </c>
    </row>
    <row r="595" spans="1:5" ht="15.75" customHeight="1">
      <c r="A595" t="s">
        <v>1329</v>
      </c>
      <c r="B595" t="s">
        <v>1330</v>
      </c>
    </row>
    <row r="596" spans="1:5" ht="15.75" customHeight="1">
      <c r="A596" t="s">
        <v>1331</v>
      </c>
      <c r="B596" t="s">
        <v>1332</v>
      </c>
    </row>
    <row r="597" spans="1:5" ht="15.75" customHeight="1">
      <c r="A597" t="s">
        <v>1333</v>
      </c>
      <c r="B597" t="s">
        <v>1334</v>
      </c>
    </row>
    <row r="598" spans="1:5" ht="15.75" customHeight="1">
      <c r="A598" t="s">
        <v>1336</v>
      </c>
      <c r="B598" t="s">
        <v>1337</v>
      </c>
    </row>
    <row r="599" spans="1:5" ht="15.75" customHeight="1">
      <c r="A599" t="s">
        <v>1339</v>
      </c>
      <c r="B599" t="s">
        <v>1340</v>
      </c>
    </row>
    <row r="600" spans="1:5" ht="15.75" customHeight="1">
      <c r="A600" t="s">
        <v>1342</v>
      </c>
      <c r="B600" t="s">
        <v>1343</v>
      </c>
    </row>
    <row r="601" spans="1:5" ht="15.75" customHeight="1">
      <c r="A601" t="s">
        <v>1345</v>
      </c>
      <c r="B601" t="s">
        <v>1346</v>
      </c>
    </row>
    <row r="602" spans="1:5" ht="15.75" customHeight="1">
      <c r="A602" t="s">
        <v>1348</v>
      </c>
      <c r="B602" t="s">
        <v>1349</v>
      </c>
    </row>
    <row r="603" spans="1:5" ht="15.75" customHeight="1">
      <c r="A603" t="s">
        <v>1352</v>
      </c>
      <c r="B603" t="s">
        <v>1353</v>
      </c>
    </row>
    <row r="604" spans="1:5" ht="15.75" customHeight="1">
      <c r="A604" t="s">
        <v>1355</v>
      </c>
      <c r="B604" t="s">
        <v>1356</v>
      </c>
      <c r="C604" t="s">
        <v>7473</v>
      </c>
    </row>
    <row r="605" spans="1:5" ht="15.75" customHeight="1">
      <c r="A605" t="s">
        <v>1355</v>
      </c>
      <c r="B605" t="s">
        <v>1356</v>
      </c>
      <c r="C605" t="s">
        <v>7474</v>
      </c>
      <c r="E605" s="12" t="s">
        <v>7475</v>
      </c>
    </row>
    <row r="606" spans="1:5" ht="15.75" customHeight="1">
      <c r="A606" t="s">
        <v>1358</v>
      </c>
      <c r="B606" t="s">
        <v>1359</v>
      </c>
    </row>
    <row r="607" spans="1:5" ht="15.75" customHeight="1">
      <c r="A607" t="s">
        <v>1361</v>
      </c>
      <c r="B607" t="s">
        <v>1362</v>
      </c>
    </row>
    <row r="608" spans="1:5" ht="15.75" customHeight="1">
      <c r="A608" t="s">
        <v>1364</v>
      </c>
      <c r="B608" t="s">
        <v>1365</v>
      </c>
    </row>
    <row r="609" spans="1:8" ht="15.75" customHeight="1">
      <c r="A609" t="s">
        <v>1367</v>
      </c>
      <c r="B609" t="s">
        <v>1368</v>
      </c>
    </row>
    <row r="610" spans="1:8" ht="15.75" customHeight="1">
      <c r="A610" t="s">
        <v>1370</v>
      </c>
      <c r="B610" t="s">
        <v>1371</v>
      </c>
    </row>
    <row r="611" spans="1:8" ht="15.75" customHeight="1">
      <c r="A611" t="s">
        <v>1374</v>
      </c>
      <c r="B611" t="s">
        <v>1375</v>
      </c>
    </row>
    <row r="612" spans="1:8" ht="15.75" customHeight="1">
      <c r="A612" t="s">
        <v>1378</v>
      </c>
      <c r="B612" t="s">
        <v>1379</v>
      </c>
    </row>
    <row r="613" spans="1:8" ht="15.75" customHeight="1">
      <c r="A613" t="s">
        <v>1382</v>
      </c>
      <c r="B613" t="s">
        <v>1383</v>
      </c>
      <c r="C613" t="s">
        <v>8007</v>
      </c>
      <c r="E613" s="12" t="s">
        <v>8008</v>
      </c>
      <c r="F613" s="12" t="s">
        <v>8009</v>
      </c>
      <c r="G613" t="s">
        <v>8010</v>
      </c>
      <c r="H613" t="s">
        <v>8011</v>
      </c>
    </row>
    <row r="614" spans="1:8" ht="15.75" customHeight="1">
      <c r="A614" t="s">
        <v>1382</v>
      </c>
      <c r="B614" t="s">
        <v>1383</v>
      </c>
      <c r="C614" t="s">
        <v>8007</v>
      </c>
      <c r="E614" s="12" t="s">
        <v>8008</v>
      </c>
      <c r="F614" s="12" t="s">
        <v>8012</v>
      </c>
      <c r="G614" t="s">
        <v>7957</v>
      </c>
      <c r="H614" t="s">
        <v>8013</v>
      </c>
    </row>
    <row r="615" spans="1:8" ht="15.75" customHeight="1">
      <c r="A615" t="s">
        <v>1382</v>
      </c>
      <c r="B615" t="s">
        <v>1383</v>
      </c>
      <c r="C615" t="s">
        <v>8007</v>
      </c>
      <c r="E615" s="12" t="s">
        <v>8008</v>
      </c>
      <c r="F615" s="12" t="s">
        <v>8014</v>
      </c>
      <c r="G615" t="s">
        <v>7966</v>
      </c>
      <c r="H615" t="s">
        <v>8015</v>
      </c>
    </row>
    <row r="616" spans="1:8" ht="15.75" customHeight="1">
      <c r="A616" t="s">
        <v>1382</v>
      </c>
      <c r="B616" t="s">
        <v>1383</v>
      </c>
      <c r="C616" t="s">
        <v>8007</v>
      </c>
      <c r="E616" s="12" t="s">
        <v>8008</v>
      </c>
      <c r="F616" s="12" t="s">
        <v>8016</v>
      </c>
      <c r="G616" t="s">
        <v>8017</v>
      </c>
      <c r="H616" t="s">
        <v>8018</v>
      </c>
    </row>
    <row r="617" spans="1:8" ht="15.75" customHeight="1">
      <c r="A617" t="s">
        <v>1382</v>
      </c>
      <c r="B617" t="s">
        <v>1383</v>
      </c>
      <c r="C617" t="s">
        <v>8007</v>
      </c>
      <c r="E617" s="12" t="s">
        <v>8008</v>
      </c>
      <c r="F617" s="12" t="s">
        <v>8019</v>
      </c>
      <c r="G617" t="s">
        <v>7975</v>
      </c>
      <c r="H617" t="s">
        <v>8020</v>
      </c>
    </row>
    <row r="618" spans="1:8" ht="15.75" customHeight="1">
      <c r="A618" t="s">
        <v>1382</v>
      </c>
      <c r="B618" t="s">
        <v>1383</v>
      </c>
      <c r="C618" t="s">
        <v>8007</v>
      </c>
      <c r="E618" s="12" t="s">
        <v>8008</v>
      </c>
      <c r="F618" s="12" t="s">
        <v>8021</v>
      </c>
      <c r="G618" t="s">
        <v>8022</v>
      </c>
      <c r="H618" t="s">
        <v>8023</v>
      </c>
    </row>
    <row r="619" spans="1:8" ht="15.75" customHeight="1">
      <c r="A619" t="s">
        <v>1382</v>
      </c>
      <c r="B619" t="s">
        <v>1383</v>
      </c>
      <c r="C619" t="s">
        <v>8007</v>
      </c>
      <c r="E619" s="12" t="s">
        <v>8008</v>
      </c>
      <c r="F619" s="12" t="s">
        <v>8024</v>
      </c>
      <c r="G619" t="s">
        <v>7987</v>
      </c>
      <c r="H619" t="s">
        <v>8025</v>
      </c>
    </row>
    <row r="620" spans="1:8" ht="15.75" customHeight="1">
      <c r="A620" t="s">
        <v>1382</v>
      </c>
      <c r="B620" t="s">
        <v>1383</v>
      </c>
      <c r="C620" t="s">
        <v>8007</v>
      </c>
      <c r="E620" s="12" t="s">
        <v>8008</v>
      </c>
      <c r="F620" s="12" t="s">
        <v>8026</v>
      </c>
      <c r="G620" t="s">
        <v>7990</v>
      </c>
      <c r="H620" t="s">
        <v>8027</v>
      </c>
    </row>
    <row r="621" spans="1:8" ht="15.75" customHeight="1">
      <c r="A621" t="s">
        <v>1382</v>
      </c>
      <c r="B621" t="s">
        <v>1383</v>
      </c>
      <c r="C621" t="s">
        <v>8007</v>
      </c>
      <c r="E621" s="12" t="s">
        <v>8008</v>
      </c>
      <c r="F621" s="12" t="s">
        <v>8028</v>
      </c>
      <c r="G621" t="s">
        <v>7996</v>
      </c>
      <c r="H621" t="s">
        <v>8029</v>
      </c>
    </row>
    <row r="622" spans="1:8" ht="15.75" customHeight="1">
      <c r="A622" t="s">
        <v>1382</v>
      </c>
      <c r="B622" t="s">
        <v>1383</v>
      </c>
      <c r="C622" t="s">
        <v>8007</v>
      </c>
      <c r="E622" s="12" t="s">
        <v>8008</v>
      </c>
      <c r="F622" s="12" t="s">
        <v>8030</v>
      </c>
      <c r="G622" t="s">
        <v>7972</v>
      </c>
      <c r="H622" t="s">
        <v>8031</v>
      </c>
    </row>
    <row r="623" spans="1:8" ht="15.75" customHeight="1">
      <c r="A623" t="s">
        <v>1382</v>
      </c>
      <c r="B623" t="s">
        <v>1383</v>
      </c>
      <c r="C623" t="s">
        <v>8007</v>
      </c>
      <c r="E623" s="12" t="s">
        <v>8008</v>
      </c>
      <c r="F623" s="12" t="s">
        <v>8032</v>
      </c>
      <c r="G623" t="s">
        <v>7978</v>
      </c>
      <c r="H623" t="s">
        <v>8033</v>
      </c>
    </row>
    <row r="624" spans="1:8" ht="15.75" customHeight="1">
      <c r="A624" t="s">
        <v>1386</v>
      </c>
      <c r="B624" t="s">
        <v>1387</v>
      </c>
      <c r="C624" t="s">
        <v>8034</v>
      </c>
      <c r="E624" s="12" t="s">
        <v>8035</v>
      </c>
      <c r="F624" s="12" t="s">
        <v>8036</v>
      </c>
      <c r="G624" t="s">
        <v>8037</v>
      </c>
      <c r="H624" t="s">
        <v>8038</v>
      </c>
    </row>
    <row r="625" spans="1:8" ht="15.75" customHeight="1">
      <c r="A625" t="s">
        <v>1388</v>
      </c>
      <c r="B625" t="s">
        <v>1389</v>
      </c>
    </row>
    <row r="626" spans="1:8" ht="15.75" customHeight="1">
      <c r="A626" t="s">
        <v>1392</v>
      </c>
      <c r="B626" t="s">
        <v>1393</v>
      </c>
    </row>
    <row r="627" spans="1:8" ht="15.75" customHeight="1">
      <c r="A627" t="s">
        <v>1396</v>
      </c>
      <c r="B627" t="s">
        <v>1397</v>
      </c>
      <c r="C627" t="s">
        <v>8039</v>
      </c>
      <c r="E627" s="12" t="s">
        <v>8040</v>
      </c>
      <c r="F627" s="12" t="s">
        <v>8041</v>
      </c>
      <c r="G627" t="s">
        <v>8042</v>
      </c>
      <c r="H627" t="s">
        <v>8043</v>
      </c>
    </row>
    <row r="628" spans="1:8" ht="15.75" customHeight="1">
      <c r="A628" t="s">
        <v>1396</v>
      </c>
      <c r="B628" t="s">
        <v>1397</v>
      </c>
      <c r="C628" t="s">
        <v>8039</v>
      </c>
      <c r="E628" s="12" t="s">
        <v>8040</v>
      </c>
      <c r="F628" s="12" t="s">
        <v>8044</v>
      </c>
      <c r="G628" t="s">
        <v>8045</v>
      </c>
      <c r="H628" t="s">
        <v>8046</v>
      </c>
    </row>
    <row r="629" spans="1:8" ht="15.75" customHeight="1">
      <c r="A629" t="s">
        <v>1396</v>
      </c>
      <c r="B629" t="s">
        <v>1397</v>
      </c>
      <c r="C629" t="s">
        <v>8039</v>
      </c>
      <c r="E629" s="12" t="s">
        <v>8040</v>
      </c>
      <c r="F629" s="12" t="s">
        <v>8047</v>
      </c>
      <c r="G629" t="s">
        <v>8048</v>
      </c>
      <c r="H629" t="s">
        <v>8049</v>
      </c>
    </row>
    <row r="630" spans="1:8" ht="15.75" customHeight="1">
      <c r="A630" t="s">
        <v>1396</v>
      </c>
      <c r="B630" t="s">
        <v>1397</v>
      </c>
      <c r="C630" t="s">
        <v>8039</v>
      </c>
      <c r="E630" s="12" t="s">
        <v>8040</v>
      </c>
      <c r="F630" s="12" t="s">
        <v>8050</v>
      </c>
      <c r="G630" t="s">
        <v>8051</v>
      </c>
      <c r="H630" t="s">
        <v>8052</v>
      </c>
    </row>
    <row r="631" spans="1:8" ht="15.75" customHeight="1">
      <c r="A631" t="s">
        <v>1396</v>
      </c>
      <c r="B631" t="s">
        <v>1397</v>
      </c>
      <c r="C631" t="s">
        <v>8039</v>
      </c>
      <c r="E631" s="12" t="s">
        <v>8040</v>
      </c>
      <c r="F631" s="12" t="s">
        <v>8053</v>
      </c>
      <c r="G631" t="s">
        <v>8054</v>
      </c>
      <c r="H631" t="s">
        <v>8055</v>
      </c>
    </row>
    <row r="632" spans="1:8" ht="15.75" customHeight="1">
      <c r="A632" t="s">
        <v>1396</v>
      </c>
      <c r="B632" t="s">
        <v>1397</v>
      </c>
      <c r="C632" t="s">
        <v>8039</v>
      </c>
      <c r="E632" s="12" t="s">
        <v>8040</v>
      </c>
      <c r="F632" s="12" t="s">
        <v>8056</v>
      </c>
      <c r="G632" t="s">
        <v>8057</v>
      </c>
      <c r="H632" t="s">
        <v>8058</v>
      </c>
    </row>
    <row r="633" spans="1:8" ht="15.75" customHeight="1">
      <c r="A633" t="s">
        <v>1400</v>
      </c>
      <c r="B633" t="s">
        <v>1401</v>
      </c>
      <c r="C633" t="s">
        <v>8059</v>
      </c>
      <c r="E633" s="12" t="s">
        <v>8060</v>
      </c>
      <c r="F633" s="12" t="s">
        <v>8061</v>
      </c>
      <c r="G633" t="s">
        <v>8062</v>
      </c>
      <c r="H633" t="s">
        <v>7769</v>
      </c>
    </row>
    <row r="634" spans="1:8" ht="15.75" customHeight="1">
      <c r="A634" t="s">
        <v>1400</v>
      </c>
      <c r="B634" t="s">
        <v>1401</v>
      </c>
      <c r="C634" t="s">
        <v>8059</v>
      </c>
      <c r="E634" s="12" t="s">
        <v>8060</v>
      </c>
      <c r="F634" s="12" t="s">
        <v>8063</v>
      </c>
      <c r="G634" t="s">
        <v>8064</v>
      </c>
      <c r="H634" t="s">
        <v>8065</v>
      </c>
    </row>
    <row r="635" spans="1:8" ht="15.75" customHeight="1">
      <c r="A635" t="s">
        <v>1404</v>
      </c>
      <c r="B635" t="s">
        <v>1405</v>
      </c>
      <c r="C635" t="s">
        <v>8066</v>
      </c>
    </row>
    <row r="636" spans="1:8" ht="15.75" customHeight="1">
      <c r="A636" t="s">
        <v>1408</v>
      </c>
      <c r="B636" t="s">
        <v>1409</v>
      </c>
    </row>
    <row r="637" spans="1:8" ht="15.75" customHeight="1">
      <c r="A637" t="s">
        <v>1411</v>
      </c>
      <c r="B637" t="s">
        <v>1412</v>
      </c>
    </row>
    <row r="638" spans="1:8" ht="15.75" customHeight="1">
      <c r="A638" t="s">
        <v>1415</v>
      </c>
      <c r="B638" t="s">
        <v>1416</v>
      </c>
    </row>
    <row r="639" spans="1:8" ht="15.75" customHeight="1">
      <c r="A639" t="s">
        <v>1419</v>
      </c>
      <c r="B639" t="s">
        <v>1420</v>
      </c>
      <c r="C639" t="s">
        <v>7176</v>
      </c>
      <c r="E639" s="12" t="s">
        <v>7177</v>
      </c>
    </row>
    <row r="640" spans="1:8" ht="15.75" customHeight="1">
      <c r="A640" t="s">
        <v>1423</v>
      </c>
      <c r="B640" t="s">
        <v>1424</v>
      </c>
      <c r="C640" t="s">
        <v>8067</v>
      </c>
      <c r="E640" s="12" t="s">
        <v>8068</v>
      </c>
      <c r="F640" s="12" t="s">
        <v>8069</v>
      </c>
      <c r="G640" t="s">
        <v>8070</v>
      </c>
      <c r="H640" t="s">
        <v>8071</v>
      </c>
    </row>
    <row r="641" spans="1:8" ht="15.75" customHeight="1">
      <c r="A641" t="s">
        <v>1423</v>
      </c>
      <c r="B641" t="s">
        <v>1424</v>
      </c>
      <c r="C641" t="s">
        <v>8067</v>
      </c>
      <c r="E641" s="12" t="s">
        <v>8068</v>
      </c>
      <c r="F641" s="12" t="s">
        <v>8072</v>
      </c>
      <c r="G641" t="s">
        <v>8073</v>
      </c>
      <c r="H641" t="s">
        <v>8074</v>
      </c>
    </row>
    <row r="642" spans="1:8" ht="15.75" customHeight="1">
      <c r="A642" t="s">
        <v>1423</v>
      </c>
      <c r="B642" t="s">
        <v>1424</v>
      </c>
      <c r="C642" t="s">
        <v>8067</v>
      </c>
      <c r="E642" s="12" t="s">
        <v>8068</v>
      </c>
      <c r="F642" s="12" t="s">
        <v>8075</v>
      </c>
      <c r="G642" t="s">
        <v>8070</v>
      </c>
      <c r="H642" t="s">
        <v>8076</v>
      </c>
    </row>
    <row r="643" spans="1:8" ht="15.75" customHeight="1">
      <c r="A643" t="s">
        <v>1423</v>
      </c>
      <c r="B643" t="s">
        <v>1424</v>
      </c>
      <c r="C643" t="s">
        <v>8067</v>
      </c>
      <c r="E643" s="12" t="s">
        <v>8068</v>
      </c>
      <c r="F643" s="12" t="s">
        <v>8077</v>
      </c>
      <c r="G643" t="s">
        <v>8078</v>
      </c>
      <c r="H643" t="s">
        <v>8079</v>
      </c>
    </row>
    <row r="644" spans="1:8" ht="15.75" customHeight="1">
      <c r="A644" t="s">
        <v>1423</v>
      </c>
      <c r="B644" t="s">
        <v>1424</v>
      </c>
      <c r="C644" t="s">
        <v>8067</v>
      </c>
      <c r="E644" s="12" t="s">
        <v>8068</v>
      </c>
      <c r="F644" s="12" t="s">
        <v>8080</v>
      </c>
      <c r="G644" t="s">
        <v>8081</v>
      </c>
      <c r="H644" t="s">
        <v>8082</v>
      </c>
    </row>
    <row r="645" spans="1:8" ht="15.75" customHeight="1">
      <c r="A645" t="s">
        <v>1423</v>
      </c>
      <c r="B645" t="s">
        <v>1424</v>
      </c>
      <c r="C645" t="s">
        <v>8067</v>
      </c>
      <c r="E645" s="12" t="s">
        <v>8068</v>
      </c>
      <c r="F645" s="12" t="s">
        <v>8083</v>
      </c>
      <c r="G645" t="s">
        <v>8084</v>
      </c>
      <c r="H645" t="s">
        <v>8085</v>
      </c>
    </row>
    <row r="646" spans="1:8" ht="15.75" customHeight="1">
      <c r="A646" t="s">
        <v>1423</v>
      </c>
      <c r="B646" t="s">
        <v>1424</v>
      </c>
      <c r="C646" t="s">
        <v>8067</v>
      </c>
      <c r="E646" s="12" t="s">
        <v>8068</v>
      </c>
      <c r="F646" s="12" t="s">
        <v>8086</v>
      </c>
      <c r="G646" t="s">
        <v>8087</v>
      </c>
      <c r="H646" t="s">
        <v>8088</v>
      </c>
    </row>
    <row r="647" spans="1:8" ht="15.75" customHeight="1">
      <c r="A647" t="s">
        <v>1423</v>
      </c>
      <c r="B647" t="s">
        <v>1424</v>
      </c>
      <c r="C647" t="s">
        <v>8067</v>
      </c>
      <c r="E647" s="12" t="s">
        <v>8068</v>
      </c>
      <c r="F647" s="12" t="s">
        <v>8089</v>
      </c>
      <c r="G647" t="s">
        <v>8090</v>
      </c>
      <c r="H647" t="s">
        <v>8091</v>
      </c>
    </row>
    <row r="648" spans="1:8" ht="15.75" customHeight="1">
      <c r="A648" t="s">
        <v>1423</v>
      </c>
      <c r="B648" t="s">
        <v>1424</v>
      </c>
      <c r="C648" t="s">
        <v>8067</v>
      </c>
      <c r="E648" s="12" t="s">
        <v>8068</v>
      </c>
      <c r="F648" s="12" t="s">
        <v>8092</v>
      </c>
      <c r="G648" t="s">
        <v>8093</v>
      </c>
      <c r="H648" t="s">
        <v>8094</v>
      </c>
    </row>
    <row r="649" spans="1:8" ht="15.75" customHeight="1">
      <c r="A649" t="s">
        <v>1423</v>
      </c>
      <c r="B649" t="s">
        <v>1424</v>
      </c>
      <c r="C649" t="s">
        <v>8067</v>
      </c>
      <c r="E649" s="12" t="s">
        <v>8068</v>
      </c>
      <c r="F649" s="12" t="s">
        <v>8095</v>
      </c>
      <c r="G649" t="s">
        <v>8096</v>
      </c>
      <c r="H649" t="s">
        <v>8076</v>
      </c>
    </row>
    <row r="650" spans="1:8" ht="15.75" customHeight="1">
      <c r="A650" t="s">
        <v>1423</v>
      </c>
      <c r="B650" t="s">
        <v>1424</v>
      </c>
      <c r="C650" t="s">
        <v>8067</v>
      </c>
      <c r="E650" s="12" t="s">
        <v>8068</v>
      </c>
      <c r="F650" s="12" t="s">
        <v>8097</v>
      </c>
      <c r="G650" t="s">
        <v>8098</v>
      </c>
      <c r="H650" t="s">
        <v>8099</v>
      </c>
    </row>
    <row r="651" spans="1:8" ht="15.75" customHeight="1">
      <c r="A651" t="s">
        <v>1423</v>
      </c>
      <c r="B651" t="s">
        <v>1424</v>
      </c>
      <c r="C651" t="s">
        <v>8067</v>
      </c>
      <c r="E651" s="12" t="s">
        <v>8068</v>
      </c>
      <c r="F651" s="12" t="s">
        <v>8100</v>
      </c>
      <c r="G651" t="s">
        <v>8096</v>
      </c>
      <c r="H651" t="s">
        <v>8071</v>
      </c>
    </row>
    <row r="652" spans="1:8" ht="15.75" customHeight="1">
      <c r="A652" t="s">
        <v>1423</v>
      </c>
      <c r="B652" t="s">
        <v>1424</v>
      </c>
      <c r="C652" t="s">
        <v>8067</v>
      </c>
      <c r="E652" s="12" t="s">
        <v>8068</v>
      </c>
      <c r="F652" s="12" t="s">
        <v>8101</v>
      </c>
      <c r="G652" t="s">
        <v>8102</v>
      </c>
      <c r="H652" t="s">
        <v>8085</v>
      </c>
    </row>
    <row r="653" spans="1:8" ht="15.75" customHeight="1">
      <c r="A653" t="s">
        <v>1423</v>
      </c>
      <c r="B653" t="s">
        <v>1424</v>
      </c>
      <c r="C653" t="s">
        <v>8067</v>
      </c>
      <c r="E653" s="12" t="s">
        <v>8068</v>
      </c>
      <c r="F653" s="12" t="s">
        <v>8103</v>
      </c>
      <c r="G653" t="s">
        <v>8104</v>
      </c>
      <c r="H653" t="s">
        <v>8105</v>
      </c>
    </row>
    <row r="654" spans="1:8" ht="15.75" customHeight="1">
      <c r="A654" t="s">
        <v>1423</v>
      </c>
      <c r="B654" t="s">
        <v>1424</v>
      </c>
      <c r="C654" t="s">
        <v>8067</v>
      </c>
      <c r="E654" s="12" t="s">
        <v>8068</v>
      </c>
      <c r="F654" s="12" t="s">
        <v>8106</v>
      </c>
      <c r="G654" t="s">
        <v>8107</v>
      </c>
      <c r="H654" t="s">
        <v>8108</v>
      </c>
    </row>
    <row r="655" spans="1:8" ht="15.75" customHeight="1">
      <c r="A655" t="s">
        <v>1427</v>
      </c>
      <c r="B655" t="s">
        <v>1428</v>
      </c>
    </row>
    <row r="656" spans="1:8" ht="15.75" customHeight="1">
      <c r="A656" t="s">
        <v>1431</v>
      </c>
      <c r="B656" t="s">
        <v>1432</v>
      </c>
      <c r="C656" t="s">
        <v>7111</v>
      </c>
      <c r="E656" s="12" t="s">
        <v>7112</v>
      </c>
      <c r="F656" s="12" t="s">
        <v>7113</v>
      </c>
      <c r="G656" t="s">
        <v>7114</v>
      </c>
      <c r="H656" t="s">
        <v>7115</v>
      </c>
    </row>
    <row r="657" spans="1:8" ht="15.75" customHeight="1">
      <c r="A657" t="s">
        <v>1431</v>
      </c>
      <c r="B657" t="s">
        <v>1432</v>
      </c>
      <c r="C657" t="s">
        <v>7111</v>
      </c>
      <c r="E657" s="12" t="s">
        <v>7112</v>
      </c>
      <c r="F657" s="12" t="s">
        <v>7116</v>
      </c>
      <c r="G657" t="s">
        <v>7117</v>
      </c>
      <c r="H657" t="s">
        <v>7118</v>
      </c>
    </row>
    <row r="658" spans="1:8" ht="15.75" customHeight="1">
      <c r="A658" t="s">
        <v>1431</v>
      </c>
      <c r="B658" t="s">
        <v>1432</v>
      </c>
      <c r="C658" t="s">
        <v>7111</v>
      </c>
      <c r="E658" s="12" t="s">
        <v>7112</v>
      </c>
      <c r="F658" s="12" t="s">
        <v>7119</v>
      </c>
      <c r="G658" t="s">
        <v>7120</v>
      </c>
      <c r="H658" t="s">
        <v>7121</v>
      </c>
    </row>
    <row r="659" spans="1:8" ht="15.75" customHeight="1">
      <c r="A659" t="s">
        <v>1431</v>
      </c>
      <c r="B659" t="s">
        <v>1432</v>
      </c>
      <c r="C659" t="s">
        <v>7111</v>
      </c>
      <c r="E659" s="12" t="s">
        <v>7112</v>
      </c>
      <c r="F659" s="12" t="s">
        <v>7122</v>
      </c>
      <c r="G659" t="s">
        <v>7123</v>
      </c>
      <c r="H659" t="s">
        <v>7124</v>
      </c>
    </row>
    <row r="660" spans="1:8" ht="15.75" customHeight="1">
      <c r="A660" t="s">
        <v>1431</v>
      </c>
      <c r="B660" t="s">
        <v>1432</v>
      </c>
      <c r="C660" t="s">
        <v>7111</v>
      </c>
      <c r="E660" s="12" t="s">
        <v>7112</v>
      </c>
      <c r="F660" s="12" t="s">
        <v>7125</v>
      </c>
      <c r="G660" t="s">
        <v>7126</v>
      </c>
      <c r="H660" t="s">
        <v>7127</v>
      </c>
    </row>
    <row r="661" spans="1:8" ht="15.75" customHeight="1">
      <c r="A661" t="s">
        <v>1431</v>
      </c>
      <c r="B661" t="s">
        <v>1432</v>
      </c>
      <c r="C661" t="s">
        <v>7111</v>
      </c>
      <c r="E661" s="12" t="s">
        <v>7112</v>
      </c>
      <c r="F661" s="12" t="s">
        <v>7128</v>
      </c>
      <c r="G661" t="s">
        <v>7129</v>
      </c>
      <c r="H661" t="s">
        <v>7130</v>
      </c>
    </row>
    <row r="662" spans="1:8" ht="15.75" customHeight="1">
      <c r="A662" t="s">
        <v>1431</v>
      </c>
      <c r="B662" t="s">
        <v>1432</v>
      </c>
      <c r="C662" t="s">
        <v>7111</v>
      </c>
      <c r="E662" s="12" t="s">
        <v>7112</v>
      </c>
      <c r="F662" s="12" t="s">
        <v>7131</v>
      </c>
      <c r="G662" t="s">
        <v>7132</v>
      </c>
      <c r="H662" t="s">
        <v>7133</v>
      </c>
    </row>
    <row r="663" spans="1:8" ht="15.75" customHeight="1">
      <c r="A663" t="s">
        <v>1431</v>
      </c>
      <c r="B663" t="s">
        <v>1432</v>
      </c>
      <c r="C663" t="s">
        <v>7111</v>
      </c>
      <c r="E663" s="12" t="s">
        <v>7112</v>
      </c>
      <c r="F663" s="12" t="s">
        <v>7134</v>
      </c>
      <c r="G663" t="s">
        <v>7135</v>
      </c>
      <c r="H663" t="s">
        <v>7115</v>
      </c>
    </row>
    <row r="664" spans="1:8" ht="15.75" customHeight="1">
      <c r="A664" t="s">
        <v>1431</v>
      </c>
      <c r="B664" t="s">
        <v>1432</v>
      </c>
      <c r="C664" t="s">
        <v>7111</v>
      </c>
      <c r="E664" s="12" t="s">
        <v>7112</v>
      </c>
      <c r="F664" s="12" t="s">
        <v>7136</v>
      </c>
      <c r="G664" t="s">
        <v>7137</v>
      </c>
      <c r="H664" t="s">
        <v>7138</v>
      </c>
    </row>
    <row r="665" spans="1:8" ht="15.75" customHeight="1">
      <c r="A665" t="s">
        <v>1431</v>
      </c>
      <c r="B665" t="s">
        <v>1432</v>
      </c>
      <c r="C665" t="s">
        <v>7111</v>
      </c>
      <c r="E665" s="12" t="s">
        <v>7112</v>
      </c>
      <c r="F665" s="12" t="s">
        <v>7139</v>
      </c>
      <c r="G665" t="s">
        <v>7140</v>
      </c>
      <c r="H665" t="s">
        <v>7141</v>
      </c>
    </row>
    <row r="666" spans="1:8" ht="15.75" customHeight="1">
      <c r="A666" t="s">
        <v>1431</v>
      </c>
      <c r="B666" t="s">
        <v>1432</v>
      </c>
      <c r="C666" t="s">
        <v>7111</v>
      </c>
      <c r="E666" s="12" t="s">
        <v>7112</v>
      </c>
      <c r="F666" s="12" t="s">
        <v>7142</v>
      </c>
      <c r="G666" t="s">
        <v>7143</v>
      </c>
      <c r="H666" t="s">
        <v>7144</v>
      </c>
    </row>
    <row r="667" spans="1:8" ht="15.75" customHeight="1">
      <c r="A667" t="s">
        <v>1431</v>
      </c>
      <c r="B667" t="s">
        <v>1432</v>
      </c>
      <c r="C667" t="s">
        <v>7111</v>
      </c>
      <c r="E667" s="12" t="s">
        <v>7112</v>
      </c>
      <c r="F667" s="12" t="s">
        <v>7145</v>
      </c>
      <c r="G667" t="s">
        <v>7146</v>
      </c>
      <c r="H667" t="s">
        <v>7147</v>
      </c>
    </row>
    <row r="668" spans="1:8" ht="15.75" customHeight="1">
      <c r="A668" t="s">
        <v>1431</v>
      </c>
      <c r="B668" t="s">
        <v>1432</v>
      </c>
      <c r="C668" t="s">
        <v>7111</v>
      </c>
      <c r="E668" s="12" t="s">
        <v>7112</v>
      </c>
      <c r="F668" s="12" t="s">
        <v>7148</v>
      </c>
      <c r="G668" t="s">
        <v>7149</v>
      </c>
      <c r="H668" t="s">
        <v>7150</v>
      </c>
    </row>
    <row r="669" spans="1:8" ht="15.75" customHeight="1">
      <c r="A669" t="s">
        <v>1431</v>
      </c>
      <c r="B669" t="s">
        <v>1432</v>
      </c>
      <c r="C669" t="s">
        <v>7111</v>
      </c>
      <c r="E669" s="12" t="s">
        <v>7112</v>
      </c>
      <c r="F669" s="12" t="s">
        <v>7151</v>
      </c>
      <c r="G669" t="s">
        <v>7152</v>
      </c>
      <c r="H669" t="s">
        <v>7153</v>
      </c>
    </row>
    <row r="670" spans="1:8" ht="15.75" customHeight="1">
      <c r="A670" t="s">
        <v>1431</v>
      </c>
      <c r="B670" t="s">
        <v>1432</v>
      </c>
      <c r="C670" t="s">
        <v>7111</v>
      </c>
      <c r="E670" s="12" t="s">
        <v>7112</v>
      </c>
      <c r="F670" s="12" t="s">
        <v>7154</v>
      </c>
      <c r="G670" t="s">
        <v>7155</v>
      </c>
      <c r="H670" t="s">
        <v>7156</v>
      </c>
    </row>
    <row r="671" spans="1:8" ht="15.75" customHeight="1">
      <c r="A671" t="s">
        <v>1435</v>
      </c>
      <c r="B671" t="s">
        <v>1436</v>
      </c>
      <c r="C671" t="s">
        <v>8109</v>
      </c>
      <c r="E671" s="12" t="s">
        <v>8110</v>
      </c>
      <c r="F671" s="12" t="s">
        <v>8111</v>
      </c>
      <c r="G671" t="s">
        <v>8112</v>
      </c>
      <c r="H671" t="s">
        <v>8113</v>
      </c>
    </row>
    <row r="672" spans="1:8" ht="15.75" customHeight="1">
      <c r="A672" t="s">
        <v>1435</v>
      </c>
      <c r="B672" t="s">
        <v>1436</v>
      </c>
      <c r="C672" t="s">
        <v>8109</v>
      </c>
      <c r="E672" s="12" t="s">
        <v>8110</v>
      </c>
      <c r="F672" s="12" t="s">
        <v>8114</v>
      </c>
      <c r="G672" t="s">
        <v>8115</v>
      </c>
      <c r="H672" t="s">
        <v>8116</v>
      </c>
    </row>
    <row r="673" spans="1:8" ht="15.75" customHeight="1">
      <c r="A673" t="s">
        <v>1435</v>
      </c>
      <c r="B673" t="s">
        <v>1436</v>
      </c>
      <c r="C673" t="s">
        <v>8109</v>
      </c>
      <c r="E673" s="12" t="s">
        <v>8110</v>
      </c>
      <c r="F673" s="12" t="s">
        <v>8117</v>
      </c>
      <c r="G673" t="s">
        <v>8118</v>
      </c>
      <c r="H673" t="s">
        <v>8119</v>
      </c>
    </row>
    <row r="674" spans="1:8" ht="15.75" customHeight="1">
      <c r="A674" t="s">
        <v>1438</v>
      </c>
      <c r="B674" t="s">
        <v>1439</v>
      </c>
    </row>
    <row r="675" spans="1:8" ht="15.75" customHeight="1">
      <c r="A675" t="s">
        <v>1441</v>
      </c>
      <c r="B675" t="s">
        <v>1442</v>
      </c>
      <c r="C675" t="s">
        <v>8120</v>
      </c>
      <c r="E675" s="12" t="s">
        <v>8121</v>
      </c>
      <c r="F675" s="12" t="s">
        <v>8122</v>
      </c>
      <c r="G675" t="s">
        <v>8123</v>
      </c>
      <c r="H675" t="s">
        <v>8124</v>
      </c>
    </row>
    <row r="676" spans="1:8" ht="15.75" customHeight="1">
      <c r="A676" t="s">
        <v>1441</v>
      </c>
      <c r="B676" t="s">
        <v>1442</v>
      </c>
      <c r="C676" t="s">
        <v>8125</v>
      </c>
      <c r="E676" s="12" t="s">
        <v>8126</v>
      </c>
      <c r="F676" s="12" t="s">
        <v>8127</v>
      </c>
      <c r="G676" t="s">
        <v>8128</v>
      </c>
      <c r="H676" t="s">
        <v>8129</v>
      </c>
    </row>
    <row r="677" spans="1:8" ht="15.75" customHeight="1">
      <c r="A677" t="s">
        <v>1445</v>
      </c>
      <c r="B677" t="s">
        <v>1446</v>
      </c>
      <c r="C677" t="s">
        <v>8130</v>
      </c>
      <c r="E677" s="12" t="s">
        <v>8131</v>
      </c>
      <c r="F677" s="12" t="s">
        <v>8132</v>
      </c>
      <c r="G677" t="s">
        <v>8133</v>
      </c>
      <c r="H677" t="s">
        <v>8123</v>
      </c>
    </row>
    <row r="678" spans="1:8" ht="15.75" customHeight="1">
      <c r="A678" t="s">
        <v>1449</v>
      </c>
      <c r="B678" t="s">
        <v>1450</v>
      </c>
      <c r="C678" t="s">
        <v>8134</v>
      </c>
      <c r="E678" s="12" t="s">
        <v>8135</v>
      </c>
      <c r="F678" s="12" t="s">
        <v>8136</v>
      </c>
      <c r="G678" t="s">
        <v>8137</v>
      </c>
      <c r="H678" t="s">
        <v>8138</v>
      </c>
    </row>
    <row r="679" spans="1:8" ht="15.75" customHeight="1">
      <c r="A679" t="s">
        <v>1453</v>
      </c>
      <c r="B679" t="s">
        <v>1454</v>
      </c>
      <c r="C679" t="s">
        <v>8139</v>
      </c>
      <c r="E679" s="12" t="s">
        <v>8140</v>
      </c>
      <c r="F679" s="12" t="s">
        <v>8141</v>
      </c>
      <c r="G679" t="s">
        <v>8142</v>
      </c>
      <c r="H679" t="s">
        <v>8143</v>
      </c>
    </row>
    <row r="680" spans="1:8" ht="15.75" customHeight="1">
      <c r="A680" t="s">
        <v>1456</v>
      </c>
      <c r="B680" t="s">
        <v>1457</v>
      </c>
    </row>
    <row r="681" spans="1:8" ht="15.75" customHeight="1">
      <c r="A681" t="s">
        <v>1460</v>
      </c>
      <c r="B681" t="s">
        <v>1461</v>
      </c>
      <c r="C681" t="s">
        <v>8144</v>
      </c>
      <c r="E681" s="12" t="s">
        <v>8145</v>
      </c>
      <c r="F681" s="12" t="s">
        <v>8146</v>
      </c>
      <c r="G681" t="s">
        <v>8147</v>
      </c>
      <c r="H681" t="s">
        <v>8148</v>
      </c>
    </row>
    <row r="682" spans="1:8" ht="15.75" customHeight="1">
      <c r="A682" t="s">
        <v>1460</v>
      </c>
      <c r="B682" t="s">
        <v>1461</v>
      </c>
      <c r="C682" t="s">
        <v>8144</v>
      </c>
      <c r="E682" s="12" t="s">
        <v>8145</v>
      </c>
      <c r="F682" s="12" t="s">
        <v>8149</v>
      </c>
      <c r="G682" t="s">
        <v>8150</v>
      </c>
      <c r="H682" t="s">
        <v>8151</v>
      </c>
    </row>
    <row r="683" spans="1:8" ht="15.75" customHeight="1">
      <c r="A683" t="s">
        <v>1464</v>
      </c>
      <c r="B683" t="s">
        <v>1465</v>
      </c>
      <c r="C683" t="s">
        <v>8152</v>
      </c>
      <c r="E683" s="12" t="s">
        <v>8153</v>
      </c>
      <c r="F683" s="12" t="s">
        <v>8154</v>
      </c>
      <c r="G683" t="s">
        <v>8155</v>
      </c>
      <c r="H683" t="s">
        <v>8156</v>
      </c>
    </row>
    <row r="684" spans="1:8" ht="15.75" customHeight="1">
      <c r="A684" t="s">
        <v>1468</v>
      </c>
      <c r="B684" t="s">
        <v>1469</v>
      </c>
      <c r="C684" t="s">
        <v>8157</v>
      </c>
      <c r="E684" s="12" t="s">
        <v>8158</v>
      </c>
      <c r="F684" s="12" t="s">
        <v>8159</v>
      </c>
      <c r="G684" t="s">
        <v>8160</v>
      </c>
      <c r="H684" t="s">
        <v>8161</v>
      </c>
    </row>
    <row r="685" spans="1:8" ht="15.75" customHeight="1">
      <c r="A685" t="s">
        <v>1472</v>
      </c>
      <c r="B685" t="s">
        <v>1473</v>
      </c>
      <c r="C685" t="s">
        <v>8162</v>
      </c>
      <c r="E685" s="12" t="s">
        <v>8163</v>
      </c>
      <c r="F685" s="12" t="s">
        <v>8164</v>
      </c>
      <c r="G685" t="s">
        <v>8165</v>
      </c>
      <c r="H685" t="s">
        <v>8166</v>
      </c>
    </row>
    <row r="686" spans="1:8" ht="15.75" customHeight="1">
      <c r="A686" t="s">
        <v>1476</v>
      </c>
      <c r="B686" t="s">
        <v>1477</v>
      </c>
      <c r="C686" t="s">
        <v>8167</v>
      </c>
      <c r="E686" s="12" t="s">
        <v>8168</v>
      </c>
      <c r="F686" s="12" t="s">
        <v>8169</v>
      </c>
      <c r="G686" t="s">
        <v>8170</v>
      </c>
      <c r="H686" t="s">
        <v>8171</v>
      </c>
    </row>
    <row r="687" spans="1:8" ht="15.75" customHeight="1">
      <c r="A687" t="s">
        <v>1480</v>
      </c>
      <c r="B687" t="s">
        <v>1481</v>
      </c>
    </row>
    <row r="688" spans="1:8" ht="15.75" customHeight="1">
      <c r="A688" t="s">
        <v>1484</v>
      </c>
      <c r="B688" t="s">
        <v>1485</v>
      </c>
      <c r="C688" t="s">
        <v>7730</v>
      </c>
    </row>
    <row r="689" spans="1:8" ht="15.75" customHeight="1">
      <c r="A689" t="s">
        <v>1488</v>
      </c>
      <c r="B689" t="s">
        <v>1489</v>
      </c>
    </row>
    <row r="690" spans="1:8" ht="15.75" customHeight="1">
      <c r="A690" t="s">
        <v>1491</v>
      </c>
      <c r="B690" t="s">
        <v>1492</v>
      </c>
    </row>
    <row r="691" spans="1:8" ht="15.75" customHeight="1">
      <c r="A691" t="s">
        <v>1494</v>
      </c>
      <c r="B691" t="s">
        <v>1495</v>
      </c>
    </row>
    <row r="692" spans="1:8" ht="15.75" customHeight="1">
      <c r="A692" t="s">
        <v>1498</v>
      </c>
      <c r="B692" t="s">
        <v>1499</v>
      </c>
      <c r="C692" t="s">
        <v>7545</v>
      </c>
    </row>
    <row r="693" spans="1:8" ht="15.75" customHeight="1">
      <c r="A693" t="s">
        <v>1502</v>
      </c>
      <c r="B693" t="s">
        <v>1503</v>
      </c>
    </row>
    <row r="694" spans="1:8" ht="15.75" customHeight="1">
      <c r="A694" t="s">
        <v>1506</v>
      </c>
      <c r="B694" t="s">
        <v>1507</v>
      </c>
      <c r="C694" t="s">
        <v>8172</v>
      </c>
    </row>
    <row r="695" spans="1:8" ht="15.75" customHeight="1">
      <c r="A695" t="s">
        <v>1506</v>
      </c>
      <c r="B695" t="s">
        <v>1507</v>
      </c>
      <c r="C695" t="s">
        <v>8173</v>
      </c>
      <c r="E695" s="12" t="s">
        <v>8174</v>
      </c>
      <c r="F695" s="12" t="s">
        <v>8175</v>
      </c>
      <c r="G695" t="s">
        <v>8176</v>
      </c>
      <c r="H695" t="s">
        <v>8177</v>
      </c>
    </row>
    <row r="696" spans="1:8" ht="15.75" customHeight="1">
      <c r="A696" t="s">
        <v>1506</v>
      </c>
      <c r="B696" t="s">
        <v>1507</v>
      </c>
      <c r="C696" t="s">
        <v>8173</v>
      </c>
      <c r="E696" s="12" t="s">
        <v>8174</v>
      </c>
      <c r="F696" s="12" t="s">
        <v>8178</v>
      </c>
      <c r="G696" t="s">
        <v>8179</v>
      </c>
      <c r="H696" t="s">
        <v>8180</v>
      </c>
    </row>
    <row r="697" spans="1:8" ht="15.75" customHeight="1">
      <c r="A697" t="s">
        <v>1506</v>
      </c>
      <c r="B697" t="s">
        <v>1507</v>
      </c>
      <c r="C697" t="s">
        <v>8173</v>
      </c>
      <c r="E697" s="12" t="s">
        <v>8174</v>
      </c>
      <c r="F697" s="12" t="s">
        <v>8181</v>
      </c>
      <c r="G697" t="s">
        <v>8182</v>
      </c>
      <c r="H697" t="s">
        <v>8183</v>
      </c>
    </row>
    <row r="698" spans="1:8" ht="15.75" customHeight="1">
      <c r="A698" t="s">
        <v>1506</v>
      </c>
      <c r="B698" t="s">
        <v>1507</v>
      </c>
      <c r="C698" t="s">
        <v>8173</v>
      </c>
      <c r="E698" s="12" t="s">
        <v>8174</v>
      </c>
      <c r="F698" s="12" t="s">
        <v>8184</v>
      </c>
      <c r="G698" t="s">
        <v>8185</v>
      </c>
      <c r="H698" t="s">
        <v>8186</v>
      </c>
    </row>
    <row r="699" spans="1:8" ht="15.75" customHeight="1">
      <c r="A699" t="s">
        <v>1506</v>
      </c>
      <c r="B699" t="s">
        <v>1507</v>
      </c>
      <c r="C699" t="s">
        <v>8173</v>
      </c>
      <c r="E699" s="12" t="s">
        <v>8174</v>
      </c>
      <c r="F699" s="12" t="s">
        <v>8187</v>
      </c>
      <c r="G699" t="s">
        <v>8185</v>
      </c>
      <c r="H699" t="s">
        <v>8188</v>
      </c>
    </row>
    <row r="700" spans="1:8" ht="15.75" customHeight="1">
      <c r="A700" t="s">
        <v>1506</v>
      </c>
      <c r="B700" t="s">
        <v>1507</v>
      </c>
      <c r="C700" t="s">
        <v>8173</v>
      </c>
      <c r="E700" s="12" t="s">
        <v>8174</v>
      </c>
      <c r="F700" s="12" t="s">
        <v>8189</v>
      </c>
      <c r="G700" t="s">
        <v>8190</v>
      </c>
      <c r="H700" t="s">
        <v>8191</v>
      </c>
    </row>
    <row r="701" spans="1:8" ht="15.75" customHeight="1">
      <c r="A701" t="s">
        <v>1506</v>
      </c>
      <c r="B701" t="s">
        <v>1507</v>
      </c>
      <c r="C701" t="s">
        <v>8173</v>
      </c>
      <c r="E701" s="12" t="s">
        <v>8174</v>
      </c>
      <c r="F701" s="12" t="s">
        <v>8192</v>
      </c>
      <c r="G701" t="s">
        <v>8193</v>
      </c>
      <c r="H701" t="s">
        <v>8194</v>
      </c>
    </row>
    <row r="702" spans="1:8" ht="15.75" customHeight="1">
      <c r="A702" t="s">
        <v>1506</v>
      </c>
      <c r="B702" t="s">
        <v>1507</v>
      </c>
      <c r="C702" t="s">
        <v>8173</v>
      </c>
      <c r="E702" s="12" t="s">
        <v>8174</v>
      </c>
      <c r="F702" s="12" t="s">
        <v>8195</v>
      </c>
      <c r="G702" t="s">
        <v>8196</v>
      </c>
      <c r="H702" t="s">
        <v>8197</v>
      </c>
    </row>
    <row r="703" spans="1:8" ht="15.75" customHeight="1">
      <c r="A703" t="s">
        <v>1509</v>
      </c>
      <c r="B703" t="s">
        <v>1510</v>
      </c>
    </row>
    <row r="704" spans="1:8" ht="15.75" customHeight="1">
      <c r="A704" t="s">
        <v>1511</v>
      </c>
      <c r="B704" t="s">
        <v>1512</v>
      </c>
    </row>
    <row r="705" spans="1:8" ht="15.75" customHeight="1">
      <c r="A705" t="s">
        <v>1515</v>
      </c>
      <c r="B705" t="s">
        <v>1516</v>
      </c>
    </row>
    <row r="706" spans="1:8" ht="15.75" customHeight="1">
      <c r="A706" t="s">
        <v>1519</v>
      </c>
      <c r="B706" t="s">
        <v>1520</v>
      </c>
      <c r="C706" t="s">
        <v>7197</v>
      </c>
      <c r="E706" s="12" t="s">
        <v>7198</v>
      </c>
      <c r="F706" s="12" t="s">
        <v>7199</v>
      </c>
      <c r="G706" t="s">
        <v>7200</v>
      </c>
      <c r="H706" t="s">
        <v>7201</v>
      </c>
    </row>
    <row r="707" spans="1:8" ht="15.75" customHeight="1">
      <c r="A707" t="s">
        <v>1519</v>
      </c>
      <c r="B707" t="s">
        <v>1520</v>
      </c>
      <c r="C707" t="s">
        <v>7197</v>
      </c>
      <c r="E707" s="12" t="s">
        <v>7198</v>
      </c>
      <c r="F707" s="12" t="s">
        <v>7202</v>
      </c>
      <c r="G707" t="s">
        <v>7203</v>
      </c>
      <c r="H707" t="s">
        <v>7201</v>
      </c>
    </row>
    <row r="708" spans="1:8" ht="15.75" customHeight="1">
      <c r="A708" t="s">
        <v>1519</v>
      </c>
      <c r="B708" t="s">
        <v>1520</v>
      </c>
      <c r="C708" t="s">
        <v>7197</v>
      </c>
      <c r="E708" s="12" t="s">
        <v>7198</v>
      </c>
      <c r="F708" s="12" t="s">
        <v>7204</v>
      </c>
      <c r="G708" t="s">
        <v>7205</v>
      </c>
      <c r="H708" t="s">
        <v>7201</v>
      </c>
    </row>
    <row r="709" spans="1:8" ht="15.75" customHeight="1">
      <c r="A709" t="s">
        <v>1519</v>
      </c>
      <c r="B709" t="s">
        <v>1520</v>
      </c>
      <c r="C709" t="s">
        <v>7197</v>
      </c>
      <c r="E709" s="12" t="s">
        <v>7198</v>
      </c>
      <c r="F709" s="12" t="s">
        <v>7206</v>
      </c>
      <c r="G709" t="s">
        <v>7207</v>
      </c>
      <c r="H709" t="s">
        <v>7201</v>
      </c>
    </row>
    <row r="710" spans="1:8" ht="15.75" customHeight="1">
      <c r="A710" t="s">
        <v>1519</v>
      </c>
      <c r="B710" t="s">
        <v>1520</v>
      </c>
      <c r="C710" t="s">
        <v>7197</v>
      </c>
      <c r="E710" s="12" t="s">
        <v>7198</v>
      </c>
      <c r="F710" s="12" t="s">
        <v>7208</v>
      </c>
      <c r="G710" t="s">
        <v>7209</v>
      </c>
      <c r="H710" t="s">
        <v>7201</v>
      </c>
    </row>
    <row r="711" spans="1:8" ht="15.75" customHeight="1">
      <c r="A711" t="s">
        <v>1519</v>
      </c>
      <c r="B711" t="s">
        <v>1520</v>
      </c>
      <c r="C711" t="s">
        <v>7197</v>
      </c>
      <c r="E711" s="12" t="s">
        <v>7198</v>
      </c>
      <c r="F711" s="12" t="s">
        <v>7210</v>
      </c>
      <c r="G711" t="s">
        <v>7211</v>
      </c>
      <c r="H711" t="s">
        <v>7212</v>
      </c>
    </row>
    <row r="712" spans="1:8" ht="15.75" customHeight="1">
      <c r="A712" t="s">
        <v>1522</v>
      </c>
      <c r="B712" t="s">
        <v>1523</v>
      </c>
    </row>
    <row r="713" spans="1:8" ht="15.75" customHeight="1">
      <c r="A713" t="s">
        <v>1524</v>
      </c>
      <c r="B713" t="s">
        <v>1525</v>
      </c>
      <c r="C713" t="s">
        <v>8109</v>
      </c>
      <c r="E713" s="12" t="s">
        <v>8110</v>
      </c>
      <c r="F713" s="12" t="s">
        <v>8111</v>
      </c>
      <c r="G713" t="s">
        <v>8112</v>
      </c>
      <c r="H713" t="s">
        <v>8113</v>
      </c>
    </row>
    <row r="714" spans="1:8" ht="15.75" customHeight="1">
      <c r="A714" t="s">
        <v>1524</v>
      </c>
      <c r="B714" t="s">
        <v>1525</v>
      </c>
      <c r="C714" t="s">
        <v>8109</v>
      </c>
      <c r="E714" s="12" t="s">
        <v>8110</v>
      </c>
      <c r="F714" s="12" t="s">
        <v>8114</v>
      </c>
      <c r="G714" t="s">
        <v>8115</v>
      </c>
      <c r="H714" t="s">
        <v>8116</v>
      </c>
    </row>
    <row r="715" spans="1:8" ht="15.75" customHeight="1">
      <c r="A715" t="s">
        <v>1524</v>
      </c>
      <c r="B715" t="s">
        <v>1525</v>
      </c>
      <c r="C715" t="s">
        <v>8109</v>
      </c>
      <c r="E715" s="12" t="s">
        <v>8110</v>
      </c>
      <c r="F715" s="12" t="s">
        <v>8117</v>
      </c>
      <c r="G715" t="s">
        <v>8118</v>
      </c>
      <c r="H715" t="s">
        <v>8119</v>
      </c>
    </row>
    <row r="716" spans="1:8" ht="15.75" customHeight="1">
      <c r="A716" t="s">
        <v>1527</v>
      </c>
      <c r="B716" t="s">
        <v>1528</v>
      </c>
    </row>
    <row r="717" spans="1:8" ht="15.75" customHeight="1">
      <c r="A717" t="s">
        <v>1531</v>
      </c>
      <c r="B717" t="s">
        <v>1532</v>
      </c>
      <c r="C717" t="s">
        <v>8198</v>
      </c>
      <c r="E717" s="12" t="s">
        <v>8199</v>
      </c>
      <c r="F717" s="12" t="s">
        <v>8200</v>
      </c>
      <c r="G717" t="s">
        <v>8201</v>
      </c>
      <c r="H717" t="s">
        <v>8202</v>
      </c>
    </row>
    <row r="718" spans="1:8" ht="15.75" customHeight="1">
      <c r="A718" t="s">
        <v>1534</v>
      </c>
      <c r="B718" t="s">
        <v>1535</v>
      </c>
    </row>
    <row r="719" spans="1:8" ht="15.75" customHeight="1">
      <c r="A719" t="s">
        <v>1537</v>
      </c>
      <c r="B719" t="s">
        <v>1538</v>
      </c>
      <c r="C719" t="s">
        <v>7291</v>
      </c>
    </row>
    <row r="720" spans="1:8" ht="15.75" customHeight="1">
      <c r="A720" t="s">
        <v>1541</v>
      </c>
      <c r="B720" t="s">
        <v>1542</v>
      </c>
    </row>
    <row r="721" spans="1:8" ht="15.75" customHeight="1">
      <c r="A721" t="s">
        <v>1543</v>
      </c>
      <c r="B721" t="s">
        <v>1544</v>
      </c>
    </row>
    <row r="722" spans="1:8" ht="15.75" customHeight="1">
      <c r="A722" t="s">
        <v>1547</v>
      </c>
      <c r="B722" t="s">
        <v>1548</v>
      </c>
      <c r="C722" t="s">
        <v>8203</v>
      </c>
      <c r="E722" s="12" t="s">
        <v>8204</v>
      </c>
      <c r="F722" s="12" t="s">
        <v>8205</v>
      </c>
      <c r="G722" t="s">
        <v>8206</v>
      </c>
      <c r="H722" t="s">
        <v>8207</v>
      </c>
    </row>
    <row r="723" spans="1:8" ht="15.75" customHeight="1">
      <c r="A723" t="s">
        <v>1547</v>
      </c>
      <c r="B723" t="s">
        <v>1548</v>
      </c>
      <c r="C723" t="s">
        <v>8203</v>
      </c>
      <c r="E723" s="12" t="s">
        <v>8204</v>
      </c>
      <c r="F723" s="12" t="s">
        <v>8208</v>
      </c>
      <c r="G723" t="s">
        <v>8209</v>
      </c>
      <c r="H723" t="s">
        <v>8210</v>
      </c>
    </row>
    <row r="724" spans="1:8" ht="15.75" customHeight="1">
      <c r="A724" t="s">
        <v>1551</v>
      </c>
      <c r="B724" t="s">
        <v>1552</v>
      </c>
      <c r="C724" t="s">
        <v>8211</v>
      </c>
    </row>
    <row r="725" spans="1:8" ht="15.75" customHeight="1">
      <c r="A725" t="s">
        <v>1553</v>
      </c>
      <c r="B725" t="s">
        <v>1554</v>
      </c>
    </row>
    <row r="726" spans="1:8" ht="15.75" customHeight="1">
      <c r="A726" t="s">
        <v>1556</v>
      </c>
      <c r="B726" t="s">
        <v>1557</v>
      </c>
    </row>
    <row r="727" spans="1:8" ht="15.75" customHeight="1">
      <c r="A727" t="s">
        <v>1560</v>
      </c>
      <c r="B727" t="s">
        <v>1561</v>
      </c>
      <c r="C727" t="s">
        <v>7491</v>
      </c>
      <c r="E727" s="12" t="s">
        <v>7492</v>
      </c>
      <c r="F727" s="12" t="s">
        <v>7493</v>
      </c>
      <c r="G727" t="s">
        <v>7494</v>
      </c>
      <c r="H727" t="s">
        <v>7495</v>
      </c>
    </row>
    <row r="728" spans="1:8" ht="15.75" customHeight="1">
      <c r="A728" t="s">
        <v>1563</v>
      </c>
      <c r="B728" t="s">
        <v>1564</v>
      </c>
    </row>
    <row r="729" spans="1:8" ht="15.75" customHeight="1">
      <c r="A729" t="s">
        <v>1566</v>
      </c>
      <c r="B729" t="s">
        <v>1567</v>
      </c>
    </row>
    <row r="730" spans="1:8" ht="15.75" customHeight="1">
      <c r="A730" t="s">
        <v>1569</v>
      </c>
      <c r="B730" t="s">
        <v>1570</v>
      </c>
    </row>
    <row r="731" spans="1:8" ht="15.75" customHeight="1">
      <c r="A731" t="s">
        <v>1571</v>
      </c>
      <c r="B731" t="s">
        <v>1572</v>
      </c>
    </row>
    <row r="732" spans="1:8" ht="15.75" customHeight="1">
      <c r="A732" t="s">
        <v>1573</v>
      </c>
      <c r="B732" t="s">
        <v>1574</v>
      </c>
    </row>
    <row r="733" spans="1:8" ht="15.75" customHeight="1">
      <c r="A733" t="s">
        <v>1576</v>
      </c>
      <c r="B733" t="s">
        <v>1577</v>
      </c>
    </row>
    <row r="734" spans="1:8" ht="15.75" customHeight="1">
      <c r="A734" t="s">
        <v>1580</v>
      </c>
      <c r="B734" t="s">
        <v>1581</v>
      </c>
    </row>
    <row r="735" spans="1:8" ht="15.75" customHeight="1">
      <c r="A735" t="s">
        <v>1582</v>
      </c>
      <c r="B735" t="s">
        <v>1583</v>
      </c>
    </row>
    <row r="736" spans="1:8" ht="15.75" customHeight="1">
      <c r="A736" t="s">
        <v>1586</v>
      </c>
      <c r="B736" t="s">
        <v>1587</v>
      </c>
    </row>
    <row r="737" spans="1:3" ht="15.75" customHeight="1">
      <c r="A737" t="s">
        <v>1589</v>
      </c>
      <c r="B737" t="s">
        <v>1590</v>
      </c>
    </row>
    <row r="738" spans="1:3" ht="15.75" customHeight="1">
      <c r="A738" t="s">
        <v>1592</v>
      </c>
      <c r="B738" t="s">
        <v>1593</v>
      </c>
    </row>
    <row r="739" spans="1:3" ht="15.75" customHeight="1">
      <c r="A739" t="s">
        <v>1595</v>
      </c>
      <c r="B739" t="s">
        <v>1596</v>
      </c>
    </row>
    <row r="740" spans="1:3" ht="15.75" customHeight="1">
      <c r="A740" t="s">
        <v>1598</v>
      </c>
      <c r="B740" t="s">
        <v>1599</v>
      </c>
    </row>
    <row r="741" spans="1:3" ht="15.75" customHeight="1">
      <c r="A741" t="s">
        <v>1601</v>
      </c>
      <c r="B741" t="s">
        <v>1602</v>
      </c>
    </row>
    <row r="742" spans="1:3" ht="15.75" customHeight="1">
      <c r="A742" t="s">
        <v>1604</v>
      </c>
      <c r="B742" t="s">
        <v>1605</v>
      </c>
    </row>
    <row r="743" spans="1:3" ht="15.75" customHeight="1">
      <c r="A743" t="s">
        <v>1606</v>
      </c>
      <c r="B743" t="s">
        <v>1607</v>
      </c>
    </row>
    <row r="744" spans="1:3" ht="15.75" customHeight="1">
      <c r="A744" t="s">
        <v>1609</v>
      </c>
      <c r="B744" t="s">
        <v>1610</v>
      </c>
    </row>
    <row r="745" spans="1:3" ht="15.75" customHeight="1">
      <c r="A745" t="s">
        <v>1612</v>
      </c>
      <c r="B745" t="s">
        <v>1613</v>
      </c>
      <c r="C745" t="s">
        <v>7912</v>
      </c>
    </row>
    <row r="746" spans="1:3" ht="15.75" customHeight="1">
      <c r="A746" t="s">
        <v>1615</v>
      </c>
      <c r="B746" t="s">
        <v>1616</v>
      </c>
    </row>
    <row r="747" spans="1:3" ht="15.75" customHeight="1">
      <c r="A747" t="s">
        <v>1617</v>
      </c>
      <c r="B747" t="s">
        <v>1618</v>
      </c>
    </row>
    <row r="748" spans="1:3" ht="15.75" customHeight="1">
      <c r="A748" t="s">
        <v>1620</v>
      </c>
      <c r="B748" t="s">
        <v>1621</v>
      </c>
    </row>
    <row r="749" spans="1:3" ht="15.75" customHeight="1">
      <c r="A749" t="s">
        <v>1623</v>
      </c>
      <c r="B749" t="s">
        <v>1624</v>
      </c>
    </row>
    <row r="750" spans="1:3" ht="15.75" customHeight="1">
      <c r="A750" t="s">
        <v>1626</v>
      </c>
      <c r="B750" t="s">
        <v>1627</v>
      </c>
    </row>
    <row r="751" spans="1:3" ht="15.75" customHeight="1">
      <c r="A751" t="s">
        <v>1628</v>
      </c>
      <c r="B751" t="s">
        <v>1629</v>
      </c>
    </row>
    <row r="752" spans="1:3" ht="15.75" customHeight="1">
      <c r="A752" t="s">
        <v>1631</v>
      </c>
      <c r="B752" t="s">
        <v>1632</v>
      </c>
    </row>
    <row r="753" spans="1:2" ht="15.75" customHeight="1">
      <c r="A753" t="s">
        <v>1634</v>
      </c>
      <c r="B753" t="s">
        <v>1635</v>
      </c>
    </row>
    <row r="754" spans="1:2" ht="15.75" customHeight="1">
      <c r="A754" t="s">
        <v>1636</v>
      </c>
      <c r="B754" t="s">
        <v>1637</v>
      </c>
    </row>
    <row r="755" spans="1:2" ht="15.75" customHeight="1">
      <c r="A755" t="s">
        <v>1639</v>
      </c>
      <c r="B755" t="s">
        <v>1640</v>
      </c>
    </row>
    <row r="756" spans="1:2" ht="15.75" customHeight="1">
      <c r="A756" t="s">
        <v>1641</v>
      </c>
      <c r="B756" t="s">
        <v>1642</v>
      </c>
    </row>
    <row r="757" spans="1:2" ht="15.75" customHeight="1">
      <c r="A757" t="s">
        <v>1644</v>
      </c>
      <c r="B757" t="s">
        <v>1645</v>
      </c>
    </row>
    <row r="758" spans="1:2" ht="15.75" customHeight="1">
      <c r="A758" t="s">
        <v>1646</v>
      </c>
      <c r="B758" t="s">
        <v>1647</v>
      </c>
    </row>
    <row r="759" spans="1:2" ht="15.75" customHeight="1">
      <c r="A759" t="s">
        <v>1648</v>
      </c>
      <c r="B759" t="s">
        <v>1649</v>
      </c>
    </row>
    <row r="760" spans="1:2" ht="15.75" customHeight="1">
      <c r="A760" t="s">
        <v>1651</v>
      </c>
      <c r="B760" t="s">
        <v>1652</v>
      </c>
    </row>
    <row r="761" spans="1:2" ht="15.75" customHeight="1">
      <c r="A761" t="s">
        <v>1653</v>
      </c>
      <c r="B761" t="s">
        <v>1654</v>
      </c>
    </row>
    <row r="762" spans="1:2" ht="15.75" customHeight="1">
      <c r="A762" t="s">
        <v>1655</v>
      </c>
      <c r="B762" t="s">
        <v>1656</v>
      </c>
    </row>
    <row r="763" spans="1:2" ht="15.75" customHeight="1">
      <c r="A763" t="s">
        <v>1657</v>
      </c>
      <c r="B763" t="s">
        <v>1658</v>
      </c>
    </row>
    <row r="764" spans="1:2" ht="15.75" customHeight="1">
      <c r="A764" t="s">
        <v>1659</v>
      </c>
      <c r="B764" t="s">
        <v>1660</v>
      </c>
    </row>
    <row r="765" spans="1:2" ht="15.75" customHeight="1">
      <c r="A765" t="s">
        <v>1663</v>
      </c>
      <c r="B765" t="s">
        <v>1664</v>
      </c>
    </row>
    <row r="766" spans="1:2" ht="15.75" customHeight="1">
      <c r="A766" t="s">
        <v>1665</v>
      </c>
      <c r="B766" t="s">
        <v>1666</v>
      </c>
    </row>
    <row r="767" spans="1:2" ht="15.75" customHeight="1">
      <c r="A767" t="s">
        <v>1668</v>
      </c>
      <c r="B767" t="s">
        <v>1669</v>
      </c>
    </row>
    <row r="768" spans="1:2" ht="15.75" customHeight="1">
      <c r="A768" t="s">
        <v>1671</v>
      </c>
      <c r="B768" t="s">
        <v>1672</v>
      </c>
    </row>
    <row r="769" spans="1:8" ht="15.75" customHeight="1">
      <c r="A769" t="s">
        <v>1674</v>
      </c>
      <c r="B769" t="s">
        <v>1675</v>
      </c>
    </row>
    <row r="770" spans="1:8" ht="15.75" customHeight="1">
      <c r="A770" t="s">
        <v>1676</v>
      </c>
      <c r="B770" t="s">
        <v>1677</v>
      </c>
    </row>
    <row r="771" spans="1:8" ht="15.75" customHeight="1">
      <c r="A771" t="s">
        <v>1679</v>
      </c>
      <c r="B771" t="s">
        <v>1680</v>
      </c>
    </row>
    <row r="772" spans="1:8" ht="15.75" customHeight="1">
      <c r="A772" t="s">
        <v>1682</v>
      </c>
      <c r="B772" t="s">
        <v>1683</v>
      </c>
    </row>
    <row r="773" spans="1:8" ht="15.75" customHeight="1">
      <c r="A773" t="s">
        <v>1685</v>
      </c>
      <c r="B773" t="s">
        <v>1686</v>
      </c>
    </row>
    <row r="774" spans="1:8" ht="15.75" customHeight="1">
      <c r="A774" t="s">
        <v>1688</v>
      </c>
      <c r="B774" t="s">
        <v>1689</v>
      </c>
    </row>
    <row r="775" spans="1:8" ht="15.75" customHeight="1">
      <c r="A775" t="s">
        <v>1691</v>
      </c>
      <c r="B775" t="s">
        <v>1692</v>
      </c>
    </row>
    <row r="776" spans="1:8" ht="15.75" customHeight="1">
      <c r="A776" t="s">
        <v>1693</v>
      </c>
      <c r="B776" t="s">
        <v>1694</v>
      </c>
    </row>
    <row r="777" spans="1:8" ht="15.75" customHeight="1">
      <c r="A777" t="s">
        <v>1695</v>
      </c>
      <c r="B777" t="s">
        <v>1696</v>
      </c>
    </row>
    <row r="778" spans="1:8" ht="15.75" customHeight="1">
      <c r="A778" t="s">
        <v>1698</v>
      </c>
      <c r="B778" t="s">
        <v>1699</v>
      </c>
    </row>
    <row r="779" spans="1:8" ht="15.75" customHeight="1">
      <c r="A779" t="s">
        <v>1700</v>
      </c>
      <c r="B779" t="s">
        <v>1701</v>
      </c>
    </row>
    <row r="780" spans="1:8" ht="15.75" customHeight="1">
      <c r="A780" t="s">
        <v>1704</v>
      </c>
      <c r="B780" t="s">
        <v>1705</v>
      </c>
      <c r="C780" t="s">
        <v>7739</v>
      </c>
    </row>
    <row r="781" spans="1:8" ht="15.75" customHeight="1">
      <c r="A781" t="s">
        <v>1707</v>
      </c>
      <c r="B781" t="s">
        <v>1708</v>
      </c>
    </row>
    <row r="782" spans="1:8" ht="15.75" customHeight="1">
      <c r="A782" t="s">
        <v>1709</v>
      </c>
      <c r="B782" t="s">
        <v>1710</v>
      </c>
    </row>
    <row r="783" spans="1:8" ht="15.75" customHeight="1">
      <c r="A783" t="s">
        <v>1712</v>
      </c>
      <c r="B783" t="s">
        <v>1713</v>
      </c>
    </row>
    <row r="784" spans="1:8" ht="15.75" customHeight="1">
      <c r="A784" t="s">
        <v>1716</v>
      </c>
      <c r="B784" t="s">
        <v>1717</v>
      </c>
      <c r="C784" t="s">
        <v>8212</v>
      </c>
      <c r="E784" s="12" t="s">
        <v>8213</v>
      </c>
      <c r="F784" s="12" t="s">
        <v>8214</v>
      </c>
      <c r="G784" t="s">
        <v>8215</v>
      </c>
      <c r="H784" t="s">
        <v>8216</v>
      </c>
    </row>
    <row r="785" spans="1:8" ht="15.75" customHeight="1">
      <c r="A785" t="s">
        <v>1719</v>
      </c>
      <c r="B785" t="s">
        <v>1720</v>
      </c>
    </row>
    <row r="786" spans="1:8" ht="15.75" customHeight="1">
      <c r="A786" t="s">
        <v>1721</v>
      </c>
      <c r="B786" t="s">
        <v>1722</v>
      </c>
    </row>
    <row r="787" spans="1:8" ht="15.75" customHeight="1">
      <c r="B787" t="s">
        <v>1725</v>
      </c>
    </row>
    <row r="788" spans="1:8" ht="15.75" customHeight="1">
      <c r="B788" t="s">
        <v>1727</v>
      </c>
    </row>
    <row r="789" spans="1:8" ht="15.75" customHeight="1">
      <c r="B789" t="s">
        <v>1729</v>
      </c>
    </row>
    <row r="790" spans="1:8" ht="15.75" customHeight="1">
      <c r="A790" t="s">
        <v>1731</v>
      </c>
      <c r="B790" t="s">
        <v>1732</v>
      </c>
    </row>
    <row r="791" spans="1:8" ht="15.75" customHeight="1">
      <c r="A791" t="s">
        <v>1735</v>
      </c>
      <c r="B791" t="s">
        <v>1736</v>
      </c>
      <c r="C791" t="s">
        <v>7823</v>
      </c>
    </row>
    <row r="792" spans="1:8" ht="15.75" customHeight="1">
      <c r="A792" t="s">
        <v>1739</v>
      </c>
      <c r="B792" t="s">
        <v>1740</v>
      </c>
      <c r="C792" t="s">
        <v>8217</v>
      </c>
      <c r="E792" s="12" t="s">
        <v>8218</v>
      </c>
      <c r="F792" s="12" t="s">
        <v>8219</v>
      </c>
      <c r="G792" t="s">
        <v>8220</v>
      </c>
      <c r="H792" t="s">
        <v>8221</v>
      </c>
    </row>
    <row r="793" spans="1:8" ht="15.75" customHeight="1">
      <c r="A793" t="s">
        <v>1739</v>
      </c>
      <c r="B793" t="s">
        <v>1740</v>
      </c>
      <c r="C793" t="s">
        <v>8217</v>
      </c>
      <c r="E793" s="12" t="s">
        <v>8218</v>
      </c>
      <c r="F793" s="12" t="s">
        <v>8222</v>
      </c>
      <c r="G793" t="s">
        <v>8223</v>
      </c>
      <c r="H793" t="s">
        <v>8224</v>
      </c>
    </row>
    <row r="794" spans="1:8" ht="15.75" customHeight="1">
      <c r="A794" t="s">
        <v>1739</v>
      </c>
      <c r="B794" t="s">
        <v>1740</v>
      </c>
      <c r="C794" t="s">
        <v>8217</v>
      </c>
      <c r="E794" s="12" t="s">
        <v>8218</v>
      </c>
      <c r="F794" s="12" t="s">
        <v>8225</v>
      </c>
      <c r="G794" t="s">
        <v>8226</v>
      </c>
      <c r="H794" t="s">
        <v>8227</v>
      </c>
    </row>
    <row r="795" spans="1:8" ht="15.75" customHeight="1">
      <c r="A795" t="s">
        <v>1739</v>
      </c>
      <c r="B795" t="s">
        <v>1740</v>
      </c>
      <c r="C795" t="s">
        <v>8217</v>
      </c>
      <c r="E795" s="12" t="s">
        <v>8218</v>
      </c>
      <c r="F795" s="12" t="s">
        <v>8228</v>
      </c>
      <c r="G795" t="s">
        <v>8229</v>
      </c>
      <c r="H795" t="s">
        <v>8230</v>
      </c>
    </row>
    <row r="796" spans="1:8" ht="15.75" customHeight="1">
      <c r="A796" t="s">
        <v>1739</v>
      </c>
      <c r="B796" t="s">
        <v>1740</v>
      </c>
      <c r="C796" t="s">
        <v>8217</v>
      </c>
      <c r="E796" s="12" t="s">
        <v>8218</v>
      </c>
      <c r="F796" s="12" t="s">
        <v>8231</v>
      </c>
      <c r="G796" t="s">
        <v>8232</v>
      </c>
      <c r="H796" t="s">
        <v>8233</v>
      </c>
    </row>
    <row r="797" spans="1:8" ht="15.75" customHeight="1">
      <c r="A797" t="s">
        <v>1739</v>
      </c>
      <c r="B797" t="s">
        <v>1740</v>
      </c>
      <c r="C797" t="s">
        <v>8217</v>
      </c>
      <c r="E797" s="12" t="s">
        <v>8218</v>
      </c>
      <c r="F797" s="12" t="s">
        <v>8234</v>
      </c>
      <c r="G797" t="s">
        <v>8235</v>
      </c>
      <c r="H797" t="s">
        <v>8236</v>
      </c>
    </row>
    <row r="798" spans="1:8" ht="15.75" customHeight="1">
      <c r="A798" t="s">
        <v>1743</v>
      </c>
      <c r="B798" t="s">
        <v>1744</v>
      </c>
      <c r="C798" t="s">
        <v>8237</v>
      </c>
      <c r="E798" s="12" t="s">
        <v>8238</v>
      </c>
      <c r="F798" s="12" t="s">
        <v>8239</v>
      </c>
      <c r="G798" t="s">
        <v>8240</v>
      </c>
      <c r="H798" t="s">
        <v>8241</v>
      </c>
    </row>
    <row r="799" spans="1:8" ht="15.75" customHeight="1">
      <c r="A799" t="s">
        <v>1746</v>
      </c>
      <c r="B799" t="s">
        <v>1747</v>
      </c>
    </row>
    <row r="800" spans="1:8" ht="15.75" customHeight="1">
      <c r="A800" t="s">
        <v>1749</v>
      </c>
      <c r="B800" t="s">
        <v>1750</v>
      </c>
    </row>
    <row r="801" spans="1:8" ht="15.75" customHeight="1">
      <c r="A801" t="s">
        <v>1752</v>
      </c>
      <c r="B801" t="s">
        <v>1753</v>
      </c>
    </row>
    <row r="802" spans="1:8" ht="15.75" customHeight="1">
      <c r="A802" t="s">
        <v>1756</v>
      </c>
      <c r="B802" t="s">
        <v>1757</v>
      </c>
    </row>
    <row r="803" spans="1:8" ht="15.75" customHeight="1">
      <c r="A803" t="s">
        <v>1760</v>
      </c>
      <c r="B803" t="s">
        <v>1761</v>
      </c>
      <c r="C803" t="s">
        <v>8242</v>
      </c>
    </row>
    <row r="804" spans="1:8" ht="15.75" customHeight="1">
      <c r="A804" t="s">
        <v>1764</v>
      </c>
      <c r="B804" t="s">
        <v>1765</v>
      </c>
      <c r="C804" t="s">
        <v>8243</v>
      </c>
      <c r="E804" s="12" t="s">
        <v>8244</v>
      </c>
      <c r="F804" s="12" t="s">
        <v>8245</v>
      </c>
      <c r="G804" t="s">
        <v>8246</v>
      </c>
      <c r="H804" t="s">
        <v>8247</v>
      </c>
    </row>
    <row r="805" spans="1:8" ht="15.75" customHeight="1">
      <c r="A805" t="s">
        <v>1768</v>
      </c>
      <c r="B805" t="s">
        <v>1769</v>
      </c>
    </row>
    <row r="806" spans="1:8" ht="15.75" customHeight="1">
      <c r="A806" t="s">
        <v>1771</v>
      </c>
      <c r="B806" t="s">
        <v>1772</v>
      </c>
    </row>
    <row r="807" spans="1:8" ht="15.75" customHeight="1">
      <c r="A807" t="s">
        <v>1775</v>
      </c>
      <c r="B807" t="s">
        <v>1776</v>
      </c>
      <c r="C807" t="s">
        <v>7197</v>
      </c>
      <c r="E807" s="12" t="s">
        <v>7198</v>
      </c>
      <c r="F807" s="12" t="s">
        <v>7199</v>
      </c>
      <c r="G807" t="s">
        <v>7200</v>
      </c>
      <c r="H807" t="s">
        <v>7201</v>
      </c>
    </row>
    <row r="808" spans="1:8" ht="15.75" customHeight="1">
      <c r="A808" t="s">
        <v>1775</v>
      </c>
      <c r="B808" t="s">
        <v>1776</v>
      </c>
      <c r="C808" t="s">
        <v>7197</v>
      </c>
      <c r="E808" s="12" t="s">
        <v>7198</v>
      </c>
      <c r="F808" s="12" t="s">
        <v>7202</v>
      </c>
      <c r="G808" t="s">
        <v>7203</v>
      </c>
      <c r="H808" t="s">
        <v>7201</v>
      </c>
    </row>
    <row r="809" spans="1:8" ht="15.75" customHeight="1">
      <c r="A809" t="s">
        <v>1775</v>
      </c>
      <c r="B809" t="s">
        <v>1776</v>
      </c>
      <c r="C809" t="s">
        <v>7197</v>
      </c>
      <c r="E809" s="12" t="s">
        <v>7198</v>
      </c>
      <c r="F809" s="12" t="s">
        <v>7204</v>
      </c>
      <c r="G809" t="s">
        <v>7205</v>
      </c>
      <c r="H809" t="s">
        <v>7201</v>
      </c>
    </row>
    <row r="810" spans="1:8" ht="15.75" customHeight="1">
      <c r="A810" t="s">
        <v>1775</v>
      </c>
      <c r="B810" t="s">
        <v>1776</v>
      </c>
      <c r="C810" t="s">
        <v>7197</v>
      </c>
      <c r="E810" s="12" t="s">
        <v>7198</v>
      </c>
      <c r="F810" s="12" t="s">
        <v>7206</v>
      </c>
      <c r="G810" t="s">
        <v>7207</v>
      </c>
      <c r="H810" t="s">
        <v>7201</v>
      </c>
    </row>
    <row r="811" spans="1:8" ht="15.75" customHeight="1">
      <c r="A811" t="s">
        <v>1775</v>
      </c>
      <c r="B811" t="s">
        <v>1776</v>
      </c>
      <c r="C811" t="s">
        <v>7197</v>
      </c>
      <c r="E811" s="12" t="s">
        <v>7198</v>
      </c>
      <c r="F811" s="12" t="s">
        <v>7208</v>
      </c>
      <c r="G811" t="s">
        <v>7209</v>
      </c>
      <c r="H811" t="s">
        <v>7201</v>
      </c>
    </row>
    <row r="812" spans="1:8" ht="15.75" customHeight="1">
      <c r="A812" t="s">
        <v>1775</v>
      </c>
      <c r="B812" t="s">
        <v>1776</v>
      </c>
      <c r="C812" t="s">
        <v>7197</v>
      </c>
      <c r="E812" s="12" t="s">
        <v>7198</v>
      </c>
      <c r="F812" s="12" t="s">
        <v>7210</v>
      </c>
      <c r="G812" t="s">
        <v>7211</v>
      </c>
      <c r="H812" t="s">
        <v>7212</v>
      </c>
    </row>
    <row r="813" spans="1:8" ht="15.75" customHeight="1">
      <c r="A813" t="s">
        <v>1779</v>
      </c>
      <c r="B813" t="s">
        <v>1780</v>
      </c>
    </row>
    <row r="814" spans="1:8" ht="15.75" customHeight="1">
      <c r="A814" t="s">
        <v>1783</v>
      </c>
      <c r="B814" t="s">
        <v>1784</v>
      </c>
    </row>
    <row r="815" spans="1:8" ht="15.75" customHeight="1">
      <c r="A815" t="s">
        <v>1787</v>
      </c>
      <c r="B815" t="s">
        <v>1788</v>
      </c>
      <c r="C815" t="s">
        <v>8248</v>
      </c>
      <c r="E815" s="12" t="s">
        <v>8249</v>
      </c>
    </row>
    <row r="816" spans="1:8" ht="15.75" customHeight="1">
      <c r="A816" t="s">
        <v>1791</v>
      </c>
      <c r="B816" t="s">
        <v>1792</v>
      </c>
      <c r="C816" t="s">
        <v>8250</v>
      </c>
      <c r="E816" s="12" t="s">
        <v>8251</v>
      </c>
    </row>
    <row r="817" spans="1:8" ht="15.75" customHeight="1">
      <c r="B817" t="s">
        <v>1794</v>
      </c>
    </row>
    <row r="818" spans="1:8" ht="15.75" customHeight="1">
      <c r="A818" t="s">
        <v>1797</v>
      </c>
      <c r="B818" t="s">
        <v>1798</v>
      </c>
    </row>
    <row r="819" spans="1:8" ht="15.75" customHeight="1">
      <c r="A819" t="s">
        <v>1799</v>
      </c>
      <c r="B819" t="s">
        <v>1800</v>
      </c>
    </row>
    <row r="820" spans="1:8" ht="15.75" customHeight="1">
      <c r="A820" t="s">
        <v>1802</v>
      </c>
      <c r="B820" t="s">
        <v>1803</v>
      </c>
    </row>
    <row r="821" spans="1:8" ht="15.75" customHeight="1">
      <c r="B821" t="s">
        <v>1804</v>
      </c>
    </row>
    <row r="822" spans="1:8" ht="15.75" customHeight="1">
      <c r="B822" t="s">
        <v>1805</v>
      </c>
    </row>
    <row r="823" spans="1:8" ht="15.75" customHeight="1">
      <c r="A823" t="s">
        <v>1807</v>
      </c>
      <c r="B823" t="s">
        <v>1808</v>
      </c>
    </row>
    <row r="824" spans="1:8" ht="15.75" customHeight="1">
      <c r="A824" t="s">
        <v>1809</v>
      </c>
      <c r="B824" t="s">
        <v>1810</v>
      </c>
    </row>
    <row r="825" spans="1:8" ht="15.75" customHeight="1">
      <c r="A825" t="s">
        <v>1812</v>
      </c>
      <c r="B825" t="s">
        <v>1813</v>
      </c>
    </row>
    <row r="826" spans="1:8" ht="15.75" customHeight="1">
      <c r="A826" t="s">
        <v>1815</v>
      </c>
      <c r="B826" t="s">
        <v>1816</v>
      </c>
    </row>
    <row r="827" spans="1:8" ht="15.75" customHeight="1">
      <c r="A827" t="s">
        <v>1819</v>
      </c>
      <c r="B827" t="s">
        <v>1820</v>
      </c>
    </row>
    <row r="828" spans="1:8" ht="15.75" customHeight="1">
      <c r="A828" t="s">
        <v>1823</v>
      </c>
      <c r="B828" t="s">
        <v>1824</v>
      </c>
      <c r="C828" t="s">
        <v>8252</v>
      </c>
      <c r="E828" s="12" t="s">
        <v>8253</v>
      </c>
      <c r="F828" s="12" t="s">
        <v>8254</v>
      </c>
      <c r="G828" t="s">
        <v>8255</v>
      </c>
      <c r="H828" t="s">
        <v>8256</v>
      </c>
    </row>
    <row r="829" spans="1:8" ht="15.75" customHeight="1">
      <c r="A829" t="s">
        <v>1827</v>
      </c>
      <c r="B829" t="s">
        <v>1828</v>
      </c>
      <c r="C829" t="s">
        <v>8257</v>
      </c>
      <c r="E829" s="12" t="s">
        <v>8258</v>
      </c>
      <c r="F829" s="12" t="s">
        <v>8259</v>
      </c>
      <c r="G829" t="s">
        <v>8260</v>
      </c>
      <c r="H829" t="s">
        <v>8261</v>
      </c>
    </row>
    <row r="830" spans="1:8" ht="15.75" customHeight="1">
      <c r="A830" t="s">
        <v>1827</v>
      </c>
      <c r="B830" t="s">
        <v>1828</v>
      </c>
      <c r="C830" t="s">
        <v>8257</v>
      </c>
      <c r="E830" s="12" t="s">
        <v>8258</v>
      </c>
      <c r="F830" s="12" t="s">
        <v>8262</v>
      </c>
      <c r="G830" t="s">
        <v>8263</v>
      </c>
      <c r="H830" t="s">
        <v>8264</v>
      </c>
    </row>
    <row r="831" spans="1:8" ht="15.75" customHeight="1">
      <c r="A831" t="s">
        <v>1831</v>
      </c>
      <c r="B831" t="s">
        <v>1832</v>
      </c>
    </row>
    <row r="832" spans="1:8" ht="15.75" customHeight="1">
      <c r="A832" t="s">
        <v>1834</v>
      </c>
      <c r="B832" t="s">
        <v>1835</v>
      </c>
    </row>
    <row r="833" spans="1:8" ht="15.75" customHeight="1">
      <c r="A833" t="s">
        <v>1837</v>
      </c>
      <c r="B833" t="s">
        <v>1838</v>
      </c>
    </row>
    <row r="834" spans="1:8" ht="15.75" customHeight="1">
      <c r="A834" t="s">
        <v>1839</v>
      </c>
      <c r="B834" t="s">
        <v>1840</v>
      </c>
    </row>
    <row r="835" spans="1:8" ht="15.75" customHeight="1">
      <c r="A835" t="s">
        <v>1842</v>
      </c>
      <c r="B835" t="s">
        <v>1843</v>
      </c>
    </row>
    <row r="836" spans="1:8" ht="15.75" customHeight="1">
      <c r="A836" t="s">
        <v>1846</v>
      </c>
      <c r="B836" t="s">
        <v>1847</v>
      </c>
      <c r="C836" t="s">
        <v>8265</v>
      </c>
      <c r="E836" s="12" t="s">
        <v>8266</v>
      </c>
      <c r="F836" s="12" t="s">
        <v>8267</v>
      </c>
      <c r="G836" t="s">
        <v>8268</v>
      </c>
      <c r="H836" t="s">
        <v>8269</v>
      </c>
    </row>
    <row r="837" spans="1:8" ht="15.75" customHeight="1">
      <c r="A837" t="s">
        <v>1850</v>
      </c>
      <c r="B837" t="s">
        <v>1851</v>
      </c>
      <c r="C837" t="s">
        <v>7175</v>
      </c>
    </row>
    <row r="838" spans="1:8" ht="15.75" customHeight="1">
      <c r="A838" t="s">
        <v>1853</v>
      </c>
      <c r="B838" t="s">
        <v>1854</v>
      </c>
      <c r="C838" t="s">
        <v>7175</v>
      </c>
    </row>
    <row r="839" spans="1:8" ht="15.75" customHeight="1">
      <c r="A839" t="s">
        <v>1857</v>
      </c>
      <c r="B839" t="s">
        <v>1858</v>
      </c>
    </row>
    <row r="840" spans="1:8" ht="15.75" customHeight="1">
      <c r="A840" t="s">
        <v>1861</v>
      </c>
      <c r="B840" t="s">
        <v>1862</v>
      </c>
    </row>
    <row r="841" spans="1:8" ht="15.75" customHeight="1">
      <c r="A841" t="s">
        <v>1865</v>
      </c>
      <c r="B841" t="s">
        <v>1866</v>
      </c>
    </row>
    <row r="842" spans="1:8" ht="15.75" customHeight="1">
      <c r="A842" t="s">
        <v>1868</v>
      </c>
      <c r="B842" t="s">
        <v>1869</v>
      </c>
    </row>
    <row r="843" spans="1:8" ht="15.75" customHeight="1">
      <c r="A843" t="s">
        <v>1872</v>
      </c>
      <c r="B843" t="s">
        <v>1873</v>
      </c>
    </row>
    <row r="844" spans="1:8" ht="15.75" customHeight="1">
      <c r="A844" t="s">
        <v>1876</v>
      </c>
      <c r="B844" t="s">
        <v>1877</v>
      </c>
    </row>
    <row r="845" spans="1:8" ht="15.75" customHeight="1">
      <c r="A845" t="s">
        <v>1879</v>
      </c>
      <c r="B845" t="s">
        <v>1880</v>
      </c>
    </row>
    <row r="846" spans="1:8" ht="15.75" customHeight="1">
      <c r="A846" t="s">
        <v>1882</v>
      </c>
      <c r="B846" t="s">
        <v>1883</v>
      </c>
    </row>
    <row r="847" spans="1:8" ht="15.75" customHeight="1">
      <c r="A847" t="s">
        <v>1886</v>
      </c>
      <c r="B847" t="s">
        <v>1887</v>
      </c>
      <c r="C847" t="s">
        <v>8270</v>
      </c>
      <c r="E847" s="12" t="s">
        <v>8271</v>
      </c>
      <c r="F847" s="12" t="s">
        <v>8272</v>
      </c>
      <c r="G847" t="s">
        <v>8273</v>
      </c>
      <c r="H847" t="s">
        <v>8274</v>
      </c>
    </row>
    <row r="848" spans="1:8" ht="15.75" customHeight="1">
      <c r="A848" t="s">
        <v>1886</v>
      </c>
      <c r="B848" t="s">
        <v>1887</v>
      </c>
      <c r="C848" t="s">
        <v>8270</v>
      </c>
      <c r="E848" s="12" t="s">
        <v>8271</v>
      </c>
      <c r="F848" s="12" t="s">
        <v>8275</v>
      </c>
      <c r="G848" t="s">
        <v>8276</v>
      </c>
      <c r="H848" t="s">
        <v>8277</v>
      </c>
    </row>
    <row r="849" spans="1:8" ht="15.75" customHeight="1">
      <c r="A849" t="s">
        <v>1886</v>
      </c>
      <c r="B849" t="s">
        <v>1887</v>
      </c>
      <c r="C849" t="s">
        <v>8270</v>
      </c>
      <c r="E849" s="12" t="s">
        <v>8271</v>
      </c>
      <c r="F849" s="12" t="s">
        <v>8278</v>
      </c>
      <c r="G849" t="s">
        <v>8279</v>
      </c>
      <c r="H849" t="s">
        <v>8280</v>
      </c>
    </row>
    <row r="850" spans="1:8" ht="15.75" customHeight="1">
      <c r="A850" t="s">
        <v>1886</v>
      </c>
      <c r="B850" t="s">
        <v>1887</v>
      </c>
      <c r="C850" t="s">
        <v>8270</v>
      </c>
      <c r="E850" s="12" t="s">
        <v>8271</v>
      </c>
      <c r="F850" s="12" t="s">
        <v>8281</v>
      </c>
      <c r="G850" t="s">
        <v>8282</v>
      </c>
      <c r="H850" t="s">
        <v>8283</v>
      </c>
    </row>
    <row r="851" spans="1:8" ht="15.75" customHeight="1">
      <c r="A851" t="s">
        <v>1890</v>
      </c>
      <c r="B851" t="s">
        <v>1891</v>
      </c>
    </row>
    <row r="852" spans="1:8" ht="15.75" customHeight="1">
      <c r="A852" t="s">
        <v>1894</v>
      </c>
      <c r="B852" t="s">
        <v>1895</v>
      </c>
    </row>
    <row r="853" spans="1:8" ht="15.75" customHeight="1">
      <c r="A853" t="s">
        <v>1897</v>
      </c>
      <c r="B853" t="s">
        <v>1898</v>
      </c>
    </row>
    <row r="854" spans="1:8" ht="15.75" customHeight="1">
      <c r="A854" t="s">
        <v>1900</v>
      </c>
      <c r="B854" t="s">
        <v>1901</v>
      </c>
    </row>
    <row r="855" spans="1:8" ht="15.75" customHeight="1">
      <c r="A855" t="s">
        <v>1903</v>
      </c>
      <c r="B855" t="s">
        <v>1904</v>
      </c>
    </row>
    <row r="856" spans="1:8" ht="15.75" customHeight="1">
      <c r="A856" t="s">
        <v>1907</v>
      </c>
      <c r="B856" t="s">
        <v>1908</v>
      </c>
    </row>
    <row r="857" spans="1:8" ht="15.75" customHeight="1">
      <c r="A857" t="s">
        <v>1911</v>
      </c>
      <c r="B857" t="s">
        <v>1912</v>
      </c>
      <c r="C857" t="s">
        <v>7834</v>
      </c>
      <c r="E857" s="12" t="s">
        <v>7835</v>
      </c>
    </row>
    <row r="858" spans="1:8" ht="15.75" customHeight="1">
      <c r="A858" t="s">
        <v>1911</v>
      </c>
      <c r="B858" t="s">
        <v>1912</v>
      </c>
      <c r="C858" t="s">
        <v>8284</v>
      </c>
    </row>
    <row r="859" spans="1:8" ht="15.75" customHeight="1">
      <c r="A859" t="s">
        <v>1914</v>
      </c>
      <c r="B859" t="s">
        <v>1915</v>
      </c>
    </row>
    <row r="860" spans="1:8" ht="15.75" customHeight="1">
      <c r="A860" t="s">
        <v>1918</v>
      </c>
      <c r="B860" t="s">
        <v>1919</v>
      </c>
      <c r="C860" t="s">
        <v>7491</v>
      </c>
      <c r="E860" s="12" t="s">
        <v>7492</v>
      </c>
      <c r="F860" s="12" t="s">
        <v>7493</v>
      </c>
      <c r="G860" t="s">
        <v>7494</v>
      </c>
      <c r="H860" t="s">
        <v>7495</v>
      </c>
    </row>
    <row r="861" spans="1:8" ht="15.75" customHeight="1">
      <c r="A861" t="s">
        <v>1921</v>
      </c>
      <c r="B861" t="s">
        <v>1922</v>
      </c>
    </row>
    <row r="862" spans="1:8" ht="15.75" customHeight="1">
      <c r="A862" t="s">
        <v>1925</v>
      </c>
      <c r="B862" t="s">
        <v>1926</v>
      </c>
    </row>
    <row r="863" spans="1:8" ht="15.75" customHeight="1">
      <c r="A863" t="s">
        <v>1929</v>
      </c>
      <c r="B863" t="s">
        <v>1930</v>
      </c>
    </row>
    <row r="864" spans="1:8" ht="15.75" customHeight="1">
      <c r="A864" t="s">
        <v>1933</v>
      </c>
      <c r="B864" t="s">
        <v>1934</v>
      </c>
      <c r="C864" t="s">
        <v>8285</v>
      </c>
      <c r="E864" s="12" t="s">
        <v>8286</v>
      </c>
    </row>
    <row r="865" spans="1:8" ht="15.75" customHeight="1">
      <c r="A865" t="s">
        <v>1937</v>
      </c>
      <c r="B865" t="s">
        <v>1938</v>
      </c>
    </row>
    <row r="866" spans="1:8" ht="15.75" customHeight="1">
      <c r="A866" t="s">
        <v>1941</v>
      </c>
      <c r="B866" t="s">
        <v>1942</v>
      </c>
    </row>
    <row r="867" spans="1:8" ht="15.75" customHeight="1">
      <c r="A867" t="s">
        <v>1945</v>
      </c>
      <c r="B867" t="s">
        <v>1946</v>
      </c>
    </row>
    <row r="868" spans="1:8" ht="15.75" customHeight="1">
      <c r="A868" t="s">
        <v>1949</v>
      </c>
      <c r="B868" t="s">
        <v>1950</v>
      </c>
      <c r="C868" t="s">
        <v>7474</v>
      </c>
      <c r="E868" s="12" t="s">
        <v>7475</v>
      </c>
    </row>
    <row r="869" spans="1:8" ht="15.75" customHeight="1">
      <c r="A869" t="s">
        <v>1951</v>
      </c>
      <c r="B869" t="s">
        <v>1952</v>
      </c>
    </row>
    <row r="870" spans="1:8" ht="15.75" customHeight="1">
      <c r="A870" t="s">
        <v>1955</v>
      </c>
      <c r="B870" t="s">
        <v>1956</v>
      </c>
      <c r="C870" t="s">
        <v>7934</v>
      </c>
      <c r="E870" s="12" t="s">
        <v>7935</v>
      </c>
    </row>
    <row r="871" spans="1:8" ht="15.75" customHeight="1">
      <c r="A871" t="s">
        <v>1959</v>
      </c>
      <c r="B871" t="s">
        <v>1960</v>
      </c>
      <c r="C871" t="s">
        <v>8287</v>
      </c>
    </row>
    <row r="872" spans="1:8" ht="15.75" customHeight="1">
      <c r="A872" t="s">
        <v>1963</v>
      </c>
      <c r="B872" t="s">
        <v>1964</v>
      </c>
    </row>
    <row r="873" spans="1:8" ht="15.75" customHeight="1">
      <c r="A873" t="s">
        <v>1966</v>
      </c>
      <c r="B873" t="s">
        <v>1967</v>
      </c>
    </row>
    <row r="874" spans="1:8" ht="15.75" customHeight="1">
      <c r="A874" t="s">
        <v>1970</v>
      </c>
      <c r="B874" t="s">
        <v>1971</v>
      </c>
      <c r="C874" t="s">
        <v>8288</v>
      </c>
      <c r="E874" s="12" t="s">
        <v>8289</v>
      </c>
      <c r="F874" s="12" t="s">
        <v>8290</v>
      </c>
      <c r="G874" t="s">
        <v>8291</v>
      </c>
      <c r="H874" t="s">
        <v>8292</v>
      </c>
    </row>
    <row r="875" spans="1:8" ht="15.75" customHeight="1">
      <c r="A875" t="s">
        <v>1974</v>
      </c>
      <c r="B875" t="s">
        <v>1975</v>
      </c>
      <c r="C875" t="s">
        <v>8293</v>
      </c>
      <c r="E875" s="12" t="s">
        <v>8294</v>
      </c>
      <c r="F875" s="12" t="s">
        <v>8295</v>
      </c>
      <c r="G875" t="s">
        <v>8296</v>
      </c>
      <c r="H875" t="s">
        <v>8297</v>
      </c>
    </row>
    <row r="876" spans="1:8" ht="15.75" customHeight="1">
      <c r="A876" t="s">
        <v>1978</v>
      </c>
      <c r="B876" t="s">
        <v>1979</v>
      </c>
    </row>
    <row r="877" spans="1:8" ht="15.75" customHeight="1">
      <c r="A877" t="s">
        <v>1980</v>
      </c>
      <c r="B877" t="s">
        <v>1981</v>
      </c>
    </row>
    <row r="878" spans="1:8" ht="15.75" customHeight="1">
      <c r="A878" t="s">
        <v>1984</v>
      </c>
      <c r="B878" t="s">
        <v>1985</v>
      </c>
    </row>
    <row r="879" spans="1:8" ht="15.75" customHeight="1">
      <c r="A879" t="s">
        <v>1987</v>
      </c>
      <c r="B879" t="s">
        <v>1988</v>
      </c>
    </row>
    <row r="880" spans="1:8" ht="15.75" customHeight="1">
      <c r="A880" t="s">
        <v>1991</v>
      </c>
      <c r="B880" t="s">
        <v>1992</v>
      </c>
      <c r="C880" t="s">
        <v>8298</v>
      </c>
      <c r="E880" s="12" t="s">
        <v>8299</v>
      </c>
      <c r="F880" s="12" t="s">
        <v>8300</v>
      </c>
      <c r="G880" t="s">
        <v>8301</v>
      </c>
      <c r="H880" t="s">
        <v>8302</v>
      </c>
    </row>
    <row r="881" spans="1:8" ht="15.75" customHeight="1">
      <c r="A881" t="s">
        <v>1991</v>
      </c>
      <c r="B881" t="s">
        <v>1992</v>
      </c>
      <c r="C881" t="s">
        <v>8298</v>
      </c>
      <c r="E881" s="12" t="s">
        <v>8299</v>
      </c>
      <c r="F881" s="12" t="s">
        <v>8303</v>
      </c>
      <c r="G881" t="s">
        <v>8304</v>
      </c>
      <c r="H881" t="s">
        <v>8305</v>
      </c>
    </row>
    <row r="882" spans="1:8" ht="15.75" customHeight="1">
      <c r="A882" t="s">
        <v>1991</v>
      </c>
      <c r="B882" t="s">
        <v>1992</v>
      </c>
      <c r="C882" t="s">
        <v>8298</v>
      </c>
      <c r="E882" s="12" t="s">
        <v>8299</v>
      </c>
      <c r="F882" s="12" t="s">
        <v>8306</v>
      </c>
      <c r="G882" t="s">
        <v>8307</v>
      </c>
      <c r="H882" t="s">
        <v>8308</v>
      </c>
    </row>
    <row r="883" spans="1:8" ht="15.75" customHeight="1">
      <c r="A883" t="s">
        <v>1991</v>
      </c>
      <c r="B883" t="s">
        <v>1992</v>
      </c>
      <c r="C883" t="s">
        <v>8298</v>
      </c>
      <c r="E883" s="12" t="s">
        <v>8299</v>
      </c>
      <c r="F883" s="12" t="s">
        <v>8309</v>
      </c>
      <c r="G883" t="s">
        <v>8310</v>
      </c>
      <c r="H883" t="s">
        <v>8311</v>
      </c>
    </row>
    <row r="884" spans="1:8" ht="15.75" customHeight="1">
      <c r="A884" t="s">
        <v>1991</v>
      </c>
      <c r="B884" t="s">
        <v>1992</v>
      </c>
      <c r="C884" t="s">
        <v>8298</v>
      </c>
      <c r="E884" s="12" t="s">
        <v>8299</v>
      </c>
      <c r="F884" s="12" t="s">
        <v>8312</v>
      </c>
      <c r="G884" t="s">
        <v>8313</v>
      </c>
      <c r="H884" t="s">
        <v>8314</v>
      </c>
    </row>
    <row r="885" spans="1:8" ht="15.75" customHeight="1">
      <c r="A885" t="s">
        <v>1991</v>
      </c>
      <c r="B885" t="s">
        <v>1992</v>
      </c>
      <c r="C885" t="s">
        <v>8298</v>
      </c>
      <c r="E885" s="12" t="s">
        <v>8299</v>
      </c>
      <c r="F885" s="12" t="s">
        <v>8315</v>
      </c>
      <c r="G885" t="s">
        <v>8316</v>
      </c>
      <c r="H885" t="s">
        <v>8317</v>
      </c>
    </row>
    <row r="886" spans="1:8" ht="15.75" customHeight="1">
      <c r="A886" t="s">
        <v>1991</v>
      </c>
      <c r="B886" t="s">
        <v>1992</v>
      </c>
      <c r="C886" t="s">
        <v>8298</v>
      </c>
      <c r="E886" s="12" t="s">
        <v>8299</v>
      </c>
      <c r="F886" s="12" t="s">
        <v>8318</v>
      </c>
      <c r="G886" t="s">
        <v>8319</v>
      </c>
      <c r="H886" t="s">
        <v>8320</v>
      </c>
    </row>
    <row r="887" spans="1:8" ht="15.75" customHeight="1">
      <c r="A887" t="s">
        <v>1991</v>
      </c>
      <c r="B887" t="s">
        <v>1992</v>
      </c>
      <c r="C887" t="s">
        <v>8298</v>
      </c>
      <c r="E887" s="12" t="s">
        <v>8299</v>
      </c>
      <c r="F887" s="12" t="s">
        <v>8321</v>
      </c>
      <c r="G887" t="s">
        <v>8322</v>
      </c>
      <c r="H887" t="s">
        <v>8323</v>
      </c>
    </row>
    <row r="888" spans="1:8" ht="15.75" customHeight="1">
      <c r="A888" t="s">
        <v>1995</v>
      </c>
      <c r="B888" t="s">
        <v>1996</v>
      </c>
    </row>
    <row r="889" spans="1:8" ht="15.75" customHeight="1">
      <c r="A889" t="s">
        <v>1999</v>
      </c>
      <c r="B889" t="s">
        <v>2000</v>
      </c>
      <c r="C889" t="s">
        <v>8298</v>
      </c>
      <c r="E889" s="12" t="s">
        <v>8299</v>
      </c>
      <c r="F889" s="12" t="s">
        <v>8300</v>
      </c>
      <c r="G889" t="s">
        <v>8301</v>
      </c>
      <c r="H889" t="s">
        <v>8302</v>
      </c>
    </row>
    <row r="890" spans="1:8" ht="15.75" customHeight="1">
      <c r="A890" t="s">
        <v>1999</v>
      </c>
      <c r="B890" t="s">
        <v>2000</v>
      </c>
      <c r="C890" t="s">
        <v>8298</v>
      </c>
      <c r="E890" s="12" t="s">
        <v>8299</v>
      </c>
      <c r="F890" s="12" t="s">
        <v>8303</v>
      </c>
      <c r="G890" t="s">
        <v>8304</v>
      </c>
      <c r="H890" t="s">
        <v>8305</v>
      </c>
    </row>
    <row r="891" spans="1:8" ht="15.75" customHeight="1">
      <c r="A891" t="s">
        <v>1999</v>
      </c>
      <c r="B891" t="s">
        <v>2000</v>
      </c>
      <c r="C891" t="s">
        <v>8298</v>
      </c>
      <c r="E891" s="12" t="s">
        <v>8299</v>
      </c>
      <c r="F891" s="12" t="s">
        <v>8306</v>
      </c>
      <c r="G891" t="s">
        <v>8307</v>
      </c>
      <c r="H891" t="s">
        <v>8308</v>
      </c>
    </row>
    <row r="892" spans="1:8" ht="15.75" customHeight="1">
      <c r="A892" t="s">
        <v>1999</v>
      </c>
      <c r="B892" t="s">
        <v>2000</v>
      </c>
      <c r="C892" t="s">
        <v>8298</v>
      </c>
      <c r="E892" s="12" t="s">
        <v>8299</v>
      </c>
      <c r="F892" s="12" t="s">
        <v>8309</v>
      </c>
      <c r="G892" t="s">
        <v>8310</v>
      </c>
      <c r="H892" t="s">
        <v>8311</v>
      </c>
    </row>
    <row r="893" spans="1:8" ht="15.75" customHeight="1">
      <c r="A893" t="s">
        <v>1999</v>
      </c>
      <c r="B893" t="s">
        <v>2000</v>
      </c>
      <c r="C893" t="s">
        <v>8298</v>
      </c>
      <c r="E893" s="12" t="s">
        <v>8299</v>
      </c>
      <c r="F893" s="12" t="s">
        <v>8312</v>
      </c>
      <c r="G893" t="s">
        <v>8313</v>
      </c>
      <c r="H893" t="s">
        <v>8314</v>
      </c>
    </row>
    <row r="894" spans="1:8" ht="15.75" customHeight="1">
      <c r="A894" t="s">
        <v>1999</v>
      </c>
      <c r="B894" t="s">
        <v>2000</v>
      </c>
      <c r="C894" t="s">
        <v>8298</v>
      </c>
      <c r="E894" s="12" t="s">
        <v>8299</v>
      </c>
      <c r="F894" s="12" t="s">
        <v>8315</v>
      </c>
      <c r="G894" t="s">
        <v>8316</v>
      </c>
      <c r="H894" t="s">
        <v>8317</v>
      </c>
    </row>
    <row r="895" spans="1:8" ht="15.75" customHeight="1">
      <c r="A895" t="s">
        <v>1999</v>
      </c>
      <c r="B895" t="s">
        <v>2000</v>
      </c>
      <c r="C895" t="s">
        <v>8298</v>
      </c>
      <c r="E895" s="12" t="s">
        <v>8299</v>
      </c>
      <c r="F895" s="12" t="s">
        <v>8318</v>
      </c>
      <c r="G895" t="s">
        <v>8319</v>
      </c>
      <c r="H895" t="s">
        <v>8320</v>
      </c>
    </row>
    <row r="896" spans="1:8" ht="15.75" customHeight="1">
      <c r="A896" t="s">
        <v>1999</v>
      </c>
      <c r="B896" t="s">
        <v>2000</v>
      </c>
      <c r="C896" t="s">
        <v>8298</v>
      </c>
      <c r="E896" s="12" t="s">
        <v>8299</v>
      </c>
      <c r="F896" s="12" t="s">
        <v>8321</v>
      </c>
      <c r="G896" t="s">
        <v>8322</v>
      </c>
      <c r="H896" t="s">
        <v>8323</v>
      </c>
    </row>
    <row r="897" spans="1:8" ht="15.75" customHeight="1">
      <c r="A897" t="s">
        <v>2003</v>
      </c>
      <c r="B897" t="s">
        <v>2004</v>
      </c>
    </row>
    <row r="898" spans="1:8" ht="15.75" customHeight="1">
      <c r="A898" t="s">
        <v>2007</v>
      </c>
      <c r="B898" t="s">
        <v>2008</v>
      </c>
    </row>
    <row r="899" spans="1:8" ht="15.75" customHeight="1">
      <c r="A899" t="s">
        <v>2011</v>
      </c>
      <c r="B899" t="s">
        <v>2012</v>
      </c>
    </row>
    <row r="900" spans="1:8" ht="15.75" customHeight="1">
      <c r="A900" t="s">
        <v>2015</v>
      </c>
      <c r="B900" t="s">
        <v>2016</v>
      </c>
    </row>
    <row r="901" spans="1:8" ht="15.75" customHeight="1">
      <c r="A901" t="s">
        <v>2019</v>
      </c>
      <c r="B901" t="s">
        <v>2020</v>
      </c>
    </row>
    <row r="902" spans="1:8" ht="15.75" customHeight="1">
      <c r="A902" t="s">
        <v>2023</v>
      </c>
      <c r="B902" t="s">
        <v>2024</v>
      </c>
    </row>
    <row r="903" spans="1:8" ht="15.75" customHeight="1">
      <c r="A903" t="s">
        <v>2027</v>
      </c>
      <c r="B903" t="s">
        <v>2028</v>
      </c>
      <c r="C903" t="s">
        <v>8324</v>
      </c>
      <c r="E903" s="12" t="s">
        <v>8325</v>
      </c>
      <c r="F903" s="12" t="s">
        <v>8326</v>
      </c>
      <c r="G903" t="s">
        <v>8327</v>
      </c>
      <c r="H903" t="s">
        <v>8328</v>
      </c>
    </row>
    <row r="904" spans="1:8" ht="15.75" customHeight="1">
      <c r="A904" t="s">
        <v>2027</v>
      </c>
      <c r="B904" t="s">
        <v>2028</v>
      </c>
      <c r="C904" t="s">
        <v>8324</v>
      </c>
      <c r="E904" s="12" t="s">
        <v>8325</v>
      </c>
      <c r="F904" s="12" t="s">
        <v>8329</v>
      </c>
      <c r="G904" t="s">
        <v>8330</v>
      </c>
      <c r="H904" t="s">
        <v>8331</v>
      </c>
    </row>
    <row r="905" spans="1:8" ht="15.75" customHeight="1">
      <c r="A905" t="s">
        <v>2031</v>
      </c>
      <c r="B905" t="s">
        <v>2032</v>
      </c>
    </row>
    <row r="906" spans="1:8" ht="15.75" customHeight="1">
      <c r="A906" t="s">
        <v>2035</v>
      </c>
      <c r="B906" t="s">
        <v>2036</v>
      </c>
    </row>
    <row r="907" spans="1:8" ht="15.75" customHeight="1">
      <c r="A907" t="s">
        <v>2038</v>
      </c>
      <c r="B907" t="s">
        <v>2039</v>
      </c>
    </row>
    <row r="908" spans="1:8" ht="15.75" customHeight="1">
      <c r="A908" t="s">
        <v>2041</v>
      </c>
      <c r="B908" t="s">
        <v>2042</v>
      </c>
    </row>
    <row r="909" spans="1:8" ht="15.75" customHeight="1">
      <c r="A909" t="s">
        <v>2044</v>
      </c>
      <c r="B909" t="s">
        <v>2045</v>
      </c>
    </row>
    <row r="910" spans="1:8" ht="15.75" customHeight="1">
      <c r="A910" t="s">
        <v>2048</v>
      </c>
      <c r="B910" t="s">
        <v>2049</v>
      </c>
      <c r="C910" t="s">
        <v>8332</v>
      </c>
      <c r="E910" s="12" t="s">
        <v>8333</v>
      </c>
      <c r="F910" s="12" t="s">
        <v>8334</v>
      </c>
      <c r="G910" t="s">
        <v>8335</v>
      </c>
      <c r="H910" t="s">
        <v>8336</v>
      </c>
    </row>
    <row r="911" spans="1:8" ht="15.75" customHeight="1">
      <c r="A911" t="s">
        <v>2048</v>
      </c>
      <c r="B911" t="s">
        <v>2049</v>
      </c>
      <c r="C911" t="s">
        <v>8332</v>
      </c>
      <c r="E911" s="12" t="s">
        <v>8333</v>
      </c>
      <c r="F911" s="12" t="s">
        <v>8337</v>
      </c>
      <c r="G911" t="s">
        <v>8338</v>
      </c>
      <c r="H911" t="s">
        <v>8339</v>
      </c>
    </row>
    <row r="912" spans="1:8" ht="15.75" customHeight="1">
      <c r="A912" t="s">
        <v>2048</v>
      </c>
      <c r="B912" t="s">
        <v>2049</v>
      </c>
      <c r="C912" t="s">
        <v>8332</v>
      </c>
      <c r="E912" s="12" t="s">
        <v>8333</v>
      </c>
      <c r="F912" s="12" t="s">
        <v>8340</v>
      </c>
      <c r="G912" t="s">
        <v>8341</v>
      </c>
      <c r="H912" t="s">
        <v>8342</v>
      </c>
    </row>
    <row r="913" spans="1:8" ht="15.75" customHeight="1">
      <c r="A913" t="s">
        <v>2048</v>
      </c>
      <c r="B913" t="s">
        <v>2049</v>
      </c>
      <c r="C913" t="s">
        <v>8332</v>
      </c>
      <c r="E913" s="12" t="s">
        <v>8333</v>
      </c>
      <c r="F913" s="12" t="s">
        <v>8343</v>
      </c>
      <c r="G913" t="s">
        <v>8344</v>
      </c>
      <c r="H913" t="s">
        <v>8345</v>
      </c>
    </row>
    <row r="914" spans="1:8" ht="15.75" customHeight="1">
      <c r="A914" t="s">
        <v>2048</v>
      </c>
      <c r="B914" t="s">
        <v>2049</v>
      </c>
      <c r="C914" t="s">
        <v>8332</v>
      </c>
      <c r="E914" s="12" t="s">
        <v>8333</v>
      </c>
      <c r="F914" s="12" t="s">
        <v>8346</v>
      </c>
      <c r="G914" t="s">
        <v>8347</v>
      </c>
      <c r="H914" t="s">
        <v>8348</v>
      </c>
    </row>
    <row r="915" spans="1:8" ht="15.75" customHeight="1">
      <c r="A915" t="s">
        <v>2048</v>
      </c>
      <c r="B915" t="s">
        <v>2049</v>
      </c>
      <c r="C915" t="s">
        <v>8332</v>
      </c>
      <c r="E915" s="12" t="s">
        <v>8333</v>
      </c>
      <c r="F915" s="12" t="s">
        <v>8349</v>
      </c>
      <c r="G915" t="s">
        <v>8350</v>
      </c>
      <c r="H915" t="s">
        <v>8351</v>
      </c>
    </row>
    <row r="916" spans="1:8" ht="15.75" customHeight="1">
      <c r="A916" t="s">
        <v>2048</v>
      </c>
      <c r="B916" t="s">
        <v>2049</v>
      </c>
      <c r="C916" t="s">
        <v>8332</v>
      </c>
      <c r="E916" s="12" t="s">
        <v>8333</v>
      </c>
      <c r="F916" s="12" t="s">
        <v>8352</v>
      </c>
      <c r="G916" t="s">
        <v>8353</v>
      </c>
      <c r="H916" t="s">
        <v>8354</v>
      </c>
    </row>
    <row r="917" spans="1:8" ht="15.75" customHeight="1">
      <c r="A917" t="s">
        <v>2048</v>
      </c>
      <c r="B917" t="s">
        <v>2049</v>
      </c>
      <c r="C917" t="s">
        <v>8332</v>
      </c>
      <c r="E917" s="12" t="s">
        <v>8333</v>
      </c>
      <c r="F917" s="12" t="s">
        <v>8355</v>
      </c>
      <c r="G917" t="s">
        <v>8356</v>
      </c>
      <c r="H917" t="s">
        <v>8357</v>
      </c>
    </row>
    <row r="918" spans="1:8" ht="15.75" customHeight="1">
      <c r="A918" t="s">
        <v>2048</v>
      </c>
      <c r="B918" t="s">
        <v>2049</v>
      </c>
      <c r="C918" t="s">
        <v>8332</v>
      </c>
      <c r="E918" s="12" t="s">
        <v>8333</v>
      </c>
      <c r="F918" s="12" t="s">
        <v>8358</v>
      </c>
      <c r="G918" t="s">
        <v>8359</v>
      </c>
      <c r="H918" t="s">
        <v>8360</v>
      </c>
    </row>
    <row r="919" spans="1:8" ht="15.75" customHeight="1">
      <c r="A919" t="s">
        <v>2048</v>
      </c>
      <c r="B919" t="s">
        <v>2049</v>
      </c>
      <c r="C919" t="s">
        <v>8332</v>
      </c>
      <c r="E919" s="12" t="s">
        <v>8333</v>
      </c>
      <c r="F919" s="12" t="s">
        <v>8361</v>
      </c>
      <c r="G919" t="s">
        <v>8362</v>
      </c>
      <c r="H919" t="s">
        <v>8363</v>
      </c>
    </row>
    <row r="920" spans="1:8" ht="15.75" customHeight="1">
      <c r="A920" t="s">
        <v>2048</v>
      </c>
      <c r="B920" t="s">
        <v>2049</v>
      </c>
      <c r="C920" t="s">
        <v>8332</v>
      </c>
      <c r="E920" s="12" t="s">
        <v>8333</v>
      </c>
      <c r="F920" s="12" t="s">
        <v>8364</v>
      </c>
      <c r="G920" t="s">
        <v>8365</v>
      </c>
      <c r="H920" t="s">
        <v>8366</v>
      </c>
    </row>
    <row r="921" spans="1:8" ht="15.75" customHeight="1">
      <c r="A921" t="s">
        <v>2048</v>
      </c>
      <c r="B921" t="s">
        <v>2049</v>
      </c>
      <c r="C921" t="s">
        <v>8332</v>
      </c>
      <c r="E921" s="12" t="s">
        <v>8333</v>
      </c>
      <c r="F921" s="12" t="s">
        <v>8367</v>
      </c>
      <c r="G921" t="s">
        <v>8368</v>
      </c>
      <c r="H921" t="s">
        <v>8369</v>
      </c>
    </row>
    <row r="922" spans="1:8" ht="15.75" customHeight="1">
      <c r="A922" t="s">
        <v>2048</v>
      </c>
      <c r="B922" t="s">
        <v>2049</v>
      </c>
      <c r="C922" t="s">
        <v>8332</v>
      </c>
      <c r="E922" s="12" t="s">
        <v>8333</v>
      </c>
      <c r="F922" s="12" t="s">
        <v>8370</v>
      </c>
      <c r="G922" t="s">
        <v>8371</v>
      </c>
      <c r="H922" t="s">
        <v>8372</v>
      </c>
    </row>
    <row r="923" spans="1:8" ht="15.75" customHeight="1">
      <c r="A923" t="s">
        <v>2048</v>
      </c>
      <c r="B923" t="s">
        <v>2049</v>
      </c>
      <c r="C923" t="s">
        <v>8332</v>
      </c>
      <c r="E923" s="12" t="s">
        <v>8333</v>
      </c>
      <c r="F923" s="12" t="s">
        <v>8373</v>
      </c>
      <c r="G923" t="s">
        <v>8374</v>
      </c>
      <c r="H923" t="s">
        <v>8336</v>
      </c>
    </row>
    <row r="924" spans="1:8" ht="15.75" customHeight="1">
      <c r="A924" t="s">
        <v>2048</v>
      </c>
      <c r="B924" t="s">
        <v>2049</v>
      </c>
      <c r="C924" t="s">
        <v>8332</v>
      </c>
      <c r="E924" s="12" t="s">
        <v>8333</v>
      </c>
      <c r="F924" s="12" t="s">
        <v>8375</v>
      </c>
      <c r="G924" t="s">
        <v>8376</v>
      </c>
      <c r="H924" t="s">
        <v>8345</v>
      </c>
    </row>
    <row r="925" spans="1:8" ht="15.75" customHeight="1">
      <c r="A925" t="s">
        <v>2048</v>
      </c>
      <c r="B925" t="s">
        <v>2049</v>
      </c>
      <c r="C925" t="s">
        <v>8332</v>
      </c>
      <c r="E925" s="12" t="s">
        <v>8333</v>
      </c>
      <c r="F925" s="12" t="s">
        <v>8377</v>
      </c>
      <c r="G925" t="s">
        <v>8378</v>
      </c>
      <c r="H925" t="s">
        <v>8379</v>
      </c>
    </row>
    <row r="926" spans="1:8" ht="15.75" customHeight="1">
      <c r="A926" t="s">
        <v>2048</v>
      </c>
      <c r="B926" t="s">
        <v>2049</v>
      </c>
      <c r="C926" t="s">
        <v>8332</v>
      </c>
      <c r="E926" s="12" t="s">
        <v>8333</v>
      </c>
      <c r="F926" s="12" t="s">
        <v>8380</v>
      </c>
      <c r="G926" t="s">
        <v>8381</v>
      </c>
      <c r="H926" t="s">
        <v>8382</v>
      </c>
    </row>
    <row r="927" spans="1:8" ht="15.75" customHeight="1">
      <c r="A927" t="s">
        <v>2048</v>
      </c>
      <c r="B927" t="s">
        <v>2049</v>
      </c>
      <c r="C927" t="s">
        <v>8332</v>
      </c>
      <c r="E927" s="12" t="s">
        <v>8333</v>
      </c>
      <c r="F927" s="12" t="s">
        <v>8383</v>
      </c>
      <c r="G927" t="s">
        <v>8384</v>
      </c>
      <c r="H927" t="s">
        <v>8348</v>
      </c>
    </row>
    <row r="928" spans="1:8" ht="15.75" customHeight="1">
      <c r="A928" t="s">
        <v>2048</v>
      </c>
      <c r="B928" t="s">
        <v>2049</v>
      </c>
      <c r="C928" t="s">
        <v>8332</v>
      </c>
      <c r="E928" s="12" t="s">
        <v>8333</v>
      </c>
      <c r="F928" s="12" t="s">
        <v>8385</v>
      </c>
      <c r="G928" t="s">
        <v>8386</v>
      </c>
      <c r="H928" t="s">
        <v>8387</v>
      </c>
    </row>
    <row r="929" spans="1:8" ht="15.75" customHeight="1">
      <c r="A929" t="s">
        <v>2052</v>
      </c>
      <c r="B929" t="s">
        <v>2053</v>
      </c>
    </row>
    <row r="930" spans="1:8" ht="15.75" customHeight="1">
      <c r="A930" t="s">
        <v>2056</v>
      </c>
      <c r="B930" t="s">
        <v>2057</v>
      </c>
      <c r="C930" t="s">
        <v>8388</v>
      </c>
      <c r="E930" s="12" t="s">
        <v>8389</v>
      </c>
      <c r="F930" s="12" t="s">
        <v>8390</v>
      </c>
      <c r="G930" t="s">
        <v>8391</v>
      </c>
      <c r="H930" t="s">
        <v>8392</v>
      </c>
    </row>
    <row r="931" spans="1:8" ht="15.75" customHeight="1">
      <c r="A931" t="s">
        <v>2056</v>
      </c>
      <c r="B931" t="s">
        <v>2057</v>
      </c>
      <c r="C931" t="s">
        <v>8388</v>
      </c>
      <c r="E931" s="12" t="s">
        <v>8389</v>
      </c>
      <c r="F931" s="12" t="s">
        <v>8393</v>
      </c>
      <c r="G931" t="s">
        <v>8394</v>
      </c>
      <c r="H931" t="s">
        <v>8395</v>
      </c>
    </row>
    <row r="932" spans="1:8" ht="15.75" customHeight="1">
      <c r="A932" t="s">
        <v>2060</v>
      </c>
      <c r="B932" t="s">
        <v>2061</v>
      </c>
      <c r="C932" t="s">
        <v>8396</v>
      </c>
      <c r="E932" s="12" t="s">
        <v>8397</v>
      </c>
      <c r="F932" s="12" t="s">
        <v>8398</v>
      </c>
      <c r="G932" t="s">
        <v>8399</v>
      </c>
      <c r="H932" t="s">
        <v>8400</v>
      </c>
    </row>
    <row r="933" spans="1:8" ht="15.75" customHeight="1">
      <c r="A933" t="s">
        <v>2063</v>
      </c>
      <c r="B933" t="s">
        <v>2064</v>
      </c>
      <c r="C933" t="s">
        <v>7669</v>
      </c>
      <c r="E933" s="12" t="s">
        <v>7670</v>
      </c>
      <c r="F933" s="12" t="s">
        <v>7671</v>
      </c>
      <c r="G933" s="10" t="s">
        <v>7672</v>
      </c>
      <c r="H933" s="10" t="s">
        <v>7673</v>
      </c>
    </row>
    <row r="934" spans="1:8" ht="15.75" customHeight="1">
      <c r="A934" t="s">
        <v>2063</v>
      </c>
      <c r="B934" t="s">
        <v>2064</v>
      </c>
      <c r="C934" t="s">
        <v>7669</v>
      </c>
      <c r="E934" s="12" t="s">
        <v>7670</v>
      </c>
      <c r="F934" s="12" t="s">
        <v>7674</v>
      </c>
      <c r="G934" s="10" t="s">
        <v>7675</v>
      </c>
      <c r="H934" s="10" t="s">
        <v>7676</v>
      </c>
    </row>
    <row r="935" spans="1:8" ht="15.75" customHeight="1">
      <c r="A935" t="s">
        <v>2063</v>
      </c>
      <c r="B935" t="s">
        <v>2064</v>
      </c>
      <c r="C935" t="s">
        <v>7669</v>
      </c>
      <c r="E935" s="12" t="s">
        <v>7670</v>
      </c>
      <c r="F935" s="12" t="s">
        <v>7677</v>
      </c>
      <c r="G935" s="10" t="s">
        <v>7678</v>
      </c>
      <c r="H935" s="10" t="s">
        <v>7679</v>
      </c>
    </row>
    <row r="936" spans="1:8" ht="15.75" customHeight="1">
      <c r="A936" t="s">
        <v>2063</v>
      </c>
      <c r="B936" t="s">
        <v>2064</v>
      </c>
      <c r="C936" t="s">
        <v>7669</v>
      </c>
      <c r="E936" s="12" t="s">
        <v>7670</v>
      </c>
      <c r="F936" s="12" t="s">
        <v>7680</v>
      </c>
      <c r="G936" s="10" t="s">
        <v>7681</v>
      </c>
      <c r="H936" s="10" t="s">
        <v>7682</v>
      </c>
    </row>
    <row r="937" spans="1:8" ht="15.75" customHeight="1">
      <c r="A937" t="s">
        <v>2063</v>
      </c>
      <c r="B937" t="s">
        <v>2064</v>
      </c>
      <c r="C937" t="s">
        <v>7669</v>
      </c>
      <c r="E937" s="12" t="s">
        <v>7670</v>
      </c>
      <c r="F937" s="12" t="s">
        <v>7683</v>
      </c>
      <c r="G937" s="10" t="s">
        <v>7684</v>
      </c>
      <c r="H937" s="10" t="s">
        <v>7685</v>
      </c>
    </row>
    <row r="938" spans="1:8" ht="15.75" customHeight="1">
      <c r="A938" t="s">
        <v>2063</v>
      </c>
      <c r="B938" t="s">
        <v>2064</v>
      </c>
      <c r="C938" t="s">
        <v>7669</v>
      </c>
      <c r="E938" s="12" t="s">
        <v>7670</v>
      </c>
      <c r="F938" s="12" t="s">
        <v>7686</v>
      </c>
      <c r="G938" s="10" t="s">
        <v>7687</v>
      </c>
      <c r="H938" s="10" t="s">
        <v>7688</v>
      </c>
    </row>
    <row r="939" spans="1:8" ht="15.75" customHeight="1">
      <c r="A939" t="s">
        <v>2063</v>
      </c>
      <c r="B939" t="s">
        <v>2064</v>
      </c>
      <c r="C939" t="s">
        <v>7669</v>
      </c>
      <c r="E939" s="12" t="s">
        <v>7670</v>
      </c>
      <c r="F939" s="12" t="s">
        <v>7689</v>
      </c>
      <c r="G939" s="10" t="s">
        <v>7690</v>
      </c>
      <c r="H939" s="10" t="s">
        <v>7691</v>
      </c>
    </row>
    <row r="940" spans="1:8" ht="15.75" customHeight="1">
      <c r="A940" t="s">
        <v>2063</v>
      </c>
      <c r="B940" t="s">
        <v>2064</v>
      </c>
      <c r="C940" t="s">
        <v>7669</v>
      </c>
      <c r="E940" s="12" t="s">
        <v>7670</v>
      </c>
      <c r="F940" s="12" t="s">
        <v>7692</v>
      </c>
      <c r="G940" s="10" t="s">
        <v>7693</v>
      </c>
      <c r="H940" s="10" t="s">
        <v>7694</v>
      </c>
    </row>
    <row r="941" spans="1:8" ht="15.75" customHeight="1">
      <c r="A941" t="s">
        <v>2063</v>
      </c>
      <c r="B941" t="s">
        <v>2064</v>
      </c>
      <c r="C941" t="s">
        <v>7669</v>
      </c>
      <c r="E941" s="12" t="s">
        <v>7670</v>
      </c>
      <c r="F941" s="12" t="s">
        <v>7695</v>
      </c>
      <c r="G941" s="10" t="s">
        <v>7696</v>
      </c>
      <c r="H941" s="10" t="s">
        <v>7697</v>
      </c>
    </row>
    <row r="942" spans="1:8" ht="15.75" customHeight="1">
      <c r="A942" t="s">
        <v>2063</v>
      </c>
      <c r="B942" t="s">
        <v>2064</v>
      </c>
      <c r="C942" t="s">
        <v>7669</v>
      </c>
      <c r="E942" s="12" t="s">
        <v>7670</v>
      </c>
      <c r="F942" s="12" t="s">
        <v>7698</v>
      </c>
      <c r="G942" s="10" t="s">
        <v>7699</v>
      </c>
      <c r="H942" s="10" t="s">
        <v>7700</v>
      </c>
    </row>
    <row r="943" spans="1:8" ht="15.75" customHeight="1">
      <c r="A943" t="s">
        <v>2063</v>
      </c>
      <c r="B943" t="s">
        <v>2064</v>
      </c>
      <c r="C943" t="s">
        <v>7669</v>
      </c>
      <c r="E943" s="12" t="s">
        <v>7670</v>
      </c>
      <c r="F943" s="12" t="s">
        <v>7701</v>
      </c>
      <c r="G943" s="10" t="s">
        <v>7702</v>
      </c>
      <c r="H943" s="10" t="s">
        <v>7703</v>
      </c>
    </row>
    <row r="944" spans="1:8" ht="15.75" customHeight="1">
      <c r="A944" t="s">
        <v>2063</v>
      </c>
      <c r="B944" t="s">
        <v>2064</v>
      </c>
      <c r="C944" t="s">
        <v>7669</v>
      </c>
      <c r="E944" s="12" t="s">
        <v>7670</v>
      </c>
      <c r="F944" s="12" t="s">
        <v>7704</v>
      </c>
      <c r="G944" s="10" t="s">
        <v>7705</v>
      </c>
      <c r="H944" s="10" t="s">
        <v>7706</v>
      </c>
    </row>
    <row r="945" spans="1:8" ht="15.75" customHeight="1">
      <c r="A945" t="s">
        <v>2063</v>
      </c>
      <c r="B945" t="s">
        <v>2064</v>
      </c>
      <c r="C945" t="s">
        <v>7669</v>
      </c>
      <c r="E945" s="12" t="s">
        <v>7670</v>
      </c>
      <c r="F945" s="12" t="s">
        <v>7707</v>
      </c>
      <c r="G945" s="10" t="s">
        <v>7708</v>
      </c>
      <c r="H945" s="10" t="s">
        <v>7709</v>
      </c>
    </row>
    <row r="946" spans="1:8" ht="15.75" customHeight="1">
      <c r="A946" t="s">
        <v>2063</v>
      </c>
      <c r="B946" t="s">
        <v>2064</v>
      </c>
      <c r="C946" t="s">
        <v>7669</v>
      </c>
      <c r="E946" s="12" t="s">
        <v>7670</v>
      </c>
      <c r="F946" s="12" t="s">
        <v>7710</v>
      </c>
      <c r="G946" s="10" t="s">
        <v>7711</v>
      </c>
      <c r="H946" s="10" t="s">
        <v>7712</v>
      </c>
    </row>
    <row r="947" spans="1:8" ht="15.75" customHeight="1">
      <c r="A947" t="s">
        <v>2063</v>
      </c>
      <c r="B947" t="s">
        <v>2064</v>
      </c>
      <c r="C947" t="s">
        <v>7669</v>
      </c>
      <c r="E947" s="12" t="s">
        <v>7670</v>
      </c>
      <c r="F947" s="12" t="s">
        <v>7713</v>
      </c>
      <c r="G947" s="10" t="s">
        <v>7714</v>
      </c>
      <c r="H947" s="10" t="s">
        <v>7715</v>
      </c>
    </row>
    <row r="948" spans="1:8" ht="15.75" customHeight="1">
      <c r="A948" t="s">
        <v>2063</v>
      </c>
      <c r="B948" t="s">
        <v>2064</v>
      </c>
      <c r="C948" t="s">
        <v>7669</v>
      </c>
      <c r="E948" s="12" t="s">
        <v>7670</v>
      </c>
      <c r="F948" s="12" t="s">
        <v>7716</v>
      </c>
      <c r="G948" s="10" t="s">
        <v>7717</v>
      </c>
      <c r="H948" s="10" t="s">
        <v>7718</v>
      </c>
    </row>
    <row r="949" spans="1:8" ht="15.75" customHeight="1">
      <c r="A949" t="s">
        <v>2063</v>
      </c>
      <c r="B949" t="s">
        <v>2064</v>
      </c>
      <c r="C949" t="s">
        <v>7669</v>
      </c>
      <c r="E949" s="12" t="s">
        <v>7670</v>
      </c>
      <c r="F949" s="12" t="s">
        <v>7719</v>
      </c>
      <c r="G949" s="10" t="s">
        <v>7720</v>
      </c>
      <c r="H949" s="10" t="s">
        <v>7721</v>
      </c>
    </row>
    <row r="950" spans="1:8" ht="15.75" customHeight="1">
      <c r="A950" t="s">
        <v>2063</v>
      </c>
      <c r="B950" t="s">
        <v>2064</v>
      </c>
      <c r="C950" t="s">
        <v>7669</v>
      </c>
      <c r="E950" s="12" t="s">
        <v>7670</v>
      </c>
      <c r="F950" s="12" t="s">
        <v>7722</v>
      </c>
      <c r="G950" s="10" t="s">
        <v>7723</v>
      </c>
      <c r="H950" s="10" t="s">
        <v>7724</v>
      </c>
    </row>
    <row r="951" spans="1:8" ht="15.75" customHeight="1">
      <c r="A951" t="s">
        <v>2063</v>
      </c>
      <c r="B951" t="s">
        <v>2064</v>
      </c>
      <c r="C951" t="s">
        <v>7669</v>
      </c>
      <c r="E951" s="12" t="s">
        <v>7670</v>
      </c>
      <c r="F951" s="12" t="s">
        <v>7725</v>
      </c>
      <c r="G951" s="10" t="s">
        <v>7726</v>
      </c>
      <c r="H951" s="10" t="s">
        <v>7727</v>
      </c>
    </row>
    <row r="952" spans="1:8" ht="15.75" customHeight="1">
      <c r="A952" t="s">
        <v>2067</v>
      </c>
      <c r="B952" t="s">
        <v>2068</v>
      </c>
    </row>
    <row r="953" spans="1:8" ht="15.75" customHeight="1">
      <c r="A953" t="s">
        <v>2070</v>
      </c>
      <c r="B953" t="s">
        <v>2071</v>
      </c>
    </row>
    <row r="954" spans="1:8" ht="15.75" customHeight="1">
      <c r="A954" t="s">
        <v>2074</v>
      </c>
      <c r="B954" t="s">
        <v>2075</v>
      </c>
    </row>
    <row r="955" spans="1:8" ht="15.75" customHeight="1">
      <c r="A955" t="s">
        <v>2077</v>
      </c>
      <c r="B955" t="s">
        <v>2078</v>
      </c>
      <c r="C955" t="s">
        <v>8396</v>
      </c>
      <c r="E955" s="12" t="s">
        <v>8397</v>
      </c>
      <c r="F955" s="12" t="s">
        <v>8398</v>
      </c>
      <c r="G955" t="s">
        <v>8399</v>
      </c>
      <c r="H955" t="s">
        <v>8400</v>
      </c>
    </row>
    <row r="956" spans="1:8" ht="15.75" customHeight="1">
      <c r="A956" t="s">
        <v>2080</v>
      </c>
      <c r="B956" t="s">
        <v>2081</v>
      </c>
      <c r="C956" t="s">
        <v>8401</v>
      </c>
    </row>
    <row r="957" spans="1:8" ht="15.75" customHeight="1">
      <c r="A957" t="s">
        <v>2083</v>
      </c>
      <c r="B957" t="s">
        <v>2084</v>
      </c>
    </row>
    <row r="958" spans="1:8" ht="15.75" customHeight="1">
      <c r="A958" t="s">
        <v>2087</v>
      </c>
      <c r="B958" t="s">
        <v>2088</v>
      </c>
      <c r="C958" t="s">
        <v>8402</v>
      </c>
      <c r="E958" s="12" t="s">
        <v>8403</v>
      </c>
      <c r="F958" s="12" t="s">
        <v>8404</v>
      </c>
      <c r="G958" t="s">
        <v>8405</v>
      </c>
      <c r="H958" t="s">
        <v>8406</v>
      </c>
    </row>
    <row r="959" spans="1:8" ht="15.75" customHeight="1">
      <c r="A959" t="s">
        <v>2087</v>
      </c>
      <c r="B959" t="s">
        <v>2088</v>
      </c>
      <c r="C959" t="s">
        <v>8402</v>
      </c>
      <c r="E959" s="12" t="s">
        <v>8403</v>
      </c>
      <c r="F959" s="12" t="s">
        <v>8407</v>
      </c>
      <c r="G959" t="s">
        <v>8408</v>
      </c>
      <c r="H959" t="s">
        <v>8409</v>
      </c>
    </row>
    <row r="960" spans="1:8" ht="15.75" customHeight="1">
      <c r="A960" t="s">
        <v>2087</v>
      </c>
      <c r="B960" t="s">
        <v>2088</v>
      </c>
      <c r="C960" t="s">
        <v>8402</v>
      </c>
      <c r="E960" s="12" t="s">
        <v>8403</v>
      </c>
      <c r="F960" s="12" t="s">
        <v>8410</v>
      </c>
      <c r="G960" t="s">
        <v>8411</v>
      </c>
      <c r="H960" t="s">
        <v>8412</v>
      </c>
    </row>
    <row r="961" spans="1:8" ht="15.75" customHeight="1">
      <c r="A961" t="s">
        <v>2091</v>
      </c>
      <c r="B961" t="s">
        <v>2092</v>
      </c>
      <c r="C961" t="s">
        <v>8413</v>
      </c>
      <c r="E961" s="12" t="s">
        <v>8414</v>
      </c>
      <c r="F961" s="12" t="s">
        <v>8415</v>
      </c>
      <c r="G961" t="s">
        <v>8416</v>
      </c>
      <c r="H961" t="s">
        <v>8417</v>
      </c>
    </row>
    <row r="962" spans="1:8" ht="15.75" customHeight="1">
      <c r="A962" t="s">
        <v>2095</v>
      </c>
      <c r="B962" t="s">
        <v>2096</v>
      </c>
      <c r="C962" t="s">
        <v>8418</v>
      </c>
      <c r="E962" s="12" t="s">
        <v>8419</v>
      </c>
      <c r="F962" s="12" t="s">
        <v>8420</v>
      </c>
      <c r="G962" t="s">
        <v>8421</v>
      </c>
      <c r="H962" t="s">
        <v>8422</v>
      </c>
    </row>
    <row r="963" spans="1:8" ht="15.75" customHeight="1">
      <c r="A963" t="s">
        <v>2095</v>
      </c>
      <c r="B963" t="s">
        <v>2096</v>
      </c>
      <c r="C963" t="s">
        <v>8418</v>
      </c>
      <c r="E963" s="12" t="s">
        <v>8419</v>
      </c>
      <c r="F963" s="12" t="s">
        <v>8423</v>
      </c>
      <c r="G963" t="s">
        <v>8424</v>
      </c>
      <c r="H963" t="s">
        <v>8425</v>
      </c>
    </row>
    <row r="964" spans="1:8" ht="15.75" customHeight="1">
      <c r="A964" t="s">
        <v>2098</v>
      </c>
      <c r="B964" t="s">
        <v>2099</v>
      </c>
    </row>
    <row r="965" spans="1:8" ht="15.75" customHeight="1">
      <c r="A965" t="s">
        <v>2101</v>
      </c>
      <c r="B965" t="s">
        <v>2102</v>
      </c>
    </row>
    <row r="966" spans="1:8" ht="15.75" customHeight="1">
      <c r="A966" t="s">
        <v>2104</v>
      </c>
      <c r="B966" t="s">
        <v>2105</v>
      </c>
    </row>
    <row r="967" spans="1:8" ht="15.75" customHeight="1">
      <c r="A967" t="s">
        <v>2108</v>
      </c>
      <c r="B967" t="s">
        <v>2109</v>
      </c>
      <c r="C967" t="s">
        <v>8426</v>
      </c>
      <c r="E967" s="12" t="s">
        <v>8427</v>
      </c>
      <c r="F967" s="12" t="s">
        <v>8428</v>
      </c>
      <c r="G967" t="s">
        <v>8429</v>
      </c>
      <c r="H967" t="s">
        <v>8430</v>
      </c>
    </row>
    <row r="968" spans="1:8" ht="15.75" customHeight="1">
      <c r="A968" t="s">
        <v>2108</v>
      </c>
      <c r="B968" t="s">
        <v>2109</v>
      </c>
      <c r="C968" t="s">
        <v>8431</v>
      </c>
      <c r="E968" s="12" t="s">
        <v>8432</v>
      </c>
      <c r="F968" s="12" t="s">
        <v>8433</v>
      </c>
      <c r="G968" t="s">
        <v>8434</v>
      </c>
      <c r="H968" t="s">
        <v>8435</v>
      </c>
    </row>
    <row r="969" spans="1:8" ht="15.75" customHeight="1">
      <c r="A969" t="s">
        <v>2108</v>
      </c>
      <c r="B969" t="s">
        <v>2109</v>
      </c>
      <c r="C969" t="s">
        <v>8431</v>
      </c>
      <c r="E969" s="12" t="s">
        <v>8432</v>
      </c>
      <c r="F969" s="12" t="s">
        <v>8436</v>
      </c>
      <c r="G969" t="s">
        <v>8437</v>
      </c>
      <c r="H969" t="s">
        <v>8438</v>
      </c>
    </row>
    <row r="970" spans="1:8" ht="15.75" customHeight="1">
      <c r="A970" t="s">
        <v>2111</v>
      </c>
      <c r="B970" t="s">
        <v>2112</v>
      </c>
      <c r="C970" t="s">
        <v>8439</v>
      </c>
      <c r="E970" s="12" t="s">
        <v>8440</v>
      </c>
      <c r="F970" s="12" t="s">
        <v>8441</v>
      </c>
      <c r="G970" t="s">
        <v>8442</v>
      </c>
      <c r="H970" t="s">
        <v>8443</v>
      </c>
    </row>
    <row r="971" spans="1:8" ht="15.75" customHeight="1">
      <c r="A971" t="s">
        <v>2111</v>
      </c>
      <c r="B971" t="s">
        <v>2112</v>
      </c>
      <c r="C971" t="s">
        <v>8439</v>
      </c>
      <c r="E971" s="12" t="s">
        <v>8440</v>
      </c>
      <c r="F971" s="12" t="s">
        <v>8444</v>
      </c>
      <c r="G971" t="s">
        <v>8445</v>
      </c>
      <c r="H971" t="s">
        <v>8446</v>
      </c>
    </row>
    <row r="972" spans="1:8" ht="15.75" customHeight="1">
      <c r="A972" t="s">
        <v>2114</v>
      </c>
      <c r="B972" t="s">
        <v>2115</v>
      </c>
    </row>
    <row r="973" spans="1:8" ht="15.75" customHeight="1">
      <c r="A973" t="s">
        <v>2118</v>
      </c>
      <c r="B973" t="s">
        <v>2119</v>
      </c>
    </row>
    <row r="974" spans="1:8" ht="15.75" customHeight="1">
      <c r="A974" t="s">
        <v>2122</v>
      </c>
      <c r="B974" t="s">
        <v>2123</v>
      </c>
    </row>
    <row r="975" spans="1:8" ht="15.75" customHeight="1">
      <c r="A975" t="s">
        <v>2124</v>
      </c>
      <c r="B975" t="s">
        <v>2125</v>
      </c>
    </row>
    <row r="976" spans="1:8" ht="15.75" customHeight="1">
      <c r="A976" t="s">
        <v>2126</v>
      </c>
      <c r="B976" t="s">
        <v>2127</v>
      </c>
    </row>
    <row r="977" spans="1:8" ht="15.75" customHeight="1">
      <c r="A977" t="s">
        <v>2130</v>
      </c>
      <c r="B977" t="s">
        <v>2131</v>
      </c>
      <c r="C977" t="s">
        <v>7188</v>
      </c>
    </row>
    <row r="978" spans="1:8" ht="15.75" customHeight="1">
      <c r="A978" t="s">
        <v>2133</v>
      </c>
      <c r="B978" t="s">
        <v>2134</v>
      </c>
    </row>
    <row r="979" spans="1:8" ht="15.75" customHeight="1">
      <c r="A979" t="s">
        <v>2136</v>
      </c>
      <c r="B979" t="s">
        <v>2137</v>
      </c>
    </row>
    <row r="980" spans="1:8" ht="15.75" customHeight="1">
      <c r="A980" t="s">
        <v>2140</v>
      </c>
      <c r="B980" t="s">
        <v>2141</v>
      </c>
      <c r="C980" t="s">
        <v>8447</v>
      </c>
      <c r="E980" s="12" t="s">
        <v>8448</v>
      </c>
      <c r="F980" s="12" t="s">
        <v>8449</v>
      </c>
      <c r="G980" t="s">
        <v>8450</v>
      </c>
      <c r="H980" t="s">
        <v>8451</v>
      </c>
    </row>
    <row r="981" spans="1:8" ht="15.75" customHeight="1">
      <c r="A981" t="s">
        <v>2140</v>
      </c>
      <c r="B981" t="s">
        <v>2141</v>
      </c>
      <c r="C981" t="s">
        <v>8447</v>
      </c>
      <c r="E981" s="12" t="s">
        <v>8448</v>
      </c>
      <c r="F981" s="12" t="s">
        <v>8452</v>
      </c>
      <c r="G981" t="s">
        <v>8453</v>
      </c>
      <c r="H981" t="s">
        <v>8454</v>
      </c>
    </row>
    <row r="982" spans="1:8" ht="15.75" customHeight="1">
      <c r="A982" t="s">
        <v>2140</v>
      </c>
      <c r="B982" t="s">
        <v>2141</v>
      </c>
      <c r="C982" t="s">
        <v>8447</v>
      </c>
      <c r="E982" s="12" t="s">
        <v>8448</v>
      </c>
      <c r="F982" s="12" t="s">
        <v>8455</v>
      </c>
      <c r="G982" t="s">
        <v>8456</v>
      </c>
      <c r="H982" t="s">
        <v>8454</v>
      </c>
    </row>
    <row r="983" spans="1:8" ht="15.75" customHeight="1">
      <c r="A983" t="s">
        <v>2140</v>
      </c>
      <c r="B983" t="s">
        <v>2141</v>
      </c>
      <c r="C983" t="s">
        <v>8447</v>
      </c>
      <c r="E983" s="12" t="s">
        <v>8448</v>
      </c>
      <c r="F983" s="12" t="s">
        <v>8457</v>
      </c>
      <c r="G983" t="s">
        <v>8458</v>
      </c>
      <c r="H983" t="s">
        <v>8459</v>
      </c>
    </row>
    <row r="984" spans="1:8" ht="15.75" customHeight="1">
      <c r="A984" t="s">
        <v>2140</v>
      </c>
      <c r="B984" t="s">
        <v>2141</v>
      </c>
      <c r="C984" t="s">
        <v>8447</v>
      </c>
      <c r="E984" s="12" t="s">
        <v>8448</v>
      </c>
      <c r="F984" s="12" t="s">
        <v>8460</v>
      </c>
      <c r="G984" t="s">
        <v>8461</v>
      </c>
      <c r="H984" t="s">
        <v>8462</v>
      </c>
    </row>
    <row r="985" spans="1:8" ht="15.75" customHeight="1">
      <c r="A985" t="s">
        <v>2140</v>
      </c>
      <c r="B985" t="s">
        <v>2141</v>
      </c>
      <c r="C985" t="s">
        <v>8447</v>
      </c>
      <c r="E985" s="12" t="s">
        <v>8448</v>
      </c>
      <c r="F985" s="12" t="s">
        <v>8463</v>
      </c>
      <c r="G985" t="s">
        <v>8464</v>
      </c>
      <c r="H985" t="s">
        <v>8465</v>
      </c>
    </row>
    <row r="986" spans="1:8" ht="15.75" customHeight="1">
      <c r="A986" t="s">
        <v>2144</v>
      </c>
      <c r="B986" t="s">
        <v>2145</v>
      </c>
      <c r="C986" t="s">
        <v>8466</v>
      </c>
      <c r="E986" s="12" t="s">
        <v>8467</v>
      </c>
      <c r="F986" s="12" t="s">
        <v>8468</v>
      </c>
      <c r="G986" t="s">
        <v>7592</v>
      </c>
      <c r="H986" t="s">
        <v>8469</v>
      </c>
    </row>
    <row r="987" spans="1:8" ht="15.75" customHeight="1">
      <c r="A987" t="s">
        <v>2148</v>
      </c>
      <c r="B987" t="s">
        <v>2149</v>
      </c>
      <c r="C987" t="s">
        <v>8470</v>
      </c>
      <c r="E987" s="12" t="s">
        <v>8471</v>
      </c>
      <c r="F987" s="12" t="s">
        <v>8472</v>
      </c>
      <c r="G987" t="s">
        <v>8473</v>
      </c>
      <c r="H987" t="s">
        <v>8474</v>
      </c>
    </row>
    <row r="988" spans="1:8" ht="15.75" customHeight="1">
      <c r="A988" t="s">
        <v>2148</v>
      </c>
      <c r="B988" t="s">
        <v>2149</v>
      </c>
      <c r="C988" t="s">
        <v>8470</v>
      </c>
      <c r="E988" s="12" t="s">
        <v>8471</v>
      </c>
      <c r="F988" s="12" t="s">
        <v>8475</v>
      </c>
      <c r="G988" t="s">
        <v>8476</v>
      </c>
      <c r="H988" t="s">
        <v>8474</v>
      </c>
    </row>
    <row r="989" spans="1:8" ht="15.75" customHeight="1">
      <c r="A989" t="s">
        <v>2148</v>
      </c>
      <c r="B989" t="s">
        <v>2149</v>
      </c>
      <c r="C989" t="s">
        <v>8470</v>
      </c>
      <c r="E989" s="12" t="s">
        <v>8471</v>
      </c>
      <c r="F989" s="12" t="s">
        <v>8477</v>
      </c>
      <c r="G989" t="s">
        <v>8478</v>
      </c>
      <c r="H989" t="s">
        <v>8479</v>
      </c>
    </row>
    <row r="990" spans="1:8" ht="15.75" customHeight="1">
      <c r="A990" t="s">
        <v>2151</v>
      </c>
      <c r="B990" t="s">
        <v>2152</v>
      </c>
    </row>
    <row r="991" spans="1:8" ht="15.75" customHeight="1">
      <c r="A991" t="s">
        <v>2154</v>
      </c>
      <c r="B991" t="s">
        <v>2155</v>
      </c>
    </row>
    <row r="992" spans="1:8" ht="15.75" customHeight="1">
      <c r="A992" t="s">
        <v>2158</v>
      </c>
      <c r="B992" t="s">
        <v>2159</v>
      </c>
    </row>
    <row r="993" spans="1:8" ht="15.75" customHeight="1">
      <c r="A993" t="s">
        <v>2160</v>
      </c>
      <c r="B993" t="s">
        <v>2161</v>
      </c>
    </row>
    <row r="994" spans="1:8" ht="15.75" customHeight="1">
      <c r="A994" t="s">
        <v>2164</v>
      </c>
      <c r="B994" t="s">
        <v>2165</v>
      </c>
      <c r="C994" t="s">
        <v>8480</v>
      </c>
      <c r="E994" s="12" t="s">
        <v>8481</v>
      </c>
      <c r="F994" s="12" t="s">
        <v>8482</v>
      </c>
      <c r="G994" t="s">
        <v>8483</v>
      </c>
      <c r="H994" t="s">
        <v>8484</v>
      </c>
    </row>
    <row r="995" spans="1:8" ht="15.75" customHeight="1">
      <c r="A995" t="s">
        <v>2167</v>
      </c>
      <c r="B995" t="s">
        <v>2168</v>
      </c>
    </row>
    <row r="996" spans="1:8" ht="15.75" customHeight="1">
      <c r="A996" t="s">
        <v>2169</v>
      </c>
      <c r="B996" t="s">
        <v>2170</v>
      </c>
    </row>
    <row r="997" spans="1:8" ht="15.75" customHeight="1">
      <c r="A997" t="s">
        <v>2171</v>
      </c>
      <c r="B997" t="s">
        <v>2172</v>
      </c>
    </row>
    <row r="998" spans="1:8" ht="15.75" customHeight="1">
      <c r="A998" t="s">
        <v>2174</v>
      </c>
      <c r="B998" t="s">
        <v>2175</v>
      </c>
      <c r="C998" t="s">
        <v>8485</v>
      </c>
      <c r="E998" s="12" t="s">
        <v>8486</v>
      </c>
    </row>
    <row r="999" spans="1:8" ht="15.75" customHeight="1">
      <c r="A999" t="s">
        <v>2176</v>
      </c>
      <c r="B999" t="s">
        <v>2177</v>
      </c>
    </row>
    <row r="1000" spans="1:8" ht="15.75" customHeight="1">
      <c r="A1000" t="s">
        <v>2178</v>
      </c>
      <c r="B1000" t="s">
        <v>2179</v>
      </c>
    </row>
    <row r="1001" spans="1:8" ht="15.75" customHeight="1">
      <c r="A1001" t="s">
        <v>2180</v>
      </c>
      <c r="B1001" t="s">
        <v>2181</v>
      </c>
    </row>
    <row r="1002" spans="1:8" ht="15.75" customHeight="1">
      <c r="A1002" t="s">
        <v>2184</v>
      </c>
      <c r="B1002" t="s">
        <v>2185</v>
      </c>
      <c r="C1002" t="s">
        <v>8487</v>
      </c>
      <c r="E1002" s="12" t="s">
        <v>8488</v>
      </c>
      <c r="F1002" s="12" t="s">
        <v>8489</v>
      </c>
      <c r="G1002" t="s">
        <v>8490</v>
      </c>
      <c r="H1002" t="s">
        <v>8491</v>
      </c>
    </row>
    <row r="1003" spans="1:8" ht="15.75" customHeight="1">
      <c r="A1003" t="s">
        <v>2187</v>
      </c>
      <c r="B1003" t="s">
        <v>2188</v>
      </c>
    </row>
    <row r="1004" spans="1:8" ht="15.75" customHeight="1">
      <c r="A1004" t="s">
        <v>2189</v>
      </c>
      <c r="B1004" t="s">
        <v>2190</v>
      </c>
    </row>
    <row r="1005" spans="1:8" ht="15.75" customHeight="1">
      <c r="A1005" t="s">
        <v>2193</v>
      </c>
      <c r="B1005" t="s">
        <v>2194</v>
      </c>
    </row>
    <row r="1006" spans="1:8" ht="15.75" customHeight="1">
      <c r="A1006" t="s">
        <v>2197</v>
      </c>
      <c r="B1006" t="s">
        <v>2198</v>
      </c>
    </row>
    <row r="1007" spans="1:8" ht="15.75" customHeight="1">
      <c r="A1007" t="s">
        <v>2201</v>
      </c>
      <c r="B1007" t="s">
        <v>2202</v>
      </c>
    </row>
    <row r="1008" spans="1:8" ht="15.75" customHeight="1">
      <c r="A1008" t="s">
        <v>2204</v>
      </c>
      <c r="B1008" t="s">
        <v>2205</v>
      </c>
    </row>
    <row r="1009" spans="1:8" ht="15.75" customHeight="1">
      <c r="A1009" t="s">
        <v>2208</v>
      </c>
      <c r="B1009" t="s">
        <v>2209</v>
      </c>
    </row>
    <row r="1010" spans="1:8" ht="15.75" customHeight="1">
      <c r="A1010" t="s">
        <v>2212</v>
      </c>
      <c r="B1010" t="s">
        <v>2213</v>
      </c>
      <c r="C1010" t="s">
        <v>8492</v>
      </c>
      <c r="E1010" s="12" t="s">
        <v>8493</v>
      </c>
      <c r="F1010" s="12" t="s">
        <v>8494</v>
      </c>
      <c r="G1010" t="s">
        <v>8495</v>
      </c>
      <c r="H1010" t="s">
        <v>8496</v>
      </c>
    </row>
    <row r="1011" spans="1:8" ht="15.75" customHeight="1">
      <c r="A1011" t="s">
        <v>2212</v>
      </c>
      <c r="B1011" t="s">
        <v>2213</v>
      </c>
      <c r="C1011" t="s">
        <v>8492</v>
      </c>
      <c r="E1011" s="12" t="s">
        <v>8493</v>
      </c>
      <c r="F1011" s="12" t="s">
        <v>8497</v>
      </c>
      <c r="G1011" t="s">
        <v>8498</v>
      </c>
      <c r="H1011" t="s">
        <v>8499</v>
      </c>
    </row>
    <row r="1012" spans="1:8" ht="15.75" customHeight="1">
      <c r="A1012" t="s">
        <v>2216</v>
      </c>
      <c r="B1012" t="s">
        <v>2217</v>
      </c>
      <c r="C1012" t="s">
        <v>8500</v>
      </c>
    </row>
    <row r="1013" spans="1:8" ht="15.75" customHeight="1">
      <c r="A1013" t="s">
        <v>2218</v>
      </c>
      <c r="B1013" t="s">
        <v>2219</v>
      </c>
    </row>
    <row r="1014" spans="1:8" ht="15.75" customHeight="1">
      <c r="A1014" t="s">
        <v>2220</v>
      </c>
      <c r="B1014" t="s">
        <v>2221</v>
      </c>
    </row>
    <row r="1015" spans="1:8" ht="15.75" customHeight="1">
      <c r="A1015" t="s">
        <v>2224</v>
      </c>
      <c r="B1015" t="s">
        <v>2225</v>
      </c>
      <c r="C1015" t="s">
        <v>8501</v>
      </c>
      <c r="E1015" s="12" t="s">
        <v>8502</v>
      </c>
      <c r="F1015" s="12" t="s">
        <v>8503</v>
      </c>
      <c r="G1015" t="s">
        <v>7506</v>
      </c>
      <c r="H1015" t="s">
        <v>8504</v>
      </c>
    </row>
    <row r="1016" spans="1:8" ht="15.75" customHeight="1">
      <c r="A1016" t="s">
        <v>2226</v>
      </c>
      <c r="B1016" t="s">
        <v>2227</v>
      </c>
    </row>
    <row r="1017" spans="1:8" ht="15.75" customHeight="1">
      <c r="A1017" t="s">
        <v>2230</v>
      </c>
      <c r="B1017" t="s">
        <v>2231</v>
      </c>
      <c r="C1017" t="s">
        <v>7175</v>
      </c>
    </row>
    <row r="1018" spans="1:8" ht="15.75" customHeight="1">
      <c r="A1018" t="s">
        <v>2234</v>
      </c>
      <c r="B1018" t="s">
        <v>2235</v>
      </c>
      <c r="C1018" t="s">
        <v>8505</v>
      </c>
      <c r="E1018" s="12" t="s">
        <v>8506</v>
      </c>
      <c r="F1018" s="12" t="s">
        <v>8507</v>
      </c>
      <c r="G1018" t="s">
        <v>8508</v>
      </c>
      <c r="H1018" t="s">
        <v>8509</v>
      </c>
    </row>
    <row r="1019" spans="1:8" ht="15.75" customHeight="1">
      <c r="A1019" t="s">
        <v>2238</v>
      </c>
      <c r="B1019" t="s">
        <v>2239</v>
      </c>
    </row>
    <row r="1020" spans="1:8" ht="15.75" customHeight="1">
      <c r="A1020" t="s">
        <v>2242</v>
      </c>
      <c r="B1020" t="s">
        <v>2243</v>
      </c>
    </row>
    <row r="1021" spans="1:8" ht="15.75" customHeight="1">
      <c r="A1021" t="s">
        <v>2246</v>
      </c>
      <c r="B1021" t="s">
        <v>2247</v>
      </c>
      <c r="C1021" t="s">
        <v>8510</v>
      </c>
      <c r="E1021" s="12" t="s">
        <v>8511</v>
      </c>
      <c r="F1021" s="12" t="s">
        <v>8512</v>
      </c>
      <c r="G1021" t="s">
        <v>8513</v>
      </c>
      <c r="H1021" t="s">
        <v>8514</v>
      </c>
    </row>
    <row r="1022" spans="1:8" ht="15.75" customHeight="1">
      <c r="A1022" t="s">
        <v>2246</v>
      </c>
      <c r="B1022" t="s">
        <v>2247</v>
      </c>
      <c r="C1022" t="s">
        <v>8515</v>
      </c>
      <c r="E1022" s="12" t="s">
        <v>8516</v>
      </c>
      <c r="F1022" s="12" t="s">
        <v>8517</v>
      </c>
      <c r="G1022" t="s">
        <v>8518</v>
      </c>
      <c r="H1022" t="s">
        <v>8519</v>
      </c>
    </row>
    <row r="1023" spans="1:8" ht="15.75" customHeight="1">
      <c r="A1023" t="s">
        <v>2250</v>
      </c>
      <c r="B1023" t="s">
        <v>2251</v>
      </c>
      <c r="C1023" t="s">
        <v>8520</v>
      </c>
    </row>
    <row r="1024" spans="1:8" ht="15.75" customHeight="1">
      <c r="A1024" t="s">
        <v>2254</v>
      </c>
      <c r="B1024" t="s">
        <v>2255</v>
      </c>
    </row>
    <row r="1025" spans="1:8" ht="15.75" customHeight="1">
      <c r="A1025" t="s">
        <v>2258</v>
      </c>
      <c r="B1025" t="s">
        <v>2259</v>
      </c>
      <c r="C1025" t="s">
        <v>8521</v>
      </c>
      <c r="E1025" s="12" t="s">
        <v>8522</v>
      </c>
    </row>
    <row r="1026" spans="1:8" ht="15.75" customHeight="1">
      <c r="A1026" t="s">
        <v>2260</v>
      </c>
      <c r="B1026" t="s">
        <v>2261</v>
      </c>
    </row>
    <row r="1027" spans="1:8" ht="15.75" customHeight="1">
      <c r="A1027" t="s">
        <v>2262</v>
      </c>
      <c r="B1027" t="s">
        <v>2263</v>
      </c>
    </row>
    <row r="1028" spans="1:8" ht="15.75" customHeight="1">
      <c r="A1028" t="s">
        <v>2266</v>
      </c>
      <c r="B1028" t="s">
        <v>2267</v>
      </c>
      <c r="C1028" t="s">
        <v>8523</v>
      </c>
      <c r="E1028" s="12" t="s">
        <v>8524</v>
      </c>
      <c r="F1028" s="12" t="s">
        <v>8525</v>
      </c>
      <c r="G1028" t="s">
        <v>8526</v>
      </c>
      <c r="H1028" t="s">
        <v>8527</v>
      </c>
    </row>
    <row r="1029" spans="1:8" ht="15.75" customHeight="1">
      <c r="A1029" t="s">
        <v>2270</v>
      </c>
      <c r="B1029" t="s">
        <v>2271</v>
      </c>
      <c r="C1029" t="s">
        <v>8528</v>
      </c>
      <c r="E1029" s="12" t="s">
        <v>8529</v>
      </c>
      <c r="F1029" s="12" t="s">
        <v>8530</v>
      </c>
      <c r="G1029" t="s">
        <v>8531</v>
      </c>
      <c r="H1029" t="s">
        <v>8532</v>
      </c>
    </row>
    <row r="1030" spans="1:8" ht="15.75" customHeight="1">
      <c r="A1030" t="s">
        <v>2270</v>
      </c>
      <c r="B1030" t="s">
        <v>2271</v>
      </c>
      <c r="C1030" t="s">
        <v>8528</v>
      </c>
      <c r="E1030" s="12" t="s">
        <v>8529</v>
      </c>
      <c r="F1030" s="12" t="s">
        <v>8533</v>
      </c>
      <c r="G1030" t="s">
        <v>8534</v>
      </c>
      <c r="H1030" t="s">
        <v>8535</v>
      </c>
    </row>
    <row r="1031" spans="1:8" ht="15.75" customHeight="1">
      <c r="A1031" t="s">
        <v>2272</v>
      </c>
      <c r="B1031" t="s">
        <v>2273</v>
      </c>
    </row>
    <row r="1032" spans="1:8" ht="15.75" customHeight="1">
      <c r="A1032" t="s">
        <v>2275</v>
      </c>
      <c r="B1032" t="s">
        <v>2276</v>
      </c>
    </row>
    <row r="1033" spans="1:8" ht="15.75" customHeight="1">
      <c r="A1033" t="s">
        <v>2279</v>
      </c>
      <c r="B1033" t="s">
        <v>2280</v>
      </c>
    </row>
    <row r="1034" spans="1:8" ht="15.75" customHeight="1">
      <c r="A1034" t="s">
        <v>2283</v>
      </c>
      <c r="B1034" t="s">
        <v>2284</v>
      </c>
      <c r="C1034" t="s">
        <v>8536</v>
      </c>
      <c r="E1034" s="12" t="s">
        <v>8537</v>
      </c>
    </row>
    <row r="1035" spans="1:8" ht="15.75" customHeight="1">
      <c r="A1035" t="s">
        <v>2287</v>
      </c>
      <c r="B1035" t="s">
        <v>2288</v>
      </c>
    </row>
    <row r="1036" spans="1:8" ht="15.75" customHeight="1">
      <c r="A1036" t="s">
        <v>2291</v>
      </c>
      <c r="B1036" t="s">
        <v>2292</v>
      </c>
    </row>
    <row r="1037" spans="1:8" ht="15.75" customHeight="1">
      <c r="A1037" t="s">
        <v>2295</v>
      </c>
      <c r="B1037" t="s">
        <v>2296</v>
      </c>
    </row>
    <row r="1038" spans="1:8" ht="15.75" customHeight="1">
      <c r="A1038" t="s">
        <v>2299</v>
      </c>
      <c r="B1038" t="s">
        <v>2300</v>
      </c>
      <c r="C1038" t="s">
        <v>7474</v>
      </c>
      <c r="E1038" s="12" t="s">
        <v>7475</v>
      </c>
    </row>
    <row r="1039" spans="1:8" ht="15.75" customHeight="1">
      <c r="A1039" t="s">
        <v>2302</v>
      </c>
      <c r="B1039" t="s">
        <v>2303</v>
      </c>
    </row>
    <row r="1040" spans="1:8" ht="15.75" customHeight="1">
      <c r="A1040" t="s">
        <v>2304</v>
      </c>
      <c r="B1040" t="s">
        <v>2305</v>
      </c>
    </row>
    <row r="1041" spans="1:8" ht="15.75" customHeight="1">
      <c r="A1041" t="s">
        <v>2306</v>
      </c>
      <c r="B1041" t="s">
        <v>2307</v>
      </c>
    </row>
    <row r="1042" spans="1:8" ht="15.75" customHeight="1">
      <c r="A1042" t="s">
        <v>2310</v>
      </c>
      <c r="B1042" t="s">
        <v>2311</v>
      </c>
      <c r="C1042" t="s">
        <v>8538</v>
      </c>
      <c r="E1042" s="12" t="s">
        <v>8539</v>
      </c>
      <c r="F1042" s="12" t="s">
        <v>8540</v>
      </c>
      <c r="G1042" t="s">
        <v>8541</v>
      </c>
      <c r="H1042" t="s">
        <v>8542</v>
      </c>
    </row>
    <row r="1043" spans="1:8" ht="15.75" customHeight="1">
      <c r="A1043" t="s">
        <v>2314</v>
      </c>
      <c r="B1043" t="s">
        <v>2315</v>
      </c>
    </row>
    <row r="1044" spans="1:8" ht="15.75" customHeight="1">
      <c r="A1044" t="s">
        <v>2318</v>
      </c>
      <c r="B1044" t="s">
        <v>2319</v>
      </c>
    </row>
    <row r="1045" spans="1:8" ht="15.75" customHeight="1">
      <c r="A1045" t="s">
        <v>2322</v>
      </c>
      <c r="B1045" t="s">
        <v>2323</v>
      </c>
      <c r="C1045" t="s">
        <v>7175</v>
      </c>
    </row>
    <row r="1046" spans="1:8" ht="15.75" customHeight="1">
      <c r="A1046" t="s">
        <v>2325</v>
      </c>
      <c r="B1046" t="s">
        <v>2326</v>
      </c>
      <c r="C1046" t="s">
        <v>7175</v>
      </c>
    </row>
    <row r="1047" spans="1:8" ht="15.75" customHeight="1">
      <c r="A1047" t="s">
        <v>2329</v>
      </c>
      <c r="B1047" t="s">
        <v>2330</v>
      </c>
      <c r="C1047" t="s">
        <v>8543</v>
      </c>
    </row>
    <row r="1048" spans="1:8" ht="15.75" customHeight="1">
      <c r="A1048" t="s">
        <v>2333</v>
      </c>
      <c r="B1048" t="s">
        <v>2334</v>
      </c>
      <c r="C1048" t="s">
        <v>8544</v>
      </c>
      <c r="E1048" s="12" t="s">
        <v>8545</v>
      </c>
      <c r="F1048" s="12" t="s">
        <v>8546</v>
      </c>
      <c r="G1048" t="s">
        <v>8547</v>
      </c>
      <c r="H1048" t="s">
        <v>8548</v>
      </c>
    </row>
    <row r="1049" spans="1:8" ht="15.75" customHeight="1">
      <c r="A1049" t="s">
        <v>2333</v>
      </c>
      <c r="B1049" t="s">
        <v>2334</v>
      </c>
      <c r="C1049" t="s">
        <v>8544</v>
      </c>
      <c r="E1049" s="12" t="s">
        <v>8545</v>
      </c>
      <c r="F1049" s="12" t="s">
        <v>8549</v>
      </c>
      <c r="G1049" t="s">
        <v>8550</v>
      </c>
      <c r="H1049" t="s">
        <v>8551</v>
      </c>
    </row>
    <row r="1050" spans="1:8" ht="15.75" customHeight="1">
      <c r="A1050" t="s">
        <v>2333</v>
      </c>
      <c r="B1050" t="s">
        <v>2334</v>
      </c>
      <c r="C1050" t="s">
        <v>8544</v>
      </c>
      <c r="E1050" s="12" t="s">
        <v>8545</v>
      </c>
      <c r="F1050" s="12" t="s">
        <v>8552</v>
      </c>
      <c r="G1050" t="s">
        <v>8547</v>
      </c>
      <c r="H1050" t="s">
        <v>8553</v>
      </c>
    </row>
    <row r="1051" spans="1:8" ht="15.75" customHeight="1">
      <c r="A1051" t="s">
        <v>2333</v>
      </c>
      <c r="B1051" t="s">
        <v>2334</v>
      </c>
      <c r="C1051" t="s">
        <v>8544</v>
      </c>
      <c r="E1051" s="12" t="s">
        <v>8545</v>
      </c>
      <c r="F1051" s="12" t="s">
        <v>8554</v>
      </c>
      <c r="G1051" t="s">
        <v>8553</v>
      </c>
      <c r="H1051" t="s">
        <v>8548</v>
      </c>
    </row>
    <row r="1052" spans="1:8" ht="15.75" customHeight="1">
      <c r="A1052" t="s">
        <v>2333</v>
      </c>
      <c r="B1052" t="s">
        <v>2334</v>
      </c>
      <c r="C1052" t="s">
        <v>8544</v>
      </c>
      <c r="E1052" s="12" t="s">
        <v>8545</v>
      </c>
      <c r="F1052" s="12" t="s">
        <v>8555</v>
      </c>
      <c r="G1052" t="s">
        <v>8547</v>
      </c>
      <c r="H1052" t="s">
        <v>8551</v>
      </c>
    </row>
    <row r="1053" spans="1:8" ht="15.75" customHeight="1">
      <c r="A1053" t="s">
        <v>2337</v>
      </c>
      <c r="B1053" t="s">
        <v>2338</v>
      </c>
      <c r="C1053" t="s">
        <v>8556</v>
      </c>
      <c r="E1053" s="12" t="s">
        <v>8557</v>
      </c>
      <c r="F1053" s="12" t="s">
        <v>8558</v>
      </c>
      <c r="G1053" t="s">
        <v>8559</v>
      </c>
      <c r="H1053" t="s">
        <v>8560</v>
      </c>
    </row>
    <row r="1054" spans="1:8" ht="15.75" customHeight="1">
      <c r="A1054" t="s">
        <v>2337</v>
      </c>
      <c r="B1054" t="s">
        <v>2338</v>
      </c>
      <c r="C1054" t="s">
        <v>8556</v>
      </c>
      <c r="E1054" s="12" t="s">
        <v>8557</v>
      </c>
      <c r="F1054" s="12" t="s">
        <v>8561</v>
      </c>
      <c r="G1054" t="s">
        <v>8562</v>
      </c>
      <c r="H1054" t="s">
        <v>8563</v>
      </c>
    </row>
    <row r="1055" spans="1:8" ht="15.75" customHeight="1">
      <c r="A1055" t="s">
        <v>2337</v>
      </c>
      <c r="B1055" t="s">
        <v>2338</v>
      </c>
      <c r="C1055" t="s">
        <v>8564</v>
      </c>
      <c r="E1055" s="12" t="s">
        <v>8565</v>
      </c>
      <c r="F1055" s="12" t="s">
        <v>8561</v>
      </c>
      <c r="G1055" t="s">
        <v>8562</v>
      </c>
      <c r="H1055" t="s">
        <v>8563</v>
      </c>
    </row>
    <row r="1056" spans="1:8" ht="15.75" customHeight="1">
      <c r="A1056" t="s">
        <v>2340</v>
      </c>
      <c r="B1056" t="s">
        <v>2341</v>
      </c>
      <c r="C1056" t="s">
        <v>8566</v>
      </c>
      <c r="E1056" s="12" t="s">
        <v>8567</v>
      </c>
      <c r="F1056" s="12" t="s">
        <v>8568</v>
      </c>
      <c r="G1056" t="s">
        <v>8569</v>
      </c>
      <c r="H1056" t="s">
        <v>8570</v>
      </c>
    </row>
    <row r="1057" spans="1:8" ht="15.75" customHeight="1">
      <c r="A1057" t="s">
        <v>2340</v>
      </c>
      <c r="B1057" t="s">
        <v>2341</v>
      </c>
      <c r="C1057" t="s">
        <v>8566</v>
      </c>
      <c r="E1057" s="12" t="s">
        <v>8567</v>
      </c>
      <c r="F1057" s="12" t="s">
        <v>8571</v>
      </c>
      <c r="G1057" t="s">
        <v>8572</v>
      </c>
      <c r="H1057" t="s">
        <v>8573</v>
      </c>
    </row>
    <row r="1058" spans="1:8" ht="15.75" customHeight="1">
      <c r="A1058" t="s">
        <v>2340</v>
      </c>
      <c r="B1058" t="s">
        <v>2341</v>
      </c>
      <c r="C1058" t="s">
        <v>8574</v>
      </c>
      <c r="E1058" s="12" t="s">
        <v>8575</v>
      </c>
      <c r="F1058" s="12" t="s">
        <v>8576</v>
      </c>
      <c r="G1058" t="s">
        <v>8577</v>
      </c>
      <c r="H1058" t="s">
        <v>8578</v>
      </c>
    </row>
    <row r="1059" spans="1:8" ht="15.75" customHeight="1">
      <c r="A1059" t="s">
        <v>2340</v>
      </c>
      <c r="B1059" t="s">
        <v>2341</v>
      </c>
      <c r="C1059" t="s">
        <v>8574</v>
      </c>
      <c r="E1059" s="12" t="s">
        <v>8575</v>
      </c>
      <c r="F1059" s="12" t="s">
        <v>8579</v>
      </c>
      <c r="G1059" t="s">
        <v>8580</v>
      </c>
      <c r="H1059" t="s">
        <v>8581</v>
      </c>
    </row>
    <row r="1060" spans="1:8" ht="15.75" customHeight="1">
      <c r="A1060" t="s">
        <v>2340</v>
      </c>
      <c r="B1060" t="s">
        <v>2341</v>
      </c>
      <c r="C1060" t="s">
        <v>8574</v>
      </c>
      <c r="E1060" s="12" t="s">
        <v>8575</v>
      </c>
      <c r="F1060" s="12" t="s">
        <v>8582</v>
      </c>
      <c r="G1060" t="s">
        <v>8583</v>
      </c>
      <c r="H1060" t="s">
        <v>8584</v>
      </c>
    </row>
    <row r="1061" spans="1:8" ht="15.75" customHeight="1">
      <c r="B1061" t="s">
        <v>2342</v>
      </c>
    </row>
    <row r="1062" spans="1:8" ht="15.75" customHeight="1">
      <c r="B1062" t="s">
        <v>2343</v>
      </c>
    </row>
    <row r="1063" spans="1:8" ht="15.75" customHeight="1">
      <c r="B1063" t="s">
        <v>2345</v>
      </c>
    </row>
    <row r="1064" spans="1:8" ht="15.75" customHeight="1">
      <c r="B1064" t="s">
        <v>2347</v>
      </c>
    </row>
    <row r="1065" spans="1:8" ht="15.75" customHeight="1">
      <c r="B1065" t="s">
        <v>2349</v>
      </c>
    </row>
    <row r="1066" spans="1:8" ht="15.75" customHeight="1">
      <c r="B1066" t="s">
        <v>2351</v>
      </c>
    </row>
    <row r="1067" spans="1:8" ht="15.75" customHeight="1">
      <c r="B1067" t="s">
        <v>2353</v>
      </c>
    </row>
    <row r="1068" spans="1:8" ht="15.75" customHeight="1">
      <c r="B1068" t="s">
        <v>2355</v>
      </c>
    </row>
    <row r="1069" spans="1:8" ht="15.75" customHeight="1">
      <c r="B1069" t="s">
        <v>2357</v>
      </c>
    </row>
    <row r="1070" spans="1:8" ht="15.75" customHeight="1">
      <c r="B1070" t="s">
        <v>2359</v>
      </c>
    </row>
    <row r="1071" spans="1:8" ht="15.75" customHeight="1">
      <c r="B1071" t="s">
        <v>2361</v>
      </c>
    </row>
    <row r="1072" spans="1:8" ht="15.75" customHeight="1">
      <c r="B1072" t="s">
        <v>2363</v>
      </c>
    </row>
    <row r="1073" spans="1:8" ht="15.75" customHeight="1">
      <c r="B1073" t="s">
        <v>2365</v>
      </c>
    </row>
    <row r="1074" spans="1:8" ht="15.75" customHeight="1">
      <c r="A1074" t="s">
        <v>2367</v>
      </c>
      <c r="B1074" t="s">
        <v>2368</v>
      </c>
    </row>
    <row r="1075" spans="1:8" ht="15.75" customHeight="1">
      <c r="A1075" t="s">
        <v>2371</v>
      </c>
      <c r="B1075" t="s">
        <v>2372</v>
      </c>
      <c r="C1075" t="s">
        <v>8585</v>
      </c>
      <c r="E1075" s="12" t="s">
        <v>8586</v>
      </c>
      <c r="F1075" s="12" t="s">
        <v>8587</v>
      </c>
      <c r="G1075" t="s">
        <v>8588</v>
      </c>
      <c r="H1075" t="s">
        <v>8589</v>
      </c>
    </row>
    <row r="1076" spans="1:8" ht="15.75" customHeight="1">
      <c r="A1076" t="s">
        <v>2371</v>
      </c>
      <c r="B1076" t="s">
        <v>2372</v>
      </c>
      <c r="C1076" t="s">
        <v>8585</v>
      </c>
      <c r="E1076" s="12" t="s">
        <v>8586</v>
      </c>
      <c r="F1076" s="12" t="s">
        <v>8590</v>
      </c>
      <c r="G1076" t="s">
        <v>8591</v>
      </c>
      <c r="H1076" t="s">
        <v>8592</v>
      </c>
    </row>
    <row r="1077" spans="1:8" ht="15.75" customHeight="1">
      <c r="A1077" t="s">
        <v>2374</v>
      </c>
      <c r="B1077" t="s">
        <v>2375</v>
      </c>
    </row>
    <row r="1078" spans="1:8" ht="15.75" customHeight="1">
      <c r="A1078" t="s">
        <v>2377</v>
      </c>
      <c r="B1078" t="s">
        <v>2378</v>
      </c>
      <c r="C1078" t="s">
        <v>7950</v>
      </c>
      <c r="E1078" s="12" t="s">
        <v>7951</v>
      </c>
      <c r="F1078" s="12" t="s">
        <v>7952</v>
      </c>
      <c r="G1078" t="s">
        <v>7953</v>
      </c>
      <c r="H1078" t="s">
        <v>7954</v>
      </c>
    </row>
    <row r="1079" spans="1:8" ht="15.75" customHeight="1">
      <c r="A1079" t="s">
        <v>2377</v>
      </c>
      <c r="B1079" t="s">
        <v>2378</v>
      </c>
      <c r="C1079" t="s">
        <v>7950</v>
      </c>
      <c r="E1079" s="12" t="s">
        <v>7951</v>
      </c>
      <c r="F1079" s="12" t="s">
        <v>7955</v>
      </c>
      <c r="G1079" t="s">
        <v>7956</v>
      </c>
      <c r="H1079" t="s">
        <v>7957</v>
      </c>
    </row>
    <row r="1080" spans="1:8" ht="15.75" customHeight="1">
      <c r="A1080" t="s">
        <v>2377</v>
      </c>
      <c r="B1080" t="s">
        <v>2378</v>
      </c>
      <c r="C1080" t="s">
        <v>7950</v>
      </c>
      <c r="E1080" s="12" t="s">
        <v>7951</v>
      </c>
      <c r="F1080" s="12" t="s">
        <v>7958</v>
      </c>
      <c r="G1080" t="s">
        <v>7959</v>
      </c>
      <c r="H1080" t="s">
        <v>7960</v>
      </c>
    </row>
    <row r="1081" spans="1:8" ht="15.75" customHeight="1">
      <c r="A1081" t="s">
        <v>2377</v>
      </c>
      <c r="B1081" t="s">
        <v>2378</v>
      </c>
      <c r="C1081" t="s">
        <v>7950</v>
      </c>
      <c r="E1081" s="12" t="s">
        <v>7951</v>
      </c>
      <c r="F1081" s="12" t="s">
        <v>7961</v>
      </c>
      <c r="G1081" t="s">
        <v>7962</v>
      </c>
      <c r="H1081" t="s">
        <v>7963</v>
      </c>
    </row>
    <row r="1082" spans="1:8" ht="15.75" customHeight="1">
      <c r="A1082" t="s">
        <v>2377</v>
      </c>
      <c r="B1082" t="s">
        <v>2378</v>
      </c>
      <c r="C1082" t="s">
        <v>7950</v>
      </c>
      <c r="E1082" s="12" t="s">
        <v>7951</v>
      </c>
      <c r="F1082" s="12" t="s">
        <v>7964</v>
      </c>
      <c r="G1082" t="s">
        <v>7965</v>
      </c>
      <c r="H1082" t="s">
        <v>7966</v>
      </c>
    </row>
    <row r="1083" spans="1:8" ht="15.75" customHeight="1">
      <c r="A1083" t="s">
        <v>2377</v>
      </c>
      <c r="B1083" t="s">
        <v>2378</v>
      </c>
      <c r="C1083" t="s">
        <v>7950</v>
      </c>
      <c r="E1083" s="12" t="s">
        <v>7951</v>
      </c>
      <c r="F1083" s="12" t="s">
        <v>7967</v>
      </c>
      <c r="G1083" t="s">
        <v>7968</v>
      </c>
      <c r="H1083" t="s">
        <v>8017</v>
      </c>
    </row>
    <row r="1084" spans="1:8" ht="15.75" customHeight="1">
      <c r="A1084" t="s">
        <v>2377</v>
      </c>
      <c r="B1084" t="s">
        <v>2378</v>
      </c>
      <c r="C1084" t="s">
        <v>7950</v>
      </c>
      <c r="E1084" s="12" t="s">
        <v>7951</v>
      </c>
      <c r="F1084" s="12" t="s">
        <v>7970</v>
      </c>
      <c r="G1084" t="s">
        <v>7971</v>
      </c>
      <c r="H1084" t="s">
        <v>7972</v>
      </c>
    </row>
    <row r="1085" spans="1:8" ht="15.75" customHeight="1">
      <c r="A1085" t="s">
        <v>2377</v>
      </c>
      <c r="B1085" t="s">
        <v>2378</v>
      </c>
      <c r="C1085" t="s">
        <v>7950</v>
      </c>
      <c r="E1085" s="12" t="s">
        <v>7951</v>
      </c>
      <c r="F1085" s="12" t="s">
        <v>7973</v>
      </c>
      <c r="G1085" t="s">
        <v>7974</v>
      </c>
      <c r="H1085" t="s">
        <v>7975</v>
      </c>
    </row>
    <row r="1086" spans="1:8" ht="15.75" customHeight="1">
      <c r="A1086" t="s">
        <v>2377</v>
      </c>
      <c r="B1086" t="s">
        <v>2378</v>
      </c>
      <c r="C1086" t="s">
        <v>7950</v>
      </c>
      <c r="E1086" s="12" t="s">
        <v>7951</v>
      </c>
      <c r="F1086" s="12" t="s">
        <v>7976</v>
      </c>
      <c r="G1086" t="s">
        <v>7977</v>
      </c>
      <c r="H1086" t="s">
        <v>7978</v>
      </c>
    </row>
    <row r="1087" spans="1:8" ht="15.75" customHeight="1">
      <c r="A1087" t="s">
        <v>2377</v>
      </c>
      <c r="B1087" t="s">
        <v>2378</v>
      </c>
      <c r="C1087" t="s">
        <v>7950</v>
      </c>
      <c r="E1087" s="12" t="s">
        <v>7951</v>
      </c>
      <c r="F1087" s="12" t="s">
        <v>7979</v>
      </c>
      <c r="G1087" t="s">
        <v>7980</v>
      </c>
      <c r="H1087" t="s">
        <v>7981</v>
      </c>
    </row>
    <row r="1088" spans="1:8" ht="15.75" customHeight="1">
      <c r="A1088" t="s">
        <v>2377</v>
      </c>
      <c r="B1088" t="s">
        <v>2378</v>
      </c>
      <c r="C1088" t="s">
        <v>7950</v>
      </c>
      <c r="E1088" s="12" t="s">
        <v>7951</v>
      </c>
      <c r="F1088" s="12" t="s">
        <v>7982</v>
      </c>
      <c r="G1088" t="s">
        <v>7983</v>
      </c>
      <c r="H1088" t="s">
        <v>7984</v>
      </c>
    </row>
    <row r="1089" spans="1:8" ht="15.75" customHeight="1">
      <c r="A1089" t="s">
        <v>2377</v>
      </c>
      <c r="B1089" t="s">
        <v>2378</v>
      </c>
      <c r="C1089" t="s">
        <v>7950</v>
      </c>
      <c r="E1089" s="12" t="s">
        <v>7951</v>
      </c>
      <c r="F1089" s="12" t="s">
        <v>7985</v>
      </c>
      <c r="G1089" t="s">
        <v>7986</v>
      </c>
      <c r="H1089" t="s">
        <v>7987</v>
      </c>
    </row>
    <row r="1090" spans="1:8" ht="15.75" customHeight="1">
      <c r="A1090" t="s">
        <v>2377</v>
      </c>
      <c r="B1090" t="s">
        <v>2378</v>
      </c>
      <c r="C1090" t="s">
        <v>7950</v>
      </c>
      <c r="E1090" s="12" t="s">
        <v>7951</v>
      </c>
      <c r="F1090" s="12" t="s">
        <v>7988</v>
      </c>
      <c r="G1090" t="s">
        <v>7989</v>
      </c>
      <c r="H1090" t="s">
        <v>7990</v>
      </c>
    </row>
    <row r="1091" spans="1:8" ht="15.75" customHeight="1">
      <c r="A1091" t="s">
        <v>2377</v>
      </c>
      <c r="B1091" t="s">
        <v>2378</v>
      </c>
      <c r="C1091" t="s">
        <v>7950</v>
      </c>
      <c r="E1091" s="12" t="s">
        <v>7951</v>
      </c>
      <c r="F1091" s="12" t="s">
        <v>7991</v>
      </c>
      <c r="G1091" t="s">
        <v>7992</v>
      </c>
      <c r="H1091" t="s">
        <v>7993</v>
      </c>
    </row>
    <row r="1092" spans="1:8" ht="15.75" customHeight="1">
      <c r="A1092" t="s">
        <v>2377</v>
      </c>
      <c r="B1092" t="s">
        <v>2378</v>
      </c>
      <c r="C1092" t="s">
        <v>7950</v>
      </c>
      <c r="E1092" s="12" t="s">
        <v>7951</v>
      </c>
      <c r="F1092" s="12" t="s">
        <v>7994</v>
      </c>
      <c r="G1092" t="s">
        <v>7995</v>
      </c>
      <c r="H1092" t="s">
        <v>7996</v>
      </c>
    </row>
    <row r="1093" spans="1:8" ht="15.75" customHeight="1">
      <c r="A1093" t="s">
        <v>2380</v>
      </c>
      <c r="B1093" t="s">
        <v>2381</v>
      </c>
    </row>
    <row r="1094" spans="1:8" ht="15.75" customHeight="1">
      <c r="A1094" t="s">
        <v>2384</v>
      </c>
      <c r="B1094" t="s">
        <v>2385</v>
      </c>
    </row>
    <row r="1095" spans="1:8" ht="15.75" customHeight="1">
      <c r="A1095" t="s">
        <v>2386</v>
      </c>
      <c r="B1095" t="s">
        <v>2387</v>
      </c>
    </row>
    <row r="1096" spans="1:8" ht="15.75" customHeight="1">
      <c r="A1096" t="s">
        <v>2390</v>
      </c>
      <c r="B1096" t="s">
        <v>2391</v>
      </c>
      <c r="C1096" t="s">
        <v>8593</v>
      </c>
      <c r="E1096" s="12" t="s">
        <v>8594</v>
      </c>
    </row>
    <row r="1097" spans="1:8" ht="15.75" customHeight="1">
      <c r="A1097" t="s">
        <v>2392</v>
      </c>
      <c r="B1097" t="s">
        <v>2393</v>
      </c>
    </row>
    <row r="1098" spans="1:8" ht="15.75" customHeight="1">
      <c r="A1098" t="s">
        <v>2396</v>
      </c>
      <c r="B1098" t="s">
        <v>2397</v>
      </c>
      <c r="C1098" t="s">
        <v>8595</v>
      </c>
      <c r="E1098" s="12" t="s">
        <v>8596</v>
      </c>
      <c r="F1098" s="12" t="s">
        <v>8597</v>
      </c>
      <c r="G1098" t="s">
        <v>8598</v>
      </c>
      <c r="H1098" t="s">
        <v>8599</v>
      </c>
    </row>
    <row r="1099" spans="1:8" ht="15.75" customHeight="1">
      <c r="A1099" t="s">
        <v>2400</v>
      </c>
      <c r="B1099" t="s">
        <v>2401</v>
      </c>
      <c r="C1099" t="s">
        <v>7545</v>
      </c>
    </row>
    <row r="1100" spans="1:8" ht="15.75" customHeight="1">
      <c r="A1100" t="s">
        <v>2404</v>
      </c>
      <c r="B1100" t="s">
        <v>2405</v>
      </c>
      <c r="C1100" t="s">
        <v>8600</v>
      </c>
      <c r="E1100" s="12" t="s">
        <v>8601</v>
      </c>
      <c r="F1100" s="12" t="s">
        <v>8602</v>
      </c>
      <c r="G1100" t="s">
        <v>8603</v>
      </c>
      <c r="H1100" t="s">
        <v>8604</v>
      </c>
    </row>
    <row r="1101" spans="1:8" ht="15.75" customHeight="1">
      <c r="A1101" t="s">
        <v>2407</v>
      </c>
      <c r="B1101" t="s">
        <v>2408</v>
      </c>
      <c r="C1101" t="s">
        <v>7669</v>
      </c>
      <c r="E1101" s="12" t="s">
        <v>7670</v>
      </c>
      <c r="F1101" s="12" t="s">
        <v>7671</v>
      </c>
      <c r="G1101" s="10" t="s">
        <v>7672</v>
      </c>
      <c r="H1101" s="10" t="s">
        <v>7673</v>
      </c>
    </row>
    <row r="1102" spans="1:8" ht="15.75" customHeight="1">
      <c r="A1102" t="s">
        <v>2407</v>
      </c>
      <c r="B1102" t="s">
        <v>2408</v>
      </c>
      <c r="C1102" t="s">
        <v>7669</v>
      </c>
      <c r="E1102" s="12" t="s">
        <v>7670</v>
      </c>
      <c r="F1102" s="12" t="s">
        <v>7674</v>
      </c>
      <c r="G1102" s="10" t="s">
        <v>7675</v>
      </c>
      <c r="H1102" s="10" t="s">
        <v>7676</v>
      </c>
    </row>
    <row r="1103" spans="1:8" ht="15.75" customHeight="1">
      <c r="A1103" t="s">
        <v>2407</v>
      </c>
      <c r="B1103" t="s">
        <v>2408</v>
      </c>
      <c r="C1103" t="s">
        <v>7669</v>
      </c>
      <c r="E1103" s="12" t="s">
        <v>7670</v>
      </c>
      <c r="F1103" s="12" t="s">
        <v>7677</v>
      </c>
      <c r="G1103" s="10" t="s">
        <v>7678</v>
      </c>
      <c r="H1103" s="10" t="s">
        <v>7679</v>
      </c>
    </row>
    <row r="1104" spans="1:8" ht="15.75" customHeight="1">
      <c r="A1104" t="s">
        <v>2407</v>
      </c>
      <c r="B1104" t="s">
        <v>2408</v>
      </c>
      <c r="C1104" t="s">
        <v>7669</v>
      </c>
      <c r="E1104" s="12" t="s">
        <v>7670</v>
      </c>
      <c r="F1104" s="12" t="s">
        <v>7680</v>
      </c>
      <c r="G1104" s="10" t="s">
        <v>7681</v>
      </c>
      <c r="H1104" s="10" t="s">
        <v>7682</v>
      </c>
    </row>
    <row r="1105" spans="1:8" ht="15.75" customHeight="1">
      <c r="A1105" t="s">
        <v>2407</v>
      </c>
      <c r="B1105" t="s">
        <v>2408</v>
      </c>
      <c r="C1105" t="s">
        <v>7669</v>
      </c>
      <c r="E1105" s="12" t="s">
        <v>7670</v>
      </c>
      <c r="F1105" s="12" t="s">
        <v>7683</v>
      </c>
      <c r="G1105" s="10" t="s">
        <v>7684</v>
      </c>
      <c r="H1105" s="10" t="s">
        <v>7685</v>
      </c>
    </row>
    <row r="1106" spans="1:8" ht="15.75" customHeight="1">
      <c r="A1106" t="s">
        <v>2407</v>
      </c>
      <c r="B1106" t="s">
        <v>2408</v>
      </c>
      <c r="C1106" t="s">
        <v>7669</v>
      </c>
      <c r="E1106" s="12" t="s">
        <v>7670</v>
      </c>
      <c r="F1106" s="12" t="s">
        <v>7686</v>
      </c>
      <c r="G1106" s="10" t="s">
        <v>7687</v>
      </c>
      <c r="H1106" s="10" t="s">
        <v>7688</v>
      </c>
    </row>
    <row r="1107" spans="1:8" ht="15.75" customHeight="1">
      <c r="A1107" t="s">
        <v>2407</v>
      </c>
      <c r="B1107" t="s">
        <v>2408</v>
      </c>
      <c r="C1107" t="s">
        <v>7669</v>
      </c>
      <c r="E1107" s="12" t="s">
        <v>7670</v>
      </c>
      <c r="F1107" s="12" t="s">
        <v>7689</v>
      </c>
      <c r="G1107" s="10" t="s">
        <v>7690</v>
      </c>
      <c r="H1107" s="10" t="s">
        <v>7691</v>
      </c>
    </row>
    <row r="1108" spans="1:8" ht="15.75" customHeight="1">
      <c r="A1108" t="s">
        <v>2407</v>
      </c>
      <c r="B1108" t="s">
        <v>2408</v>
      </c>
      <c r="C1108" t="s">
        <v>7669</v>
      </c>
      <c r="E1108" s="12" t="s">
        <v>7670</v>
      </c>
      <c r="F1108" s="12" t="s">
        <v>7692</v>
      </c>
      <c r="G1108" s="10" t="s">
        <v>7693</v>
      </c>
      <c r="H1108" s="10" t="s">
        <v>7694</v>
      </c>
    </row>
    <row r="1109" spans="1:8" ht="15.75" customHeight="1">
      <c r="A1109" t="s">
        <v>2407</v>
      </c>
      <c r="B1109" t="s">
        <v>2408</v>
      </c>
      <c r="C1109" t="s">
        <v>7669</v>
      </c>
      <c r="E1109" s="12" t="s">
        <v>7670</v>
      </c>
      <c r="F1109" s="12" t="s">
        <v>7695</v>
      </c>
      <c r="G1109" s="10" t="s">
        <v>7696</v>
      </c>
      <c r="H1109" s="10" t="s">
        <v>7697</v>
      </c>
    </row>
    <row r="1110" spans="1:8" ht="15.75" customHeight="1">
      <c r="A1110" t="s">
        <v>2407</v>
      </c>
      <c r="B1110" t="s">
        <v>2408</v>
      </c>
      <c r="C1110" t="s">
        <v>7669</v>
      </c>
      <c r="E1110" s="12" t="s">
        <v>7670</v>
      </c>
      <c r="F1110" s="12" t="s">
        <v>7698</v>
      </c>
      <c r="G1110" s="10" t="s">
        <v>7699</v>
      </c>
      <c r="H1110" s="10" t="s">
        <v>7700</v>
      </c>
    </row>
    <row r="1111" spans="1:8" ht="15.75" customHeight="1">
      <c r="A1111" t="s">
        <v>2407</v>
      </c>
      <c r="B1111" t="s">
        <v>2408</v>
      </c>
      <c r="C1111" t="s">
        <v>7669</v>
      </c>
      <c r="E1111" s="12" t="s">
        <v>7670</v>
      </c>
      <c r="F1111" s="12" t="s">
        <v>7701</v>
      </c>
      <c r="G1111" s="10" t="s">
        <v>7702</v>
      </c>
      <c r="H1111" s="10" t="s">
        <v>7703</v>
      </c>
    </row>
    <row r="1112" spans="1:8" ht="15.75" customHeight="1">
      <c r="A1112" t="s">
        <v>2407</v>
      </c>
      <c r="B1112" t="s">
        <v>2408</v>
      </c>
      <c r="C1112" t="s">
        <v>7669</v>
      </c>
      <c r="E1112" s="12" t="s">
        <v>7670</v>
      </c>
      <c r="F1112" s="12" t="s">
        <v>7704</v>
      </c>
      <c r="G1112" s="10" t="s">
        <v>7705</v>
      </c>
      <c r="H1112" s="10" t="s">
        <v>7706</v>
      </c>
    </row>
    <row r="1113" spans="1:8" ht="15.75" customHeight="1">
      <c r="A1113" t="s">
        <v>2407</v>
      </c>
      <c r="B1113" t="s">
        <v>2408</v>
      </c>
      <c r="C1113" t="s">
        <v>7669</v>
      </c>
      <c r="E1113" s="12" t="s">
        <v>7670</v>
      </c>
      <c r="F1113" s="12" t="s">
        <v>7707</v>
      </c>
      <c r="G1113" s="10" t="s">
        <v>7708</v>
      </c>
      <c r="H1113" s="10" t="s">
        <v>7709</v>
      </c>
    </row>
    <row r="1114" spans="1:8" ht="15.75" customHeight="1">
      <c r="A1114" t="s">
        <v>2407</v>
      </c>
      <c r="B1114" t="s">
        <v>2408</v>
      </c>
      <c r="C1114" t="s">
        <v>7669</v>
      </c>
      <c r="E1114" s="12" t="s">
        <v>7670</v>
      </c>
      <c r="F1114" s="12" t="s">
        <v>7710</v>
      </c>
      <c r="G1114" s="10" t="s">
        <v>7711</v>
      </c>
      <c r="H1114" s="10" t="s">
        <v>7712</v>
      </c>
    </row>
    <row r="1115" spans="1:8" ht="15.75" customHeight="1">
      <c r="A1115" t="s">
        <v>2407</v>
      </c>
      <c r="B1115" t="s">
        <v>2408</v>
      </c>
      <c r="C1115" t="s">
        <v>7669</v>
      </c>
      <c r="E1115" s="12" t="s">
        <v>7670</v>
      </c>
      <c r="F1115" s="12" t="s">
        <v>7713</v>
      </c>
      <c r="G1115" s="10" t="s">
        <v>7714</v>
      </c>
      <c r="H1115" s="10" t="s">
        <v>7715</v>
      </c>
    </row>
    <row r="1116" spans="1:8" ht="15.75" customHeight="1">
      <c r="A1116" t="s">
        <v>2407</v>
      </c>
      <c r="B1116" t="s">
        <v>2408</v>
      </c>
      <c r="C1116" t="s">
        <v>7669</v>
      </c>
      <c r="E1116" s="12" t="s">
        <v>7670</v>
      </c>
      <c r="F1116" s="12" t="s">
        <v>7716</v>
      </c>
      <c r="G1116" s="10" t="s">
        <v>7717</v>
      </c>
      <c r="H1116" s="10" t="s">
        <v>7718</v>
      </c>
    </row>
    <row r="1117" spans="1:8" ht="15.75" customHeight="1">
      <c r="A1117" t="s">
        <v>2407</v>
      </c>
      <c r="B1117" t="s">
        <v>2408</v>
      </c>
      <c r="C1117" t="s">
        <v>7669</v>
      </c>
      <c r="E1117" s="12" t="s">
        <v>7670</v>
      </c>
      <c r="F1117" s="12" t="s">
        <v>7719</v>
      </c>
      <c r="G1117" s="10" t="s">
        <v>7720</v>
      </c>
      <c r="H1117" s="10" t="s">
        <v>7721</v>
      </c>
    </row>
    <row r="1118" spans="1:8" ht="15.75" customHeight="1">
      <c r="A1118" t="s">
        <v>2407</v>
      </c>
      <c r="B1118" t="s">
        <v>2408</v>
      </c>
      <c r="C1118" t="s">
        <v>7669</v>
      </c>
      <c r="E1118" s="12" t="s">
        <v>7670</v>
      </c>
      <c r="F1118" s="12" t="s">
        <v>7722</v>
      </c>
      <c r="G1118" s="10" t="s">
        <v>7723</v>
      </c>
      <c r="H1118" s="10" t="s">
        <v>7724</v>
      </c>
    </row>
    <row r="1119" spans="1:8" ht="15.75" customHeight="1">
      <c r="A1119" t="s">
        <v>2407</v>
      </c>
      <c r="B1119" t="s">
        <v>2408</v>
      </c>
      <c r="C1119" t="s">
        <v>7669</v>
      </c>
      <c r="E1119" s="12" t="s">
        <v>7670</v>
      </c>
      <c r="F1119" s="12" t="s">
        <v>7725</v>
      </c>
      <c r="G1119" s="10" t="s">
        <v>7726</v>
      </c>
      <c r="H1119" s="10" t="s">
        <v>7727</v>
      </c>
    </row>
    <row r="1120" spans="1:8" ht="15.75" customHeight="1">
      <c r="A1120" t="s">
        <v>2407</v>
      </c>
      <c r="B1120" t="s">
        <v>2408</v>
      </c>
      <c r="C1120" t="s">
        <v>8605</v>
      </c>
      <c r="E1120" s="12" t="s">
        <v>8606</v>
      </c>
      <c r="F1120" s="12" t="s">
        <v>8607</v>
      </c>
      <c r="G1120" t="s">
        <v>8608</v>
      </c>
      <c r="H1120" t="s">
        <v>8609</v>
      </c>
    </row>
    <row r="1121" spans="1:8" ht="15.75" customHeight="1">
      <c r="A1121" t="s">
        <v>2407</v>
      </c>
      <c r="B1121" t="s">
        <v>2408</v>
      </c>
      <c r="C1121" t="s">
        <v>8605</v>
      </c>
      <c r="E1121" s="12" t="s">
        <v>8606</v>
      </c>
      <c r="F1121" s="12" t="s">
        <v>8610</v>
      </c>
      <c r="G1121" t="s">
        <v>8611</v>
      </c>
      <c r="H1121" t="s">
        <v>8609</v>
      </c>
    </row>
    <row r="1122" spans="1:8" ht="15.75" customHeight="1">
      <c r="A1122" t="s">
        <v>2407</v>
      </c>
      <c r="B1122" t="s">
        <v>2408</v>
      </c>
      <c r="C1122" t="s">
        <v>8605</v>
      </c>
      <c r="E1122" s="12" t="s">
        <v>8606</v>
      </c>
      <c r="F1122" s="12" t="s">
        <v>8612</v>
      </c>
      <c r="G1122" t="s">
        <v>8613</v>
      </c>
      <c r="H1122" t="s">
        <v>8614</v>
      </c>
    </row>
    <row r="1123" spans="1:8" ht="15.75" customHeight="1">
      <c r="A1123" t="s">
        <v>2407</v>
      </c>
      <c r="B1123" t="s">
        <v>2408</v>
      </c>
      <c r="C1123" t="s">
        <v>8605</v>
      </c>
      <c r="E1123" s="12" t="s">
        <v>8606</v>
      </c>
      <c r="F1123" s="12" t="s">
        <v>8615</v>
      </c>
      <c r="G1123" t="s">
        <v>8616</v>
      </c>
      <c r="H1123" t="s">
        <v>8617</v>
      </c>
    </row>
    <row r="1124" spans="1:8" ht="15.75" customHeight="1">
      <c r="A1124" t="s">
        <v>2407</v>
      </c>
      <c r="B1124" t="s">
        <v>2408</v>
      </c>
      <c r="C1124" t="s">
        <v>8605</v>
      </c>
      <c r="E1124" s="12" t="s">
        <v>8606</v>
      </c>
      <c r="F1124" s="12" t="s">
        <v>8618</v>
      </c>
      <c r="G1124" t="s">
        <v>8619</v>
      </c>
      <c r="H1124" t="s">
        <v>8620</v>
      </c>
    </row>
    <row r="1125" spans="1:8" ht="15.75" customHeight="1">
      <c r="A1125" t="s">
        <v>2407</v>
      </c>
      <c r="B1125" t="s">
        <v>2408</v>
      </c>
      <c r="C1125" t="s">
        <v>8605</v>
      </c>
      <c r="E1125" s="12" t="s">
        <v>8606</v>
      </c>
      <c r="F1125" s="12" t="s">
        <v>8621</v>
      </c>
      <c r="G1125" t="s">
        <v>8622</v>
      </c>
      <c r="H1125" t="s">
        <v>8623</v>
      </c>
    </row>
    <row r="1126" spans="1:8" ht="15.75" customHeight="1">
      <c r="A1126" t="s">
        <v>2407</v>
      </c>
      <c r="B1126" t="s">
        <v>2408</v>
      </c>
      <c r="C1126" t="s">
        <v>8605</v>
      </c>
      <c r="E1126" s="12" t="s">
        <v>8606</v>
      </c>
      <c r="F1126" s="12" t="s">
        <v>8624</v>
      </c>
      <c r="G1126" t="s">
        <v>8625</v>
      </c>
      <c r="H1126" t="s">
        <v>8626</v>
      </c>
    </row>
    <row r="1127" spans="1:8" ht="15.75" customHeight="1">
      <c r="A1127" t="s">
        <v>2410</v>
      </c>
      <c r="B1127" t="s">
        <v>2411</v>
      </c>
    </row>
    <row r="1128" spans="1:8" ht="15.75" customHeight="1">
      <c r="A1128" t="s">
        <v>2414</v>
      </c>
      <c r="B1128" t="s">
        <v>2415</v>
      </c>
    </row>
    <row r="1129" spans="1:8" ht="15.75" customHeight="1">
      <c r="A1129" t="s">
        <v>2417</v>
      </c>
      <c r="B1129" t="s">
        <v>2418</v>
      </c>
    </row>
    <row r="1130" spans="1:8" ht="15.75" customHeight="1">
      <c r="A1130" t="s">
        <v>2420</v>
      </c>
      <c r="B1130" t="s">
        <v>2421</v>
      </c>
    </row>
    <row r="1131" spans="1:8" ht="15.75" customHeight="1">
      <c r="A1131" t="s">
        <v>2424</v>
      </c>
      <c r="B1131" t="s">
        <v>2425</v>
      </c>
    </row>
    <row r="1132" spans="1:8" ht="15.75" customHeight="1">
      <c r="A1132" t="s">
        <v>2427</v>
      </c>
      <c r="B1132" t="s">
        <v>2428</v>
      </c>
    </row>
    <row r="1133" spans="1:8" ht="15.75" customHeight="1">
      <c r="A1133" t="s">
        <v>2430</v>
      </c>
      <c r="B1133" t="s">
        <v>2431</v>
      </c>
    </row>
    <row r="1134" spans="1:8" ht="15.75" customHeight="1">
      <c r="A1134" t="s">
        <v>2433</v>
      </c>
      <c r="B1134" t="s">
        <v>2434</v>
      </c>
    </row>
    <row r="1135" spans="1:8" ht="15.75" customHeight="1">
      <c r="A1135" t="s">
        <v>2436</v>
      </c>
      <c r="B1135" t="s">
        <v>2437</v>
      </c>
    </row>
    <row r="1136" spans="1:8" ht="15.75" customHeight="1">
      <c r="A1136" t="s">
        <v>2439</v>
      </c>
      <c r="B1136" t="s">
        <v>2440</v>
      </c>
    </row>
    <row r="1137" spans="1:8" ht="15.75" customHeight="1">
      <c r="A1137" t="s">
        <v>2443</v>
      </c>
      <c r="B1137" t="s">
        <v>2444</v>
      </c>
      <c r="C1137" t="s">
        <v>8627</v>
      </c>
      <c r="E1137" s="12" t="s">
        <v>8628</v>
      </c>
      <c r="F1137" s="12" t="s">
        <v>8629</v>
      </c>
      <c r="G1137" t="s">
        <v>8630</v>
      </c>
      <c r="H1137" t="s">
        <v>8631</v>
      </c>
    </row>
    <row r="1138" spans="1:8" ht="15.75" customHeight="1">
      <c r="A1138" t="s">
        <v>2443</v>
      </c>
      <c r="B1138" t="s">
        <v>2444</v>
      </c>
      <c r="C1138" t="s">
        <v>8627</v>
      </c>
      <c r="E1138" s="12" t="s">
        <v>8628</v>
      </c>
      <c r="F1138" s="12" t="s">
        <v>8632</v>
      </c>
      <c r="G1138" t="s">
        <v>8633</v>
      </c>
      <c r="H1138" t="s">
        <v>8634</v>
      </c>
    </row>
    <row r="1139" spans="1:8" ht="15.75" customHeight="1">
      <c r="A1139" t="s">
        <v>2447</v>
      </c>
      <c r="B1139" t="s">
        <v>2448</v>
      </c>
      <c r="C1139" t="s">
        <v>8635</v>
      </c>
      <c r="E1139" s="12" t="s">
        <v>8636</v>
      </c>
    </row>
    <row r="1140" spans="1:8" ht="15.75" customHeight="1">
      <c r="A1140" t="s">
        <v>2451</v>
      </c>
      <c r="B1140" t="s">
        <v>2452</v>
      </c>
    </row>
    <row r="1141" spans="1:8" ht="15.75" customHeight="1">
      <c r="A1141" t="s">
        <v>2454</v>
      </c>
      <c r="B1141" t="s">
        <v>2455</v>
      </c>
    </row>
    <row r="1142" spans="1:8" ht="15.75" customHeight="1">
      <c r="A1142" t="s">
        <v>2457</v>
      </c>
      <c r="B1142" t="s">
        <v>2458</v>
      </c>
    </row>
    <row r="1143" spans="1:8" ht="15.75" customHeight="1">
      <c r="A1143" t="s">
        <v>2461</v>
      </c>
      <c r="B1143" t="s">
        <v>2462</v>
      </c>
    </row>
    <row r="1144" spans="1:8" ht="15.75" customHeight="1">
      <c r="A1144" t="s">
        <v>2465</v>
      </c>
      <c r="B1144" t="s">
        <v>2466</v>
      </c>
      <c r="C1144" t="s">
        <v>7176</v>
      </c>
      <c r="E1144" s="12" t="s">
        <v>7177</v>
      </c>
    </row>
    <row r="1145" spans="1:8" ht="15.75" customHeight="1">
      <c r="A1145" t="s">
        <v>2468</v>
      </c>
      <c r="B1145" t="s">
        <v>2469</v>
      </c>
      <c r="C1145" t="s">
        <v>7188</v>
      </c>
    </row>
    <row r="1146" spans="1:8" ht="15.75" customHeight="1">
      <c r="A1146" t="s">
        <v>2472</v>
      </c>
      <c r="B1146" t="s">
        <v>2473</v>
      </c>
      <c r="C1146" t="s">
        <v>8637</v>
      </c>
      <c r="E1146" s="12" t="s">
        <v>8638</v>
      </c>
      <c r="F1146" s="12" t="s">
        <v>8639</v>
      </c>
      <c r="G1146" t="s">
        <v>8640</v>
      </c>
      <c r="H1146" t="s">
        <v>8641</v>
      </c>
    </row>
    <row r="1147" spans="1:8" ht="15.75" customHeight="1">
      <c r="A1147" t="s">
        <v>2476</v>
      </c>
      <c r="B1147" t="s">
        <v>2477</v>
      </c>
      <c r="C1147" t="s">
        <v>8642</v>
      </c>
    </row>
    <row r="1148" spans="1:8" ht="15.75" customHeight="1">
      <c r="A1148" t="s">
        <v>2476</v>
      </c>
      <c r="B1148" t="s">
        <v>2477</v>
      </c>
      <c r="C1148" t="s">
        <v>8643</v>
      </c>
      <c r="E1148" s="12" t="s">
        <v>8644</v>
      </c>
      <c r="F1148" s="12" t="s">
        <v>8645</v>
      </c>
      <c r="G1148" t="s">
        <v>8646</v>
      </c>
      <c r="H1148" t="s">
        <v>8647</v>
      </c>
    </row>
    <row r="1149" spans="1:8" ht="15.75" customHeight="1">
      <c r="A1149" t="s">
        <v>2480</v>
      </c>
      <c r="B1149" t="s">
        <v>2481</v>
      </c>
      <c r="C1149" t="s">
        <v>8648</v>
      </c>
      <c r="E1149" s="12" t="s">
        <v>8649</v>
      </c>
      <c r="F1149" s="12" t="s">
        <v>8650</v>
      </c>
      <c r="G1149" t="s">
        <v>8646</v>
      </c>
      <c r="H1149" t="s">
        <v>8651</v>
      </c>
    </row>
    <row r="1150" spans="1:8" ht="15.75" customHeight="1">
      <c r="A1150" t="s">
        <v>2484</v>
      </c>
      <c r="B1150" t="s">
        <v>2485</v>
      </c>
    </row>
    <row r="1151" spans="1:8" ht="15.75" customHeight="1">
      <c r="A1151" t="s">
        <v>2488</v>
      </c>
      <c r="B1151" t="s">
        <v>2489</v>
      </c>
      <c r="C1151" t="s">
        <v>8652</v>
      </c>
    </row>
    <row r="1152" spans="1:8" ht="15.75" customHeight="1">
      <c r="A1152" t="s">
        <v>2492</v>
      </c>
      <c r="B1152" t="s">
        <v>2493</v>
      </c>
      <c r="C1152" t="s">
        <v>8447</v>
      </c>
      <c r="E1152" s="12" t="s">
        <v>8448</v>
      </c>
      <c r="F1152" s="12" t="s">
        <v>8449</v>
      </c>
      <c r="G1152" t="s">
        <v>8450</v>
      </c>
      <c r="H1152" t="s">
        <v>8451</v>
      </c>
    </row>
    <row r="1153" spans="1:8" ht="15.75" customHeight="1">
      <c r="A1153" t="s">
        <v>2492</v>
      </c>
      <c r="B1153" t="s">
        <v>2493</v>
      </c>
      <c r="C1153" t="s">
        <v>8447</v>
      </c>
      <c r="E1153" s="12" t="s">
        <v>8448</v>
      </c>
      <c r="F1153" s="12" t="s">
        <v>8452</v>
      </c>
      <c r="G1153" t="s">
        <v>8453</v>
      </c>
      <c r="H1153" t="s">
        <v>8454</v>
      </c>
    </row>
    <row r="1154" spans="1:8" ht="15.75" customHeight="1">
      <c r="A1154" t="s">
        <v>2492</v>
      </c>
      <c r="B1154" t="s">
        <v>2493</v>
      </c>
      <c r="C1154" t="s">
        <v>8447</v>
      </c>
      <c r="E1154" s="12" t="s">
        <v>8448</v>
      </c>
      <c r="F1154" s="12" t="s">
        <v>8455</v>
      </c>
      <c r="G1154" t="s">
        <v>8456</v>
      </c>
      <c r="H1154" t="s">
        <v>8454</v>
      </c>
    </row>
    <row r="1155" spans="1:8" ht="15.75" customHeight="1">
      <c r="A1155" t="s">
        <v>2492</v>
      </c>
      <c r="B1155" t="s">
        <v>2493</v>
      </c>
      <c r="C1155" t="s">
        <v>8447</v>
      </c>
      <c r="E1155" s="12" t="s">
        <v>8448</v>
      </c>
      <c r="F1155" s="12" t="s">
        <v>8457</v>
      </c>
      <c r="G1155" t="s">
        <v>8458</v>
      </c>
      <c r="H1155" t="s">
        <v>8459</v>
      </c>
    </row>
    <row r="1156" spans="1:8" ht="15.75" customHeight="1">
      <c r="A1156" t="s">
        <v>2492</v>
      </c>
      <c r="B1156" t="s">
        <v>2493</v>
      </c>
      <c r="C1156" t="s">
        <v>8447</v>
      </c>
      <c r="E1156" s="12" t="s">
        <v>8448</v>
      </c>
      <c r="F1156" s="12" t="s">
        <v>8460</v>
      </c>
      <c r="G1156" t="s">
        <v>8461</v>
      </c>
      <c r="H1156" t="s">
        <v>8462</v>
      </c>
    </row>
    <row r="1157" spans="1:8" ht="15.75" customHeight="1">
      <c r="A1157" t="s">
        <v>2492</v>
      </c>
      <c r="B1157" t="s">
        <v>2493</v>
      </c>
      <c r="C1157" t="s">
        <v>8447</v>
      </c>
      <c r="E1157" s="12" t="s">
        <v>8448</v>
      </c>
      <c r="F1157" s="12" t="s">
        <v>8463</v>
      </c>
      <c r="G1157" t="s">
        <v>8464</v>
      </c>
      <c r="H1157" t="s">
        <v>8465</v>
      </c>
    </row>
    <row r="1158" spans="1:8" ht="15.75" customHeight="1">
      <c r="A1158" t="s">
        <v>2495</v>
      </c>
      <c r="B1158" t="s">
        <v>2496</v>
      </c>
    </row>
    <row r="1159" spans="1:8" ht="15.75" customHeight="1">
      <c r="A1159" t="s">
        <v>2499</v>
      </c>
      <c r="B1159" t="s">
        <v>2500</v>
      </c>
      <c r="C1159" t="s">
        <v>7553</v>
      </c>
      <c r="E1159" s="12" t="s">
        <v>7554</v>
      </c>
      <c r="F1159" s="12" t="s">
        <v>7555</v>
      </c>
      <c r="G1159" t="s">
        <v>7556</v>
      </c>
      <c r="H1159" t="s">
        <v>7557</v>
      </c>
    </row>
    <row r="1160" spans="1:8" ht="15.75" customHeight="1">
      <c r="A1160" t="s">
        <v>2502</v>
      </c>
      <c r="B1160" t="s">
        <v>2503</v>
      </c>
    </row>
    <row r="1161" spans="1:8" ht="15.75" customHeight="1">
      <c r="A1161" t="s">
        <v>2506</v>
      </c>
      <c r="B1161" t="s">
        <v>2507</v>
      </c>
    </row>
    <row r="1162" spans="1:8" ht="15.75" customHeight="1">
      <c r="A1162" t="s">
        <v>2510</v>
      </c>
      <c r="B1162" t="s">
        <v>2511</v>
      </c>
      <c r="C1162" t="s">
        <v>7188</v>
      </c>
    </row>
    <row r="1163" spans="1:8" ht="15.75" customHeight="1">
      <c r="A1163" t="s">
        <v>2513</v>
      </c>
      <c r="B1163" t="s">
        <v>2514</v>
      </c>
      <c r="C1163" t="s">
        <v>7176</v>
      </c>
      <c r="E1163" s="12" t="s">
        <v>7177</v>
      </c>
    </row>
    <row r="1164" spans="1:8" ht="15.75" customHeight="1">
      <c r="A1164" t="s">
        <v>2517</v>
      </c>
      <c r="B1164" t="s">
        <v>2518</v>
      </c>
    </row>
    <row r="1165" spans="1:8" ht="15.75" customHeight="1">
      <c r="A1165" t="s">
        <v>2521</v>
      </c>
      <c r="B1165" t="s">
        <v>2522</v>
      </c>
      <c r="C1165" t="s">
        <v>7608</v>
      </c>
      <c r="E1165" s="12" t="s">
        <v>7609</v>
      </c>
      <c r="F1165" s="12" t="s">
        <v>7610</v>
      </c>
      <c r="G1165" t="s">
        <v>7611</v>
      </c>
      <c r="H1165" t="s">
        <v>7612</v>
      </c>
    </row>
    <row r="1166" spans="1:8" ht="15.75" customHeight="1">
      <c r="A1166" t="s">
        <v>2521</v>
      </c>
      <c r="B1166" t="s">
        <v>2522</v>
      </c>
      <c r="C1166" t="s">
        <v>7608</v>
      </c>
      <c r="E1166" s="12" t="s">
        <v>7609</v>
      </c>
      <c r="F1166" s="12" t="s">
        <v>7613</v>
      </c>
      <c r="G1166" t="s">
        <v>7614</v>
      </c>
      <c r="H1166" t="s">
        <v>7612</v>
      </c>
    </row>
    <row r="1167" spans="1:8" ht="15.75" customHeight="1">
      <c r="A1167" t="s">
        <v>2521</v>
      </c>
      <c r="B1167" t="s">
        <v>2522</v>
      </c>
      <c r="C1167" t="s">
        <v>7608</v>
      </c>
      <c r="E1167" s="12" t="s">
        <v>7609</v>
      </c>
      <c r="F1167" s="12" t="s">
        <v>7615</v>
      </c>
      <c r="G1167" t="s">
        <v>7616</v>
      </c>
      <c r="H1167" t="s">
        <v>7617</v>
      </c>
    </row>
    <row r="1168" spans="1:8" ht="15.75" customHeight="1">
      <c r="A1168" t="s">
        <v>2521</v>
      </c>
      <c r="B1168" t="s">
        <v>2522</v>
      </c>
      <c r="C1168" t="s">
        <v>7608</v>
      </c>
      <c r="E1168" s="12" t="s">
        <v>7609</v>
      </c>
      <c r="F1168" s="12" t="s">
        <v>7618</v>
      </c>
      <c r="G1168" t="s">
        <v>7619</v>
      </c>
      <c r="H1168" t="s">
        <v>7620</v>
      </c>
    </row>
    <row r="1169" spans="1:8" ht="15.75" customHeight="1">
      <c r="A1169" t="s">
        <v>2524</v>
      </c>
      <c r="B1169" t="s">
        <v>2525</v>
      </c>
    </row>
    <row r="1170" spans="1:8" ht="15.75" customHeight="1">
      <c r="A1170" t="s">
        <v>2527</v>
      </c>
      <c r="B1170" t="s">
        <v>2528</v>
      </c>
    </row>
    <row r="1171" spans="1:8" ht="15.75" customHeight="1">
      <c r="A1171" t="s">
        <v>2529</v>
      </c>
      <c r="B1171" t="s">
        <v>2530</v>
      </c>
    </row>
    <row r="1172" spans="1:8" ht="15.75" customHeight="1">
      <c r="A1172" t="s">
        <v>2533</v>
      </c>
      <c r="B1172" t="s">
        <v>2534</v>
      </c>
      <c r="C1172" t="s">
        <v>8653</v>
      </c>
      <c r="E1172" s="12" t="s">
        <v>8654</v>
      </c>
      <c r="F1172" s="12" t="s">
        <v>8655</v>
      </c>
      <c r="G1172" t="s">
        <v>8656</v>
      </c>
      <c r="H1172" t="s">
        <v>8657</v>
      </c>
    </row>
    <row r="1173" spans="1:8" ht="15.75" customHeight="1">
      <c r="A1173" t="s">
        <v>2535</v>
      </c>
      <c r="B1173" t="s">
        <v>2536</v>
      </c>
    </row>
    <row r="1174" spans="1:8" ht="15.75" customHeight="1">
      <c r="A1174" t="s">
        <v>2539</v>
      </c>
      <c r="B1174" t="s">
        <v>2540</v>
      </c>
      <c r="C1174" t="s">
        <v>7175</v>
      </c>
    </row>
    <row r="1175" spans="1:8" ht="15.75" customHeight="1">
      <c r="A1175" t="s">
        <v>2543</v>
      </c>
      <c r="B1175" t="s">
        <v>2544</v>
      </c>
      <c r="C1175" t="s">
        <v>8658</v>
      </c>
      <c r="E1175" s="12" t="s">
        <v>8659</v>
      </c>
      <c r="F1175" s="12" t="s">
        <v>8660</v>
      </c>
      <c r="G1175" t="s">
        <v>8661</v>
      </c>
      <c r="H1175" t="s">
        <v>8662</v>
      </c>
    </row>
    <row r="1176" spans="1:8" ht="15.75" customHeight="1">
      <c r="A1176" t="s">
        <v>2547</v>
      </c>
      <c r="B1176" t="s">
        <v>2548</v>
      </c>
      <c r="C1176" t="s">
        <v>8663</v>
      </c>
      <c r="E1176" s="12" t="s">
        <v>8664</v>
      </c>
    </row>
    <row r="1177" spans="1:8" ht="15.75" customHeight="1">
      <c r="A1177" t="s">
        <v>2551</v>
      </c>
      <c r="B1177" t="s">
        <v>2552</v>
      </c>
    </row>
    <row r="1178" spans="1:8" ht="15.75" customHeight="1">
      <c r="A1178" t="s">
        <v>2555</v>
      </c>
      <c r="B1178" t="s">
        <v>2556</v>
      </c>
    </row>
    <row r="1179" spans="1:8" ht="15.75" customHeight="1">
      <c r="A1179" t="s">
        <v>2559</v>
      </c>
      <c r="B1179" t="s">
        <v>2560</v>
      </c>
    </row>
    <row r="1180" spans="1:8" ht="15.75" customHeight="1">
      <c r="A1180" t="s">
        <v>2561</v>
      </c>
      <c r="B1180" t="s">
        <v>2562</v>
      </c>
    </row>
    <row r="1181" spans="1:8" ht="15.75" customHeight="1">
      <c r="B1181" t="s">
        <v>2563</v>
      </c>
    </row>
    <row r="1182" spans="1:8" ht="15.75" customHeight="1">
      <c r="B1182" t="s">
        <v>2564</v>
      </c>
    </row>
    <row r="1183" spans="1:8" ht="15.75" customHeight="1">
      <c r="B1183" t="s">
        <v>2565</v>
      </c>
    </row>
    <row r="1184" spans="1:8" ht="15.75" customHeight="1">
      <c r="B1184" t="s">
        <v>2567</v>
      </c>
    </row>
    <row r="1185" spans="1:8" ht="15.75" customHeight="1">
      <c r="B1185" t="s">
        <v>2569</v>
      </c>
    </row>
    <row r="1186" spans="1:8" ht="15.75" customHeight="1">
      <c r="B1186" t="s">
        <v>2570</v>
      </c>
    </row>
    <row r="1187" spans="1:8" ht="15.75" customHeight="1">
      <c r="B1187" t="s">
        <v>2572</v>
      </c>
    </row>
    <row r="1188" spans="1:8" ht="15.75" customHeight="1">
      <c r="B1188" t="s">
        <v>2573</v>
      </c>
    </row>
    <row r="1189" spans="1:8" ht="15.75" customHeight="1">
      <c r="B1189" t="s">
        <v>2574</v>
      </c>
    </row>
    <row r="1190" spans="1:8" ht="15.75" customHeight="1">
      <c r="B1190" t="s">
        <v>2575</v>
      </c>
    </row>
    <row r="1191" spans="1:8" ht="15.75" customHeight="1">
      <c r="B1191" t="s">
        <v>2577</v>
      </c>
    </row>
    <row r="1192" spans="1:8" ht="15.75" customHeight="1">
      <c r="A1192" t="s">
        <v>2579</v>
      </c>
      <c r="B1192" t="s">
        <v>2580</v>
      </c>
    </row>
    <row r="1193" spans="1:8" ht="15.75" customHeight="1">
      <c r="A1193" t="s">
        <v>2581</v>
      </c>
      <c r="B1193" t="s">
        <v>2582</v>
      </c>
    </row>
    <row r="1194" spans="1:8" ht="15.75" customHeight="1">
      <c r="A1194" t="s">
        <v>2584</v>
      </c>
      <c r="B1194" t="s">
        <v>2585</v>
      </c>
    </row>
    <row r="1195" spans="1:8" ht="15.75" customHeight="1">
      <c r="A1195" t="s">
        <v>2587</v>
      </c>
      <c r="B1195" t="s">
        <v>2588</v>
      </c>
    </row>
    <row r="1196" spans="1:8" ht="15.75" customHeight="1">
      <c r="A1196" t="s">
        <v>2590</v>
      </c>
      <c r="B1196" t="s">
        <v>2591</v>
      </c>
      <c r="C1196" t="s">
        <v>7474</v>
      </c>
      <c r="E1196" s="12" t="s">
        <v>7475</v>
      </c>
    </row>
    <row r="1197" spans="1:8" ht="15.75" customHeight="1">
      <c r="A1197" t="s">
        <v>2593</v>
      </c>
      <c r="B1197" t="s">
        <v>2594</v>
      </c>
    </row>
    <row r="1198" spans="1:8" ht="15.75" customHeight="1">
      <c r="A1198" t="s">
        <v>2597</v>
      </c>
      <c r="B1198" t="s">
        <v>2598</v>
      </c>
    </row>
    <row r="1199" spans="1:8" ht="15.75" customHeight="1">
      <c r="A1199" t="s">
        <v>2599</v>
      </c>
      <c r="B1199" t="s">
        <v>2600</v>
      </c>
    </row>
    <row r="1200" spans="1:8" ht="15.75" customHeight="1">
      <c r="A1200" t="s">
        <v>2603</v>
      </c>
      <c r="B1200" t="s">
        <v>2604</v>
      </c>
      <c r="C1200" t="s">
        <v>8665</v>
      </c>
      <c r="E1200" s="12" t="s">
        <v>8666</v>
      </c>
      <c r="F1200" s="12" t="s">
        <v>8667</v>
      </c>
      <c r="G1200" t="s">
        <v>8668</v>
      </c>
      <c r="H1200" t="s">
        <v>8669</v>
      </c>
    </row>
    <row r="1201" spans="1:8" ht="15.75" customHeight="1">
      <c r="A1201" t="s">
        <v>2603</v>
      </c>
      <c r="B1201" t="s">
        <v>2604</v>
      </c>
      <c r="C1201" t="s">
        <v>8665</v>
      </c>
      <c r="E1201" s="12" t="s">
        <v>8666</v>
      </c>
      <c r="F1201" s="12" t="s">
        <v>8670</v>
      </c>
      <c r="G1201" t="s">
        <v>8671</v>
      </c>
      <c r="H1201" t="s">
        <v>8672</v>
      </c>
    </row>
    <row r="1202" spans="1:8" ht="15.75" customHeight="1">
      <c r="A1202" t="s">
        <v>2606</v>
      </c>
      <c r="B1202" t="s">
        <v>2607</v>
      </c>
    </row>
    <row r="1203" spans="1:8" ht="15.75" customHeight="1">
      <c r="A1203" t="s">
        <v>2609</v>
      </c>
      <c r="B1203" t="s">
        <v>2610</v>
      </c>
    </row>
    <row r="1204" spans="1:8" ht="15.75" customHeight="1">
      <c r="A1204" t="s">
        <v>2611</v>
      </c>
      <c r="B1204" t="s">
        <v>2612</v>
      </c>
    </row>
    <row r="1205" spans="1:8" ht="15.75" customHeight="1">
      <c r="A1205" t="s">
        <v>2615</v>
      </c>
      <c r="B1205" t="s">
        <v>2616</v>
      </c>
      <c r="C1205" t="s">
        <v>8173</v>
      </c>
      <c r="E1205" s="12" t="s">
        <v>8174</v>
      </c>
      <c r="F1205" s="12" t="s">
        <v>8175</v>
      </c>
      <c r="G1205" t="s">
        <v>8176</v>
      </c>
      <c r="H1205" t="s">
        <v>8177</v>
      </c>
    </row>
    <row r="1206" spans="1:8" ht="15.75" customHeight="1">
      <c r="A1206" t="s">
        <v>2615</v>
      </c>
      <c r="B1206" t="s">
        <v>2616</v>
      </c>
      <c r="C1206" t="s">
        <v>8173</v>
      </c>
      <c r="E1206" s="12" t="s">
        <v>8174</v>
      </c>
      <c r="F1206" s="12" t="s">
        <v>8178</v>
      </c>
      <c r="G1206" t="s">
        <v>8179</v>
      </c>
      <c r="H1206" t="s">
        <v>8180</v>
      </c>
    </row>
    <row r="1207" spans="1:8" ht="15.75" customHeight="1">
      <c r="A1207" t="s">
        <v>2615</v>
      </c>
      <c r="B1207" t="s">
        <v>2616</v>
      </c>
      <c r="C1207" t="s">
        <v>8173</v>
      </c>
      <c r="E1207" s="12" t="s">
        <v>8174</v>
      </c>
      <c r="F1207" s="12" t="s">
        <v>8181</v>
      </c>
      <c r="G1207" t="s">
        <v>8182</v>
      </c>
      <c r="H1207" t="s">
        <v>8183</v>
      </c>
    </row>
    <row r="1208" spans="1:8" ht="15.75" customHeight="1">
      <c r="A1208" t="s">
        <v>2615</v>
      </c>
      <c r="B1208" t="s">
        <v>2616</v>
      </c>
      <c r="C1208" t="s">
        <v>8173</v>
      </c>
      <c r="E1208" s="12" t="s">
        <v>8174</v>
      </c>
      <c r="F1208" s="12" t="s">
        <v>8184</v>
      </c>
      <c r="G1208" t="s">
        <v>8185</v>
      </c>
      <c r="H1208" t="s">
        <v>8186</v>
      </c>
    </row>
    <row r="1209" spans="1:8" ht="15.75" customHeight="1">
      <c r="A1209" t="s">
        <v>2615</v>
      </c>
      <c r="B1209" t="s">
        <v>2616</v>
      </c>
      <c r="C1209" t="s">
        <v>8173</v>
      </c>
      <c r="E1209" s="12" t="s">
        <v>8174</v>
      </c>
      <c r="F1209" s="12" t="s">
        <v>8187</v>
      </c>
      <c r="G1209" t="s">
        <v>8185</v>
      </c>
      <c r="H1209" t="s">
        <v>8188</v>
      </c>
    </row>
    <row r="1210" spans="1:8" ht="15.75" customHeight="1">
      <c r="A1210" t="s">
        <v>2615</v>
      </c>
      <c r="B1210" t="s">
        <v>2616</v>
      </c>
      <c r="C1210" t="s">
        <v>8173</v>
      </c>
      <c r="E1210" s="12" t="s">
        <v>8174</v>
      </c>
      <c r="F1210" s="12" t="s">
        <v>8189</v>
      </c>
      <c r="G1210" t="s">
        <v>8190</v>
      </c>
      <c r="H1210" t="s">
        <v>8191</v>
      </c>
    </row>
    <row r="1211" spans="1:8" ht="15.75" customHeight="1">
      <c r="A1211" t="s">
        <v>2615</v>
      </c>
      <c r="B1211" t="s">
        <v>2616</v>
      </c>
      <c r="C1211" t="s">
        <v>8173</v>
      </c>
      <c r="E1211" s="12" t="s">
        <v>8174</v>
      </c>
      <c r="F1211" s="12" t="s">
        <v>8192</v>
      </c>
      <c r="G1211" t="s">
        <v>8193</v>
      </c>
      <c r="H1211" t="s">
        <v>8194</v>
      </c>
    </row>
    <row r="1212" spans="1:8" ht="15.75" customHeight="1">
      <c r="A1212" t="s">
        <v>2615</v>
      </c>
      <c r="B1212" t="s">
        <v>2616</v>
      </c>
      <c r="C1212" t="s">
        <v>8173</v>
      </c>
      <c r="E1212" s="12" t="s">
        <v>8174</v>
      </c>
      <c r="F1212" s="12" t="s">
        <v>8195</v>
      </c>
      <c r="G1212" t="s">
        <v>8196</v>
      </c>
      <c r="H1212" t="s">
        <v>8197</v>
      </c>
    </row>
    <row r="1213" spans="1:8" ht="15.75" customHeight="1">
      <c r="A1213" t="s">
        <v>2615</v>
      </c>
      <c r="B1213" t="s">
        <v>2616</v>
      </c>
      <c r="C1213" t="s">
        <v>8673</v>
      </c>
      <c r="E1213" s="12" t="s">
        <v>8674</v>
      </c>
      <c r="F1213" s="12" t="s">
        <v>8675</v>
      </c>
      <c r="G1213" t="s">
        <v>8676</v>
      </c>
      <c r="H1213" t="s">
        <v>8677</v>
      </c>
    </row>
    <row r="1214" spans="1:8" ht="15.75" customHeight="1">
      <c r="A1214" t="s">
        <v>2619</v>
      </c>
      <c r="B1214" t="s">
        <v>2620</v>
      </c>
    </row>
    <row r="1215" spans="1:8" ht="15.75" customHeight="1">
      <c r="A1215" t="s">
        <v>2622</v>
      </c>
      <c r="B1215" t="s">
        <v>2623</v>
      </c>
    </row>
    <row r="1216" spans="1:8" ht="15.75" customHeight="1">
      <c r="A1216" t="s">
        <v>2626</v>
      </c>
      <c r="B1216" t="s">
        <v>2627</v>
      </c>
      <c r="C1216" t="s">
        <v>8678</v>
      </c>
    </row>
    <row r="1217" spans="1:8" ht="15.75" customHeight="1">
      <c r="A1217" t="s">
        <v>2629</v>
      </c>
      <c r="B1217" t="s">
        <v>2630</v>
      </c>
    </row>
    <row r="1218" spans="1:8" ht="15.75" customHeight="1">
      <c r="A1218" t="s">
        <v>2632</v>
      </c>
      <c r="B1218" t="s">
        <v>2633</v>
      </c>
    </row>
    <row r="1219" spans="1:8" ht="15.75" customHeight="1">
      <c r="A1219" t="s">
        <v>2635</v>
      </c>
      <c r="B1219" t="s">
        <v>2636</v>
      </c>
    </row>
    <row r="1220" spans="1:8" ht="15.75" customHeight="1">
      <c r="A1220" t="s">
        <v>2637</v>
      </c>
      <c r="B1220" t="s">
        <v>2638</v>
      </c>
    </row>
    <row r="1221" spans="1:8" ht="15.75" customHeight="1">
      <c r="A1221" t="s">
        <v>2640</v>
      </c>
      <c r="B1221" t="s">
        <v>2641</v>
      </c>
      <c r="C1221" t="s">
        <v>7175</v>
      </c>
    </row>
    <row r="1222" spans="1:8" ht="15.75" customHeight="1">
      <c r="A1222" t="s">
        <v>2642</v>
      </c>
      <c r="B1222" t="s">
        <v>2643</v>
      </c>
    </row>
    <row r="1223" spans="1:8" ht="15.75" customHeight="1">
      <c r="A1223" t="s">
        <v>2646</v>
      </c>
      <c r="B1223" t="s">
        <v>2647</v>
      </c>
      <c r="C1223" t="s">
        <v>8679</v>
      </c>
      <c r="E1223" s="12" t="s">
        <v>8680</v>
      </c>
      <c r="F1223" s="12" t="s">
        <v>8681</v>
      </c>
      <c r="G1223" t="s">
        <v>8682</v>
      </c>
      <c r="H1223" t="s">
        <v>8683</v>
      </c>
    </row>
    <row r="1224" spans="1:8" ht="15.75" customHeight="1">
      <c r="A1224" t="s">
        <v>2646</v>
      </c>
      <c r="B1224" t="s">
        <v>2647</v>
      </c>
      <c r="C1224" t="s">
        <v>8684</v>
      </c>
    </row>
    <row r="1225" spans="1:8" ht="15.75" customHeight="1">
      <c r="A1225" t="s">
        <v>2649</v>
      </c>
      <c r="B1225" t="s">
        <v>2650</v>
      </c>
    </row>
    <row r="1226" spans="1:8" ht="15.75" customHeight="1">
      <c r="A1226" t="s">
        <v>2651</v>
      </c>
      <c r="B1226" t="s">
        <v>2652</v>
      </c>
    </row>
    <row r="1227" spans="1:8" ht="15.75" customHeight="1">
      <c r="A1227" t="s">
        <v>2655</v>
      </c>
      <c r="B1227" t="s">
        <v>2656</v>
      </c>
      <c r="C1227" t="s">
        <v>8284</v>
      </c>
    </row>
    <row r="1228" spans="1:8" ht="15.75" customHeight="1">
      <c r="A1228" t="s">
        <v>2659</v>
      </c>
      <c r="B1228" t="s">
        <v>2660</v>
      </c>
      <c r="C1228" t="s">
        <v>8685</v>
      </c>
      <c r="E1228" s="12" t="s">
        <v>8686</v>
      </c>
      <c r="F1228" s="12" t="s">
        <v>8687</v>
      </c>
      <c r="G1228" t="s">
        <v>8688</v>
      </c>
      <c r="H1228" t="s">
        <v>8651</v>
      </c>
    </row>
    <row r="1229" spans="1:8" ht="15.75" customHeight="1">
      <c r="A1229" t="s">
        <v>2663</v>
      </c>
      <c r="B1229" t="s">
        <v>2664</v>
      </c>
      <c r="C1229" t="s">
        <v>8689</v>
      </c>
      <c r="E1229" s="12" t="s">
        <v>8690</v>
      </c>
      <c r="F1229" s="12" t="s">
        <v>8691</v>
      </c>
      <c r="G1229" t="s">
        <v>8692</v>
      </c>
      <c r="H1229" t="s">
        <v>8693</v>
      </c>
    </row>
    <row r="1230" spans="1:8" ht="15.75" customHeight="1">
      <c r="A1230" t="s">
        <v>2666</v>
      </c>
      <c r="B1230" t="s">
        <v>2667</v>
      </c>
    </row>
    <row r="1231" spans="1:8" ht="15.75" customHeight="1">
      <c r="A1231" t="s">
        <v>2670</v>
      </c>
      <c r="B1231" t="s">
        <v>2671</v>
      </c>
      <c r="C1231" t="s">
        <v>7739</v>
      </c>
    </row>
    <row r="1232" spans="1:8" ht="15.75" customHeight="1">
      <c r="A1232" t="s">
        <v>2674</v>
      </c>
      <c r="B1232" t="s">
        <v>2675</v>
      </c>
      <c r="C1232" t="s">
        <v>8694</v>
      </c>
      <c r="E1232" s="12" t="s">
        <v>8695</v>
      </c>
      <c r="F1232" s="12" t="s">
        <v>8696</v>
      </c>
      <c r="G1232" t="s">
        <v>8697</v>
      </c>
      <c r="H1232" t="s">
        <v>8698</v>
      </c>
    </row>
    <row r="1233" spans="1:8" ht="15.75" customHeight="1">
      <c r="A1233" t="s">
        <v>2678</v>
      </c>
      <c r="B1233" t="s">
        <v>2679</v>
      </c>
      <c r="C1233" t="s">
        <v>7889</v>
      </c>
      <c r="E1233" s="12" t="s">
        <v>7890</v>
      </c>
      <c r="F1233" s="12" t="s">
        <v>7891</v>
      </c>
      <c r="G1233" t="s">
        <v>7892</v>
      </c>
      <c r="H1233" t="s">
        <v>7893</v>
      </c>
    </row>
    <row r="1234" spans="1:8" ht="15.75" customHeight="1">
      <c r="A1234" t="s">
        <v>2682</v>
      </c>
      <c r="B1234" t="s">
        <v>2683</v>
      </c>
    </row>
    <row r="1235" spans="1:8" ht="15.75" customHeight="1">
      <c r="A1235" t="s">
        <v>2686</v>
      </c>
      <c r="B1235" t="s">
        <v>2687</v>
      </c>
      <c r="C1235" t="s">
        <v>8699</v>
      </c>
      <c r="E1235" s="12" t="s">
        <v>8700</v>
      </c>
      <c r="F1235" s="12" t="s">
        <v>8701</v>
      </c>
      <c r="G1235" t="s">
        <v>8702</v>
      </c>
      <c r="H1235" t="s">
        <v>8703</v>
      </c>
    </row>
    <row r="1236" spans="1:8" ht="15.75" customHeight="1">
      <c r="A1236" t="s">
        <v>2686</v>
      </c>
      <c r="B1236" t="s">
        <v>2687</v>
      </c>
      <c r="C1236" t="s">
        <v>8699</v>
      </c>
      <c r="E1236" s="12" t="s">
        <v>8700</v>
      </c>
      <c r="F1236" s="12" t="s">
        <v>8704</v>
      </c>
      <c r="G1236" t="s">
        <v>8705</v>
      </c>
      <c r="H1236" t="s">
        <v>8706</v>
      </c>
    </row>
    <row r="1237" spans="1:8" ht="15.75" customHeight="1">
      <c r="A1237" t="s">
        <v>2686</v>
      </c>
      <c r="B1237" t="s">
        <v>2687</v>
      </c>
      <c r="C1237" t="s">
        <v>8699</v>
      </c>
      <c r="E1237" s="12" t="s">
        <v>8700</v>
      </c>
      <c r="F1237" s="12" t="s">
        <v>8707</v>
      </c>
      <c r="G1237" t="s">
        <v>8708</v>
      </c>
      <c r="H1237" t="s">
        <v>8709</v>
      </c>
    </row>
    <row r="1238" spans="1:8" ht="15.75" customHeight="1">
      <c r="A1238" t="s">
        <v>2686</v>
      </c>
      <c r="B1238" t="s">
        <v>2687</v>
      </c>
      <c r="C1238" t="s">
        <v>8699</v>
      </c>
      <c r="E1238" s="12" t="s">
        <v>8700</v>
      </c>
      <c r="F1238" s="12" t="s">
        <v>8710</v>
      </c>
      <c r="G1238" t="s">
        <v>8711</v>
      </c>
      <c r="H1238" t="s">
        <v>8712</v>
      </c>
    </row>
    <row r="1239" spans="1:8" ht="15.75" customHeight="1">
      <c r="A1239" t="s">
        <v>2689</v>
      </c>
      <c r="B1239" t="s">
        <v>2690</v>
      </c>
      <c r="C1239" t="s">
        <v>8684</v>
      </c>
    </row>
    <row r="1240" spans="1:8" ht="15.75" customHeight="1">
      <c r="A1240" t="s">
        <v>2692</v>
      </c>
      <c r="B1240" t="s">
        <v>2693</v>
      </c>
    </row>
    <row r="1241" spans="1:8" ht="15.75" customHeight="1">
      <c r="A1241" t="s">
        <v>2696</v>
      </c>
      <c r="B1241" t="s">
        <v>2697</v>
      </c>
      <c r="C1241" t="s">
        <v>8713</v>
      </c>
      <c r="E1241" s="12" t="s">
        <v>8714</v>
      </c>
      <c r="F1241" s="12" t="s">
        <v>8715</v>
      </c>
      <c r="G1241" t="s">
        <v>8716</v>
      </c>
      <c r="H1241" t="s">
        <v>8717</v>
      </c>
    </row>
    <row r="1242" spans="1:8" ht="15.75" customHeight="1">
      <c r="A1242" t="s">
        <v>2700</v>
      </c>
      <c r="B1242" t="s">
        <v>2701</v>
      </c>
      <c r="C1242" t="s">
        <v>8718</v>
      </c>
      <c r="E1242" s="12" t="s">
        <v>8719</v>
      </c>
      <c r="F1242" s="12" t="s">
        <v>7505</v>
      </c>
      <c r="G1242" t="s">
        <v>7506</v>
      </c>
      <c r="H1242" t="s">
        <v>7507</v>
      </c>
    </row>
    <row r="1243" spans="1:8" ht="15.75" customHeight="1">
      <c r="A1243" t="s">
        <v>2704</v>
      </c>
      <c r="B1243" t="s">
        <v>2705</v>
      </c>
    </row>
    <row r="1244" spans="1:8" ht="15.75" customHeight="1">
      <c r="A1244" t="s">
        <v>2706</v>
      </c>
      <c r="B1244" t="s">
        <v>2707</v>
      </c>
    </row>
    <row r="1245" spans="1:8" ht="15.75" customHeight="1">
      <c r="A1245" t="s">
        <v>2710</v>
      </c>
      <c r="B1245" t="s">
        <v>2711</v>
      </c>
      <c r="C1245" t="s">
        <v>8720</v>
      </c>
      <c r="E1245" s="12" t="s">
        <v>8721</v>
      </c>
      <c r="F1245" s="12" t="s">
        <v>8722</v>
      </c>
      <c r="G1245" t="s">
        <v>8723</v>
      </c>
      <c r="H1245" t="s">
        <v>8724</v>
      </c>
    </row>
    <row r="1246" spans="1:8" ht="15.75" customHeight="1">
      <c r="A1246" t="s">
        <v>2714</v>
      </c>
      <c r="B1246" t="s">
        <v>2715</v>
      </c>
    </row>
    <row r="1247" spans="1:8" ht="15.75" customHeight="1">
      <c r="A1247" t="s">
        <v>2718</v>
      </c>
      <c r="B1247" t="s">
        <v>2719</v>
      </c>
      <c r="C1247" t="s">
        <v>8725</v>
      </c>
    </row>
    <row r="1248" spans="1:8" ht="15.75" customHeight="1">
      <c r="A1248" t="s">
        <v>2722</v>
      </c>
      <c r="B1248" t="s">
        <v>2723</v>
      </c>
    </row>
    <row r="1249" spans="1:8" ht="15.75" customHeight="1">
      <c r="B1249" t="s">
        <v>2725</v>
      </c>
    </row>
    <row r="1250" spans="1:8" ht="15.75" customHeight="1">
      <c r="A1250" t="s">
        <v>2728</v>
      </c>
      <c r="B1250" t="s">
        <v>2729</v>
      </c>
      <c r="C1250" t="s">
        <v>7862</v>
      </c>
      <c r="E1250" s="12" t="s">
        <v>7863</v>
      </c>
      <c r="F1250" s="12" t="s">
        <v>7864</v>
      </c>
      <c r="G1250" t="s">
        <v>7865</v>
      </c>
      <c r="H1250" t="s">
        <v>7866</v>
      </c>
    </row>
    <row r="1251" spans="1:8" ht="15.75" customHeight="1">
      <c r="A1251" t="s">
        <v>2728</v>
      </c>
      <c r="B1251" t="s">
        <v>2729</v>
      </c>
      <c r="C1251" t="s">
        <v>7862</v>
      </c>
      <c r="E1251" s="12" t="s">
        <v>7863</v>
      </c>
      <c r="F1251" s="12" t="s">
        <v>7867</v>
      </c>
      <c r="G1251" t="s">
        <v>7868</v>
      </c>
      <c r="H1251" t="s">
        <v>7866</v>
      </c>
    </row>
    <row r="1252" spans="1:8" ht="15.75" customHeight="1">
      <c r="A1252" t="s">
        <v>2728</v>
      </c>
      <c r="B1252" t="s">
        <v>2729</v>
      </c>
      <c r="C1252" t="s">
        <v>7862</v>
      </c>
      <c r="E1252" s="12" t="s">
        <v>7863</v>
      </c>
      <c r="F1252" s="12" t="s">
        <v>7869</v>
      </c>
      <c r="G1252" t="s">
        <v>7870</v>
      </c>
      <c r="H1252" t="s">
        <v>7866</v>
      </c>
    </row>
    <row r="1253" spans="1:8" ht="15.75" customHeight="1">
      <c r="A1253" t="s">
        <v>2728</v>
      </c>
      <c r="B1253" t="s">
        <v>2729</v>
      </c>
      <c r="C1253" t="s">
        <v>7862</v>
      </c>
      <c r="E1253" s="12" t="s">
        <v>7863</v>
      </c>
      <c r="F1253" s="12" t="s">
        <v>7871</v>
      </c>
      <c r="G1253" t="s">
        <v>7872</v>
      </c>
      <c r="H1253" t="s">
        <v>7866</v>
      </c>
    </row>
    <row r="1254" spans="1:8" ht="15.75" customHeight="1">
      <c r="A1254" t="s">
        <v>2728</v>
      </c>
      <c r="B1254" t="s">
        <v>2729</v>
      </c>
      <c r="C1254" t="s">
        <v>7862</v>
      </c>
      <c r="E1254" s="12" t="s">
        <v>7863</v>
      </c>
      <c r="F1254" s="12" t="s">
        <v>7873</v>
      </c>
      <c r="G1254" t="s">
        <v>7874</v>
      </c>
      <c r="H1254" t="s">
        <v>7866</v>
      </c>
    </row>
    <row r="1255" spans="1:8" ht="15.75" customHeight="1">
      <c r="A1255" t="s">
        <v>2728</v>
      </c>
      <c r="B1255" t="s">
        <v>2729</v>
      </c>
      <c r="C1255" t="s">
        <v>7862</v>
      </c>
      <c r="E1255" s="12" t="s">
        <v>7863</v>
      </c>
      <c r="F1255" s="12" t="s">
        <v>7875</v>
      </c>
      <c r="G1255" t="s">
        <v>7876</v>
      </c>
      <c r="H1255" t="s">
        <v>7877</v>
      </c>
    </row>
    <row r="1256" spans="1:8" ht="15.75" customHeight="1">
      <c r="A1256" t="s">
        <v>2732</v>
      </c>
      <c r="B1256" t="s">
        <v>2733</v>
      </c>
      <c r="C1256" t="s">
        <v>7862</v>
      </c>
      <c r="E1256" s="12" t="s">
        <v>7863</v>
      </c>
      <c r="F1256" s="12" t="s">
        <v>7864</v>
      </c>
      <c r="G1256" t="s">
        <v>7865</v>
      </c>
      <c r="H1256" t="s">
        <v>7866</v>
      </c>
    </row>
    <row r="1257" spans="1:8" ht="15.75" customHeight="1">
      <c r="A1257" t="s">
        <v>2732</v>
      </c>
      <c r="B1257" t="s">
        <v>2733</v>
      </c>
      <c r="C1257" t="s">
        <v>7862</v>
      </c>
      <c r="E1257" s="12" t="s">
        <v>7863</v>
      </c>
      <c r="F1257" s="12" t="s">
        <v>7867</v>
      </c>
      <c r="G1257" t="s">
        <v>7868</v>
      </c>
      <c r="H1257" t="s">
        <v>7866</v>
      </c>
    </row>
    <row r="1258" spans="1:8" ht="15.75" customHeight="1">
      <c r="A1258" t="s">
        <v>2732</v>
      </c>
      <c r="B1258" t="s">
        <v>2733</v>
      </c>
      <c r="C1258" t="s">
        <v>7862</v>
      </c>
      <c r="E1258" s="12" t="s">
        <v>7863</v>
      </c>
      <c r="F1258" s="12" t="s">
        <v>7869</v>
      </c>
      <c r="G1258" t="s">
        <v>7870</v>
      </c>
      <c r="H1258" t="s">
        <v>7866</v>
      </c>
    </row>
    <row r="1259" spans="1:8" ht="15.75" customHeight="1">
      <c r="A1259" t="s">
        <v>2732</v>
      </c>
      <c r="B1259" t="s">
        <v>2733</v>
      </c>
      <c r="C1259" t="s">
        <v>7862</v>
      </c>
      <c r="E1259" s="12" t="s">
        <v>7863</v>
      </c>
      <c r="F1259" s="12" t="s">
        <v>7871</v>
      </c>
      <c r="G1259" t="s">
        <v>7872</v>
      </c>
      <c r="H1259" t="s">
        <v>7866</v>
      </c>
    </row>
    <row r="1260" spans="1:8" ht="15.75" customHeight="1">
      <c r="A1260" t="s">
        <v>2732</v>
      </c>
      <c r="B1260" t="s">
        <v>2733</v>
      </c>
      <c r="C1260" t="s">
        <v>7862</v>
      </c>
      <c r="E1260" s="12" t="s">
        <v>7863</v>
      </c>
      <c r="F1260" s="12" t="s">
        <v>7873</v>
      </c>
      <c r="G1260" t="s">
        <v>7874</v>
      </c>
      <c r="H1260" t="s">
        <v>7866</v>
      </c>
    </row>
    <row r="1261" spans="1:8" ht="15.75" customHeight="1">
      <c r="A1261" t="s">
        <v>2732</v>
      </c>
      <c r="B1261" t="s">
        <v>2733</v>
      </c>
      <c r="C1261" t="s">
        <v>7862</v>
      </c>
      <c r="E1261" s="12" t="s">
        <v>7863</v>
      </c>
      <c r="F1261" s="12" t="s">
        <v>7875</v>
      </c>
      <c r="G1261" t="s">
        <v>7876</v>
      </c>
      <c r="H1261" t="s">
        <v>7877</v>
      </c>
    </row>
    <row r="1262" spans="1:8" ht="15.75" customHeight="1">
      <c r="A1262" t="s">
        <v>2736</v>
      </c>
      <c r="B1262" t="s">
        <v>2737</v>
      </c>
      <c r="C1262" t="s">
        <v>8726</v>
      </c>
      <c r="E1262" s="12" t="s">
        <v>8727</v>
      </c>
      <c r="F1262" s="12" t="s">
        <v>8728</v>
      </c>
      <c r="G1262" t="s">
        <v>8729</v>
      </c>
      <c r="H1262" t="s">
        <v>8730</v>
      </c>
    </row>
    <row r="1263" spans="1:8" ht="15.75" customHeight="1">
      <c r="A1263" t="s">
        <v>2736</v>
      </c>
      <c r="B1263" t="s">
        <v>2737</v>
      </c>
      <c r="C1263" t="s">
        <v>8726</v>
      </c>
      <c r="E1263" s="12" t="s">
        <v>8727</v>
      </c>
      <c r="F1263" s="12" t="s">
        <v>8731</v>
      </c>
      <c r="G1263" t="s">
        <v>8732</v>
      </c>
      <c r="H1263" t="s">
        <v>8733</v>
      </c>
    </row>
    <row r="1264" spans="1:8" ht="15.75" customHeight="1">
      <c r="A1264" t="s">
        <v>2736</v>
      </c>
      <c r="B1264" t="s">
        <v>2737</v>
      </c>
      <c r="C1264" t="s">
        <v>8726</v>
      </c>
      <c r="E1264" s="12" t="s">
        <v>8727</v>
      </c>
      <c r="F1264" s="12" t="s">
        <v>8734</v>
      </c>
      <c r="G1264" t="s">
        <v>8735</v>
      </c>
      <c r="H1264" t="s">
        <v>8736</v>
      </c>
    </row>
    <row r="1265" spans="1:8" ht="15.75" customHeight="1">
      <c r="A1265" t="s">
        <v>2736</v>
      </c>
      <c r="B1265" t="s">
        <v>2737</v>
      </c>
      <c r="C1265" t="s">
        <v>8726</v>
      </c>
      <c r="E1265" s="12" t="s">
        <v>8727</v>
      </c>
      <c r="F1265" s="12" t="s">
        <v>8737</v>
      </c>
      <c r="G1265" t="s">
        <v>8738</v>
      </c>
      <c r="H1265" t="s">
        <v>8739</v>
      </c>
    </row>
    <row r="1266" spans="1:8" ht="15.75" customHeight="1">
      <c r="A1266" t="s">
        <v>2736</v>
      </c>
      <c r="B1266" t="s">
        <v>2737</v>
      </c>
      <c r="C1266" t="s">
        <v>8726</v>
      </c>
      <c r="E1266" s="12" t="s">
        <v>8727</v>
      </c>
      <c r="F1266" s="12" t="s">
        <v>8740</v>
      </c>
      <c r="G1266" t="s">
        <v>8741</v>
      </c>
      <c r="H1266" t="s">
        <v>8742</v>
      </c>
    </row>
    <row r="1267" spans="1:8" ht="15.75" customHeight="1">
      <c r="A1267" t="s">
        <v>2736</v>
      </c>
      <c r="B1267" t="s">
        <v>2737</v>
      </c>
      <c r="C1267" t="s">
        <v>8726</v>
      </c>
      <c r="E1267" s="12" t="s">
        <v>8727</v>
      </c>
      <c r="F1267" s="12" t="s">
        <v>8743</v>
      </c>
      <c r="G1267" t="s">
        <v>8744</v>
      </c>
      <c r="H1267" t="s">
        <v>8745</v>
      </c>
    </row>
    <row r="1268" spans="1:8" ht="15.75" customHeight="1">
      <c r="A1268" t="s">
        <v>2736</v>
      </c>
      <c r="B1268" t="s">
        <v>2737</v>
      </c>
      <c r="C1268" t="s">
        <v>8726</v>
      </c>
      <c r="E1268" s="12" t="s">
        <v>8727</v>
      </c>
      <c r="F1268" s="12" t="s">
        <v>8746</v>
      </c>
      <c r="G1268" t="s">
        <v>8747</v>
      </c>
      <c r="H1268" t="s">
        <v>8748</v>
      </c>
    </row>
    <row r="1269" spans="1:8" ht="15.75" customHeight="1">
      <c r="A1269" t="s">
        <v>2736</v>
      </c>
      <c r="B1269" t="s">
        <v>2737</v>
      </c>
      <c r="C1269" t="s">
        <v>8726</v>
      </c>
      <c r="E1269" s="12" t="s">
        <v>8727</v>
      </c>
      <c r="F1269" s="12" t="s">
        <v>8749</v>
      </c>
      <c r="G1269" t="s">
        <v>8750</v>
      </c>
      <c r="H1269" t="s">
        <v>8751</v>
      </c>
    </row>
    <row r="1270" spans="1:8" ht="15.75" customHeight="1">
      <c r="A1270" t="s">
        <v>2736</v>
      </c>
      <c r="B1270" t="s">
        <v>2737</v>
      </c>
      <c r="C1270" t="s">
        <v>8726</v>
      </c>
      <c r="E1270" s="12" t="s">
        <v>8727</v>
      </c>
      <c r="F1270" s="12" t="s">
        <v>8752</v>
      </c>
      <c r="G1270" t="s">
        <v>8753</v>
      </c>
      <c r="H1270" t="s">
        <v>8754</v>
      </c>
    </row>
    <row r="1271" spans="1:8" ht="15.75" customHeight="1">
      <c r="A1271" t="s">
        <v>2736</v>
      </c>
      <c r="B1271" t="s">
        <v>2737</v>
      </c>
      <c r="C1271" t="s">
        <v>8726</v>
      </c>
      <c r="E1271" s="12" t="s">
        <v>8727</v>
      </c>
      <c r="F1271" s="12" t="s">
        <v>8755</v>
      </c>
      <c r="G1271" t="s">
        <v>8756</v>
      </c>
      <c r="H1271" t="s">
        <v>8757</v>
      </c>
    </row>
    <row r="1272" spans="1:8" ht="15.75" customHeight="1">
      <c r="A1272" t="s">
        <v>2736</v>
      </c>
      <c r="B1272" t="s">
        <v>2737</v>
      </c>
      <c r="C1272" t="s">
        <v>8726</v>
      </c>
      <c r="E1272" s="12" t="s">
        <v>8727</v>
      </c>
      <c r="F1272" s="12" t="s">
        <v>8758</v>
      </c>
      <c r="G1272" t="s">
        <v>8759</v>
      </c>
      <c r="H1272" t="s">
        <v>8760</v>
      </c>
    </row>
    <row r="1273" spans="1:8" ht="15.75" customHeight="1">
      <c r="A1273" t="s">
        <v>2736</v>
      </c>
      <c r="B1273" t="s">
        <v>2737</v>
      </c>
      <c r="C1273" t="s">
        <v>8726</v>
      </c>
      <c r="E1273" s="12" t="s">
        <v>8727</v>
      </c>
      <c r="F1273" s="12" t="s">
        <v>8761</v>
      </c>
      <c r="G1273" t="s">
        <v>8762</v>
      </c>
      <c r="H1273" t="s">
        <v>8763</v>
      </c>
    </row>
    <row r="1274" spans="1:8" ht="15.75" customHeight="1">
      <c r="A1274" t="s">
        <v>2736</v>
      </c>
      <c r="B1274" t="s">
        <v>2737</v>
      </c>
      <c r="C1274" t="s">
        <v>8726</v>
      </c>
      <c r="E1274" s="12" t="s">
        <v>8727</v>
      </c>
      <c r="F1274" s="12" t="s">
        <v>8764</v>
      </c>
      <c r="G1274" t="s">
        <v>8765</v>
      </c>
      <c r="H1274" t="s">
        <v>8766</v>
      </c>
    </row>
    <row r="1275" spans="1:8" ht="15.75" customHeight="1">
      <c r="A1275" t="s">
        <v>2736</v>
      </c>
      <c r="B1275" t="s">
        <v>2737</v>
      </c>
      <c r="C1275" t="s">
        <v>8726</v>
      </c>
      <c r="E1275" s="12" t="s">
        <v>8727</v>
      </c>
      <c r="F1275" s="12" t="s">
        <v>8767</v>
      </c>
      <c r="G1275" t="s">
        <v>8768</v>
      </c>
      <c r="H1275" t="s">
        <v>8769</v>
      </c>
    </row>
    <row r="1276" spans="1:8" ht="15.75" customHeight="1">
      <c r="A1276" t="s">
        <v>2736</v>
      </c>
      <c r="B1276" t="s">
        <v>2737</v>
      </c>
      <c r="C1276" t="s">
        <v>8726</v>
      </c>
      <c r="E1276" s="12" t="s">
        <v>8727</v>
      </c>
      <c r="F1276" s="12" t="s">
        <v>8770</v>
      </c>
      <c r="G1276" t="s">
        <v>8771</v>
      </c>
      <c r="H1276" t="s">
        <v>8772</v>
      </c>
    </row>
    <row r="1277" spans="1:8" ht="15.75" customHeight="1">
      <c r="A1277" t="s">
        <v>2736</v>
      </c>
      <c r="B1277" t="s">
        <v>2737</v>
      </c>
      <c r="C1277" t="s">
        <v>8726</v>
      </c>
      <c r="E1277" s="12" t="s">
        <v>8727</v>
      </c>
      <c r="F1277" s="12" t="s">
        <v>8773</v>
      </c>
      <c r="G1277" t="s">
        <v>8774</v>
      </c>
      <c r="H1277" t="s">
        <v>8775</v>
      </c>
    </row>
    <row r="1278" spans="1:8" ht="15.75" customHeight="1">
      <c r="A1278" t="s">
        <v>2738</v>
      </c>
      <c r="B1278" t="s">
        <v>2739</v>
      </c>
    </row>
    <row r="1279" spans="1:8" ht="15.75" customHeight="1">
      <c r="A1279" t="s">
        <v>2742</v>
      </c>
      <c r="B1279" t="s">
        <v>2743</v>
      </c>
    </row>
    <row r="1280" spans="1:8" ht="15.75" customHeight="1">
      <c r="A1280" t="s">
        <v>2746</v>
      </c>
      <c r="B1280" t="s">
        <v>2747</v>
      </c>
    </row>
    <row r="1281" spans="1:8" ht="15.75" customHeight="1">
      <c r="A1281" t="s">
        <v>2749</v>
      </c>
      <c r="B1281" t="s">
        <v>2750</v>
      </c>
    </row>
    <row r="1282" spans="1:8" ht="15.75" customHeight="1">
      <c r="A1282" t="s">
        <v>2751</v>
      </c>
      <c r="B1282" t="s">
        <v>2752</v>
      </c>
    </row>
    <row r="1283" spans="1:8" ht="15.75" customHeight="1">
      <c r="A1283" t="s">
        <v>2753</v>
      </c>
      <c r="B1283" t="s">
        <v>2754</v>
      </c>
    </row>
    <row r="1284" spans="1:8" ht="15.75" customHeight="1">
      <c r="A1284" t="s">
        <v>2756</v>
      </c>
      <c r="B1284" t="s">
        <v>2757</v>
      </c>
    </row>
    <row r="1285" spans="1:8" ht="15.75" customHeight="1">
      <c r="A1285" t="s">
        <v>2758</v>
      </c>
      <c r="B1285" t="s">
        <v>2759</v>
      </c>
    </row>
    <row r="1286" spans="1:8" ht="15.75" customHeight="1">
      <c r="A1286" t="s">
        <v>2760</v>
      </c>
      <c r="B1286" t="s">
        <v>2761</v>
      </c>
    </row>
    <row r="1287" spans="1:8" ht="15.75" customHeight="1">
      <c r="A1287" t="s">
        <v>2764</v>
      </c>
      <c r="B1287" t="s">
        <v>2765</v>
      </c>
    </row>
    <row r="1288" spans="1:8" ht="15.75" customHeight="1">
      <c r="A1288" t="s">
        <v>2766</v>
      </c>
      <c r="B1288" t="s">
        <v>2767</v>
      </c>
    </row>
    <row r="1289" spans="1:8" ht="15.75" customHeight="1">
      <c r="A1289" t="s">
        <v>2770</v>
      </c>
      <c r="B1289" t="s">
        <v>2771</v>
      </c>
    </row>
    <row r="1290" spans="1:8" ht="15.75" customHeight="1">
      <c r="A1290" t="s">
        <v>2774</v>
      </c>
      <c r="B1290" t="s">
        <v>2775</v>
      </c>
    </row>
    <row r="1291" spans="1:8" ht="15.75" customHeight="1">
      <c r="A1291" t="s">
        <v>2778</v>
      </c>
      <c r="B1291" t="s">
        <v>2779</v>
      </c>
    </row>
    <row r="1292" spans="1:8" ht="15.75" customHeight="1">
      <c r="A1292" t="s">
        <v>2782</v>
      </c>
      <c r="B1292" t="s">
        <v>2783</v>
      </c>
    </row>
    <row r="1293" spans="1:8" ht="15.75" customHeight="1">
      <c r="A1293" t="s">
        <v>2785</v>
      </c>
      <c r="B1293" t="s">
        <v>2786</v>
      </c>
      <c r="C1293" t="s">
        <v>7491</v>
      </c>
      <c r="E1293" s="12" t="s">
        <v>7492</v>
      </c>
      <c r="F1293" s="12" t="s">
        <v>7493</v>
      </c>
      <c r="G1293" t="s">
        <v>7494</v>
      </c>
      <c r="H1293" t="s">
        <v>7495</v>
      </c>
    </row>
    <row r="1294" spans="1:8" ht="15.75" customHeight="1">
      <c r="A1294" t="s">
        <v>2788</v>
      </c>
      <c r="B1294" t="s">
        <v>2789</v>
      </c>
      <c r="C1294" t="s">
        <v>7823</v>
      </c>
    </row>
    <row r="1295" spans="1:8" ht="15.75" customHeight="1">
      <c r="A1295" t="s">
        <v>2790</v>
      </c>
      <c r="B1295" t="s">
        <v>2791</v>
      </c>
      <c r="C1295" t="s">
        <v>7823</v>
      </c>
    </row>
    <row r="1296" spans="1:8" ht="15.75" customHeight="1">
      <c r="A1296" t="s">
        <v>2792</v>
      </c>
      <c r="B1296" t="s">
        <v>2793</v>
      </c>
    </row>
    <row r="1297" spans="1:8" ht="15.75" customHeight="1">
      <c r="A1297" t="s">
        <v>2794</v>
      </c>
      <c r="B1297" t="s">
        <v>2795</v>
      </c>
    </row>
    <row r="1298" spans="1:8" ht="15.75" customHeight="1">
      <c r="A1298" t="s">
        <v>2796</v>
      </c>
      <c r="B1298" t="s">
        <v>2797</v>
      </c>
    </row>
    <row r="1299" spans="1:8" ht="15.75" customHeight="1">
      <c r="A1299" t="s">
        <v>2798</v>
      </c>
      <c r="B1299" t="s">
        <v>2799</v>
      </c>
    </row>
    <row r="1300" spans="1:8" ht="15.75" customHeight="1">
      <c r="A1300" t="s">
        <v>2800</v>
      </c>
      <c r="B1300" t="s">
        <v>2801</v>
      </c>
    </row>
    <row r="1301" spans="1:8" ht="15.75" customHeight="1">
      <c r="A1301" t="s">
        <v>2803</v>
      </c>
      <c r="B1301" t="s">
        <v>2804</v>
      </c>
    </row>
    <row r="1302" spans="1:8" ht="15.75" customHeight="1">
      <c r="A1302" t="s">
        <v>2805</v>
      </c>
      <c r="B1302" t="s">
        <v>2806</v>
      </c>
    </row>
    <row r="1303" spans="1:8" ht="15.75" customHeight="1">
      <c r="A1303" t="s">
        <v>2807</v>
      </c>
      <c r="B1303" t="s">
        <v>2808</v>
      </c>
    </row>
    <row r="1304" spans="1:8" ht="15.75" customHeight="1">
      <c r="A1304" t="s">
        <v>2809</v>
      </c>
      <c r="B1304" t="s">
        <v>2810</v>
      </c>
    </row>
    <row r="1305" spans="1:8" ht="15.75" customHeight="1">
      <c r="A1305" t="s">
        <v>2813</v>
      </c>
      <c r="B1305" t="s">
        <v>2814</v>
      </c>
    </row>
    <row r="1306" spans="1:8" ht="15.75" customHeight="1">
      <c r="A1306" t="s">
        <v>2817</v>
      </c>
      <c r="B1306" t="s">
        <v>2818</v>
      </c>
    </row>
    <row r="1307" spans="1:8" ht="15.75" customHeight="1">
      <c r="A1307" t="s">
        <v>2821</v>
      </c>
      <c r="B1307" t="s">
        <v>2822</v>
      </c>
      <c r="C1307" t="s">
        <v>8776</v>
      </c>
      <c r="E1307" s="12" t="s">
        <v>8777</v>
      </c>
      <c r="F1307" s="12" t="s">
        <v>8778</v>
      </c>
      <c r="G1307" t="s">
        <v>8779</v>
      </c>
      <c r="H1307" t="s">
        <v>8780</v>
      </c>
    </row>
    <row r="1308" spans="1:8" ht="15.75" customHeight="1">
      <c r="A1308" t="s">
        <v>2823</v>
      </c>
      <c r="B1308" t="s">
        <v>2824</v>
      </c>
    </row>
    <row r="1309" spans="1:8" ht="15.75" customHeight="1">
      <c r="A1309" t="s">
        <v>2826</v>
      </c>
      <c r="B1309" t="s">
        <v>2827</v>
      </c>
    </row>
    <row r="1310" spans="1:8" ht="15.75" customHeight="1">
      <c r="A1310" t="s">
        <v>2829</v>
      </c>
      <c r="B1310" t="s">
        <v>2830</v>
      </c>
    </row>
    <row r="1311" spans="1:8" ht="15.75" customHeight="1">
      <c r="A1311" t="s">
        <v>2832</v>
      </c>
      <c r="B1311" t="s">
        <v>2833</v>
      </c>
      <c r="C1311" t="s">
        <v>8781</v>
      </c>
      <c r="E1311" s="12" t="s">
        <v>8782</v>
      </c>
    </row>
    <row r="1312" spans="1:8" ht="15.75" customHeight="1">
      <c r="A1312" t="s">
        <v>2832</v>
      </c>
      <c r="B1312" t="s">
        <v>2833</v>
      </c>
      <c r="C1312" t="s">
        <v>7175</v>
      </c>
    </row>
    <row r="1313" spans="1:8" ht="15.75" customHeight="1">
      <c r="A1313" t="s">
        <v>2835</v>
      </c>
      <c r="B1313" t="s">
        <v>2836</v>
      </c>
    </row>
    <row r="1314" spans="1:8" ht="15.75" customHeight="1">
      <c r="A1314" t="s">
        <v>2839</v>
      </c>
      <c r="B1314" t="s">
        <v>2840</v>
      </c>
      <c r="C1314" t="s">
        <v>7168</v>
      </c>
      <c r="E1314" s="12" t="s">
        <v>7169</v>
      </c>
      <c r="F1314" s="12" t="s">
        <v>7170</v>
      </c>
      <c r="G1314" t="s">
        <v>7171</v>
      </c>
      <c r="H1314" t="s">
        <v>7172</v>
      </c>
    </row>
    <row r="1315" spans="1:8" ht="15.75" customHeight="1">
      <c r="A1315" t="s">
        <v>2841</v>
      </c>
      <c r="B1315" t="s">
        <v>2842</v>
      </c>
    </row>
    <row r="1316" spans="1:8" ht="15.75" customHeight="1">
      <c r="A1316" t="s">
        <v>2844</v>
      </c>
      <c r="B1316" t="s">
        <v>2845</v>
      </c>
    </row>
    <row r="1317" spans="1:8" ht="15.75" customHeight="1">
      <c r="A1317" t="s">
        <v>2847</v>
      </c>
      <c r="B1317" t="s">
        <v>2848</v>
      </c>
    </row>
    <row r="1318" spans="1:8" ht="15.75" customHeight="1">
      <c r="A1318" t="s">
        <v>2851</v>
      </c>
      <c r="B1318" t="s">
        <v>2852</v>
      </c>
    </row>
    <row r="1319" spans="1:8" ht="15.75" customHeight="1">
      <c r="A1319" t="s">
        <v>2855</v>
      </c>
      <c r="B1319" t="s">
        <v>2856</v>
      </c>
      <c r="C1319" t="s">
        <v>8783</v>
      </c>
      <c r="E1319" s="12" t="s">
        <v>8784</v>
      </c>
      <c r="F1319" s="12" t="s">
        <v>8785</v>
      </c>
      <c r="G1319" t="s">
        <v>8786</v>
      </c>
      <c r="H1319" t="s">
        <v>8787</v>
      </c>
    </row>
    <row r="1320" spans="1:8" ht="15.75" customHeight="1">
      <c r="A1320" t="s">
        <v>2858</v>
      </c>
      <c r="B1320" t="s">
        <v>2859</v>
      </c>
      <c r="C1320" t="s">
        <v>8788</v>
      </c>
    </row>
    <row r="1321" spans="1:8" ht="15.75" customHeight="1">
      <c r="A1321" t="s">
        <v>2858</v>
      </c>
      <c r="B1321" t="s">
        <v>2859</v>
      </c>
      <c r="C1321" t="s">
        <v>7327</v>
      </c>
      <c r="E1321" s="12" t="s">
        <v>7328</v>
      </c>
      <c r="F1321" s="12" t="s">
        <v>7329</v>
      </c>
      <c r="G1321" t="s">
        <v>7330</v>
      </c>
      <c r="H1321" t="s">
        <v>7331</v>
      </c>
    </row>
    <row r="1322" spans="1:8" ht="15.75" customHeight="1">
      <c r="A1322" t="s">
        <v>2858</v>
      </c>
      <c r="B1322" t="s">
        <v>2859</v>
      </c>
      <c r="C1322" t="s">
        <v>7327</v>
      </c>
      <c r="E1322" s="12" t="s">
        <v>7328</v>
      </c>
      <c r="F1322" s="12" t="s">
        <v>7332</v>
      </c>
      <c r="G1322" t="s">
        <v>7333</v>
      </c>
      <c r="H1322" t="s">
        <v>7334</v>
      </c>
    </row>
    <row r="1323" spans="1:8" ht="15.75" customHeight="1">
      <c r="A1323" t="s">
        <v>2858</v>
      </c>
      <c r="B1323" t="s">
        <v>2859</v>
      </c>
      <c r="C1323" t="s">
        <v>7327</v>
      </c>
      <c r="E1323" s="12" t="s">
        <v>7328</v>
      </c>
      <c r="F1323" s="12" t="s">
        <v>7335</v>
      </c>
      <c r="G1323" t="s">
        <v>7336</v>
      </c>
      <c r="H1323" t="s">
        <v>7337</v>
      </c>
    </row>
    <row r="1324" spans="1:8" ht="15.75" customHeight="1">
      <c r="A1324" t="s">
        <v>2858</v>
      </c>
      <c r="B1324" t="s">
        <v>2859</v>
      </c>
      <c r="C1324" t="s">
        <v>7327</v>
      </c>
      <c r="E1324" s="12" t="s">
        <v>7328</v>
      </c>
      <c r="F1324" s="12" t="s">
        <v>7338</v>
      </c>
      <c r="G1324" t="s">
        <v>7339</v>
      </c>
      <c r="H1324" t="s">
        <v>7340</v>
      </c>
    </row>
    <row r="1325" spans="1:8" ht="15.75" customHeight="1">
      <c r="A1325" t="s">
        <v>2858</v>
      </c>
      <c r="B1325" t="s">
        <v>2859</v>
      </c>
      <c r="C1325" t="s">
        <v>7327</v>
      </c>
      <c r="E1325" s="12" t="s">
        <v>7328</v>
      </c>
      <c r="F1325" s="12" t="s">
        <v>7341</v>
      </c>
      <c r="G1325" t="s">
        <v>7342</v>
      </c>
      <c r="H1325" t="s">
        <v>7343</v>
      </c>
    </row>
    <row r="1326" spans="1:8" ht="15.75" customHeight="1">
      <c r="A1326" t="s">
        <v>2858</v>
      </c>
      <c r="B1326" t="s">
        <v>2859</v>
      </c>
      <c r="C1326" t="s">
        <v>7327</v>
      </c>
      <c r="E1326" s="12" t="s">
        <v>7328</v>
      </c>
      <c r="F1326" s="12" t="s">
        <v>7344</v>
      </c>
      <c r="G1326" t="s">
        <v>7345</v>
      </c>
      <c r="H1326" t="s">
        <v>7346</v>
      </c>
    </row>
    <row r="1327" spans="1:8" ht="15.75" customHeight="1">
      <c r="A1327" t="s">
        <v>2858</v>
      </c>
      <c r="B1327" t="s">
        <v>2859</v>
      </c>
      <c r="C1327" t="s">
        <v>7327</v>
      </c>
      <c r="E1327" s="12" t="s">
        <v>7328</v>
      </c>
      <c r="F1327" s="12" t="s">
        <v>7347</v>
      </c>
      <c r="G1327" t="s">
        <v>7348</v>
      </c>
      <c r="H1327" t="s">
        <v>7349</v>
      </c>
    </row>
    <row r="1328" spans="1:8" ht="15.75" customHeight="1">
      <c r="A1328" t="s">
        <v>2858</v>
      </c>
      <c r="B1328" t="s">
        <v>2859</v>
      </c>
      <c r="C1328" t="s">
        <v>7327</v>
      </c>
      <c r="E1328" s="12" t="s">
        <v>7328</v>
      </c>
      <c r="F1328" s="12" t="s">
        <v>7350</v>
      </c>
      <c r="G1328" t="s">
        <v>7351</v>
      </c>
      <c r="H1328" t="s">
        <v>7352</v>
      </c>
    </row>
    <row r="1329" spans="1:8" ht="15.75" customHeight="1">
      <c r="A1329" t="s">
        <v>2858</v>
      </c>
      <c r="B1329" t="s">
        <v>2859</v>
      </c>
      <c r="C1329" t="s">
        <v>7327</v>
      </c>
      <c r="E1329" s="12" t="s">
        <v>7328</v>
      </c>
      <c r="F1329" s="12" t="s">
        <v>7353</v>
      </c>
      <c r="G1329" t="s">
        <v>7354</v>
      </c>
      <c r="H1329" t="s">
        <v>7355</v>
      </c>
    </row>
    <row r="1330" spans="1:8" ht="15.75" customHeight="1">
      <c r="A1330" t="s">
        <v>2858</v>
      </c>
      <c r="B1330" t="s">
        <v>2859</v>
      </c>
      <c r="C1330" t="s">
        <v>7327</v>
      </c>
      <c r="E1330" s="12" t="s">
        <v>7328</v>
      </c>
      <c r="F1330" s="12" t="s">
        <v>7356</v>
      </c>
      <c r="G1330" t="s">
        <v>7357</v>
      </c>
      <c r="H1330" t="s">
        <v>7358</v>
      </c>
    </row>
    <row r="1331" spans="1:8" ht="15.75" customHeight="1">
      <c r="A1331" t="s">
        <v>2858</v>
      </c>
      <c r="B1331" t="s">
        <v>2859</v>
      </c>
      <c r="C1331" t="s">
        <v>7327</v>
      </c>
      <c r="E1331" s="12" t="s">
        <v>7328</v>
      </c>
      <c r="F1331" s="12" t="s">
        <v>7359</v>
      </c>
      <c r="G1331" t="s">
        <v>7360</v>
      </c>
      <c r="H1331" t="s">
        <v>7361</v>
      </c>
    </row>
    <row r="1332" spans="1:8" ht="15.75" customHeight="1">
      <c r="A1332" t="s">
        <v>2862</v>
      </c>
      <c r="B1332" t="s">
        <v>2863</v>
      </c>
    </row>
    <row r="1333" spans="1:8" ht="15.75" customHeight="1">
      <c r="A1333" t="s">
        <v>2866</v>
      </c>
      <c r="B1333" t="s">
        <v>2867</v>
      </c>
    </row>
    <row r="1334" spans="1:8" ht="15.75" customHeight="1">
      <c r="A1334" t="s">
        <v>2870</v>
      </c>
      <c r="B1334" t="s">
        <v>2871</v>
      </c>
    </row>
    <row r="1335" spans="1:8" ht="15.75" customHeight="1">
      <c r="A1335" t="s">
        <v>2873</v>
      </c>
      <c r="B1335" t="s">
        <v>2874</v>
      </c>
    </row>
    <row r="1336" spans="1:8" ht="15.75" customHeight="1">
      <c r="A1336" t="s">
        <v>2876</v>
      </c>
      <c r="B1336" t="s">
        <v>2877</v>
      </c>
    </row>
    <row r="1337" spans="1:8" ht="15.75" customHeight="1">
      <c r="A1337" t="s">
        <v>2879</v>
      </c>
      <c r="B1337" t="s">
        <v>2880</v>
      </c>
    </row>
    <row r="1338" spans="1:8" ht="15.75" customHeight="1">
      <c r="A1338" t="s">
        <v>2883</v>
      </c>
      <c r="B1338" t="s">
        <v>2884</v>
      </c>
    </row>
    <row r="1339" spans="1:8" ht="15.75" customHeight="1">
      <c r="A1339" t="s">
        <v>2886</v>
      </c>
      <c r="B1339" t="s">
        <v>2887</v>
      </c>
      <c r="C1339" t="s">
        <v>8789</v>
      </c>
      <c r="E1339" s="12" t="s">
        <v>8790</v>
      </c>
    </row>
    <row r="1340" spans="1:8" ht="15.75" customHeight="1">
      <c r="B1340" t="s">
        <v>2888</v>
      </c>
    </row>
    <row r="1341" spans="1:8" ht="15.75" customHeight="1">
      <c r="B1341" t="s">
        <v>2889</v>
      </c>
    </row>
    <row r="1342" spans="1:8" ht="15.75" customHeight="1">
      <c r="B1342" t="s">
        <v>2890</v>
      </c>
    </row>
    <row r="1343" spans="1:8" ht="15.75" customHeight="1">
      <c r="B1343" t="s">
        <v>2891</v>
      </c>
    </row>
    <row r="1344" spans="1:8" ht="15.75" customHeight="1">
      <c r="B1344" t="s">
        <v>2892</v>
      </c>
    </row>
    <row r="1345" spans="1:8" ht="15.75" customHeight="1">
      <c r="B1345" t="s">
        <v>2893</v>
      </c>
    </row>
    <row r="1346" spans="1:8" ht="15.75" customHeight="1">
      <c r="B1346" t="s">
        <v>2894</v>
      </c>
    </row>
    <row r="1347" spans="1:8" ht="15.75" customHeight="1">
      <c r="B1347" t="s">
        <v>2895</v>
      </c>
    </row>
    <row r="1348" spans="1:8" ht="15.75" customHeight="1">
      <c r="B1348" t="s">
        <v>2896</v>
      </c>
    </row>
    <row r="1349" spans="1:8" ht="15.75" customHeight="1">
      <c r="B1349" t="s">
        <v>2897</v>
      </c>
    </row>
    <row r="1350" spans="1:8" ht="15.75" customHeight="1">
      <c r="B1350" t="s">
        <v>2898</v>
      </c>
    </row>
    <row r="1351" spans="1:8" ht="15.75" customHeight="1">
      <c r="B1351" t="s">
        <v>2899</v>
      </c>
    </row>
    <row r="1352" spans="1:8" ht="15.75" customHeight="1">
      <c r="B1352" t="s">
        <v>2900</v>
      </c>
    </row>
    <row r="1353" spans="1:8" ht="15.75" customHeight="1">
      <c r="B1353" t="s">
        <v>2901</v>
      </c>
    </row>
    <row r="1354" spans="1:8" ht="15.75" customHeight="1">
      <c r="B1354" t="s">
        <v>2902</v>
      </c>
    </row>
    <row r="1355" spans="1:8" ht="15.75" customHeight="1">
      <c r="B1355" t="s">
        <v>2903</v>
      </c>
    </row>
    <row r="1356" spans="1:8" ht="15.75" customHeight="1">
      <c r="B1356" t="s">
        <v>2904</v>
      </c>
    </row>
    <row r="1357" spans="1:8" ht="15.75" customHeight="1">
      <c r="B1357" t="s">
        <v>2905</v>
      </c>
    </row>
    <row r="1358" spans="1:8" ht="15.75" customHeight="1">
      <c r="B1358" t="s">
        <v>2906</v>
      </c>
    </row>
    <row r="1359" spans="1:8" ht="15.75" customHeight="1">
      <c r="A1359" t="s">
        <v>2907</v>
      </c>
      <c r="B1359" t="s">
        <v>2908</v>
      </c>
    </row>
    <row r="1360" spans="1:8" ht="15.75" customHeight="1">
      <c r="A1360" t="s">
        <v>2911</v>
      </c>
      <c r="B1360" t="s">
        <v>2912</v>
      </c>
      <c r="C1360" t="s">
        <v>8791</v>
      </c>
      <c r="E1360" s="12" t="s">
        <v>8792</v>
      </c>
      <c r="F1360" s="12" t="s">
        <v>8793</v>
      </c>
      <c r="G1360" t="s">
        <v>8794</v>
      </c>
      <c r="H1360" t="s">
        <v>8795</v>
      </c>
    </row>
    <row r="1361" spans="1:8" ht="15.75" customHeight="1">
      <c r="A1361" t="s">
        <v>2911</v>
      </c>
      <c r="B1361" t="s">
        <v>2912</v>
      </c>
      <c r="C1361" t="s">
        <v>8791</v>
      </c>
      <c r="E1361" s="12" t="s">
        <v>8792</v>
      </c>
      <c r="F1361" s="12" t="s">
        <v>8796</v>
      </c>
      <c r="G1361" t="s">
        <v>8797</v>
      </c>
      <c r="H1361" t="s">
        <v>8798</v>
      </c>
    </row>
    <row r="1362" spans="1:8" ht="15.75" customHeight="1">
      <c r="A1362" t="s">
        <v>2911</v>
      </c>
      <c r="B1362" t="s">
        <v>2912</v>
      </c>
      <c r="C1362" t="s">
        <v>8791</v>
      </c>
      <c r="E1362" s="12" t="s">
        <v>8792</v>
      </c>
      <c r="F1362" s="12" t="s">
        <v>8799</v>
      </c>
      <c r="G1362" t="s">
        <v>8800</v>
      </c>
      <c r="H1362" t="s">
        <v>8801</v>
      </c>
    </row>
    <row r="1363" spans="1:8" ht="15.75" customHeight="1">
      <c r="A1363" t="s">
        <v>2915</v>
      </c>
      <c r="B1363" t="s">
        <v>2916</v>
      </c>
    </row>
    <row r="1364" spans="1:8" ht="15.75" customHeight="1">
      <c r="A1364" t="s">
        <v>2919</v>
      </c>
      <c r="B1364" t="s">
        <v>2920</v>
      </c>
      <c r="C1364" t="s">
        <v>8332</v>
      </c>
      <c r="E1364" s="12" t="s">
        <v>8333</v>
      </c>
      <c r="F1364" s="12" t="s">
        <v>8334</v>
      </c>
      <c r="G1364" t="s">
        <v>8335</v>
      </c>
      <c r="H1364" t="s">
        <v>8336</v>
      </c>
    </row>
    <row r="1365" spans="1:8" ht="15.75" customHeight="1">
      <c r="A1365" t="s">
        <v>2919</v>
      </c>
      <c r="B1365" t="s">
        <v>2920</v>
      </c>
      <c r="C1365" t="s">
        <v>8332</v>
      </c>
      <c r="E1365" s="12" t="s">
        <v>8333</v>
      </c>
      <c r="F1365" s="12" t="s">
        <v>8337</v>
      </c>
      <c r="G1365" t="s">
        <v>8338</v>
      </c>
      <c r="H1365" t="s">
        <v>8339</v>
      </c>
    </row>
    <row r="1366" spans="1:8" ht="15.75" customHeight="1">
      <c r="A1366" t="s">
        <v>2919</v>
      </c>
      <c r="B1366" t="s">
        <v>2920</v>
      </c>
      <c r="C1366" t="s">
        <v>8332</v>
      </c>
      <c r="E1366" s="12" t="s">
        <v>8333</v>
      </c>
      <c r="F1366" s="12" t="s">
        <v>8340</v>
      </c>
      <c r="G1366" t="s">
        <v>8341</v>
      </c>
      <c r="H1366" t="s">
        <v>8342</v>
      </c>
    </row>
    <row r="1367" spans="1:8" ht="15.75" customHeight="1">
      <c r="A1367" t="s">
        <v>2919</v>
      </c>
      <c r="B1367" t="s">
        <v>2920</v>
      </c>
      <c r="C1367" t="s">
        <v>8332</v>
      </c>
      <c r="E1367" s="12" t="s">
        <v>8333</v>
      </c>
      <c r="F1367" s="12" t="s">
        <v>8343</v>
      </c>
      <c r="G1367" t="s">
        <v>8344</v>
      </c>
      <c r="H1367" t="s">
        <v>8345</v>
      </c>
    </row>
    <row r="1368" spans="1:8" ht="15.75" customHeight="1">
      <c r="A1368" t="s">
        <v>2919</v>
      </c>
      <c r="B1368" t="s">
        <v>2920</v>
      </c>
      <c r="C1368" t="s">
        <v>8332</v>
      </c>
      <c r="E1368" s="12" t="s">
        <v>8333</v>
      </c>
      <c r="F1368" s="12" t="s">
        <v>8346</v>
      </c>
      <c r="G1368" t="s">
        <v>8347</v>
      </c>
      <c r="H1368" t="s">
        <v>8348</v>
      </c>
    </row>
    <row r="1369" spans="1:8" ht="15.75" customHeight="1">
      <c r="A1369" t="s">
        <v>2919</v>
      </c>
      <c r="B1369" t="s">
        <v>2920</v>
      </c>
      <c r="C1369" t="s">
        <v>8332</v>
      </c>
      <c r="E1369" s="12" t="s">
        <v>8333</v>
      </c>
      <c r="F1369" s="12" t="s">
        <v>8349</v>
      </c>
      <c r="G1369" t="s">
        <v>8350</v>
      </c>
      <c r="H1369" t="s">
        <v>8351</v>
      </c>
    </row>
    <row r="1370" spans="1:8" ht="15.75" customHeight="1">
      <c r="A1370" t="s">
        <v>2919</v>
      </c>
      <c r="B1370" t="s">
        <v>2920</v>
      </c>
      <c r="C1370" t="s">
        <v>8332</v>
      </c>
      <c r="E1370" s="12" t="s">
        <v>8333</v>
      </c>
      <c r="F1370" s="12" t="s">
        <v>8352</v>
      </c>
      <c r="G1370" t="s">
        <v>8353</v>
      </c>
      <c r="H1370" t="s">
        <v>8354</v>
      </c>
    </row>
    <row r="1371" spans="1:8" ht="15.75" customHeight="1">
      <c r="A1371" t="s">
        <v>2919</v>
      </c>
      <c r="B1371" t="s">
        <v>2920</v>
      </c>
      <c r="C1371" t="s">
        <v>8332</v>
      </c>
      <c r="E1371" s="12" t="s">
        <v>8333</v>
      </c>
      <c r="F1371" s="12" t="s">
        <v>8355</v>
      </c>
      <c r="G1371" t="s">
        <v>8356</v>
      </c>
      <c r="H1371" t="s">
        <v>8357</v>
      </c>
    </row>
    <row r="1372" spans="1:8" ht="15.75" customHeight="1">
      <c r="A1372" t="s">
        <v>2919</v>
      </c>
      <c r="B1372" t="s">
        <v>2920</v>
      </c>
      <c r="C1372" t="s">
        <v>8332</v>
      </c>
      <c r="E1372" s="12" t="s">
        <v>8333</v>
      </c>
      <c r="F1372" s="12" t="s">
        <v>8358</v>
      </c>
      <c r="G1372" t="s">
        <v>8359</v>
      </c>
      <c r="H1372" t="s">
        <v>8360</v>
      </c>
    </row>
    <row r="1373" spans="1:8" ht="15.75" customHeight="1">
      <c r="A1373" t="s">
        <v>2919</v>
      </c>
      <c r="B1373" t="s">
        <v>2920</v>
      </c>
      <c r="C1373" t="s">
        <v>8332</v>
      </c>
      <c r="E1373" s="12" t="s">
        <v>8333</v>
      </c>
      <c r="F1373" s="12" t="s">
        <v>8361</v>
      </c>
      <c r="G1373" t="s">
        <v>8362</v>
      </c>
      <c r="H1373" t="s">
        <v>8363</v>
      </c>
    </row>
    <row r="1374" spans="1:8" ht="15.75" customHeight="1">
      <c r="A1374" t="s">
        <v>2919</v>
      </c>
      <c r="B1374" t="s">
        <v>2920</v>
      </c>
      <c r="C1374" t="s">
        <v>8332</v>
      </c>
      <c r="E1374" s="12" t="s">
        <v>8333</v>
      </c>
      <c r="F1374" s="12" t="s">
        <v>8364</v>
      </c>
      <c r="G1374" t="s">
        <v>8365</v>
      </c>
      <c r="H1374" t="s">
        <v>8366</v>
      </c>
    </row>
    <row r="1375" spans="1:8" ht="15.75" customHeight="1">
      <c r="A1375" t="s">
        <v>2919</v>
      </c>
      <c r="B1375" t="s">
        <v>2920</v>
      </c>
      <c r="C1375" t="s">
        <v>8332</v>
      </c>
      <c r="E1375" s="12" t="s">
        <v>8333</v>
      </c>
      <c r="F1375" s="12" t="s">
        <v>8367</v>
      </c>
      <c r="G1375" t="s">
        <v>8368</v>
      </c>
      <c r="H1375" t="s">
        <v>8369</v>
      </c>
    </row>
    <row r="1376" spans="1:8" ht="15.75" customHeight="1">
      <c r="A1376" t="s">
        <v>2919</v>
      </c>
      <c r="B1376" t="s">
        <v>2920</v>
      </c>
      <c r="C1376" t="s">
        <v>8332</v>
      </c>
      <c r="E1376" s="12" t="s">
        <v>8333</v>
      </c>
      <c r="F1376" s="12" t="s">
        <v>8370</v>
      </c>
      <c r="G1376" t="s">
        <v>8371</v>
      </c>
      <c r="H1376" t="s">
        <v>8372</v>
      </c>
    </row>
    <row r="1377" spans="1:8" ht="15.75" customHeight="1">
      <c r="A1377" t="s">
        <v>2919</v>
      </c>
      <c r="B1377" t="s">
        <v>2920</v>
      </c>
      <c r="C1377" t="s">
        <v>8332</v>
      </c>
      <c r="E1377" s="12" t="s">
        <v>8333</v>
      </c>
      <c r="F1377" s="12" t="s">
        <v>8373</v>
      </c>
      <c r="G1377" t="s">
        <v>8374</v>
      </c>
      <c r="H1377" t="s">
        <v>8336</v>
      </c>
    </row>
    <row r="1378" spans="1:8" ht="15.75" customHeight="1">
      <c r="A1378" t="s">
        <v>2919</v>
      </c>
      <c r="B1378" t="s">
        <v>2920</v>
      </c>
      <c r="C1378" t="s">
        <v>8332</v>
      </c>
      <c r="E1378" s="12" t="s">
        <v>8333</v>
      </c>
      <c r="F1378" s="12" t="s">
        <v>8375</v>
      </c>
      <c r="G1378" t="s">
        <v>8376</v>
      </c>
      <c r="H1378" t="s">
        <v>8345</v>
      </c>
    </row>
    <row r="1379" spans="1:8" ht="15.75" customHeight="1">
      <c r="A1379" t="s">
        <v>2919</v>
      </c>
      <c r="B1379" t="s">
        <v>2920</v>
      </c>
      <c r="C1379" t="s">
        <v>8332</v>
      </c>
      <c r="E1379" s="12" t="s">
        <v>8333</v>
      </c>
      <c r="F1379" s="12" t="s">
        <v>8377</v>
      </c>
      <c r="G1379" t="s">
        <v>8378</v>
      </c>
      <c r="H1379" t="s">
        <v>8379</v>
      </c>
    </row>
    <row r="1380" spans="1:8" ht="15.75" customHeight="1">
      <c r="A1380" t="s">
        <v>2919</v>
      </c>
      <c r="B1380" t="s">
        <v>2920</v>
      </c>
      <c r="C1380" t="s">
        <v>8332</v>
      </c>
      <c r="E1380" s="12" t="s">
        <v>8333</v>
      </c>
      <c r="F1380" s="12" t="s">
        <v>8380</v>
      </c>
      <c r="G1380" t="s">
        <v>8381</v>
      </c>
      <c r="H1380" t="s">
        <v>8382</v>
      </c>
    </row>
    <row r="1381" spans="1:8" ht="15.75" customHeight="1">
      <c r="A1381" t="s">
        <v>2919</v>
      </c>
      <c r="B1381" t="s">
        <v>2920</v>
      </c>
      <c r="C1381" t="s">
        <v>8332</v>
      </c>
      <c r="E1381" s="12" t="s">
        <v>8333</v>
      </c>
      <c r="F1381" s="12" t="s">
        <v>8383</v>
      </c>
      <c r="G1381" t="s">
        <v>8384</v>
      </c>
      <c r="H1381" t="s">
        <v>8348</v>
      </c>
    </row>
    <row r="1382" spans="1:8" ht="15.75" customHeight="1">
      <c r="A1382" t="s">
        <v>2919</v>
      </c>
      <c r="B1382" t="s">
        <v>2920</v>
      </c>
      <c r="C1382" t="s">
        <v>8332</v>
      </c>
      <c r="E1382" s="12" t="s">
        <v>8333</v>
      </c>
      <c r="F1382" s="12" t="s">
        <v>8385</v>
      </c>
      <c r="G1382" t="s">
        <v>8386</v>
      </c>
      <c r="H1382" t="s">
        <v>8387</v>
      </c>
    </row>
    <row r="1383" spans="1:8" ht="15.75" customHeight="1">
      <c r="A1383" t="s">
        <v>2923</v>
      </c>
      <c r="B1383" t="s">
        <v>2924</v>
      </c>
    </row>
    <row r="1384" spans="1:8" ht="15.75" customHeight="1">
      <c r="A1384" t="s">
        <v>2926</v>
      </c>
      <c r="B1384" t="s">
        <v>2927</v>
      </c>
    </row>
    <row r="1385" spans="1:8" ht="15.75" customHeight="1">
      <c r="A1385" t="s">
        <v>2929</v>
      </c>
      <c r="B1385" t="s">
        <v>2930</v>
      </c>
    </row>
    <row r="1386" spans="1:8" ht="15.75" customHeight="1">
      <c r="A1386" t="s">
        <v>2933</v>
      </c>
      <c r="B1386" t="s">
        <v>2934</v>
      </c>
      <c r="C1386" t="s">
        <v>8802</v>
      </c>
      <c r="E1386" s="12" t="s">
        <v>8803</v>
      </c>
      <c r="F1386" s="12" t="s">
        <v>8804</v>
      </c>
      <c r="G1386" t="s">
        <v>8805</v>
      </c>
      <c r="H1386" t="s">
        <v>8806</v>
      </c>
    </row>
    <row r="1387" spans="1:8" ht="15.75" customHeight="1">
      <c r="A1387" t="s">
        <v>2933</v>
      </c>
      <c r="B1387" t="s">
        <v>2934</v>
      </c>
      <c r="C1387" t="s">
        <v>8802</v>
      </c>
      <c r="E1387" s="12" t="s">
        <v>8803</v>
      </c>
      <c r="F1387" s="12" t="s">
        <v>8807</v>
      </c>
      <c r="G1387" t="s">
        <v>8808</v>
      </c>
      <c r="H1387" t="s">
        <v>8806</v>
      </c>
    </row>
    <row r="1388" spans="1:8" ht="15.75" customHeight="1">
      <c r="A1388" t="s">
        <v>2936</v>
      </c>
      <c r="B1388" t="s">
        <v>2937</v>
      </c>
    </row>
    <row r="1389" spans="1:8" ht="15.75" customHeight="1">
      <c r="A1389" t="s">
        <v>2940</v>
      </c>
      <c r="B1389" t="s">
        <v>2941</v>
      </c>
    </row>
    <row r="1390" spans="1:8" ht="15.75" customHeight="1">
      <c r="A1390" t="s">
        <v>2944</v>
      </c>
      <c r="B1390" t="s">
        <v>2945</v>
      </c>
    </row>
    <row r="1391" spans="1:8" ht="15.75" customHeight="1">
      <c r="A1391" t="s">
        <v>2947</v>
      </c>
      <c r="B1391" t="s">
        <v>2948</v>
      </c>
    </row>
    <row r="1392" spans="1:8" ht="15.75" customHeight="1">
      <c r="A1392" t="s">
        <v>2951</v>
      </c>
      <c r="B1392" t="s">
        <v>2952</v>
      </c>
      <c r="C1392" t="s">
        <v>7175</v>
      </c>
    </row>
    <row r="1393" spans="1:8" ht="15.75" customHeight="1">
      <c r="A1393" t="s">
        <v>2955</v>
      </c>
      <c r="B1393" t="s">
        <v>2956</v>
      </c>
      <c r="C1393" t="s">
        <v>7175</v>
      </c>
    </row>
    <row r="1394" spans="1:8" ht="15.75" customHeight="1">
      <c r="A1394" t="s">
        <v>2958</v>
      </c>
      <c r="B1394" t="s">
        <v>2959</v>
      </c>
    </row>
    <row r="1395" spans="1:8" ht="15.75" customHeight="1">
      <c r="A1395" t="s">
        <v>2961</v>
      </c>
      <c r="B1395" t="s">
        <v>2962</v>
      </c>
    </row>
    <row r="1396" spans="1:8" ht="15.75" customHeight="1">
      <c r="A1396" t="s">
        <v>2963</v>
      </c>
      <c r="B1396" t="s">
        <v>2964</v>
      </c>
    </row>
    <row r="1397" spans="1:8" ht="15.75" customHeight="1">
      <c r="A1397" t="s">
        <v>2965</v>
      </c>
      <c r="B1397" t="s">
        <v>2966</v>
      </c>
    </row>
    <row r="1398" spans="1:8" ht="15.75" customHeight="1">
      <c r="A1398" t="s">
        <v>2968</v>
      </c>
      <c r="B1398" t="s">
        <v>2969</v>
      </c>
      <c r="C1398" t="s">
        <v>7175</v>
      </c>
    </row>
    <row r="1399" spans="1:8" ht="15.75" customHeight="1">
      <c r="A1399" t="s">
        <v>2972</v>
      </c>
      <c r="B1399" t="s">
        <v>2973</v>
      </c>
    </row>
    <row r="1400" spans="1:8" ht="15.75" customHeight="1">
      <c r="A1400" t="s">
        <v>2976</v>
      </c>
      <c r="B1400" t="s">
        <v>2977</v>
      </c>
    </row>
    <row r="1401" spans="1:8" ht="15.75" customHeight="1">
      <c r="A1401" t="s">
        <v>2980</v>
      </c>
      <c r="B1401" t="s">
        <v>2981</v>
      </c>
      <c r="C1401" t="s">
        <v>8809</v>
      </c>
      <c r="E1401" s="12" t="s">
        <v>8810</v>
      </c>
      <c r="F1401" s="12" t="s">
        <v>8811</v>
      </c>
      <c r="G1401" t="s">
        <v>8812</v>
      </c>
      <c r="H1401" t="s">
        <v>7612</v>
      </c>
    </row>
    <row r="1402" spans="1:8" ht="15.75" customHeight="1">
      <c r="A1402" t="s">
        <v>2980</v>
      </c>
      <c r="B1402" t="s">
        <v>2981</v>
      </c>
      <c r="C1402" t="s">
        <v>8809</v>
      </c>
      <c r="E1402" s="12" t="s">
        <v>8810</v>
      </c>
      <c r="F1402" s="12" t="s">
        <v>8813</v>
      </c>
      <c r="G1402" t="s">
        <v>8814</v>
      </c>
      <c r="H1402" t="s">
        <v>7612</v>
      </c>
    </row>
    <row r="1403" spans="1:8" ht="15.75" customHeight="1">
      <c r="A1403" t="s">
        <v>2983</v>
      </c>
      <c r="B1403" t="s">
        <v>2984</v>
      </c>
    </row>
    <row r="1404" spans="1:8" ht="15.75" customHeight="1">
      <c r="A1404" t="s">
        <v>2987</v>
      </c>
      <c r="B1404" t="s">
        <v>2988</v>
      </c>
      <c r="C1404" t="s">
        <v>8815</v>
      </c>
      <c r="E1404" s="12" t="s">
        <v>8816</v>
      </c>
      <c r="F1404" s="12" t="s">
        <v>8817</v>
      </c>
      <c r="G1404" t="s">
        <v>8818</v>
      </c>
      <c r="H1404" t="s">
        <v>8819</v>
      </c>
    </row>
    <row r="1405" spans="1:8" ht="15.75" customHeight="1">
      <c r="A1405" t="s">
        <v>2991</v>
      </c>
      <c r="B1405" t="s">
        <v>2992</v>
      </c>
      <c r="C1405" t="s">
        <v>8820</v>
      </c>
      <c r="E1405" s="12" t="s">
        <v>8821</v>
      </c>
    </row>
    <row r="1406" spans="1:8" ht="15.75" customHeight="1">
      <c r="A1406" t="s">
        <v>2994</v>
      </c>
      <c r="B1406" t="s">
        <v>2995</v>
      </c>
      <c r="C1406" t="s">
        <v>7739</v>
      </c>
    </row>
    <row r="1407" spans="1:8" ht="15.75" customHeight="1">
      <c r="A1407" t="s">
        <v>2998</v>
      </c>
      <c r="B1407" t="s">
        <v>2999</v>
      </c>
    </row>
    <row r="1408" spans="1:8" ht="15.75" customHeight="1">
      <c r="A1408" t="s">
        <v>3000</v>
      </c>
      <c r="B1408" t="s">
        <v>3001</v>
      </c>
    </row>
    <row r="1409" spans="1:8" ht="15.75" customHeight="1">
      <c r="A1409" t="s">
        <v>3004</v>
      </c>
      <c r="B1409" t="s">
        <v>3005</v>
      </c>
    </row>
    <row r="1410" spans="1:8" ht="15.75" customHeight="1">
      <c r="A1410" t="s">
        <v>3008</v>
      </c>
      <c r="B1410" t="s">
        <v>3009</v>
      </c>
    </row>
    <row r="1411" spans="1:8" ht="15.75" customHeight="1">
      <c r="A1411" t="s">
        <v>3012</v>
      </c>
      <c r="B1411" t="s">
        <v>3013</v>
      </c>
      <c r="C1411" t="s">
        <v>8822</v>
      </c>
      <c r="E1411" s="12" t="s">
        <v>8823</v>
      </c>
    </row>
    <row r="1412" spans="1:8" ht="15.75" customHeight="1">
      <c r="A1412" t="s">
        <v>3016</v>
      </c>
      <c r="B1412" t="s">
        <v>3017</v>
      </c>
    </row>
    <row r="1413" spans="1:8" ht="15.75" customHeight="1">
      <c r="A1413" t="s">
        <v>3020</v>
      </c>
      <c r="B1413" t="s">
        <v>3021</v>
      </c>
    </row>
    <row r="1414" spans="1:8" ht="15.75" customHeight="1">
      <c r="A1414" t="s">
        <v>3024</v>
      </c>
      <c r="B1414" t="s">
        <v>3025</v>
      </c>
      <c r="C1414" t="s">
        <v>8824</v>
      </c>
      <c r="E1414" s="12" t="s">
        <v>8825</v>
      </c>
    </row>
    <row r="1415" spans="1:8" ht="15.75" customHeight="1">
      <c r="A1415" t="s">
        <v>3028</v>
      </c>
      <c r="B1415" t="s">
        <v>3029</v>
      </c>
    </row>
    <row r="1416" spans="1:8" ht="15.75" customHeight="1">
      <c r="A1416" t="s">
        <v>3032</v>
      </c>
      <c r="B1416" t="s">
        <v>3033</v>
      </c>
    </row>
    <row r="1417" spans="1:8" ht="15.75" customHeight="1">
      <c r="A1417" t="s">
        <v>3036</v>
      </c>
      <c r="B1417" t="s">
        <v>3037</v>
      </c>
      <c r="C1417" t="s">
        <v>7997</v>
      </c>
      <c r="E1417" s="12" t="s">
        <v>7998</v>
      </c>
      <c r="F1417" s="12" t="s">
        <v>7999</v>
      </c>
      <c r="G1417" t="s">
        <v>8000</v>
      </c>
      <c r="H1417" t="s">
        <v>8001</v>
      </c>
    </row>
    <row r="1418" spans="1:8" ht="15.75" customHeight="1">
      <c r="A1418" t="s">
        <v>3036</v>
      </c>
      <c r="B1418" t="s">
        <v>3037</v>
      </c>
      <c r="C1418" t="s">
        <v>7997</v>
      </c>
      <c r="E1418" s="12" t="s">
        <v>7998</v>
      </c>
      <c r="F1418" s="12" t="s">
        <v>8002</v>
      </c>
      <c r="G1418" t="s">
        <v>8003</v>
      </c>
      <c r="H1418" t="s">
        <v>8004</v>
      </c>
    </row>
    <row r="1419" spans="1:8" ht="15.75" customHeight="1">
      <c r="A1419" t="s">
        <v>3036</v>
      </c>
      <c r="B1419" t="s">
        <v>3037</v>
      </c>
      <c r="C1419" t="s">
        <v>7997</v>
      </c>
      <c r="E1419" s="12" t="s">
        <v>7998</v>
      </c>
      <c r="F1419" s="12" t="s">
        <v>8005</v>
      </c>
      <c r="G1419" t="s">
        <v>7525</v>
      </c>
      <c r="H1419" t="s">
        <v>8006</v>
      </c>
    </row>
    <row r="1420" spans="1:8" ht="15.75" customHeight="1">
      <c r="A1420" t="s">
        <v>3040</v>
      </c>
      <c r="B1420" t="s">
        <v>3041</v>
      </c>
      <c r="C1420" t="s">
        <v>8826</v>
      </c>
      <c r="E1420" s="12" t="s">
        <v>8827</v>
      </c>
    </row>
    <row r="1421" spans="1:8" ht="15.75" customHeight="1">
      <c r="A1421" t="s">
        <v>3042</v>
      </c>
      <c r="B1421" t="s">
        <v>3043</v>
      </c>
    </row>
    <row r="1422" spans="1:8" ht="15.75" customHeight="1">
      <c r="A1422" t="s">
        <v>3044</v>
      </c>
      <c r="B1422" t="s">
        <v>3045</v>
      </c>
    </row>
    <row r="1423" spans="1:8" ht="15.75" customHeight="1">
      <c r="A1423" t="s">
        <v>3046</v>
      </c>
      <c r="B1423" t="s">
        <v>3047</v>
      </c>
    </row>
    <row r="1424" spans="1:8" ht="15.75" customHeight="1">
      <c r="A1424" t="s">
        <v>3049</v>
      </c>
      <c r="B1424" t="s">
        <v>3050</v>
      </c>
    </row>
    <row r="1425" spans="1:8" ht="15.75" customHeight="1">
      <c r="A1425" t="s">
        <v>3053</v>
      </c>
      <c r="B1425" t="s">
        <v>3054</v>
      </c>
    </row>
    <row r="1426" spans="1:8" ht="15.75" customHeight="1">
      <c r="A1426" t="s">
        <v>3056</v>
      </c>
      <c r="B1426" t="s">
        <v>3057</v>
      </c>
    </row>
    <row r="1427" spans="1:8" ht="15.75" customHeight="1">
      <c r="A1427" t="s">
        <v>3059</v>
      </c>
      <c r="B1427" t="s">
        <v>3060</v>
      </c>
    </row>
    <row r="1428" spans="1:8" ht="15.75" customHeight="1">
      <c r="A1428" t="s">
        <v>3063</v>
      </c>
      <c r="B1428" t="s">
        <v>3064</v>
      </c>
    </row>
    <row r="1429" spans="1:8" ht="15.75" customHeight="1">
      <c r="A1429" t="s">
        <v>3067</v>
      </c>
      <c r="B1429" t="s">
        <v>3068</v>
      </c>
    </row>
    <row r="1430" spans="1:8" ht="15.75" customHeight="1">
      <c r="A1430" t="s">
        <v>3071</v>
      </c>
      <c r="B1430" t="s">
        <v>3072</v>
      </c>
      <c r="C1430" t="s">
        <v>8828</v>
      </c>
      <c r="E1430" s="12" t="s">
        <v>8829</v>
      </c>
      <c r="F1430" s="12" t="s">
        <v>8830</v>
      </c>
      <c r="G1430" t="s">
        <v>8831</v>
      </c>
      <c r="H1430" t="s">
        <v>8832</v>
      </c>
    </row>
    <row r="1431" spans="1:8" ht="15.75" customHeight="1">
      <c r="A1431" t="s">
        <v>3071</v>
      </c>
      <c r="B1431" t="s">
        <v>3072</v>
      </c>
      <c r="C1431" t="s">
        <v>8828</v>
      </c>
      <c r="E1431" s="12" t="s">
        <v>8829</v>
      </c>
      <c r="F1431" s="12" t="s">
        <v>8833</v>
      </c>
      <c r="G1431" t="s">
        <v>8834</v>
      </c>
      <c r="H1431" t="s">
        <v>8835</v>
      </c>
    </row>
    <row r="1432" spans="1:8" ht="15.75" customHeight="1">
      <c r="A1432" t="s">
        <v>3071</v>
      </c>
      <c r="B1432" t="s">
        <v>3072</v>
      </c>
      <c r="C1432" t="s">
        <v>8828</v>
      </c>
      <c r="E1432" s="12" t="s">
        <v>8829</v>
      </c>
      <c r="F1432" s="12" t="s">
        <v>8836</v>
      </c>
      <c r="G1432" t="s">
        <v>8837</v>
      </c>
      <c r="H1432" t="s">
        <v>8838</v>
      </c>
    </row>
    <row r="1433" spans="1:8" ht="15.75" customHeight="1">
      <c r="A1433" t="s">
        <v>3071</v>
      </c>
      <c r="B1433" t="s">
        <v>3072</v>
      </c>
      <c r="C1433" t="s">
        <v>8828</v>
      </c>
      <c r="E1433" s="12" t="s">
        <v>8829</v>
      </c>
      <c r="F1433" s="12" t="s">
        <v>8839</v>
      </c>
      <c r="G1433" t="s">
        <v>8840</v>
      </c>
      <c r="H1433" t="s">
        <v>8841</v>
      </c>
    </row>
    <row r="1434" spans="1:8" ht="15.75" customHeight="1">
      <c r="A1434" t="s">
        <v>3071</v>
      </c>
      <c r="B1434" t="s">
        <v>3072</v>
      </c>
      <c r="C1434" t="s">
        <v>8828</v>
      </c>
      <c r="E1434" s="12" t="s">
        <v>8829</v>
      </c>
      <c r="F1434" s="12" t="s">
        <v>8842</v>
      </c>
      <c r="G1434" t="s">
        <v>8843</v>
      </c>
      <c r="H1434" t="s">
        <v>8844</v>
      </c>
    </row>
    <row r="1435" spans="1:8" ht="15.75" customHeight="1">
      <c r="A1435" t="s">
        <v>3071</v>
      </c>
      <c r="B1435" t="s">
        <v>3072</v>
      </c>
      <c r="C1435" t="s">
        <v>8828</v>
      </c>
      <c r="E1435" s="12" t="s">
        <v>8829</v>
      </c>
      <c r="F1435" s="12" t="s">
        <v>8845</v>
      </c>
      <c r="G1435" t="s">
        <v>8846</v>
      </c>
      <c r="H1435" t="s">
        <v>8847</v>
      </c>
    </row>
    <row r="1436" spans="1:8" ht="15.75" customHeight="1">
      <c r="A1436" t="s">
        <v>3071</v>
      </c>
      <c r="B1436" t="s">
        <v>3072</v>
      </c>
      <c r="C1436" t="s">
        <v>8828</v>
      </c>
      <c r="E1436" s="12" t="s">
        <v>8829</v>
      </c>
      <c r="F1436" s="12" t="s">
        <v>8848</v>
      </c>
      <c r="G1436" t="s">
        <v>8849</v>
      </c>
      <c r="H1436" t="s">
        <v>8850</v>
      </c>
    </row>
    <row r="1437" spans="1:8" ht="15.75" customHeight="1">
      <c r="A1437" t="s">
        <v>3075</v>
      </c>
      <c r="B1437" t="s">
        <v>3076</v>
      </c>
    </row>
    <row r="1438" spans="1:8" ht="15.75" customHeight="1">
      <c r="A1438" t="s">
        <v>3079</v>
      </c>
      <c r="B1438" t="s">
        <v>3080</v>
      </c>
      <c r="C1438" t="s">
        <v>8851</v>
      </c>
      <c r="E1438" s="12" t="s">
        <v>8852</v>
      </c>
      <c r="F1438" s="12" t="s">
        <v>8853</v>
      </c>
      <c r="G1438" t="s">
        <v>8854</v>
      </c>
      <c r="H1438" t="s">
        <v>8855</v>
      </c>
    </row>
    <row r="1439" spans="1:8" ht="15.75" customHeight="1">
      <c r="A1439" t="s">
        <v>3083</v>
      </c>
      <c r="B1439" t="s">
        <v>3084</v>
      </c>
      <c r="C1439" t="s">
        <v>8856</v>
      </c>
      <c r="E1439" s="12" t="s">
        <v>8857</v>
      </c>
      <c r="F1439" s="12" t="s">
        <v>8858</v>
      </c>
      <c r="G1439" t="s">
        <v>8859</v>
      </c>
      <c r="H1439" t="s">
        <v>8860</v>
      </c>
    </row>
    <row r="1440" spans="1:8" ht="15.75" customHeight="1">
      <c r="A1440" t="s">
        <v>3087</v>
      </c>
      <c r="B1440" t="s">
        <v>3088</v>
      </c>
      <c r="C1440" t="s">
        <v>8861</v>
      </c>
    </row>
    <row r="1441" spans="1:8" ht="15.75" customHeight="1">
      <c r="A1441" t="s">
        <v>3091</v>
      </c>
      <c r="B1441" t="s">
        <v>3092</v>
      </c>
      <c r="C1441" t="s">
        <v>8862</v>
      </c>
      <c r="E1441" s="12" t="s">
        <v>8863</v>
      </c>
      <c r="F1441" s="12" t="s">
        <v>8864</v>
      </c>
      <c r="G1441" t="s">
        <v>8865</v>
      </c>
      <c r="H1441" t="s">
        <v>8866</v>
      </c>
    </row>
    <row r="1442" spans="1:8" ht="15.75" customHeight="1">
      <c r="A1442" t="s">
        <v>3095</v>
      </c>
      <c r="B1442" t="s">
        <v>3096</v>
      </c>
      <c r="C1442" t="s">
        <v>8862</v>
      </c>
      <c r="E1442" s="12" t="s">
        <v>8863</v>
      </c>
      <c r="F1442" s="12" t="s">
        <v>8864</v>
      </c>
      <c r="G1442" t="s">
        <v>8865</v>
      </c>
      <c r="H1442" t="s">
        <v>8866</v>
      </c>
    </row>
    <row r="1443" spans="1:8" ht="15.75" customHeight="1">
      <c r="A1443" t="s">
        <v>3099</v>
      </c>
      <c r="B1443" t="s">
        <v>3100</v>
      </c>
      <c r="C1443" t="s">
        <v>8867</v>
      </c>
      <c r="E1443" s="12" t="s">
        <v>8868</v>
      </c>
    </row>
    <row r="1444" spans="1:8" ht="15.75" customHeight="1">
      <c r="A1444" t="s">
        <v>3103</v>
      </c>
      <c r="B1444" t="s">
        <v>3104</v>
      </c>
    </row>
    <row r="1445" spans="1:8" ht="15.75" customHeight="1">
      <c r="A1445" t="s">
        <v>3107</v>
      </c>
      <c r="B1445" t="s">
        <v>3108</v>
      </c>
      <c r="C1445" t="s">
        <v>8869</v>
      </c>
    </row>
    <row r="1446" spans="1:8" ht="15.75" customHeight="1">
      <c r="A1446" t="s">
        <v>3107</v>
      </c>
      <c r="B1446" t="s">
        <v>3108</v>
      </c>
      <c r="C1446" t="s">
        <v>8870</v>
      </c>
      <c r="E1446" s="12" t="s">
        <v>8871</v>
      </c>
      <c r="F1446" s="12" t="s">
        <v>8225</v>
      </c>
      <c r="G1446" t="s">
        <v>8226</v>
      </c>
      <c r="H1446" t="s">
        <v>8227</v>
      </c>
    </row>
    <row r="1447" spans="1:8" ht="15.75" customHeight="1">
      <c r="A1447" t="s">
        <v>3107</v>
      </c>
      <c r="B1447" t="s">
        <v>3108</v>
      </c>
      <c r="C1447" t="s">
        <v>8870</v>
      </c>
      <c r="E1447" s="12" t="s">
        <v>8871</v>
      </c>
      <c r="F1447" s="12" t="s">
        <v>8222</v>
      </c>
      <c r="G1447" t="s">
        <v>8223</v>
      </c>
      <c r="H1447" t="s">
        <v>8224</v>
      </c>
    </row>
    <row r="1448" spans="1:8" ht="15.75" customHeight="1">
      <c r="A1448" t="s">
        <v>3110</v>
      </c>
      <c r="B1448" t="s">
        <v>3111</v>
      </c>
    </row>
    <row r="1449" spans="1:8" ht="15.75" customHeight="1">
      <c r="A1449" t="s">
        <v>3113</v>
      </c>
      <c r="B1449" t="s">
        <v>3114</v>
      </c>
    </row>
    <row r="1450" spans="1:8" ht="15.75" customHeight="1">
      <c r="A1450" t="s">
        <v>3117</v>
      </c>
      <c r="B1450" t="s">
        <v>3118</v>
      </c>
      <c r="C1450" t="s">
        <v>8872</v>
      </c>
      <c r="E1450" s="12" t="s">
        <v>8873</v>
      </c>
    </row>
    <row r="1451" spans="1:8" ht="15.75" customHeight="1">
      <c r="A1451" t="s">
        <v>3120</v>
      </c>
      <c r="B1451" t="s">
        <v>3121</v>
      </c>
    </row>
    <row r="1452" spans="1:8" ht="15.75" customHeight="1">
      <c r="A1452" t="s">
        <v>3122</v>
      </c>
      <c r="B1452" t="s">
        <v>3123</v>
      </c>
    </row>
    <row r="1453" spans="1:8" ht="15.75" customHeight="1">
      <c r="A1453" t="s">
        <v>3125</v>
      </c>
      <c r="B1453" t="s">
        <v>3126</v>
      </c>
    </row>
    <row r="1454" spans="1:8" ht="15.75" customHeight="1">
      <c r="A1454" t="s">
        <v>3128</v>
      </c>
      <c r="B1454" t="s">
        <v>3129</v>
      </c>
      <c r="C1454" t="s">
        <v>7175</v>
      </c>
    </row>
    <row r="1455" spans="1:8" ht="15.75" customHeight="1">
      <c r="A1455" t="s">
        <v>3131</v>
      </c>
      <c r="B1455" t="s">
        <v>3132</v>
      </c>
      <c r="C1455" t="s">
        <v>7175</v>
      </c>
    </row>
    <row r="1456" spans="1:8" ht="15.75" customHeight="1">
      <c r="A1456" t="s">
        <v>3135</v>
      </c>
      <c r="B1456" t="s">
        <v>3136</v>
      </c>
    </row>
    <row r="1457" spans="1:8" ht="15.75" customHeight="1">
      <c r="A1457" t="s">
        <v>3139</v>
      </c>
      <c r="B1457" t="s">
        <v>3140</v>
      </c>
      <c r="C1457" t="s">
        <v>8874</v>
      </c>
      <c r="E1457" s="12" t="s">
        <v>8875</v>
      </c>
      <c r="F1457" s="12" t="s">
        <v>8876</v>
      </c>
      <c r="G1457" t="s">
        <v>8877</v>
      </c>
      <c r="H1457" t="s">
        <v>8878</v>
      </c>
    </row>
    <row r="1458" spans="1:8" ht="15.75" customHeight="1">
      <c r="A1458" t="s">
        <v>3142</v>
      </c>
      <c r="B1458" t="s">
        <v>3143</v>
      </c>
    </row>
    <row r="1459" spans="1:8" ht="15.75" customHeight="1">
      <c r="A1459" t="s">
        <v>3144</v>
      </c>
      <c r="B1459" t="s">
        <v>3145</v>
      </c>
    </row>
    <row r="1460" spans="1:8" ht="15.75" customHeight="1">
      <c r="A1460" t="s">
        <v>3147</v>
      </c>
      <c r="B1460" t="s">
        <v>3148</v>
      </c>
    </row>
    <row r="1461" spans="1:8" ht="15.75" customHeight="1">
      <c r="A1461" t="s">
        <v>3149</v>
      </c>
      <c r="B1461" t="s">
        <v>3150</v>
      </c>
    </row>
    <row r="1462" spans="1:8" ht="15.75" customHeight="1">
      <c r="A1462" t="s">
        <v>3153</v>
      </c>
      <c r="B1462" t="s">
        <v>3154</v>
      </c>
      <c r="C1462" t="s">
        <v>7859</v>
      </c>
      <c r="E1462" s="12" t="s">
        <v>7860</v>
      </c>
    </row>
    <row r="1463" spans="1:8" ht="15.75" customHeight="1">
      <c r="A1463" t="s">
        <v>3153</v>
      </c>
      <c r="B1463" t="s">
        <v>3154</v>
      </c>
      <c r="C1463" t="s">
        <v>8879</v>
      </c>
      <c r="E1463" s="12" t="s">
        <v>8880</v>
      </c>
    </row>
    <row r="1464" spans="1:8" ht="15.75" customHeight="1">
      <c r="A1464" t="s">
        <v>3156</v>
      </c>
      <c r="B1464" t="s">
        <v>3157</v>
      </c>
    </row>
    <row r="1465" spans="1:8" ht="15.75" customHeight="1">
      <c r="A1465" t="s">
        <v>3160</v>
      </c>
      <c r="B1465" t="s">
        <v>3161</v>
      </c>
    </row>
    <row r="1466" spans="1:8" ht="15.75" customHeight="1">
      <c r="A1466" t="s">
        <v>3162</v>
      </c>
      <c r="B1466" t="s">
        <v>3163</v>
      </c>
    </row>
    <row r="1467" spans="1:8" ht="15.75" customHeight="1">
      <c r="A1467" t="s">
        <v>3166</v>
      </c>
      <c r="B1467" t="s">
        <v>3167</v>
      </c>
    </row>
    <row r="1468" spans="1:8" ht="15.75" customHeight="1">
      <c r="A1468" t="s">
        <v>3170</v>
      </c>
      <c r="B1468" t="s">
        <v>3171</v>
      </c>
      <c r="C1468" t="s">
        <v>8881</v>
      </c>
      <c r="E1468" s="12" t="s">
        <v>8882</v>
      </c>
      <c r="F1468" s="12" t="s">
        <v>8883</v>
      </c>
      <c r="G1468" t="s">
        <v>8884</v>
      </c>
      <c r="H1468" t="s">
        <v>8885</v>
      </c>
    </row>
    <row r="1469" spans="1:8" ht="15.75" customHeight="1">
      <c r="A1469" t="s">
        <v>3170</v>
      </c>
      <c r="B1469" t="s">
        <v>3171</v>
      </c>
      <c r="C1469" t="s">
        <v>8881</v>
      </c>
      <c r="E1469" s="12" t="s">
        <v>8882</v>
      </c>
      <c r="F1469" s="12" t="s">
        <v>8886</v>
      </c>
      <c r="G1469" t="s">
        <v>8887</v>
      </c>
      <c r="H1469" t="s">
        <v>8888</v>
      </c>
    </row>
    <row r="1470" spans="1:8" ht="15.75" customHeight="1">
      <c r="A1470" t="s">
        <v>3170</v>
      </c>
      <c r="B1470" t="s">
        <v>3175</v>
      </c>
      <c r="C1470" t="s">
        <v>8881</v>
      </c>
      <c r="E1470" s="12" t="s">
        <v>8882</v>
      </c>
      <c r="F1470" s="12" t="s">
        <v>8883</v>
      </c>
      <c r="G1470" t="s">
        <v>8884</v>
      </c>
      <c r="H1470" t="s">
        <v>8885</v>
      </c>
    </row>
    <row r="1471" spans="1:8" ht="15.75" customHeight="1">
      <c r="A1471" t="s">
        <v>3170</v>
      </c>
      <c r="B1471" t="s">
        <v>3175</v>
      </c>
      <c r="C1471" t="s">
        <v>8881</v>
      </c>
      <c r="E1471" s="12" t="s">
        <v>8882</v>
      </c>
      <c r="F1471" s="12" t="s">
        <v>8886</v>
      </c>
      <c r="G1471" t="s">
        <v>8887</v>
      </c>
      <c r="H1471" t="s">
        <v>8888</v>
      </c>
    </row>
    <row r="1472" spans="1:8" ht="15.75" customHeight="1">
      <c r="A1472" t="s">
        <v>3178</v>
      </c>
      <c r="B1472" t="s">
        <v>3179</v>
      </c>
      <c r="C1472" t="s">
        <v>8889</v>
      </c>
      <c r="E1472" s="12" t="s">
        <v>8890</v>
      </c>
      <c r="F1472" s="12" t="s">
        <v>8891</v>
      </c>
      <c r="G1472" t="s">
        <v>8892</v>
      </c>
      <c r="H1472" t="s">
        <v>8893</v>
      </c>
    </row>
    <row r="1473" spans="1:8" ht="15.75" customHeight="1">
      <c r="A1473" t="s">
        <v>3182</v>
      </c>
      <c r="B1473" t="s">
        <v>3183</v>
      </c>
      <c r="C1473" t="s">
        <v>8894</v>
      </c>
      <c r="E1473" s="12" t="s">
        <v>8895</v>
      </c>
      <c r="F1473" s="12" t="s">
        <v>8896</v>
      </c>
      <c r="G1473" t="s">
        <v>8897</v>
      </c>
      <c r="H1473" t="s">
        <v>8898</v>
      </c>
    </row>
    <row r="1474" spans="1:8" ht="15.75" customHeight="1">
      <c r="A1474" t="s">
        <v>3186</v>
      </c>
      <c r="B1474" t="s">
        <v>3187</v>
      </c>
      <c r="C1474" t="s">
        <v>8899</v>
      </c>
      <c r="E1474" s="12" t="s">
        <v>8900</v>
      </c>
      <c r="F1474" s="12" t="s">
        <v>8901</v>
      </c>
      <c r="G1474" t="s">
        <v>8902</v>
      </c>
      <c r="H1474" t="s">
        <v>8897</v>
      </c>
    </row>
    <row r="1475" spans="1:8" ht="15.75" customHeight="1">
      <c r="A1475" t="s">
        <v>3190</v>
      </c>
      <c r="B1475" t="s">
        <v>3191</v>
      </c>
      <c r="C1475" t="s">
        <v>8903</v>
      </c>
      <c r="E1475" s="12" t="s">
        <v>8904</v>
      </c>
      <c r="F1475" s="12" t="s">
        <v>8905</v>
      </c>
      <c r="G1475" t="s">
        <v>8906</v>
      </c>
      <c r="H1475" t="s">
        <v>8907</v>
      </c>
    </row>
    <row r="1476" spans="1:8" ht="15.75" customHeight="1">
      <c r="A1476" t="s">
        <v>3190</v>
      </c>
      <c r="B1476" t="s">
        <v>3191</v>
      </c>
      <c r="C1476" t="s">
        <v>8903</v>
      </c>
      <c r="E1476" s="12" t="s">
        <v>8904</v>
      </c>
      <c r="F1476" s="12" t="s">
        <v>8908</v>
      </c>
      <c r="G1476" t="s">
        <v>8909</v>
      </c>
      <c r="H1476" t="s">
        <v>8910</v>
      </c>
    </row>
    <row r="1477" spans="1:8" ht="15.75" customHeight="1">
      <c r="A1477" t="s">
        <v>3190</v>
      </c>
      <c r="B1477" t="s">
        <v>3191</v>
      </c>
      <c r="C1477" t="s">
        <v>8903</v>
      </c>
      <c r="E1477" s="12" t="s">
        <v>8904</v>
      </c>
      <c r="F1477" s="12" t="s">
        <v>8911</v>
      </c>
      <c r="G1477" t="s">
        <v>8912</v>
      </c>
      <c r="H1477" t="s">
        <v>8913</v>
      </c>
    </row>
    <row r="1478" spans="1:8" ht="15.75" customHeight="1">
      <c r="A1478" t="s">
        <v>3194</v>
      </c>
      <c r="B1478" t="s">
        <v>3195</v>
      </c>
      <c r="C1478" t="s">
        <v>8903</v>
      </c>
      <c r="E1478" s="12" t="s">
        <v>8904</v>
      </c>
      <c r="F1478" s="12" t="s">
        <v>8905</v>
      </c>
      <c r="G1478" t="s">
        <v>8906</v>
      </c>
      <c r="H1478" t="s">
        <v>8907</v>
      </c>
    </row>
    <row r="1479" spans="1:8" ht="15.75" customHeight="1">
      <c r="A1479" t="s">
        <v>3194</v>
      </c>
      <c r="B1479" t="s">
        <v>3195</v>
      </c>
      <c r="C1479" t="s">
        <v>8903</v>
      </c>
      <c r="E1479" s="12" t="s">
        <v>8904</v>
      </c>
      <c r="F1479" s="12" t="s">
        <v>8908</v>
      </c>
      <c r="G1479" t="s">
        <v>8909</v>
      </c>
      <c r="H1479" t="s">
        <v>8910</v>
      </c>
    </row>
    <row r="1480" spans="1:8" ht="15.75" customHeight="1">
      <c r="A1480" t="s">
        <v>3194</v>
      </c>
      <c r="B1480" t="s">
        <v>3195</v>
      </c>
      <c r="C1480" t="s">
        <v>8903</v>
      </c>
      <c r="E1480" s="12" t="s">
        <v>8904</v>
      </c>
      <c r="F1480" s="12" t="s">
        <v>8911</v>
      </c>
      <c r="G1480" t="s">
        <v>8912</v>
      </c>
      <c r="H1480" t="s">
        <v>8913</v>
      </c>
    </row>
    <row r="1481" spans="1:8" ht="15.75" customHeight="1">
      <c r="A1481" t="s">
        <v>3196</v>
      </c>
      <c r="B1481" t="s">
        <v>3197</v>
      </c>
    </row>
    <row r="1482" spans="1:8" ht="15.75" customHeight="1">
      <c r="A1482" t="s">
        <v>3198</v>
      </c>
      <c r="B1482" t="s">
        <v>3199</v>
      </c>
    </row>
    <row r="1483" spans="1:8" ht="15.75" customHeight="1">
      <c r="A1483" t="s">
        <v>3200</v>
      </c>
      <c r="B1483" t="s">
        <v>3201</v>
      </c>
    </row>
    <row r="1484" spans="1:8" ht="15.75" customHeight="1">
      <c r="A1484" t="s">
        <v>3204</v>
      </c>
      <c r="B1484" t="s">
        <v>3205</v>
      </c>
    </row>
    <row r="1485" spans="1:8" ht="15.75" customHeight="1">
      <c r="A1485" t="s">
        <v>3207</v>
      </c>
      <c r="B1485" t="s">
        <v>3208</v>
      </c>
      <c r="C1485" t="s">
        <v>8914</v>
      </c>
      <c r="E1485" s="12" t="s">
        <v>8915</v>
      </c>
      <c r="F1485" s="12" t="s">
        <v>8916</v>
      </c>
      <c r="G1485" t="s">
        <v>8917</v>
      </c>
      <c r="H1485" t="s">
        <v>8918</v>
      </c>
    </row>
    <row r="1486" spans="1:8" ht="15.75" customHeight="1">
      <c r="A1486" t="s">
        <v>3207</v>
      </c>
      <c r="B1486" t="s">
        <v>3208</v>
      </c>
      <c r="C1486" t="s">
        <v>8914</v>
      </c>
      <c r="E1486" s="12" t="s">
        <v>8915</v>
      </c>
      <c r="F1486" s="12" t="s">
        <v>8919</v>
      </c>
      <c r="G1486" t="s">
        <v>8920</v>
      </c>
      <c r="H1486" t="s">
        <v>8921</v>
      </c>
    </row>
    <row r="1487" spans="1:8" ht="15.75" customHeight="1">
      <c r="A1487" t="s">
        <v>3211</v>
      </c>
      <c r="B1487" t="s">
        <v>3212</v>
      </c>
    </row>
    <row r="1488" spans="1:8" ht="15.75" customHeight="1">
      <c r="A1488" t="s">
        <v>3215</v>
      </c>
      <c r="B1488" t="s">
        <v>3216</v>
      </c>
    </row>
    <row r="1489" spans="1:8" ht="15.75" customHeight="1">
      <c r="A1489" t="s">
        <v>3218</v>
      </c>
      <c r="B1489" t="s">
        <v>3219</v>
      </c>
    </row>
    <row r="1490" spans="1:8" ht="15.75" customHeight="1">
      <c r="A1490" t="s">
        <v>3222</v>
      </c>
      <c r="B1490" t="s">
        <v>3223</v>
      </c>
      <c r="C1490" t="s">
        <v>8922</v>
      </c>
      <c r="E1490" s="12" t="s">
        <v>8923</v>
      </c>
      <c r="F1490" s="12" t="s">
        <v>8924</v>
      </c>
      <c r="G1490" t="s">
        <v>8925</v>
      </c>
      <c r="H1490" t="s">
        <v>8926</v>
      </c>
    </row>
    <row r="1491" spans="1:8" ht="15.75" customHeight="1">
      <c r="A1491" t="s">
        <v>3222</v>
      </c>
      <c r="B1491" t="s">
        <v>3223</v>
      </c>
      <c r="C1491" t="s">
        <v>8922</v>
      </c>
      <c r="E1491" s="12" t="s">
        <v>8923</v>
      </c>
      <c r="F1491" s="12" t="s">
        <v>8927</v>
      </c>
      <c r="G1491" t="s">
        <v>8928</v>
      </c>
      <c r="H1491" t="s">
        <v>8929</v>
      </c>
    </row>
    <row r="1492" spans="1:8" ht="15.75" customHeight="1">
      <c r="A1492" t="s">
        <v>3226</v>
      </c>
      <c r="B1492" t="s">
        <v>3227</v>
      </c>
      <c r="C1492" t="s">
        <v>7176</v>
      </c>
      <c r="E1492" s="12" t="s">
        <v>7177</v>
      </c>
    </row>
    <row r="1493" spans="1:8" ht="15.75" customHeight="1">
      <c r="A1493" t="s">
        <v>3230</v>
      </c>
      <c r="B1493" t="s">
        <v>3231</v>
      </c>
      <c r="C1493" t="s">
        <v>7188</v>
      </c>
    </row>
    <row r="1494" spans="1:8" ht="15.75" customHeight="1">
      <c r="A1494" t="s">
        <v>3234</v>
      </c>
      <c r="B1494" t="s">
        <v>3235</v>
      </c>
    </row>
    <row r="1495" spans="1:8" ht="15.75" customHeight="1">
      <c r="A1495" t="s">
        <v>3237</v>
      </c>
      <c r="B1495" t="s">
        <v>3238</v>
      </c>
      <c r="C1495" t="s">
        <v>8930</v>
      </c>
    </row>
    <row r="1496" spans="1:8" ht="15.75" customHeight="1">
      <c r="A1496" t="s">
        <v>3237</v>
      </c>
      <c r="B1496" t="s">
        <v>3238</v>
      </c>
      <c r="C1496" t="s">
        <v>8931</v>
      </c>
      <c r="E1496" s="12" t="s">
        <v>8932</v>
      </c>
      <c r="F1496" s="12" t="s">
        <v>8933</v>
      </c>
      <c r="G1496" t="s">
        <v>8934</v>
      </c>
      <c r="H1496" t="s">
        <v>8935</v>
      </c>
    </row>
    <row r="1497" spans="1:8" ht="15.75" customHeight="1">
      <c r="A1497" t="s">
        <v>3237</v>
      </c>
      <c r="B1497" t="s">
        <v>3238</v>
      </c>
      <c r="C1497" t="s">
        <v>8931</v>
      </c>
      <c r="E1497" s="12" t="s">
        <v>8932</v>
      </c>
      <c r="F1497" s="12" t="s">
        <v>8936</v>
      </c>
      <c r="G1497" t="s">
        <v>8937</v>
      </c>
      <c r="H1497" t="s">
        <v>8938</v>
      </c>
    </row>
    <row r="1498" spans="1:8" ht="15.75" customHeight="1">
      <c r="A1498" t="s">
        <v>3237</v>
      </c>
      <c r="B1498" t="s">
        <v>3238</v>
      </c>
      <c r="C1498" t="s">
        <v>8931</v>
      </c>
      <c r="E1498" s="12" t="s">
        <v>8932</v>
      </c>
    </row>
    <row r="1499" spans="1:8" ht="15.75" customHeight="1">
      <c r="A1499" t="s">
        <v>3237</v>
      </c>
      <c r="B1499" t="s">
        <v>3238</v>
      </c>
      <c r="C1499" t="s">
        <v>8931</v>
      </c>
      <c r="E1499" s="12" t="s">
        <v>8932</v>
      </c>
    </row>
    <row r="1500" spans="1:8" ht="15.75" customHeight="1">
      <c r="A1500" t="s">
        <v>3241</v>
      </c>
      <c r="B1500" t="s">
        <v>3242</v>
      </c>
      <c r="C1500" t="s">
        <v>8939</v>
      </c>
      <c r="E1500" s="12" t="s">
        <v>8940</v>
      </c>
      <c r="F1500" s="12" t="s">
        <v>8941</v>
      </c>
      <c r="G1500" t="s">
        <v>8942</v>
      </c>
      <c r="H1500" t="s">
        <v>8943</v>
      </c>
    </row>
    <row r="1501" spans="1:8" ht="15.75" customHeight="1">
      <c r="A1501" t="s">
        <v>3241</v>
      </c>
      <c r="B1501" t="s">
        <v>3242</v>
      </c>
      <c r="C1501" t="s">
        <v>8939</v>
      </c>
      <c r="E1501" s="12" t="s">
        <v>8940</v>
      </c>
      <c r="F1501" s="12" t="s">
        <v>8944</v>
      </c>
      <c r="G1501" t="s">
        <v>8945</v>
      </c>
      <c r="H1501" t="s">
        <v>8946</v>
      </c>
    </row>
    <row r="1502" spans="1:8" ht="15.75" customHeight="1">
      <c r="A1502" t="s">
        <v>3244</v>
      </c>
      <c r="B1502" t="s">
        <v>3245</v>
      </c>
    </row>
    <row r="1503" spans="1:8" ht="15.75" customHeight="1">
      <c r="A1503" t="s">
        <v>3247</v>
      </c>
      <c r="B1503" t="s">
        <v>3248</v>
      </c>
    </row>
    <row r="1504" spans="1:8" ht="15.75" customHeight="1">
      <c r="A1504" t="s">
        <v>3250</v>
      </c>
      <c r="B1504" t="s">
        <v>3251</v>
      </c>
    </row>
    <row r="1505" spans="1:8" ht="15.75" customHeight="1">
      <c r="A1505" t="s">
        <v>3252</v>
      </c>
      <c r="B1505" t="s">
        <v>3253</v>
      </c>
    </row>
    <row r="1506" spans="1:8" ht="15.75" customHeight="1">
      <c r="A1506" t="s">
        <v>3254</v>
      </c>
      <c r="B1506" t="s">
        <v>3255</v>
      </c>
    </row>
    <row r="1507" spans="1:8" ht="15.75" customHeight="1">
      <c r="A1507" t="s">
        <v>3257</v>
      </c>
      <c r="B1507" t="s">
        <v>3258</v>
      </c>
    </row>
    <row r="1508" spans="1:8" ht="15.75" customHeight="1">
      <c r="A1508" t="s">
        <v>3260</v>
      </c>
      <c r="B1508" t="s">
        <v>3261</v>
      </c>
    </row>
    <row r="1509" spans="1:8" ht="15.75" customHeight="1">
      <c r="A1509" t="s">
        <v>3264</v>
      </c>
      <c r="B1509" t="s">
        <v>3265</v>
      </c>
    </row>
    <row r="1510" spans="1:8" ht="15.75" customHeight="1">
      <c r="A1510" t="s">
        <v>3268</v>
      </c>
      <c r="B1510" t="s">
        <v>3269</v>
      </c>
    </row>
    <row r="1511" spans="1:8" ht="15.75" customHeight="1">
      <c r="A1511" t="s">
        <v>3271</v>
      </c>
      <c r="B1511" t="s">
        <v>3272</v>
      </c>
    </row>
    <row r="1512" spans="1:8" ht="15.75" customHeight="1">
      <c r="A1512" t="s">
        <v>3274</v>
      </c>
      <c r="B1512" t="s">
        <v>3275</v>
      </c>
    </row>
    <row r="1513" spans="1:8" ht="15.75" customHeight="1">
      <c r="A1513" t="s">
        <v>3278</v>
      </c>
      <c r="B1513" t="s">
        <v>3279</v>
      </c>
      <c r="C1513" t="s">
        <v>8947</v>
      </c>
      <c r="E1513" s="12" t="s">
        <v>8948</v>
      </c>
      <c r="F1513" s="12" t="s">
        <v>8949</v>
      </c>
      <c r="G1513" t="s">
        <v>8950</v>
      </c>
      <c r="H1513" t="s">
        <v>8951</v>
      </c>
    </row>
    <row r="1514" spans="1:8" ht="15.75" customHeight="1">
      <c r="A1514" t="s">
        <v>3278</v>
      </c>
      <c r="B1514" t="s">
        <v>3279</v>
      </c>
      <c r="C1514" t="s">
        <v>8947</v>
      </c>
      <c r="E1514" s="12" t="s">
        <v>8948</v>
      </c>
      <c r="F1514" s="12" t="s">
        <v>8952</v>
      </c>
      <c r="G1514" t="s">
        <v>8953</v>
      </c>
      <c r="H1514" t="s">
        <v>8954</v>
      </c>
    </row>
    <row r="1515" spans="1:8" ht="15.75" customHeight="1">
      <c r="A1515" t="s">
        <v>3278</v>
      </c>
      <c r="B1515" t="s">
        <v>3279</v>
      </c>
      <c r="C1515" t="s">
        <v>8947</v>
      </c>
      <c r="E1515" s="12" t="s">
        <v>8948</v>
      </c>
      <c r="F1515" s="12" t="s">
        <v>8955</v>
      </c>
      <c r="G1515" t="s">
        <v>8338</v>
      </c>
      <c r="H1515" t="s">
        <v>8956</v>
      </c>
    </row>
    <row r="1516" spans="1:8" ht="15.75" customHeight="1">
      <c r="A1516" t="s">
        <v>3278</v>
      </c>
      <c r="B1516" t="s">
        <v>3279</v>
      </c>
      <c r="C1516" t="s">
        <v>8947</v>
      </c>
      <c r="E1516" s="12" t="s">
        <v>8948</v>
      </c>
      <c r="F1516" s="12" t="s">
        <v>8957</v>
      </c>
      <c r="G1516" t="s">
        <v>8356</v>
      </c>
      <c r="H1516" t="s">
        <v>8958</v>
      </c>
    </row>
    <row r="1517" spans="1:8" ht="15.75" customHeight="1">
      <c r="A1517" t="s">
        <v>3278</v>
      </c>
      <c r="B1517" t="s">
        <v>3279</v>
      </c>
      <c r="C1517" t="s">
        <v>8947</v>
      </c>
      <c r="E1517" s="12" t="s">
        <v>8948</v>
      </c>
      <c r="F1517" s="12" t="s">
        <v>8959</v>
      </c>
      <c r="G1517" t="s">
        <v>8960</v>
      </c>
      <c r="H1517" t="s">
        <v>8961</v>
      </c>
    </row>
    <row r="1518" spans="1:8" ht="15.75" customHeight="1">
      <c r="A1518" t="s">
        <v>3278</v>
      </c>
      <c r="B1518" t="s">
        <v>3279</v>
      </c>
      <c r="C1518" t="s">
        <v>8947</v>
      </c>
      <c r="E1518" s="12" t="s">
        <v>8948</v>
      </c>
      <c r="F1518" s="12" t="s">
        <v>8962</v>
      </c>
      <c r="G1518" t="s">
        <v>8963</v>
      </c>
      <c r="H1518" t="s">
        <v>8951</v>
      </c>
    </row>
    <row r="1519" spans="1:8" ht="15.75" customHeight="1">
      <c r="A1519" t="s">
        <v>3278</v>
      </c>
      <c r="B1519" t="s">
        <v>3279</v>
      </c>
      <c r="C1519" t="s">
        <v>8947</v>
      </c>
      <c r="E1519" s="12" t="s">
        <v>8948</v>
      </c>
      <c r="F1519" s="12" t="s">
        <v>8964</v>
      </c>
      <c r="G1519" t="s">
        <v>8963</v>
      </c>
      <c r="H1519" t="s">
        <v>8954</v>
      </c>
    </row>
    <row r="1520" spans="1:8" ht="15.75" customHeight="1">
      <c r="A1520" t="s">
        <v>3278</v>
      </c>
      <c r="B1520" t="s">
        <v>3279</v>
      </c>
      <c r="C1520" t="s">
        <v>8947</v>
      </c>
      <c r="E1520" s="12" t="s">
        <v>8948</v>
      </c>
      <c r="F1520" s="12" t="s">
        <v>8965</v>
      </c>
      <c r="G1520" t="s">
        <v>8371</v>
      </c>
      <c r="H1520" t="s">
        <v>8966</v>
      </c>
    </row>
    <row r="1521" spans="1:8" ht="15.75" customHeight="1">
      <c r="A1521" t="s">
        <v>3278</v>
      </c>
      <c r="B1521" t="s">
        <v>3279</v>
      </c>
      <c r="C1521" t="s">
        <v>8947</v>
      </c>
      <c r="E1521" s="12" t="s">
        <v>8948</v>
      </c>
      <c r="F1521" s="12" t="s">
        <v>8967</v>
      </c>
      <c r="G1521" t="s">
        <v>8386</v>
      </c>
      <c r="H1521" t="s">
        <v>8968</v>
      </c>
    </row>
    <row r="1522" spans="1:8" ht="15.75" customHeight="1">
      <c r="A1522" t="s">
        <v>3278</v>
      </c>
      <c r="B1522" t="s">
        <v>3279</v>
      </c>
      <c r="C1522" t="s">
        <v>8947</v>
      </c>
      <c r="E1522" s="12" t="s">
        <v>8948</v>
      </c>
      <c r="F1522" s="12" t="s">
        <v>8969</v>
      </c>
      <c r="G1522" t="s">
        <v>8970</v>
      </c>
      <c r="H1522" t="s">
        <v>8971</v>
      </c>
    </row>
    <row r="1523" spans="1:8" ht="15.75" customHeight="1">
      <c r="B1523" t="s">
        <v>3280</v>
      </c>
    </row>
    <row r="1524" spans="1:8" ht="15.75" customHeight="1">
      <c r="A1524" t="s">
        <v>3283</v>
      </c>
      <c r="B1524" t="s">
        <v>3284</v>
      </c>
    </row>
    <row r="1525" spans="1:8" ht="15.75" customHeight="1">
      <c r="A1525" t="s">
        <v>3285</v>
      </c>
      <c r="B1525" t="s">
        <v>3286</v>
      </c>
    </row>
    <row r="1526" spans="1:8" ht="15.75" customHeight="1">
      <c r="A1526" t="s">
        <v>3287</v>
      </c>
      <c r="B1526" t="s">
        <v>3288</v>
      </c>
    </row>
    <row r="1527" spans="1:8" ht="15.75" customHeight="1">
      <c r="A1527" t="s">
        <v>3290</v>
      </c>
      <c r="B1527" t="s">
        <v>3291</v>
      </c>
    </row>
    <row r="1528" spans="1:8" ht="15.75" customHeight="1">
      <c r="A1528" t="s">
        <v>3293</v>
      </c>
      <c r="B1528" t="s">
        <v>3294</v>
      </c>
    </row>
    <row r="1529" spans="1:8" ht="15.75" customHeight="1">
      <c r="A1529" t="s">
        <v>3296</v>
      </c>
      <c r="B1529" t="s">
        <v>3297</v>
      </c>
    </row>
    <row r="1530" spans="1:8" ht="15.75" customHeight="1">
      <c r="A1530" t="s">
        <v>3299</v>
      </c>
      <c r="B1530" t="s">
        <v>3300</v>
      </c>
    </row>
    <row r="1531" spans="1:8" ht="15.75" customHeight="1">
      <c r="A1531" t="s">
        <v>3303</v>
      </c>
      <c r="B1531" t="s">
        <v>3304</v>
      </c>
      <c r="C1531" t="s">
        <v>7823</v>
      </c>
    </row>
    <row r="1532" spans="1:8" ht="15.75" customHeight="1">
      <c r="A1532" t="s">
        <v>3303</v>
      </c>
      <c r="B1532" t="s">
        <v>3304</v>
      </c>
      <c r="C1532" t="s">
        <v>8972</v>
      </c>
      <c r="E1532" s="12" t="s">
        <v>8973</v>
      </c>
    </row>
    <row r="1533" spans="1:8" ht="15.75" customHeight="1">
      <c r="A1533" t="s">
        <v>3306</v>
      </c>
      <c r="B1533" t="s">
        <v>3307</v>
      </c>
    </row>
    <row r="1534" spans="1:8" ht="15.75" customHeight="1">
      <c r="A1534" t="s">
        <v>3309</v>
      </c>
      <c r="B1534" t="s">
        <v>3310</v>
      </c>
    </row>
    <row r="1535" spans="1:8" ht="15.75" customHeight="1">
      <c r="A1535" t="s">
        <v>3311</v>
      </c>
      <c r="B1535" t="s">
        <v>3312</v>
      </c>
    </row>
    <row r="1536" spans="1:8" ht="15.75" customHeight="1">
      <c r="A1536" t="s">
        <v>3315</v>
      </c>
      <c r="B1536" t="s">
        <v>3316</v>
      </c>
      <c r="C1536" t="s">
        <v>8684</v>
      </c>
    </row>
    <row r="1537" spans="1:8" ht="15.75" customHeight="1">
      <c r="A1537" t="s">
        <v>3319</v>
      </c>
      <c r="B1537" t="s">
        <v>3320</v>
      </c>
      <c r="C1537" t="s">
        <v>8974</v>
      </c>
      <c r="E1537" s="12" t="s">
        <v>8975</v>
      </c>
    </row>
    <row r="1538" spans="1:8" ht="15.75" customHeight="1">
      <c r="A1538" t="s">
        <v>3323</v>
      </c>
      <c r="B1538" t="s">
        <v>3324</v>
      </c>
      <c r="C1538" t="s">
        <v>8976</v>
      </c>
      <c r="E1538" s="12" t="s">
        <v>8977</v>
      </c>
    </row>
    <row r="1539" spans="1:8" ht="15.75" customHeight="1">
      <c r="A1539" t="s">
        <v>3323</v>
      </c>
      <c r="B1539" t="s">
        <v>3324</v>
      </c>
      <c r="C1539" t="s">
        <v>7823</v>
      </c>
    </row>
    <row r="1540" spans="1:8" ht="15.75" customHeight="1">
      <c r="A1540" t="s">
        <v>3326</v>
      </c>
      <c r="B1540" t="s">
        <v>3327</v>
      </c>
    </row>
    <row r="1541" spans="1:8" ht="15.75" customHeight="1">
      <c r="A1541" t="s">
        <v>3330</v>
      </c>
      <c r="B1541" t="s">
        <v>3331</v>
      </c>
      <c r="C1541" t="s">
        <v>7175</v>
      </c>
    </row>
    <row r="1542" spans="1:8" ht="15.75" customHeight="1">
      <c r="A1542" t="s">
        <v>3334</v>
      </c>
      <c r="B1542" t="s">
        <v>3335</v>
      </c>
    </row>
    <row r="1543" spans="1:8" ht="15.75" customHeight="1">
      <c r="A1543" t="s">
        <v>3338</v>
      </c>
      <c r="B1543" t="s">
        <v>3339</v>
      </c>
    </row>
    <row r="1544" spans="1:8" ht="15.75" customHeight="1">
      <c r="A1544" t="s">
        <v>3342</v>
      </c>
      <c r="B1544" t="s">
        <v>3343</v>
      </c>
    </row>
    <row r="1545" spans="1:8" ht="15.75" customHeight="1">
      <c r="A1545" t="s">
        <v>3345</v>
      </c>
      <c r="B1545" t="s">
        <v>3346</v>
      </c>
    </row>
    <row r="1546" spans="1:8" ht="15.75" customHeight="1">
      <c r="A1546" t="s">
        <v>3349</v>
      </c>
      <c r="B1546" t="s">
        <v>3350</v>
      </c>
      <c r="C1546" t="s">
        <v>8978</v>
      </c>
      <c r="E1546" s="12" t="s">
        <v>8979</v>
      </c>
      <c r="F1546" s="12" t="s">
        <v>8980</v>
      </c>
      <c r="G1546" t="s">
        <v>8981</v>
      </c>
      <c r="H1546" t="s">
        <v>8982</v>
      </c>
    </row>
    <row r="1547" spans="1:8" ht="15.75" customHeight="1">
      <c r="A1547" t="s">
        <v>3353</v>
      </c>
      <c r="B1547" t="s">
        <v>3354</v>
      </c>
      <c r="C1547" t="s">
        <v>8983</v>
      </c>
      <c r="E1547" s="12" t="s">
        <v>8984</v>
      </c>
      <c r="F1547" s="12" t="s">
        <v>8985</v>
      </c>
      <c r="G1547" t="s">
        <v>8986</v>
      </c>
      <c r="H1547" t="s">
        <v>8987</v>
      </c>
    </row>
    <row r="1548" spans="1:8" ht="15.75" customHeight="1">
      <c r="A1548" t="s">
        <v>3353</v>
      </c>
      <c r="B1548" t="s">
        <v>3354</v>
      </c>
      <c r="C1548" t="s">
        <v>8983</v>
      </c>
      <c r="E1548" s="12" t="s">
        <v>8984</v>
      </c>
      <c r="F1548" s="12" t="s">
        <v>8988</v>
      </c>
      <c r="G1548" t="s">
        <v>8989</v>
      </c>
      <c r="H1548" t="s">
        <v>8990</v>
      </c>
    </row>
    <row r="1549" spans="1:8" ht="15.75" customHeight="1">
      <c r="A1549" t="s">
        <v>3353</v>
      </c>
      <c r="B1549" t="s">
        <v>3354</v>
      </c>
      <c r="C1549" t="s">
        <v>8983</v>
      </c>
      <c r="E1549" s="12" t="s">
        <v>8984</v>
      </c>
      <c r="F1549" s="12" t="s">
        <v>8991</v>
      </c>
      <c r="G1549" t="s">
        <v>8992</v>
      </c>
      <c r="H1549" t="s">
        <v>8993</v>
      </c>
    </row>
    <row r="1550" spans="1:8" ht="15.75" customHeight="1">
      <c r="A1550" t="s">
        <v>3353</v>
      </c>
      <c r="B1550" t="s">
        <v>3354</v>
      </c>
      <c r="C1550" t="s">
        <v>8983</v>
      </c>
      <c r="E1550" s="12" t="s">
        <v>8984</v>
      </c>
      <c r="F1550" s="12" t="s">
        <v>8994</v>
      </c>
      <c r="G1550" t="s">
        <v>8995</v>
      </c>
      <c r="H1550" t="s">
        <v>8996</v>
      </c>
    </row>
    <row r="1551" spans="1:8" ht="15.75" customHeight="1">
      <c r="A1551" t="s">
        <v>3357</v>
      </c>
      <c r="B1551" t="s">
        <v>3358</v>
      </c>
    </row>
    <row r="1552" spans="1:8" ht="15.75" customHeight="1">
      <c r="A1552" t="s">
        <v>3360</v>
      </c>
      <c r="B1552" t="s">
        <v>3361</v>
      </c>
    </row>
    <row r="1553" spans="1:5" ht="15.75" customHeight="1">
      <c r="A1553" t="s">
        <v>3362</v>
      </c>
      <c r="B1553" t="s">
        <v>3363</v>
      </c>
    </row>
    <row r="1554" spans="1:5" ht="15.75" customHeight="1">
      <c r="A1554" t="s">
        <v>3365</v>
      </c>
      <c r="B1554" t="s">
        <v>3366</v>
      </c>
    </row>
    <row r="1555" spans="1:5" ht="15.75" customHeight="1">
      <c r="A1555" t="s">
        <v>3368</v>
      </c>
      <c r="B1555" t="s">
        <v>3369</v>
      </c>
    </row>
    <row r="1556" spans="1:5" ht="15.75" customHeight="1">
      <c r="A1556" t="s">
        <v>3372</v>
      </c>
      <c r="B1556" t="s">
        <v>3373</v>
      </c>
      <c r="C1556" t="s">
        <v>7545</v>
      </c>
    </row>
    <row r="1557" spans="1:5" ht="15.75" customHeight="1">
      <c r="A1557" t="s">
        <v>3376</v>
      </c>
      <c r="B1557" t="s">
        <v>3377</v>
      </c>
      <c r="C1557" t="s">
        <v>8997</v>
      </c>
      <c r="E1557" s="12" t="s">
        <v>8998</v>
      </c>
    </row>
    <row r="1558" spans="1:5" ht="15.75" customHeight="1">
      <c r="A1558" t="s">
        <v>3378</v>
      </c>
      <c r="B1558" t="s">
        <v>3379</v>
      </c>
    </row>
    <row r="1559" spans="1:5" ht="15.75" customHeight="1">
      <c r="A1559" t="s">
        <v>3380</v>
      </c>
      <c r="B1559" t="s">
        <v>3381</v>
      </c>
    </row>
    <row r="1560" spans="1:5" ht="15.75" customHeight="1">
      <c r="A1560" t="s">
        <v>3383</v>
      </c>
      <c r="B1560" t="s">
        <v>3384</v>
      </c>
    </row>
    <row r="1561" spans="1:5" ht="15.75" customHeight="1">
      <c r="A1561" t="s">
        <v>3386</v>
      </c>
      <c r="B1561" t="s">
        <v>3387</v>
      </c>
    </row>
    <row r="1562" spans="1:5" ht="15.75" customHeight="1">
      <c r="A1562" t="s">
        <v>3389</v>
      </c>
      <c r="B1562" t="s">
        <v>3390</v>
      </c>
    </row>
    <row r="1563" spans="1:5" ht="15.75" customHeight="1">
      <c r="A1563" t="s">
        <v>3392</v>
      </c>
      <c r="B1563" t="s">
        <v>3393</v>
      </c>
    </row>
    <row r="1564" spans="1:5" ht="15.75" customHeight="1">
      <c r="A1564" t="s">
        <v>3396</v>
      </c>
      <c r="B1564" t="s">
        <v>3397</v>
      </c>
    </row>
    <row r="1565" spans="1:5" ht="15.75" customHeight="1">
      <c r="A1565" t="s">
        <v>3400</v>
      </c>
      <c r="B1565" t="s">
        <v>3401</v>
      </c>
    </row>
    <row r="1566" spans="1:5" ht="15.75" customHeight="1">
      <c r="A1566" t="s">
        <v>3404</v>
      </c>
      <c r="B1566" t="s">
        <v>3405</v>
      </c>
    </row>
    <row r="1567" spans="1:5" ht="15.75" customHeight="1">
      <c r="A1567" t="s">
        <v>3406</v>
      </c>
      <c r="B1567" t="s">
        <v>3407</v>
      </c>
    </row>
    <row r="1568" spans="1:5" ht="15.75" customHeight="1">
      <c r="A1568" t="s">
        <v>3410</v>
      </c>
      <c r="B1568" t="s">
        <v>3411</v>
      </c>
    </row>
    <row r="1569" spans="1:8" ht="15.75" customHeight="1">
      <c r="A1569" t="s">
        <v>3413</v>
      </c>
      <c r="B1569" t="s">
        <v>3414</v>
      </c>
    </row>
    <row r="1570" spans="1:8" ht="15.75" customHeight="1">
      <c r="A1570" t="s">
        <v>3417</v>
      </c>
      <c r="B1570" t="s">
        <v>3418</v>
      </c>
    </row>
    <row r="1571" spans="1:8" ht="15.75" customHeight="1">
      <c r="A1571" t="s">
        <v>3421</v>
      </c>
      <c r="B1571" t="s">
        <v>3422</v>
      </c>
    </row>
    <row r="1572" spans="1:8" ht="15.75" customHeight="1">
      <c r="A1572" t="s">
        <v>3425</v>
      </c>
      <c r="B1572" t="s">
        <v>3426</v>
      </c>
    </row>
    <row r="1573" spans="1:8" ht="15.75" customHeight="1">
      <c r="A1573" t="s">
        <v>3428</v>
      </c>
      <c r="B1573" t="s">
        <v>3429</v>
      </c>
      <c r="C1573" t="s">
        <v>8999</v>
      </c>
      <c r="E1573" s="12" t="s">
        <v>9000</v>
      </c>
      <c r="F1573" s="12" t="s">
        <v>9001</v>
      </c>
      <c r="G1573" t="s">
        <v>9002</v>
      </c>
      <c r="H1573" t="s">
        <v>9003</v>
      </c>
    </row>
    <row r="1574" spans="1:8" ht="15.75" customHeight="1">
      <c r="A1574" t="s">
        <v>3431</v>
      </c>
      <c r="B1574" t="s">
        <v>3432</v>
      </c>
    </row>
    <row r="1575" spans="1:8" ht="15.75" customHeight="1">
      <c r="A1575" t="s">
        <v>3433</v>
      </c>
      <c r="B1575" t="s">
        <v>3434</v>
      </c>
    </row>
    <row r="1576" spans="1:8" ht="15.75" customHeight="1">
      <c r="A1576" t="s">
        <v>3435</v>
      </c>
      <c r="B1576" t="s">
        <v>3436</v>
      </c>
    </row>
    <row r="1577" spans="1:8" ht="15.75" customHeight="1">
      <c r="A1577" t="s">
        <v>3437</v>
      </c>
      <c r="B1577" t="s">
        <v>3438</v>
      </c>
    </row>
    <row r="1578" spans="1:8" ht="15.75" customHeight="1">
      <c r="A1578" t="s">
        <v>3441</v>
      </c>
      <c r="B1578" t="s">
        <v>3442</v>
      </c>
    </row>
    <row r="1579" spans="1:8" ht="15.75" customHeight="1">
      <c r="A1579" t="s">
        <v>3445</v>
      </c>
      <c r="B1579" t="s">
        <v>3446</v>
      </c>
    </row>
    <row r="1580" spans="1:8" ht="15.75" customHeight="1">
      <c r="A1580" t="s">
        <v>3448</v>
      </c>
      <c r="B1580" t="s">
        <v>3449</v>
      </c>
    </row>
    <row r="1581" spans="1:8" ht="15.75" customHeight="1">
      <c r="A1581" t="s">
        <v>3451</v>
      </c>
      <c r="B1581" t="s">
        <v>3452</v>
      </c>
    </row>
    <row r="1582" spans="1:8" ht="15.75" customHeight="1">
      <c r="A1582" t="s">
        <v>3455</v>
      </c>
      <c r="B1582" t="s">
        <v>3456</v>
      </c>
    </row>
    <row r="1583" spans="1:8" ht="15.75" customHeight="1">
      <c r="A1583" t="s">
        <v>3459</v>
      </c>
      <c r="B1583" t="s">
        <v>3460</v>
      </c>
    </row>
    <row r="1584" spans="1:8" ht="15.75" customHeight="1">
      <c r="A1584" t="s">
        <v>3463</v>
      </c>
      <c r="B1584" t="s">
        <v>3464</v>
      </c>
      <c r="C1584" t="s">
        <v>9004</v>
      </c>
      <c r="E1584" s="12" t="s">
        <v>9005</v>
      </c>
      <c r="F1584" s="12" t="s">
        <v>9006</v>
      </c>
      <c r="G1584" t="s">
        <v>9007</v>
      </c>
      <c r="H1584" t="s">
        <v>9008</v>
      </c>
    </row>
    <row r="1585" spans="1:8" ht="15.75" customHeight="1">
      <c r="A1585" t="s">
        <v>3463</v>
      </c>
      <c r="B1585" t="s">
        <v>3464</v>
      </c>
      <c r="C1585" t="s">
        <v>9004</v>
      </c>
      <c r="E1585" s="12" t="s">
        <v>9005</v>
      </c>
      <c r="F1585" s="12" t="s">
        <v>9009</v>
      </c>
      <c r="G1585" t="s">
        <v>9010</v>
      </c>
      <c r="H1585" t="s">
        <v>9011</v>
      </c>
    </row>
    <row r="1586" spans="1:8" ht="15.75" customHeight="1">
      <c r="A1586" t="s">
        <v>3466</v>
      </c>
      <c r="B1586" t="s">
        <v>3467</v>
      </c>
    </row>
    <row r="1587" spans="1:8" ht="15.75" customHeight="1">
      <c r="A1587" t="s">
        <v>3470</v>
      </c>
      <c r="B1587" t="s">
        <v>3471</v>
      </c>
      <c r="C1587" t="s">
        <v>9012</v>
      </c>
    </row>
    <row r="1588" spans="1:8" ht="15.75" customHeight="1">
      <c r="A1588" t="s">
        <v>3474</v>
      </c>
      <c r="B1588" t="s">
        <v>3475</v>
      </c>
    </row>
    <row r="1589" spans="1:8" ht="15.75" customHeight="1">
      <c r="A1589" t="s">
        <v>3477</v>
      </c>
      <c r="B1589" t="s">
        <v>3478</v>
      </c>
      <c r="C1589" t="s">
        <v>9013</v>
      </c>
      <c r="E1589" s="12" t="s">
        <v>9014</v>
      </c>
      <c r="F1589" s="12" t="s">
        <v>9015</v>
      </c>
      <c r="G1589" t="s">
        <v>9016</v>
      </c>
      <c r="H1589" t="s">
        <v>9017</v>
      </c>
    </row>
    <row r="1590" spans="1:8" ht="15.75" customHeight="1">
      <c r="A1590" t="s">
        <v>3477</v>
      </c>
      <c r="B1590" t="s">
        <v>3478</v>
      </c>
      <c r="C1590" t="s">
        <v>9013</v>
      </c>
      <c r="E1590" s="12" t="s">
        <v>9014</v>
      </c>
      <c r="F1590" s="12" t="s">
        <v>9018</v>
      </c>
      <c r="G1590" t="s">
        <v>9019</v>
      </c>
      <c r="H1590" t="s">
        <v>9020</v>
      </c>
    </row>
    <row r="1591" spans="1:8" ht="15.75" customHeight="1">
      <c r="A1591" t="s">
        <v>3477</v>
      </c>
      <c r="B1591" t="s">
        <v>3478</v>
      </c>
      <c r="C1591" t="s">
        <v>9013</v>
      </c>
      <c r="E1591" s="12" t="s">
        <v>9014</v>
      </c>
      <c r="F1591" s="12" t="s">
        <v>9021</v>
      </c>
      <c r="G1591" t="s">
        <v>9016</v>
      </c>
      <c r="H1591" t="s">
        <v>9020</v>
      </c>
    </row>
    <row r="1592" spans="1:8" ht="15.75" customHeight="1">
      <c r="A1592" t="s">
        <v>3480</v>
      </c>
      <c r="B1592" t="s">
        <v>3481</v>
      </c>
    </row>
    <row r="1593" spans="1:8" ht="15.75" customHeight="1">
      <c r="A1593" t="s">
        <v>3484</v>
      </c>
      <c r="B1593" t="s">
        <v>3485</v>
      </c>
      <c r="C1593" t="s">
        <v>7739</v>
      </c>
    </row>
    <row r="1594" spans="1:8" ht="15.75" customHeight="1">
      <c r="A1594" t="s">
        <v>3488</v>
      </c>
      <c r="B1594" t="s">
        <v>3489</v>
      </c>
      <c r="C1594" t="s">
        <v>9022</v>
      </c>
      <c r="E1594" s="12" t="s">
        <v>9023</v>
      </c>
      <c r="F1594" s="12" t="s">
        <v>9024</v>
      </c>
      <c r="G1594" t="s">
        <v>9025</v>
      </c>
      <c r="H1594" t="s">
        <v>9026</v>
      </c>
    </row>
    <row r="1595" spans="1:8" ht="15.75" customHeight="1">
      <c r="A1595" t="s">
        <v>3488</v>
      </c>
      <c r="B1595" t="s">
        <v>3489</v>
      </c>
      <c r="C1595" t="s">
        <v>9022</v>
      </c>
      <c r="E1595" s="12" t="s">
        <v>9023</v>
      </c>
      <c r="F1595" s="12" t="s">
        <v>9027</v>
      </c>
      <c r="G1595" t="s">
        <v>9028</v>
      </c>
      <c r="H1595" t="s">
        <v>9029</v>
      </c>
    </row>
    <row r="1596" spans="1:8" ht="15.75" customHeight="1">
      <c r="A1596" t="s">
        <v>3488</v>
      </c>
      <c r="B1596" t="s">
        <v>3489</v>
      </c>
      <c r="C1596" t="s">
        <v>9022</v>
      </c>
      <c r="E1596" s="12" t="s">
        <v>9023</v>
      </c>
      <c r="F1596" s="12" t="s">
        <v>9030</v>
      </c>
      <c r="G1596" t="s">
        <v>9031</v>
      </c>
      <c r="H1596" t="s">
        <v>9032</v>
      </c>
    </row>
    <row r="1597" spans="1:8" ht="15.75" customHeight="1">
      <c r="A1597" t="s">
        <v>3492</v>
      </c>
      <c r="B1597" t="s">
        <v>3493</v>
      </c>
      <c r="C1597" t="s">
        <v>7862</v>
      </c>
      <c r="E1597" s="12" t="s">
        <v>7863</v>
      </c>
      <c r="F1597" s="12" t="s">
        <v>7864</v>
      </c>
      <c r="G1597" t="s">
        <v>7865</v>
      </c>
      <c r="H1597" t="s">
        <v>7866</v>
      </c>
    </row>
    <row r="1598" spans="1:8" ht="15.75" customHeight="1">
      <c r="A1598" t="s">
        <v>3492</v>
      </c>
      <c r="B1598" t="s">
        <v>3493</v>
      </c>
      <c r="C1598" t="s">
        <v>7862</v>
      </c>
      <c r="E1598" s="12" t="s">
        <v>7863</v>
      </c>
      <c r="F1598" s="12" t="s">
        <v>7867</v>
      </c>
      <c r="G1598" t="s">
        <v>7868</v>
      </c>
      <c r="H1598" t="s">
        <v>7866</v>
      </c>
    </row>
    <row r="1599" spans="1:8" ht="15.75" customHeight="1">
      <c r="A1599" t="s">
        <v>3492</v>
      </c>
      <c r="B1599" t="s">
        <v>3493</v>
      </c>
      <c r="C1599" t="s">
        <v>7862</v>
      </c>
      <c r="E1599" s="12" t="s">
        <v>7863</v>
      </c>
      <c r="F1599" s="12" t="s">
        <v>7869</v>
      </c>
      <c r="G1599" t="s">
        <v>7870</v>
      </c>
      <c r="H1599" t="s">
        <v>7866</v>
      </c>
    </row>
    <row r="1600" spans="1:8" ht="15.75" customHeight="1">
      <c r="A1600" t="s">
        <v>3492</v>
      </c>
      <c r="B1600" t="s">
        <v>3493</v>
      </c>
      <c r="C1600" t="s">
        <v>7862</v>
      </c>
      <c r="E1600" s="12" t="s">
        <v>7863</v>
      </c>
      <c r="F1600" s="12" t="s">
        <v>7871</v>
      </c>
      <c r="G1600" t="s">
        <v>7872</v>
      </c>
      <c r="H1600" t="s">
        <v>7866</v>
      </c>
    </row>
    <row r="1601" spans="1:8" ht="15.75" customHeight="1">
      <c r="A1601" t="s">
        <v>3492</v>
      </c>
      <c r="B1601" t="s">
        <v>3493</v>
      </c>
      <c r="C1601" t="s">
        <v>7862</v>
      </c>
      <c r="E1601" s="12" t="s">
        <v>7863</v>
      </c>
      <c r="F1601" s="12" t="s">
        <v>7873</v>
      </c>
      <c r="G1601" t="s">
        <v>7874</v>
      </c>
      <c r="H1601" t="s">
        <v>7866</v>
      </c>
    </row>
    <row r="1602" spans="1:8" ht="15.75" customHeight="1">
      <c r="A1602" t="s">
        <v>3492</v>
      </c>
      <c r="B1602" t="s">
        <v>3493</v>
      </c>
      <c r="C1602" t="s">
        <v>7862</v>
      </c>
      <c r="E1602" s="12" t="s">
        <v>7863</v>
      </c>
      <c r="F1602" s="12" t="s">
        <v>7875</v>
      </c>
      <c r="G1602" t="s">
        <v>7876</v>
      </c>
      <c r="H1602" t="s">
        <v>7877</v>
      </c>
    </row>
    <row r="1603" spans="1:8" ht="15.75" customHeight="1">
      <c r="A1603" t="s">
        <v>3496</v>
      </c>
      <c r="B1603" t="s">
        <v>3497</v>
      </c>
      <c r="C1603" t="s">
        <v>8242</v>
      </c>
    </row>
    <row r="1604" spans="1:8" ht="15.75" customHeight="1">
      <c r="A1604" t="s">
        <v>3500</v>
      </c>
      <c r="B1604" t="s">
        <v>3501</v>
      </c>
      <c r="C1604" t="s">
        <v>9033</v>
      </c>
      <c r="E1604" s="12" t="s">
        <v>9034</v>
      </c>
      <c r="F1604" s="12" t="s">
        <v>9035</v>
      </c>
      <c r="G1604" t="s">
        <v>9036</v>
      </c>
      <c r="H1604" t="s">
        <v>9037</v>
      </c>
    </row>
    <row r="1605" spans="1:8" ht="15.75" customHeight="1">
      <c r="A1605" t="s">
        <v>3504</v>
      </c>
      <c r="B1605" t="s">
        <v>3505</v>
      </c>
      <c r="C1605" t="s">
        <v>8684</v>
      </c>
    </row>
    <row r="1606" spans="1:8" ht="15.75" customHeight="1">
      <c r="A1606" t="s">
        <v>3504</v>
      </c>
      <c r="B1606" t="s">
        <v>3505</v>
      </c>
      <c r="C1606" t="s">
        <v>9038</v>
      </c>
      <c r="E1606" s="12" t="s">
        <v>9039</v>
      </c>
    </row>
    <row r="1607" spans="1:8" ht="15.75" customHeight="1">
      <c r="A1607" t="s">
        <v>3507</v>
      </c>
      <c r="B1607" t="s">
        <v>3508</v>
      </c>
      <c r="C1607" t="s">
        <v>9040</v>
      </c>
      <c r="E1607" s="12" t="s">
        <v>9041</v>
      </c>
      <c r="F1607" s="12" t="s">
        <v>9042</v>
      </c>
      <c r="G1607" t="s">
        <v>9043</v>
      </c>
      <c r="H1607" t="s">
        <v>9044</v>
      </c>
    </row>
    <row r="1608" spans="1:8" ht="15.75" customHeight="1">
      <c r="A1608" t="s">
        <v>3507</v>
      </c>
      <c r="B1608" t="s">
        <v>3508</v>
      </c>
      <c r="C1608" t="s">
        <v>7668</v>
      </c>
    </row>
    <row r="1609" spans="1:8" ht="15.75" customHeight="1">
      <c r="A1609" t="s">
        <v>3511</v>
      </c>
      <c r="B1609" t="s">
        <v>3512</v>
      </c>
      <c r="C1609" t="s">
        <v>8939</v>
      </c>
      <c r="E1609" s="12" t="s">
        <v>8940</v>
      </c>
      <c r="F1609" s="12" t="s">
        <v>8941</v>
      </c>
      <c r="G1609" t="s">
        <v>8942</v>
      </c>
      <c r="H1609" t="s">
        <v>8943</v>
      </c>
    </row>
    <row r="1610" spans="1:8" ht="15.75" customHeight="1">
      <c r="A1610" t="s">
        <v>3511</v>
      </c>
      <c r="B1610" t="s">
        <v>3512</v>
      </c>
      <c r="C1610" t="s">
        <v>8939</v>
      </c>
      <c r="E1610" s="12" t="s">
        <v>8940</v>
      </c>
      <c r="F1610" s="12" t="s">
        <v>8944</v>
      </c>
      <c r="G1610" t="s">
        <v>8945</v>
      </c>
      <c r="H1610" t="s">
        <v>8946</v>
      </c>
    </row>
    <row r="1611" spans="1:8" ht="15.75" customHeight="1">
      <c r="A1611" t="s">
        <v>3515</v>
      </c>
      <c r="B1611" t="s">
        <v>3516</v>
      </c>
    </row>
    <row r="1612" spans="1:8" ht="15.75" customHeight="1">
      <c r="A1612" t="s">
        <v>3517</v>
      </c>
      <c r="B1612" t="s">
        <v>3518</v>
      </c>
    </row>
    <row r="1613" spans="1:8" ht="15.75" customHeight="1">
      <c r="A1613" t="s">
        <v>3519</v>
      </c>
      <c r="B1613" t="s">
        <v>3520</v>
      </c>
    </row>
    <row r="1614" spans="1:8" ht="15.75" customHeight="1">
      <c r="A1614" t="s">
        <v>3521</v>
      </c>
      <c r="B1614" t="s">
        <v>3522</v>
      </c>
    </row>
    <row r="1615" spans="1:8" ht="15.75" customHeight="1">
      <c r="A1615" t="s">
        <v>3525</v>
      </c>
      <c r="B1615" t="s">
        <v>3526</v>
      </c>
      <c r="C1615" t="s">
        <v>9045</v>
      </c>
    </row>
    <row r="1616" spans="1:8" ht="15.75" customHeight="1">
      <c r="A1616" t="s">
        <v>3525</v>
      </c>
      <c r="B1616" t="s">
        <v>3526</v>
      </c>
      <c r="C1616" t="s">
        <v>9046</v>
      </c>
      <c r="E1616" s="12" t="s">
        <v>9047</v>
      </c>
      <c r="F1616" s="12" t="s">
        <v>9048</v>
      </c>
      <c r="G1616" t="s">
        <v>9049</v>
      </c>
      <c r="H1616" t="s">
        <v>9050</v>
      </c>
    </row>
    <row r="1617" spans="1:8" ht="15.75" customHeight="1">
      <c r="A1617" t="s">
        <v>3529</v>
      </c>
      <c r="B1617" t="s">
        <v>3530</v>
      </c>
      <c r="C1617" t="s">
        <v>9051</v>
      </c>
      <c r="E1617" s="12" t="s">
        <v>9052</v>
      </c>
      <c r="F1617" s="12" t="s">
        <v>9053</v>
      </c>
      <c r="G1617" t="s">
        <v>9054</v>
      </c>
      <c r="H1617" t="s">
        <v>9055</v>
      </c>
    </row>
    <row r="1618" spans="1:8" ht="15.75" customHeight="1">
      <c r="A1618" t="s">
        <v>3532</v>
      </c>
      <c r="B1618" t="s">
        <v>3533</v>
      </c>
    </row>
    <row r="1619" spans="1:8" ht="15.75" customHeight="1">
      <c r="A1619" t="s">
        <v>3536</v>
      </c>
      <c r="B1619" t="s">
        <v>3537</v>
      </c>
      <c r="C1619" t="s">
        <v>8947</v>
      </c>
      <c r="E1619" s="12" t="s">
        <v>8948</v>
      </c>
      <c r="F1619" s="12" t="s">
        <v>8949</v>
      </c>
      <c r="G1619" t="s">
        <v>8950</v>
      </c>
      <c r="H1619" t="s">
        <v>8951</v>
      </c>
    </row>
    <row r="1620" spans="1:8" ht="15.75" customHeight="1">
      <c r="A1620" t="s">
        <v>3536</v>
      </c>
      <c r="B1620" t="s">
        <v>3537</v>
      </c>
      <c r="C1620" t="s">
        <v>8947</v>
      </c>
      <c r="E1620" s="12" t="s">
        <v>8948</v>
      </c>
      <c r="F1620" s="12" t="s">
        <v>8952</v>
      </c>
      <c r="G1620" t="s">
        <v>8953</v>
      </c>
      <c r="H1620" t="s">
        <v>8954</v>
      </c>
    </row>
    <row r="1621" spans="1:8" ht="15.75" customHeight="1">
      <c r="A1621" t="s">
        <v>3536</v>
      </c>
      <c r="B1621" t="s">
        <v>3537</v>
      </c>
      <c r="C1621" t="s">
        <v>8947</v>
      </c>
      <c r="E1621" s="12" t="s">
        <v>8948</v>
      </c>
      <c r="F1621" s="12" t="s">
        <v>8955</v>
      </c>
      <c r="G1621" t="s">
        <v>8338</v>
      </c>
      <c r="H1621" t="s">
        <v>8956</v>
      </c>
    </row>
    <row r="1622" spans="1:8" ht="15.75" customHeight="1">
      <c r="A1622" t="s">
        <v>3536</v>
      </c>
      <c r="B1622" t="s">
        <v>3537</v>
      </c>
      <c r="C1622" t="s">
        <v>8947</v>
      </c>
      <c r="E1622" s="12" t="s">
        <v>8948</v>
      </c>
      <c r="F1622" s="12" t="s">
        <v>8957</v>
      </c>
      <c r="G1622" t="s">
        <v>8356</v>
      </c>
      <c r="H1622" t="s">
        <v>8958</v>
      </c>
    </row>
    <row r="1623" spans="1:8" ht="15.75" customHeight="1">
      <c r="A1623" t="s">
        <v>3536</v>
      </c>
      <c r="B1623" t="s">
        <v>3537</v>
      </c>
      <c r="C1623" t="s">
        <v>8947</v>
      </c>
      <c r="E1623" s="12" t="s">
        <v>8948</v>
      </c>
      <c r="F1623" s="12" t="s">
        <v>8959</v>
      </c>
      <c r="G1623" t="s">
        <v>8960</v>
      </c>
      <c r="H1623" t="s">
        <v>8961</v>
      </c>
    </row>
    <row r="1624" spans="1:8" ht="15.75" customHeight="1">
      <c r="A1624" t="s">
        <v>3536</v>
      </c>
      <c r="B1624" t="s">
        <v>3537</v>
      </c>
      <c r="C1624" t="s">
        <v>8947</v>
      </c>
      <c r="E1624" s="12" t="s">
        <v>8948</v>
      </c>
      <c r="F1624" s="12" t="s">
        <v>8962</v>
      </c>
      <c r="G1624" t="s">
        <v>8963</v>
      </c>
      <c r="H1624" t="s">
        <v>8951</v>
      </c>
    </row>
    <row r="1625" spans="1:8" ht="15.75" customHeight="1">
      <c r="A1625" t="s">
        <v>3536</v>
      </c>
      <c r="B1625" t="s">
        <v>3537</v>
      </c>
      <c r="C1625" t="s">
        <v>8947</v>
      </c>
      <c r="E1625" s="12" t="s">
        <v>8948</v>
      </c>
      <c r="F1625" s="12" t="s">
        <v>8964</v>
      </c>
      <c r="G1625" t="s">
        <v>8963</v>
      </c>
      <c r="H1625" t="s">
        <v>8954</v>
      </c>
    </row>
    <row r="1626" spans="1:8" ht="15.75" customHeight="1">
      <c r="A1626" t="s">
        <v>3536</v>
      </c>
      <c r="B1626" t="s">
        <v>3537</v>
      </c>
      <c r="C1626" t="s">
        <v>8947</v>
      </c>
      <c r="E1626" s="12" t="s">
        <v>8948</v>
      </c>
      <c r="F1626" s="12" t="s">
        <v>8965</v>
      </c>
      <c r="G1626" t="s">
        <v>8371</v>
      </c>
      <c r="H1626" t="s">
        <v>8966</v>
      </c>
    </row>
    <row r="1627" spans="1:8" ht="15.75" customHeight="1">
      <c r="A1627" t="s">
        <v>3536</v>
      </c>
      <c r="B1627" t="s">
        <v>3537</v>
      </c>
      <c r="C1627" t="s">
        <v>8947</v>
      </c>
      <c r="E1627" s="12" t="s">
        <v>8948</v>
      </c>
      <c r="F1627" s="12" t="s">
        <v>8967</v>
      </c>
      <c r="G1627" t="s">
        <v>8386</v>
      </c>
      <c r="H1627" t="s">
        <v>8968</v>
      </c>
    </row>
    <row r="1628" spans="1:8" ht="15.75" customHeight="1">
      <c r="A1628" t="s">
        <v>3536</v>
      </c>
      <c r="B1628" t="s">
        <v>3537</v>
      </c>
      <c r="C1628" t="s">
        <v>8947</v>
      </c>
      <c r="E1628" s="12" t="s">
        <v>8948</v>
      </c>
      <c r="F1628" s="12" t="s">
        <v>8969</v>
      </c>
      <c r="G1628" t="s">
        <v>8970</v>
      </c>
      <c r="H1628" t="s">
        <v>8971</v>
      </c>
    </row>
    <row r="1629" spans="1:8" ht="15.75" customHeight="1">
      <c r="A1629" t="s">
        <v>3540</v>
      </c>
      <c r="B1629" t="s">
        <v>3541</v>
      </c>
    </row>
    <row r="1630" spans="1:8" ht="15.75" customHeight="1">
      <c r="A1630" t="s">
        <v>3544</v>
      </c>
      <c r="B1630" t="s">
        <v>3545</v>
      </c>
      <c r="C1630" t="s">
        <v>9056</v>
      </c>
      <c r="E1630" s="12" t="s">
        <v>9057</v>
      </c>
      <c r="F1630" s="12" t="s">
        <v>9058</v>
      </c>
      <c r="G1630" t="s">
        <v>9059</v>
      </c>
      <c r="H1630" t="s">
        <v>9060</v>
      </c>
    </row>
    <row r="1631" spans="1:8" ht="15.75" customHeight="1">
      <c r="A1631" t="s">
        <v>3544</v>
      </c>
      <c r="B1631" t="s">
        <v>3545</v>
      </c>
      <c r="C1631" t="s">
        <v>9056</v>
      </c>
      <c r="E1631" s="12" t="s">
        <v>9057</v>
      </c>
      <c r="F1631" s="12" t="s">
        <v>9061</v>
      </c>
      <c r="G1631" t="s">
        <v>9059</v>
      </c>
      <c r="H1631" t="s">
        <v>9062</v>
      </c>
    </row>
    <row r="1632" spans="1:8" ht="15.75" customHeight="1">
      <c r="A1632" t="s">
        <v>3544</v>
      </c>
      <c r="B1632" t="s">
        <v>3545</v>
      </c>
      <c r="C1632" t="s">
        <v>9056</v>
      </c>
      <c r="E1632" s="12" t="s">
        <v>9057</v>
      </c>
      <c r="F1632" s="12" t="s">
        <v>9063</v>
      </c>
      <c r="G1632" t="s">
        <v>9064</v>
      </c>
      <c r="H1632" t="s">
        <v>9062</v>
      </c>
    </row>
    <row r="1633" spans="1:8" ht="15.75" customHeight="1">
      <c r="A1633" t="s">
        <v>3547</v>
      </c>
      <c r="B1633" t="s">
        <v>3548</v>
      </c>
    </row>
    <row r="1634" spans="1:8" ht="15.75" customHeight="1">
      <c r="A1634" t="s">
        <v>3549</v>
      </c>
      <c r="B1634" t="s">
        <v>3550</v>
      </c>
    </row>
    <row r="1635" spans="1:8" ht="15.75" customHeight="1">
      <c r="A1635" t="s">
        <v>3553</v>
      </c>
      <c r="B1635" t="s">
        <v>3554</v>
      </c>
    </row>
    <row r="1636" spans="1:8" ht="15.75" customHeight="1">
      <c r="A1636" t="s">
        <v>3557</v>
      </c>
      <c r="B1636" t="s">
        <v>3558</v>
      </c>
    </row>
    <row r="1637" spans="1:8" ht="15.75" customHeight="1">
      <c r="A1637" t="s">
        <v>3559</v>
      </c>
      <c r="B1637" t="s">
        <v>3560</v>
      </c>
    </row>
    <row r="1638" spans="1:8" ht="15.75" customHeight="1">
      <c r="A1638" t="s">
        <v>3562</v>
      </c>
      <c r="B1638" t="s">
        <v>3563</v>
      </c>
    </row>
    <row r="1639" spans="1:8" ht="15.75" customHeight="1">
      <c r="A1639" t="s">
        <v>3565</v>
      </c>
      <c r="B1639" t="s">
        <v>3566</v>
      </c>
    </row>
    <row r="1640" spans="1:8" ht="15.75" customHeight="1">
      <c r="A1640" t="s">
        <v>3569</v>
      </c>
      <c r="B1640" t="s">
        <v>3570</v>
      </c>
    </row>
    <row r="1641" spans="1:8" ht="15.75" customHeight="1">
      <c r="A1641" t="s">
        <v>3572</v>
      </c>
      <c r="B1641" t="s">
        <v>3573</v>
      </c>
    </row>
    <row r="1642" spans="1:8" ht="15.75" customHeight="1">
      <c r="A1642" t="s">
        <v>3576</v>
      </c>
      <c r="B1642" t="s">
        <v>3577</v>
      </c>
    </row>
    <row r="1643" spans="1:8" ht="15.75" customHeight="1">
      <c r="A1643" t="s">
        <v>3580</v>
      </c>
      <c r="B1643" t="s">
        <v>3581</v>
      </c>
      <c r="C1643" t="s">
        <v>9065</v>
      </c>
    </row>
    <row r="1644" spans="1:8" ht="15.75" customHeight="1">
      <c r="A1644" t="s">
        <v>3580</v>
      </c>
      <c r="B1644" t="s">
        <v>3581</v>
      </c>
      <c r="C1644" t="s">
        <v>9066</v>
      </c>
      <c r="E1644" s="12" t="s">
        <v>9067</v>
      </c>
      <c r="F1644" s="12" t="s">
        <v>9068</v>
      </c>
      <c r="G1644" t="s">
        <v>9069</v>
      </c>
      <c r="H1644" t="s">
        <v>9070</v>
      </c>
    </row>
    <row r="1645" spans="1:8" ht="15.75" customHeight="1">
      <c r="A1645" t="s">
        <v>3580</v>
      </c>
      <c r="B1645" t="s">
        <v>3581</v>
      </c>
      <c r="C1645" t="s">
        <v>9066</v>
      </c>
      <c r="E1645" s="12" t="s">
        <v>9067</v>
      </c>
      <c r="F1645" s="12" t="s">
        <v>9071</v>
      </c>
      <c r="G1645" t="s">
        <v>9072</v>
      </c>
      <c r="H1645" t="s">
        <v>9073</v>
      </c>
    </row>
    <row r="1646" spans="1:8" ht="15.75" customHeight="1">
      <c r="A1646" t="s">
        <v>3584</v>
      </c>
      <c r="B1646" t="s">
        <v>3585</v>
      </c>
    </row>
    <row r="1647" spans="1:8" ht="15.75" customHeight="1">
      <c r="A1647" t="s">
        <v>3586</v>
      </c>
      <c r="B1647" t="s">
        <v>3587</v>
      </c>
    </row>
    <row r="1648" spans="1:8" ht="15.75" customHeight="1">
      <c r="A1648" t="s">
        <v>3588</v>
      </c>
      <c r="B1648" t="s">
        <v>3589</v>
      </c>
    </row>
    <row r="1649" spans="1:8" ht="15.75" customHeight="1">
      <c r="A1649" t="s">
        <v>3590</v>
      </c>
      <c r="B1649" t="s">
        <v>3591</v>
      </c>
    </row>
    <row r="1650" spans="1:8" ht="15.75" customHeight="1">
      <c r="A1650" t="s">
        <v>3592</v>
      </c>
      <c r="B1650" t="s">
        <v>3593</v>
      </c>
    </row>
    <row r="1651" spans="1:8" ht="15.75" customHeight="1">
      <c r="A1651" t="s">
        <v>3594</v>
      </c>
      <c r="B1651" t="s">
        <v>3595</v>
      </c>
    </row>
    <row r="1652" spans="1:8" ht="15.75" customHeight="1">
      <c r="A1652" t="s">
        <v>3596</v>
      </c>
      <c r="B1652" t="s">
        <v>3597</v>
      </c>
    </row>
    <row r="1653" spans="1:8" ht="15.75" customHeight="1">
      <c r="A1653" t="s">
        <v>3599</v>
      </c>
      <c r="B1653" t="s">
        <v>3600</v>
      </c>
      <c r="C1653" t="s">
        <v>7175</v>
      </c>
    </row>
    <row r="1654" spans="1:8" ht="15.75" customHeight="1">
      <c r="A1654" t="s">
        <v>3602</v>
      </c>
      <c r="B1654" t="s">
        <v>3603</v>
      </c>
    </row>
    <row r="1655" spans="1:8" ht="15.75" customHeight="1">
      <c r="A1655" t="s">
        <v>3605</v>
      </c>
      <c r="B1655" t="s">
        <v>3606</v>
      </c>
    </row>
    <row r="1656" spans="1:8" ht="15.75" customHeight="1">
      <c r="A1656" t="s">
        <v>3609</v>
      </c>
      <c r="B1656" t="s">
        <v>3610</v>
      </c>
      <c r="C1656" t="s">
        <v>9074</v>
      </c>
      <c r="E1656" s="12" t="s">
        <v>9075</v>
      </c>
      <c r="F1656" s="12" t="s">
        <v>9076</v>
      </c>
      <c r="G1656" t="s">
        <v>9077</v>
      </c>
      <c r="H1656" t="s">
        <v>9078</v>
      </c>
    </row>
    <row r="1657" spans="1:8" ht="15.75" customHeight="1">
      <c r="A1657" t="s">
        <v>3613</v>
      </c>
      <c r="B1657" t="s">
        <v>3614</v>
      </c>
      <c r="C1657" t="s">
        <v>9074</v>
      </c>
      <c r="E1657" s="12" t="s">
        <v>9075</v>
      </c>
      <c r="F1657" s="12" t="s">
        <v>9076</v>
      </c>
      <c r="G1657" t="s">
        <v>9077</v>
      </c>
      <c r="H1657" t="s">
        <v>9078</v>
      </c>
    </row>
    <row r="1658" spans="1:8" ht="15.75" customHeight="1">
      <c r="A1658" t="s">
        <v>3617</v>
      </c>
      <c r="B1658" t="s">
        <v>3618</v>
      </c>
      <c r="C1658" t="s">
        <v>9079</v>
      </c>
      <c r="E1658" s="12" t="s">
        <v>9080</v>
      </c>
      <c r="F1658" s="12" t="s">
        <v>9081</v>
      </c>
      <c r="G1658" t="s">
        <v>9082</v>
      </c>
      <c r="H1658" t="s">
        <v>9083</v>
      </c>
    </row>
    <row r="1659" spans="1:8" ht="15.75" customHeight="1">
      <c r="A1659" t="s">
        <v>3621</v>
      </c>
      <c r="B1659" t="s">
        <v>3622</v>
      </c>
      <c r="C1659" t="s">
        <v>9084</v>
      </c>
      <c r="E1659" s="12" t="s">
        <v>9085</v>
      </c>
      <c r="F1659" s="12" t="s">
        <v>9086</v>
      </c>
      <c r="G1659" t="s">
        <v>9087</v>
      </c>
      <c r="H1659" t="s">
        <v>9088</v>
      </c>
    </row>
    <row r="1660" spans="1:8" ht="15.75" customHeight="1">
      <c r="A1660" t="s">
        <v>3625</v>
      </c>
      <c r="B1660" t="s">
        <v>3626</v>
      </c>
      <c r="C1660" t="s">
        <v>7834</v>
      </c>
      <c r="E1660" s="12" t="s">
        <v>7835</v>
      </c>
    </row>
    <row r="1661" spans="1:8" ht="15.75" customHeight="1">
      <c r="A1661" t="s">
        <v>3625</v>
      </c>
      <c r="B1661" t="s">
        <v>3626</v>
      </c>
      <c r="C1661" t="s">
        <v>8284</v>
      </c>
    </row>
    <row r="1662" spans="1:8" ht="15.75" customHeight="1">
      <c r="A1662" t="s">
        <v>3629</v>
      </c>
      <c r="B1662" t="s">
        <v>3630</v>
      </c>
      <c r="C1662" t="s">
        <v>8652</v>
      </c>
    </row>
    <row r="1663" spans="1:8" ht="15.75" customHeight="1">
      <c r="A1663" t="s">
        <v>3629</v>
      </c>
      <c r="B1663" t="s">
        <v>3630</v>
      </c>
      <c r="C1663" t="s">
        <v>9089</v>
      </c>
      <c r="E1663" s="12" t="s">
        <v>9090</v>
      </c>
      <c r="F1663" s="12" t="s">
        <v>9091</v>
      </c>
      <c r="G1663" t="s">
        <v>9092</v>
      </c>
      <c r="H1663" t="s">
        <v>9093</v>
      </c>
    </row>
    <row r="1664" spans="1:8" ht="15.75" customHeight="1">
      <c r="A1664" t="s">
        <v>3631</v>
      </c>
      <c r="B1664" t="s">
        <v>3632</v>
      </c>
    </row>
    <row r="1665" spans="1:8" ht="15.75" customHeight="1">
      <c r="A1665" t="s">
        <v>3635</v>
      </c>
      <c r="B1665" t="s">
        <v>3636</v>
      </c>
      <c r="C1665" t="s">
        <v>9094</v>
      </c>
      <c r="E1665" s="12" t="s">
        <v>9095</v>
      </c>
      <c r="F1665" s="12" t="s">
        <v>9096</v>
      </c>
      <c r="G1665" t="s">
        <v>9097</v>
      </c>
      <c r="H1665" t="s">
        <v>9098</v>
      </c>
    </row>
    <row r="1666" spans="1:8" ht="15.75" customHeight="1">
      <c r="A1666" t="s">
        <v>3635</v>
      </c>
      <c r="B1666" t="s">
        <v>3636</v>
      </c>
      <c r="C1666" t="s">
        <v>9094</v>
      </c>
      <c r="E1666" s="12" t="s">
        <v>9095</v>
      </c>
      <c r="F1666" s="12" t="s">
        <v>9099</v>
      </c>
      <c r="G1666" t="s">
        <v>9100</v>
      </c>
      <c r="H1666" t="s">
        <v>9101</v>
      </c>
    </row>
    <row r="1667" spans="1:8" ht="15.75" customHeight="1">
      <c r="A1667" t="s">
        <v>3635</v>
      </c>
      <c r="B1667" t="s">
        <v>3636</v>
      </c>
      <c r="C1667" t="s">
        <v>9094</v>
      </c>
      <c r="E1667" s="12" t="s">
        <v>9095</v>
      </c>
      <c r="F1667" s="12" t="s">
        <v>9102</v>
      </c>
      <c r="G1667" t="s">
        <v>7123</v>
      </c>
      <c r="H1667" t="s">
        <v>9103</v>
      </c>
    </row>
    <row r="1668" spans="1:8" ht="15.75" customHeight="1">
      <c r="A1668" t="s">
        <v>3635</v>
      </c>
      <c r="B1668" t="s">
        <v>3636</v>
      </c>
      <c r="C1668" t="s">
        <v>9094</v>
      </c>
      <c r="E1668" s="12" t="s">
        <v>9095</v>
      </c>
      <c r="F1668" s="12" t="s">
        <v>9104</v>
      </c>
      <c r="G1668" t="s">
        <v>9105</v>
      </c>
      <c r="H1668" t="s">
        <v>9106</v>
      </c>
    </row>
    <row r="1669" spans="1:8" ht="15.75" customHeight="1">
      <c r="A1669" t="s">
        <v>3635</v>
      </c>
      <c r="B1669" t="s">
        <v>3636</v>
      </c>
      <c r="C1669" t="s">
        <v>9094</v>
      </c>
      <c r="E1669" s="12" t="s">
        <v>9095</v>
      </c>
      <c r="F1669" s="12" t="s">
        <v>9107</v>
      </c>
      <c r="G1669" t="s">
        <v>9108</v>
      </c>
      <c r="H1669" t="s">
        <v>9109</v>
      </c>
    </row>
    <row r="1670" spans="1:8" ht="15.75" customHeight="1">
      <c r="A1670" t="s">
        <v>3635</v>
      </c>
      <c r="B1670" t="s">
        <v>3636</v>
      </c>
      <c r="C1670" t="s">
        <v>9094</v>
      </c>
      <c r="E1670" s="12" t="s">
        <v>9095</v>
      </c>
      <c r="F1670" s="12" t="s">
        <v>9110</v>
      </c>
      <c r="G1670" t="s">
        <v>9111</v>
      </c>
      <c r="H1670" t="s">
        <v>9112</v>
      </c>
    </row>
    <row r="1671" spans="1:8" ht="15.75" customHeight="1">
      <c r="A1671" t="s">
        <v>3635</v>
      </c>
      <c r="B1671" t="s">
        <v>3636</v>
      </c>
      <c r="C1671" t="s">
        <v>9094</v>
      </c>
      <c r="E1671" s="12" t="s">
        <v>9095</v>
      </c>
      <c r="F1671" s="12" t="s">
        <v>9113</v>
      </c>
      <c r="G1671" t="s">
        <v>9114</v>
      </c>
      <c r="H1671" t="s">
        <v>9115</v>
      </c>
    </row>
    <row r="1672" spans="1:8" ht="15.75" customHeight="1">
      <c r="A1672" t="s">
        <v>3635</v>
      </c>
      <c r="B1672" t="s">
        <v>3636</v>
      </c>
      <c r="C1672" t="s">
        <v>9094</v>
      </c>
      <c r="E1672" s="12" t="s">
        <v>9095</v>
      </c>
      <c r="F1672" s="12" t="s">
        <v>9116</v>
      </c>
      <c r="G1672" t="s">
        <v>9117</v>
      </c>
      <c r="H1672" t="s">
        <v>9118</v>
      </c>
    </row>
    <row r="1673" spans="1:8" ht="15.75" customHeight="1">
      <c r="A1673" t="s">
        <v>3635</v>
      </c>
      <c r="B1673" t="s">
        <v>3636</v>
      </c>
      <c r="C1673" t="s">
        <v>9094</v>
      </c>
      <c r="E1673" s="12" t="s">
        <v>9095</v>
      </c>
      <c r="F1673" s="12" t="s">
        <v>9119</v>
      </c>
      <c r="G1673" t="s">
        <v>9120</v>
      </c>
      <c r="H1673" t="s">
        <v>9121</v>
      </c>
    </row>
    <row r="1674" spans="1:8" ht="15.75" customHeight="1">
      <c r="A1674" t="s">
        <v>3635</v>
      </c>
      <c r="B1674" t="s">
        <v>3636</v>
      </c>
      <c r="C1674" t="s">
        <v>9094</v>
      </c>
      <c r="E1674" s="12" t="s">
        <v>9095</v>
      </c>
      <c r="F1674" s="12" t="s">
        <v>9122</v>
      </c>
      <c r="G1674" t="s">
        <v>7132</v>
      </c>
      <c r="H1674" t="s">
        <v>9123</v>
      </c>
    </row>
    <row r="1675" spans="1:8" ht="15.75" customHeight="1">
      <c r="A1675" t="s">
        <v>3635</v>
      </c>
      <c r="B1675" t="s">
        <v>3636</v>
      </c>
      <c r="C1675" t="s">
        <v>9094</v>
      </c>
      <c r="E1675" s="12" t="s">
        <v>9095</v>
      </c>
      <c r="F1675" s="12" t="s">
        <v>9124</v>
      </c>
      <c r="G1675" t="s">
        <v>9125</v>
      </c>
      <c r="H1675" t="s">
        <v>9126</v>
      </c>
    </row>
    <row r="1676" spans="1:8" ht="15.75" customHeight="1">
      <c r="A1676" t="s">
        <v>3635</v>
      </c>
      <c r="B1676" t="s">
        <v>3636</v>
      </c>
      <c r="C1676" t="s">
        <v>9094</v>
      </c>
      <c r="E1676" s="12" t="s">
        <v>9095</v>
      </c>
      <c r="F1676" s="12" t="s">
        <v>9127</v>
      </c>
      <c r="G1676" t="s">
        <v>9128</v>
      </c>
      <c r="H1676" t="s">
        <v>9129</v>
      </c>
    </row>
    <row r="1677" spans="1:8" ht="15.75" customHeight="1">
      <c r="A1677" t="s">
        <v>3637</v>
      </c>
      <c r="B1677" t="s">
        <v>3638</v>
      </c>
    </row>
    <row r="1678" spans="1:8" ht="15.75" customHeight="1">
      <c r="A1678" t="s">
        <v>3641</v>
      </c>
      <c r="B1678" t="s">
        <v>3642</v>
      </c>
    </row>
    <row r="1679" spans="1:8" ht="15.75" customHeight="1">
      <c r="A1679" t="s">
        <v>3644</v>
      </c>
      <c r="B1679" t="s">
        <v>3645</v>
      </c>
    </row>
    <row r="1680" spans="1:8" ht="15.75" customHeight="1">
      <c r="A1680" t="s">
        <v>3648</v>
      </c>
      <c r="B1680" t="s">
        <v>3649</v>
      </c>
    </row>
    <row r="1681" spans="1:8" ht="15.75" customHeight="1">
      <c r="A1681" t="s">
        <v>3652</v>
      </c>
      <c r="B1681" t="s">
        <v>3653</v>
      </c>
    </row>
    <row r="1682" spans="1:8" ht="15.75" customHeight="1">
      <c r="A1682" t="s">
        <v>3656</v>
      </c>
      <c r="B1682" t="s">
        <v>3657</v>
      </c>
      <c r="C1682" t="s">
        <v>9094</v>
      </c>
      <c r="E1682" s="12" t="s">
        <v>9095</v>
      </c>
      <c r="F1682" s="12" t="s">
        <v>9096</v>
      </c>
      <c r="G1682" t="s">
        <v>9097</v>
      </c>
      <c r="H1682" t="s">
        <v>9098</v>
      </c>
    </row>
    <row r="1683" spans="1:8" ht="15.75" customHeight="1">
      <c r="A1683" t="s">
        <v>3656</v>
      </c>
      <c r="B1683" t="s">
        <v>3657</v>
      </c>
      <c r="C1683" t="s">
        <v>9094</v>
      </c>
      <c r="E1683" s="12" t="s">
        <v>9095</v>
      </c>
      <c r="F1683" s="12" t="s">
        <v>9099</v>
      </c>
      <c r="G1683" t="s">
        <v>9100</v>
      </c>
      <c r="H1683" t="s">
        <v>9101</v>
      </c>
    </row>
    <row r="1684" spans="1:8" ht="15.75" customHeight="1">
      <c r="A1684" t="s">
        <v>3656</v>
      </c>
      <c r="B1684" t="s">
        <v>3657</v>
      </c>
      <c r="C1684" t="s">
        <v>9094</v>
      </c>
      <c r="E1684" s="12" t="s">
        <v>9095</v>
      </c>
      <c r="F1684" s="12" t="s">
        <v>9102</v>
      </c>
      <c r="G1684" t="s">
        <v>7123</v>
      </c>
      <c r="H1684" t="s">
        <v>9103</v>
      </c>
    </row>
    <row r="1685" spans="1:8" ht="15.75" customHeight="1">
      <c r="A1685" t="s">
        <v>3656</v>
      </c>
      <c r="B1685" t="s">
        <v>3657</v>
      </c>
      <c r="C1685" t="s">
        <v>9094</v>
      </c>
      <c r="E1685" s="12" t="s">
        <v>9095</v>
      </c>
      <c r="F1685" s="12" t="s">
        <v>9104</v>
      </c>
      <c r="G1685" t="s">
        <v>9105</v>
      </c>
      <c r="H1685" t="s">
        <v>9106</v>
      </c>
    </row>
    <row r="1686" spans="1:8" ht="15.75" customHeight="1">
      <c r="A1686" t="s">
        <v>3656</v>
      </c>
      <c r="B1686" t="s">
        <v>3657</v>
      </c>
      <c r="C1686" t="s">
        <v>9094</v>
      </c>
      <c r="E1686" s="12" t="s">
        <v>9095</v>
      </c>
      <c r="F1686" s="12" t="s">
        <v>9107</v>
      </c>
      <c r="G1686" t="s">
        <v>9108</v>
      </c>
      <c r="H1686" t="s">
        <v>9109</v>
      </c>
    </row>
    <row r="1687" spans="1:8" ht="15.75" customHeight="1">
      <c r="A1687" t="s">
        <v>3656</v>
      </c>
      <c r="B1687" t="s">
        <v>3657</v>
      </c>
      <c r="C1687" t="s">
        <v>9094</v>
      </c>
      <c r="E1687" s="12" t="s">
        <v>9095</v>
      </c>
      <c r="F1687" s="12" t="s">
        <v>9110</v>
      </c>
      <c r="G1687" t="s">
        <v>9111</v>
      </c>
      <c r="H1687" t="s">
        <v>9112</v>
      </c>
    </row>
    <row r="1688" spans="1:8" ht="15.75" customHeight="1">
      <c r="A1688" t="s">
        <v>3656</v>
      </c>
      <c r="B1688" t="s">
        <v>3657</v>
      </c>
      <c r="C1688" t="s">
        <v>9094</v>
      </c>
      <c r="E1688" s="12" t="s">
        <v>9095</v>
      </c>
      <c r="F1688" s="12" t="s">
        <v>9113</v>
      </c>
      <c r="G1688" t="s">
        <v>9114</v>
      </c>
      <c r="H1688" t="s">
        <v>9115</v>
      </c>
    </row>
    <row r="1689" spans="1:8" ht="15.75" customHeight="1">
      <c r="A1689" t="s">
        <v>3656</v>
      </c>
      <c r="B1689" t="s">
        <v>3657</v>
      </c>
      <c r="C1689" t="s">
        <v>9094</v>
      </c>
      <c r="E1689" s="12" t="s">
        <v>9095</v>
      </c>
      <c r="F1689" s="12" t="s">
        <v>9116</v>
      </c>
      <c r="G1689" t="s">
        <v>9117</v>
      </c>
      <c r="H1689" t="s">
        <v>9118</v>
      </c>
    </row>
    <row r="1690" spans="1:8" ht="15.75" customHeight="1">
      <c r="A1690" t="s">
        <v>3656</v>
      </c>
      <c r="B1690" t="s">
        <v>3657</v>
      </c>
      <c r="C1690" t="s">
        <v>9094</v>
      </c>
      <c r="E1690" s="12" t="s">
        <v>9095</v>
      </c>
      <c r="F1690" s="12" t="s">
        <v>9119</v>
      </c>
      <c r="G1690" t="s">
        <v>9120</v>
      </c>
      <c r="H1690" t="s">
        <v>9121</v>
      </c>
    </row>
    <row r="1691" spans="1:8" ht="15.75" customHeight="1">
      <c r="A1691" t="s">
        <v>3656</v>
      </c>
      <c r="B1691" t="s">
        <v>3657</v>
      </c>
      <c r="C1691" t="s">
        <v>9094</v>
      </c>
      <c r="E1691" s="12" t="s">
        <v>9095</v>
      </c>
      <c r="F1691" s="12" t="s">
        <v>9122</v>
      </c>
      <c r="G1691" t="s">
        <v>7132</v>
      </c>
      <c r="H1691" t="s">
        <v>9123</v>
      </c>
    </row>
    <row r="1692" spans="1:8" ht="15.75" customHeight="1">
      <c r="A1692" t="s">
        <v>3656</v>
      </c>
      <c r="B1692" t="s">
        <v>3657</v>
      </c>
      <c r="C1692" t="s">
        <v>9094</v>
      </c>
      <c r="E1692" s="12" t="s">
        <v>9095</v>
      </c>
      <c r="F1692" s="12" t="s">
        <v>9124</v>
      </c>
      <c r="G1692" t="s">
        <v>9125</v>
      </c>
      <c r="H1692" t="s">
        <v>9126</v>
      </c>
    </row>
    <row r="1693" spans="1:8" ht="15.75" customHeight="1">
      <c r="A1693" t="s">
        <v>3656</v>
      </c>
      <c r="B1693" t="s">
        <v>3657</v>
      </c>
      <c r="C1693" t="s">
        <v>9094</v>
      </c>
      <c r="E1693" s="12" t="s">
        <v>9095</v>
      </c>
      <c r="F1693" s="12" t="s">
        <v>9127</v>
      </c>
      <c r="G1693" t="s">
        <v>9128</v>
      </c>
      <c r="H1693" t="s">
        <v>9129</v>
      </c>
    </row>
    <row r="1694" spans="1:8" ht="15.75" customHeight="1">
      <c r="A1694" t="s">
        <v>3660</v>
      </c>
      <c r="B1694" t="s">
        <v>3661</v>
      </c>
      <c r="C1694" t="s">
        <v>9130</v>
      </c>
      <c r="E1694" s="12" t="s">
        <v>9131</v>
      </c>
      <c r="F1694" s="12" t="s">
        <v>9132</v>
      </c>
      <c r="G1694" t="s">
        <v>9133</v>
      </c>
      <c r="H1694" t="s">
        <v>9134</v>
      </c>
    </row>
    <row r="1695" spans="1:8" ht="15.75" customHeight="1">
      <c r="A1695" t="s">
        <v>3664</v>
      </c>
      <c r="B1695" t="s">
        <v>3665</v>
      </c>
      <c r="C1695" t="s">
        <v>9135</v>
      </c>
      <c r="E1695" s="12" t="s">
        <v>9136</v>
      </c>
      <c r="F1695" s="12" t="s">
        <v>9137</v>
      </c>
      <c r="G1695" t="s">
        <v>9138</v>
      </c>
      <c r="H1695" t="s">
        <v>9139</v>
      </c>
    </row>
    <row r="1696" spans="1:8" ht="15.75" customHeight="1">
      <c r="A1696" t="s">
        <v>3664</v>
      </c>
      <c r="B1696" t="s">
        <v>3665</v>
      </c>
      <c r="C1696" t="s">
        <v>9135</v>
      </c>
      <c r="E1696" s="12" t="s">
        <v>9136</v>
      </c>
      <c r="F1696" s="12" t="s">
        <v>9140</v>
      </c>
      <c r="G1696" t="s">
        <v>9141</v>
      </c>
      <c r="H1696" t="s">
        <v>9142</v>
      </c>
    </row>
    <row r="1697" spans="1:8" ht="15.75" customHeight="1">
      <c r="A1697" t="s">
        <v>3668</v>
      </c>
      <c r="B1697" t="s">
        <v>3669</v>
      </c>
    </row>
    <row r="1698" spans="1:8" ht="15.75" customHeight="1">
      <c r="A1698" t="s">
        <v>3672</v>
      </c>
      <c r="B1698" t="s">
        <v>3673</v>
      </c>
    </row>
    <row r="1699" spans="1:8" ht="15.75" customHeight="1">
      <c r="A1699" t="s">
        <v>3675</v>
      </c>
      <c r="B1699" t="s">
        <v>3676</v>
      </c>
    </row>
    <row r="1700" spans="1:8" ht="15.75" customHeight="1">
      <c r="A1700" t="s">
        <v>3679</v>
      </c>
      <c r="B1700" t="s">
        <v>3680</v>
      </c>
    </row>
    <row r="1701" spans="1:8" ht="15.75" customHeight="1">
      <c r="A1701" t="s">
        <v>3682</v>
      </c>
      <c r="B1701" t="s">
        <v>3683</v>
      </c>
    </row>
    <row r="1702" spans="1:8" ht="15.75" customHeight="1">
      <c r="A1702" t="s">
        <v>3684</v>
      </c>
      <c r="B1702" t="s">
        <v>3685</v>
      </c>
    </row>
    <row r="1703" spans="1:8" ht="15.75" customHeight="1">
      <c r="A1703" t="s">
        <v>3686</v>
      </c>
      <c r="B1703" t="s">
        <v>3687</v>
      </c>
    </row>
    <row r="1704" spans="1:8" ht="15.75" customHeight="1">
      <c r="A1704" t="s">
        <v>3690</v>
      </c>
      <c r="B1704" t="s">
        <v>3691</v>
      </c>
      <c r="C1704" t="s">
        <v>9143</v>
      </c>
      <c r="E1704" s="12" t="s">
        <v>9144</v>
      </c>
      <c r="F1704" s="12" t="s">
        <v>9145</v>
      </c>
      <c r="G1704" t="s">
        <v>9146</v>
      </c>
      <c r="H1704" t="s">
        <v>9147</v>
      </c>
    </row>
    <row r="1705" spans="1:8" ht="15.75" customHeight="1">
      <c r="A1705" t="s">
        <v>3690</v>
      </c>
      <c r="B1705" t="s">
        <v>3691</v>
      </c>
      <c r="C1705" t="s">
        <v>9143</v>
      </c>
      <c r="E1705" s="12" t="s">
        <v>9144</v>
      </c>
      <c r="F1705" s="12" t="s">
        <v>9148</v>
      </c>
      <c r="G1705" t="s">
        <v>9149</v>
      </c>
      <c r="H1705" t="s">
        <v>9147</v>
      </c>
    </row>
    <row r="1706" spans="1:8" ht="15.75" customHeight="1">
      <c r="A1706" t="s">
        <v>3694</v>
      </c>
      <c r="B1706" t="s">
        <v>3695</v>
      </c>
      <c r="C1706" t="s">
        <v>8439</v>
      </c>
      <c r="E1706" s="12" t="s">
        <v>8440</v>
      </c>
      <c r="F1706" s="12" t="s">
        <v>8441</v>
      </c>
      <c r="G1706" t="s">
        <v>8442</v>
      </c>
      <c r="H1706" t="s">
        <v>8443</v>
      </c>
    </row>
    <row r="1707" spans="1:8" ht="15.75" customHeight="1">
      <c r="A1707" t="s">
        <v>3694</v>
      </c>
      <c r="B1707" t="s">
        <v>3695</v>
      </c>
      <c r="C1707" t="s">
        <v>8439</v>
      </c>
      <c r="E1707" s="12" t="s">
        <v>8440</v>
      </c>
      <c r="F1707" s="12" t="s">
        <v>8444</v>
      </c>
      <c r="G1707" t="s">
        <v>8445</v>
      </c>
      <c r="H1707" t="s">
        <v>8446</v>
      </c>
    </row>
    <row r="1708" spans="1:8" ht="15.75" customHeight="1">
      <c r="A1708" t="s">
        <v>3698</v>
      </c>
      <c r="B1708" t="s">
        <v>3699</v>
      </c>
    </row>
    <row r="1709" spans="1:8" ht="15.75" customHeight="1">
      <c r="A1709" t="s">
        <v>3700</v>
      </c>
      <c r="B1709" t="s">
        <v>3701</v>
      </c>
    </row>
    <row r="1710" spans="1:8" ht="15.75" customHeight="1">
      <c r="A1710" t="s">
        <v>3704</v>
      </c>
      <c r="B1710" t="s">
        <v>3705</v>
      </c>
      <c r="C1710" t="s">
        <v>9150</v>
      </c>
      <c r="E1710" s="12" t="s">
        <v>9151</v>
      </c>
    </row>
    <row r="1711" spans="1:8" ht="15.75" customHeight="1">
      <c r="A1711" t="s">
        <v>3708</v>
      </c>
      <c r="B1711" t="s">
        <v>3709</v>
      </c>
    </row>
    <row r="1712" spans="1:8" ht="15.75" customHeight="1">
      <c r="A1712" t="s">
        <v>3712</v>
      </c>
      <c r="B1712" t="s">
        <v>3713</v>
      </c>
      <c r="C1712" t="s">
        <v>9152</v>
      </c>
      <c r="E1712" s="12" t="s">
        <v>9153</v>
      </c>
      <c r="F1712" s="12" t="s">
        <v>9154</v>
      </c>
      <c r="G1712" t="s">
        <v>9155</v>
      </c>
      <c r="H1712" t="s">
        <v>9156</v>
      </c>
    </row>
    <row r="1713" spans="1:8" ht="15.75" customHeight="1">
      <c r="A1713" t="s">
        <v>3716</v>
      </c>
      <c r="B1713" t="s">
        <v>3717</v>
      </c>
      <c r="C1713" t="s">
        <v>9157</v>
      </c>
      <c r="E1713" s="12" t="s">
        <v>9158</v>
      </c>
      <c r="F1713" s="12" t="s">
        <v>9159</v>
      </c>
      <c r="G1713" t="s">
        <v>9160</v>
      </c>
      <c r="H1713" t="s">
        <v>9161</v>
      </c>
    </row>
    <row r="1714" spans="1:8" ht="15.75" customHeight="1">
      <c r="A1714" t="s">
        <v>3716</v>
      </c>
      <c r="B1714" t="s">
        <v>3717</v>
      </c>
      <c r="C1714" t="s">
        <v>9157</v>
      </c>
      <c r="E1714" s="12" t="s">
        <v>9158</v>
      </c>
      <c r="F1714" s="12" t="s">
        <v>9162</v>
      </c>
      <c r="G1714" t="s">
        <v>9163</v>
      </c>
      <c r="H1714" t="s">
        <v>9164</v>
      </c>
    </row>
    <row r="1715" spans="1:8" ht="15.75" customHeight="1">
      <c r="A1715" t="s">
        <v>3718</v>
      </c>
      <c r="B1715" t="s">
        <v>3719</v>
      </c>
    </row>
    <row r="1716" spans="1:8" ht="15.75" customHeight="1">
      <c r="A1716" t="s">
        <v>3722</v>
      </c>
      <c r="B1716" t="s">
        <v>3723</v>
      </c>
    </row>
    <row r="1717" spans="1:8" ht="15.75" customHeight="1">
      <c r="A1717" t="s">
        <v>3726</v>
      </c>
      <c r="B1717" t="s">
        <v>3727</v>
      </c>
    </row>
    <row r="1718" spans="1:8" ht="15.75" customHeight="1">
      <c r="A1718" t="s">
        <v>3729</v>
      </c>
      <c r="B1718" t="s">
        <v>3730</v>
      </c>
    </row>
    <row r="1719" spans="1:8" ht="15.75" customHeight="1">
      <c r="A1719" t="s">
        <v>3733</v>
      </c>
      <c r="B1719" t="s">
        <v>3734</v>
      </c>
    </row>
    <row r="1720" spans="1:8" ht="15.75" customHeight="1">
      <c r="A1720" t="s">
        <v>3735</v>
      </c>
      <c r="B1720" t="s">
        <v>3736</v>
      </c>
    </row>
    <row r="1721" spans="1:8" ht="15.75" customHeight="1">
      <c r="A1721" t="s">
        <v>3738</v>
      </c>
      <c r="B1721" t="s">
        <v>3739</v>
      </c>
    </row>
    <row r="1722" spans="1:8" ht="15.75" customHeight="1">
      <c r="A1722" t="s">
        <v>3742</v>
      </c>
      <c r="B1722" t="s">
        <v>3743</v>
      </c>
    </row>
    <row r="1723" spans="1:8" ht="15.75" customHeight="1">
      <c r="A1723" t="s">
        <v>3746</v>
      </c>
      <c r="B1723" t="s">
        <v>3747</v>
      </c>
      <c r="C1723" t="s">
        <v>9165</v>
      </c>
      <c r="E1723" s="12" t="s">
        <v>9166</v>
      </c>
      <c r="F1723" s="12" t="s">
        <v>9167</v>
      </c>
      <c r="G1723" t="s">
        <v>9168</v>
      </c>
      <c r="H1723" t="s">
        <v>9169</v>
      </c>
    </row>
    <row r="1724" spans="1:8" ht="15.75" customHeight="1">
      <c r="A1724" t="s">
        <v>3748</v>
      </c>
      <c r="B1724" t="s">
        <v>3749</v>
      </c>
    </row>
    <row r="1725" spans="1:8" ht="15.75" customHeight="1">
      <c r="A1725" t="s">
        <v>3752</v>
      </c>
      <c r="B1725" t="s">
        <v>3753</v>
      </c>
      <c r="C1725" t="s">
        <v>7861</v>
      </c>
    </row>
    <row r="1726" spans="1:8" ht="15.75" customHeight="1">
      <c r="A1726" t="s">
        <v>3755</v>
      </c>
      <c r="B1726" t="s">
        <v>3756</v>
      </c>
    </row>
    <row r="1727" spans="1:8" ht="15.75" customHeight="1">
      <c r="A1727" t="s">
        <v>3758</v>
      </c>
      <c r="B1727" t="s">
        <v>3759</v>
      </c>
      <c r="C1727" t="s">
        <v>7175</v>
      </c>
    </row>
    <row r="1728" spans="1:8" ht="15.75" customHeight="1">
      <c r="A1728" t="s">
        <v>3760</v>
      </c>
      <c r="B1728" t="s">
        <v>3761</v>
      </c>
    </row>
    <row r="1729" spans="1:8" ht="15.75" customHeight="1">
      <c r="A1729" t="s">
        <v>3764</v>
      </c>
      <c r="B1729" t="s">
        <v>3765</v>
      </c>
      <c r="C1729" t="s">
        <v>9170</v>
      </c>
    </row>
    <row r="1730" spans="1:8" ht="15.75" customHeight="1">
      <c r="A1730" t="s">
        <v>3768</v>
      </c>
      <c r="B1730" t="s">
        <v>3769</v>
      </c>
    </row>
    <row r="1731" spans="1:8" ht="15.75" customHeight="1">
      <c r="A1731" t="s">
        <v>3772</v>
      </c>
      <c r="B1731" t="s">
        <v>3773</v>
      </c>
    </row>
    <row r="1732" spans="1:8" ht="15.75" customHeight="1">
      <c r="A1732" t="s">
        <v>3775</v>
      </c>
      <c r="B1732" t="s">
        <v>3776</v>
      </c>
    </row>
    <row r="1733" spans="1:8" ht="15.75" customHeight="1">
      <c r="A1733" t="s">
        <v>3779</v>
      </c>
      <c r="B1733" t="s">
        <v>3780</v>
      </c>
      <c r="C1733" t="s">
        <v>7823</v>
      </c>
    </row>
    <row r="1734" spans="1:8" ht="15.75" customHeight="1">
      <c r="A1734" t="s">
        <v>3782</v>
      </c>
      <c r="B1734" t="s">
        <v>3783</v>
      </c>
    </row>
    <row r="1735" spans="1:8" ht="15.75" customHeight="1">
      <c r="A1735" t="s">
        <v>3786</v>
      </c>
      <c r="B1735" t="s">
        <v>3787</v>
      </c>
      <c r="C1735" t="s">
        <v>9171</v>
      </c>
      <c r="E1735" s="12" t="s">
        <v>9172</v>
      </c>
      <c r="F1735" s="12" t="s">
        <v>9173</v>
      </c>
      <c r="G1735" t="s">
        <v>9174</v>
      </c>
      <c r="H1735" t="s">
        <v>9175</v>
      </c>
    </row>
    <row r="1736" spans="1:8" ht="15.75" customHeight="1">
      <c r="A1736" t="s">
        <v>3790</v>
      </c>
      <c r="B1736" t="s">
        <v>3791</v>
      </c>
      <c r="C1736" t="s">
        <v>7739</v>
      </c>
    </row>
    <row r="1737" spans="1:8" ht="15.75" customHeight="1">
      <c r="A1737" t="s">
        <v>3792</v>
      </c>
      <c r="B1737" t="s">
        <v>3793</v>
      </c>
    </row>
    <row r="1738" spans="1:8" ht="15.75" customHeight="1">
      <c r="A1738" t="s">
        <v>3794</v>
      </c>
      <c r="B1738" t="s">
        <v>3795</v>
      </c>
    </row>
    <row r="1739" spans="1:8" ht="15.75" customHeight="1">
      <c r="A1739" t="s">
        <v>3797</v>
      </c>
      <c r="B1739" t="s">
        <v>3798</v>
      </c>
    </row>
    <row r="1740" spans="1:8" ht="15.75" customHeight="1">
      <c r="A1740" t="s">
        <v>3801</v>
      </c>
      <c r="B1740" t="s">
        <v>3802</v>
      </c>
    </row>
    <row r="1741" spans="1:8" ht="15.75" customHeight="1">
      <c r="A1741" t="s">
        <v>3804</v>
      </c>
      <c r="B1741" t="s">
        <v>3805</v>
      </c>
    </row>
    <row r="1742" spans="1:8" ht="15.75" customHeight="1">
      <c r="A1742" t="s">
        <v>3808</v>
      </c>
      <c r="B1742" t="s">
        <v>3809</v>
      </c>
    </row>
    <row r="1743" spans="1:8" ht="15.75" customHeight="1">
      <c r="A1743" t="s">
        <v>3810</v>
      </c>
      <c r="B1743" t="s">
        <v>3811</v>
      </c>
    </row>
    <row r="1744" spans="1:8" ht="15.75" customHeight="1">
      <c r="A1744" t="s">
        <v>3813</v>
      </c>
      <c r="B1744" t="s">
        <v>3814</v>
      </c>
    </row>
    <row r="1745" spans="1:8" ht="15.75" customHeight="1">
      <c r="A1745" t="s">
        <v>3816</v>
      </c>
      <c r="B1745" t="s">
        <v>3817</v>
      </c>
    </row>
    <row r="1746" spans="1:8" ht="15.75" customHeight="1">
      <c r="A1746" t="s">
        <v>3819</v>
      </c>
      <c r="B1746" t="s">
        <v>3820</v>
      </c>
      <c r="C1746" t="s">
        <v>7473</v>
      </c>
    </row>
    <row r="1747" spans="1:8" ht="15.75" customHeight="1">
      <c r="A1747" t="s">
        <v>3819</v>
      </c>
      <c r="B1747" t="s">
        <v>3820</v>
      </c>
      <c r="C1747" t="s">
        <v>7474</v>
      </c>
      <c r="E1747" s="12" t="s">
        <v>7475</v>
      </c>
    </row>
    <row r="1748" spans="1:8" ht="15.75" customHeight="1">
      <c r="A1748" t="s">
        <v>3823</v>
      </c>
      <c r="B1748" t="s">
        <v>3824</v>
      </c>
      <c r="C1748" t="s">
        <v>9176</v>
      </c>
      <c r="E1748" s="12" t="s">
        <v>9177</v>
      </c>
      <c r="F1748" s="12" t="s">
        <v>9178</v>
      </c>
      <c r="G1748" t="s">
        <v>9179</v>
      </c>
      <c r="H1748" t="s">
        <v>9180</v>
      </c>
    </row>
    <row r="1749" spans="1:8" ht="15.75" customHeight="1">
      <c r="A1749" t="s">
        <v>3826</v>
      </c>
      <c r="B1749" t="s">
        <v>3827</v>
      </c>
    </row>
    <row r="1750" spans="1:8" ht="15.75" customHeight="1">
      <c r="A1750" t="s">
        <v>3828</v>
      </c>
      <c r="B1750" t="s">
        <v>3829</v>
      </c>
    </row>
    <row r="1751" spans="1:8" ht="15.75" customHeight="1">
      <c r="A1751" t="s">
        <v>3831</v>
      </c>
      <c r="B1751" t="s">
        <v>3832</v>
      </c>
    </row>
    <row r="1752" spans="1:8" ht="15.75" customHeight="1">
      <c r="A1752" t="s">
        <v>3834</v>
      </c>
      <c r="B1752" t="s">
        <v>3835</v>
      </c>
    </row>
    <row r="1753" spans="1:8" ht="15.75" customHeight="1">
      <c r="A1753" t="s">
        <v>3837</v>
      </c>
      <c r="B1753" t="s">
        <v>3838</v>
      </c>
    </row>
    <row r="1754" spans="1:8" ht="15.75" customHeight="1">
      <c r="A1754" t="s">
        <v>3841</v>
      </c>
      <c r="B1754" t="s">
        <v>3842</v>
      </c>
      <c r="C1754" t="s">
        <v>7545</v>
      </c>
    </row>
    <row r="1755" spans="1:8" ht="15.75" customHeight="1">
      <c r="A1755" t="s">
        <v>3844</v>
      </c>
      <c r="B1755" t="s">
        <v>3845</v>
      </c>
      <c r="C1755" t="s">
        <v>9181</v>
      </c>
      <c r="E1755" s="12" t="s">
        <v>9182</v>
      </c>
    </row>
    <row r="1756" spans="1:8" ht="15.75" customHeight="1">
      <c r="A1756" t="s">
        <v>3844</v>
      </c>
      <c r="B1756" t="s">
        <v>3845</v>
      </c>
      <c r="C1756" t="s">
        <v>8284</v>
      </c>
    </row>
    <row r="1757" spans="1:8" ht="15.75" customHeight="1">
      <c r="A1757" t="s">
        <v>3848</v>
      </c>
      <c r="B1757" t="s">
        <v>3849</v>
      </c>
      <c r="C1757" t="s">
        <v>9183</v>
      </c>
      <c r="E1757" s="12" t="s">
        <v>9184</v>
      </c>
    </row>
    <row r="1758" spans="1:8" ht="15.75" customHeight="1">
      <c r="A1758" t="s">
        <v>3851</v>
      </c>
      <c r="B1758" t="s">
        <v>3852</v>
      </c>
    </row>
    <row r="1759" spans="1:8" ht="15.75" customHeight="1">
      <c r="A1759" t="s">
        <v>3855</v>
      </c>
      <c r="B1759" t="s">
        <v>3856</v>
      </c>
      <c r="C1759" t="s">
        <v>9185</v>
      </c>
      <c r="E1759" s="12" t="s">
        <v>9186</v>
      </c>
      <c r="F1759" s="12" t="s">
        <v>9187</v>
      </c>
      <c r="G1759" t="s">
        <v>9188</v>
      </c>
      <c r="H1759" t="s">
        <v>9189</v>
      </c>
    </row>
    <row r="1760" spans="1:8" ht="15.75" customHeight="1">
      <c r="A1760" t="s">
        <v>3855</v>
      </c>
      <c r="B1760" t="s">
        <v>3856</v>
      </c>
      <c r="C1760" t="s">
        <v>9185</v>
      </c>
      <c r="E1760" s="12" t="s">
        <v>9186</v>
      </c>
      <c r="F1760" s="12" t="s">
        <v>9190</v>
      </c>
      <c r="G1760" t="s">
        <v>9191</v>
      </c>
      <c r="H1760" t="s">
        <v>9192</v>
      </c>
    </row>
    <row r="1761" spans="1:8" ht="15.75" customHeight="1">
      <c r="A1761" t="s">
        <v>3855</v>
      </c>
      <c r="B1761" t="s">
        <v>3856</v>
      </c>
      <c r="C1761" t="s">
        <v>9185</v>
      </c>
      <c r="E1761" s="12" t="s">
        <v>9186</v>
      </c>
      <c r="F1761" s="12" t="s">
        <v>9193</v>
      </c>
      <c r="G1761" t="s">
        <v>9194</v>
      </c>
      <c r="H1761" t="s">
        <v>9195</v>
      </c>
    </row>
    <row r="1762" spans="1:8" ht="15.75" customHeight="1">
      <c r="A1762" t="s">
        <v>3855</v>
      </c>
      <c r="B1762" t="s">
        <v>3856</v>
      </c>
      <c r="C1762" t="s">
        <v>9185</v>
      </c>
      <c r="E1762" s="12" t="s">
        <v>9186</v>
      </c>
      <c r="F1762" s="12" t="s">
        <v>9196</v>
      </c>
      <c r="G1762" t="s">
        <v>9197</v>
      </c>
      <c r="H1762" t="s">
        <v>9198</v>
      </c>
    </row>
    <row r="1763" spans="1:8" ht="15.75" customHeight="1">
      <c r="A1763" t="s">
        <v>3855</v>
      </c>
      <c r="B1763" t="s">
        <v>3856</v>
      </c>
      <c r="C1763" t="s">
        <v>9185</v>
      </c>
      <c r="E1763" s="12" t="s">
        <v>9186</v>
      </c>
      <c r="F1763" s="12" t="s">
        <v>9199</v>
      </c>
      <c r="G1763" t="s">
        <v>9200</v>
      </c>
      <c r="H1763" t="s">
        <v>9201</v>
      </c>
    </row>
    <row r="1764" spans="1:8" ht="15.75" customHeight="1">
      <c r="A1764" t="s">
        <v>3855</v>
      </c>
      <c r="B1764" t="s">
        <v>3856</v>
      </c>
      <c r="C1764" t="s">
        <v>9185</v>
      </c>
      <c r="E1764" s="12" t="s">
        <v>9186</v>
      </c>
      <c r="F1764" s="12" t="s">
        <v>9202</v>
      </c>
      <c r="G1764" t="s">
        <v>9203</v>
      </c>
      <c r="H1764" t="s">
        <v>9204</v>
      </c>
    </row>
    <row r="1765" spans="1:8" ht="15.75" customHeight="1">
      <c r="A1765" t="s">
        <v>3859</v>
      </c>
      <c r="B1765" t="s">
        <v>3860</v>
      </c>
      <c r="C1765" t="s">
        <v>7997</v>
      </c>
      <c r="E1765" s="12" t="s">
        <v>7998</v>
      </c>
      <c r="F1765" s="12" t="s">
        <v>7999</v>
      </c>
      <c r="G1765" t="s">
        <v>8000</v>
      </c>
      <c r="H1765" t="s">
        <v>8001</v>
      </c>
    </row>
    <row r="1766" spans="1:8" ht="15.75" customHeight="1">
      <c r="A1766" t="s">
        <v>3859</v>
      </c>
      <c r="B1766" t="s">
        <v>3860</v>
      </c>
      <c r="C1766" t="s">
        <v>7997</v>
      </c>
      <c r="E1766" s="12" t="s">
        <v>7998</v>
      </c>
      <c r="F1766" s="12" t="s">
        <v>8002</v>
      </c>
      <c r="G1766" t="s">
        <v>8003</v>
      </c>
      <c r="H1766" t="s">
        <v>8004</v>
      </c>
    </row>
    <row r="1767" spans="1:8" ht="15.75" customHeight="1">
      <c r="A1767" t="s">
        <v>3859</v>
      </c>
      <c r="B1767" t="s">
        <v>3860</v>
      </c>
      <c r="C1767" t="s">
        <v>7997</v>
      </c>
      <c r="E1767" s="12" t="s">
        <v>7998</v>
      </c>
      <c r="F1767" s="12" t="s">
        <v>8005</v>
      </c>
      <c r="G1767" t="s">
        <v>7525</v>
      </c>
      <c r="H1767" t="s">
        <v>8006</v>
      </c>
    </row>
    <row r="1768" spans="1:8" ht="15.75" customHeight="1">
      <c r="A1768" t="s">
        <v>3863</v>
      </c>
      <c r="B1768" t="s">
        <v>3864</v>
      </c>
      <c r="C1768" t="s">
        <v>7544</v>
      </c>
    </row>
    <row r="1769" spans="1:8" ht="15.75" customHeight="1">
      <c r="A1769" t="s">
        <v>3866</v>
      </c>
      <c r="B1769" t="s">
        <v>3867</v>
      </c>
    </row>
    <row r="1770" spans="1:8" ht="15.75" customHeight="1">
      <c r="A1770" t="s">
        <v>3869</v>
      </c>
      <c r="B1770" t="s">
        <v>3870</v>
      </c>
    </row>
    <row r="1771" spans="1:8" ht="15.75" customHeight="1">
      <c r="A1771" t="s">
        <v>3873</v>
      </c>
      <c r="B1771" t="s">
        <v>3874</v>
      </c>
      <c r="C1771" t="s">
        <v>9205</v>
      </c>
      <c r="E1771" s="12" t="s">
        <v>9206</v>
      </c>
      <c r="F1771" s="12" t="s">
        <v>9207</v>
      </c>
      <c r="G1771" t="s">
        <v>9208</v>
      </c>
      <c r="H1771" t="s">
        <v>9209</v>
      </c>
    </row>
    <row r="1772" spans="1:8" ht="15.75" customHeight="1">
      <c r="A1772" t="s">
        <v>3873</v>
      </c>
      <c r="B1772" t="s">
        <v>3874</v>
      </c>
      <c r="C1772" t="s">
        <v>9205</v>
      </c>
      <c r="E1772" s="12" t="s">
        <v>9206</v>
      </c>
      <c r="F1772" s="12" t="s">
        <v>9210</v>
      </c>
      <c r="G1772" t="s">
        <v>9211</v>
      </c>
      <c r="H1772" t="s">
        <v>9212</v>
      </c>
    </row>
    <row r="1773" spans="1:8" ht="15.75" customHeight="1">
      <c r="A1773" t="s">
        <v>3873</v>
      </c>
      <c r="B1773" t="s">
        <v>3874</v>
      </c>
      <c r="C1773" t="s">
        <v>9205</v>
      </c>
      <c r="E1773" s="12" t="s">
        <v>9206</v>
      </c>
      <c r="F1773" s="12" t="s">
        <v>9213</v>
      </c>
      <c r="G1773" t="s">
        <v>9214</v>
      </c>
      <c r="H1773" t="s">
        <v>9215</v>
      </c>
    </row>
    <row r="1774" spans="1:8" ht="15.75" customHeight="1">
      <c r="A1774" t="s">
        <v>3873</v>
      </c>
      <c r="B1774" t="s">
        <v>3874</v>
      </c>
      <c r="C1774" t="s">
        <v>9205</v>
      </c>
      <c r="E1774" s="12" t="s">
        <v>9206</v>
      </c>
      <c r="F1774" s="12" t="s">
        <v>9216</v>
      </c>
      <c r="G1774" t="s">
        <v>9217</v>
      </c>
      <c r="H1774" t="s">
        <v>9218</v>
      </c>
    </row>
    <row r="1775" spans="1:8" ht="15.75" customHeight="1">
      <c r="A1775" t="s">
        <v>3873</v>
      </c>
      <c r="B1775" t="s">
        <v>3874</v>
      </c>
      <c r="C1775" t="s">
        <v>9205</v>
      </c>
      <c r="E1775" s="12" t="s">
        <v>9206</v>
      </c>
      <c r="F1775" s="12" t="s">
        <v>9219</v>
      </c>
      <c r="G1775" t="s">
        <v>9220</v>
      </c>
      <c r="H1775" t="s">
        <v>9221</v>
      </c>
    </row>
    <row r="1776" spans="1:8" ht="15.75" customHeight="1">
      <c r="A1776" t="s">
        <v>3873</v>
      </c>
      <c r="B1776" t="s">
        <v>3874</v>
      </c>
      <c r="C1776" t="s">
        <v>9222</v>
      </c>
    </row>
    <row r="1777" spans="1:8" ht="15.75" customHeight="1">
      <c r="A1777" t="s">
        <v>3876</v>
      </c>
      <c r="B1777" t="s">
        <v>3877</v>
      </c>
    </row>
    <row r="1778" spans="1:8" ht="15.75" customHeight="1">
      <c r="A1778" t="s">
        <v>3878</v>
      </c>
      <c r="B1778" t="s">
        <v>3879</v>
      </c>
    </row>
    <row r="1779" spans="1:8" ht="15.75" customHeight="1">
      <c r="A1779" t="s">
        <v>3881</v>
      </c>
      <c r="B1779" t="s">
        <v>3882</v>
      </c>
    </row>
    <row r="1780" spans="1:8" ht="15.75" customHeight="1">
      <c r="A1780" t="s">
        <v>3885</v>
      </c>
      <c r="B1780" t="s">
        <v>3886</v>
      </c>
      <c r="C1780" t="s">
        <v>9223</v>
      </c>
      <c r="E1780" s="12" t="s">
        <v>9224</v>
      </c>
      <c r="F1780" s="12" t="s">
        <v>9225</v>
      </c>
      <c r="G1780" t="s">
        <v>9226</v>
      </c>
      <c r="H1780" t="s">
        <v>9227</v>
      </c>
    </row>
    <row r="1781" spans="1:8" ht="15.75" customHeight="1">
      <c r="A1781" t="s">
        <v>3889</v>
      </c>
      <c r="B1781" t="s">
        <v>3890</v>
      </c>
      <c r="C1781" t="s">
        <v>9228</v>
      </c>
      <c r="E1781" s="12" t="s">
        <v>9229</v>
      </c>
      <c r="F1781" s="12" t="s">
        <v>9230</v>
      </c>
      <c r="G1781" t="s">
        <v>9231</v>
      </c>
      <c r="H1781" t="s">
        <v>9232</v>
      </c>
    </row>
    <row r="1782" spans="1:8" ht="15.75" customHeight="1">
      <c r="A1782" t="s">
        <v>3889</v>
      </c>
      <c r="B1782" t="s">
        <v>3890</v>
      </c>
      <c r="C1782" t="s">
        <v>9233</v>
      </c>
      <c r="E1782" s="12" t="s">
        <v>9234</v>
      </c>
      <c r="F1782" s="12" t="s">
        <v>9235</v>
      </c>
      <c r="G1782" t="s">
        <v>9236</v>
      </c>
      <c r="H1782" t="s">
        <v>9237</v>
      </c>
    </row>
    <row r="1783" spans="1:8" ht="15.75" customHeight="1">
      <c r="A1783" t="s">
        <v>3889</v>
      </c>
      <c r="B1783" t="s">
        <v>3890</v>
      </c>
      <c r="C1783" t="s">
        <v>9233</v>
      </c>
      <c r="E1783" s="12" t="s">
        <v>9234</v>
      </c>
      <c r="F1783" s="12" t="s">
        <v>9238</v>
      </c>
      <c r="G1783" t="s">
        <v>9239</v>
      </c>
      <c r="H1783" t="s">
        <v>9240</v>
      </c>
    </row>
    <row r="1784" spans="1:8" ht="15.75" customHeight="1">
      <c r="A1784" t="s">
        <v>3889</v>
      </c>
      <c r="B1784" t="s">
        <v>3890</v>
      </c>
      <c r="C1784" t="s">
        <v>9233</v>
      </c>
      <c r="E1784" s="12" t="s">
        <v>9234</v>
      </c>
      <c r="F1784" s="12" t="s">
        <v>9241</v>
      </c>
      <c r="G1784" t="s">
        <v>9242</v>
      </c>
      <c r="H1784" t="s">
        <v>9243</v>
      </c>
    </row>
    <row r="1785" spans="1:8" ht="15.75" customHeight="1">
      <c r="A1785" t="s">
        <v>3892</v>
      </c>
      <c r="B1785" t="s">
        <v>3893</v>
      </c>
    </row>
    <row r="1786" spans="1:8" ht="15.75" customHeight="1">
      <c r="A1786" t="s">
        <v>3895</v>
      </c>
      <c r="B1786" t="s">
        <v>3896</v>
      </c>
    </row>
    <row r="1787" spans="1:8" ht="15.75" customHeight="1">
      <c r="A1787" t="s">
        <v>3898</v>
      </c>
      <c r="B1787" t="s">
        <v>3899</v>
      </c>
    </row>
    <row r="1788" spans="1:8" ht="15.75" customHeight="1">
      <c r="A1788" t="s">
        <v>3902</v>
      </c>
      <c r="B1788" t="s">
        <v>3903</v>
      </c>
      <c r="C1788" t="s">
        <v>9244</v>
      </c>
      <c r="E1788" s="12" t="s">
        <v>9245</v>
      </c>
    </row>
    <row r="1789" spans="1:8" ht="15.75" customHeight="1">
      <c r="A1789" t="s">
        <v>3905</v>
      </c>
      <c r="B1789" t="s">
        <v>3906</v>
      </c>
      <c r="C1789" t="s">
        <v>9246</v>
      </c>
      <c r="E1789" s="12" t="s">
        <v>9247</v>
      </c>
      <c r="F1789" s="12" t="s">
        <v>9248</v>
      </c>
      <c r="G1789" t="s">
        <v>9249</v>
      </c>
      <c r="H1789" t="s">
        <v>9250</v>
      </c>
    </row>
    <row r="1790" spans="1:8" ht="15.75" customHeight="1">
      <c r="A1790" t="s">
        <v>3908</v>
      </c>
      <c r="B1790" t="s">
        <v>3909</v>
      </c>
      <c r="C1790" t="s">
        <v>9251</v>
      </c>
    </row>
    <row r="1791" spans="1:8" ht="15.75" customHeight="1">
      <c r="A1791" t="s">
        <v>3912</v>
      </c>
      <c r="B1791" t="s">
        <v>3913</v>
      </c>
      <c r="C1791" t="s">
        <v>9252</v>
      </c>
      <c r="E1791" s="12" t="s">
        <v>9253</v>
      </c>
      <c r="F1791" s="12" t="s">
        <v>9254</v>
      </c>
      <c r="G1791" t="s">
        <v>9255</v>
      </c>
      <c r="H1791" t="s">
        <v>9256</v>
      </c>
    </row>
    <row r="1792" spans="1:8" ht="15.75" customHeight="1">
      <c r="A1792" t="s">
        <v>3912</v>
      </c>
      <c r="B1792" t="s">
        <v>3913</v>
      </c>
      <c r="C1792" t="s">
        <v>9257</v>
      </c>
      <c r="E1792" s="12" t="s">
        <v>9258</v>
      </c>
      <c r="F1792" s="12" t="s">
        <v>9259</v>
      </c>
      <c r="G1792" t="s">
        <v>9260</v>
      </c>
      <c r="H1792" t="s">
        <v>9261</v>
      </c>
    </row>
    <row r="1793" spans="1:8" ht="15.75" customHeight="1">
      <c r="A1793" t="s">
        <v>3912</v>
      </c>
      <c r="B1793" t="s">
        <v>3913</v>
      </c>
      <c r="C1793" t="s">
        <v>9257</v>
      </c>
      <c r="E1793" s="12" t="s">
        <v>9258</v>
      </c>
      <c r="F1793" s="12" t="s">
        <v>9262</v>
      </c>
      <c r="G1793" t="s">
        <v>9263</v>
      </c>
      <c r="H1793" t="s">
        <v>9264</v>
      </c>
    </row>
    <row r="1794" spans="1:8" ht="15.75" customHeight="1">
      <c r="A1794" t="s">
        <v>3912</v>
      </c>
      <c r="B1794" t="s">
        <v>3913</v>
      </c>
      <c r="C1794" t="s">
        <v>9257</v>
      </c>
      <c r="E1794" s="12" t="s">
        <v>9258</v>
      </c>
      <c r="F1794" s="12" t="s">
        <v>9265</v>
      </c>
      <c r="G1794" t="s">
        <v>9266</v>
      </c>
      <c r="H1794" t="s">
        <v>9267</v>
      </c>
    </row>
    <row r="1795" spans="1:8" ht="15.75" customHeight="1">
      <c r="A1795" t="s">
        <v>3912</v>
      </c>
      <c r="B1795" t="s">
        <v>3913</v>
      </c>
      <c r="C1795" t="s">
        <v>9257</v>
      </c>
      <c r="E1795" s="12" t="s">
        <v>9258</v>
      </c>
      <c r="F1795" s="12" t="s">
        <v>9268</v>
      </c>
      <c r="G1795" t="s">
        <v>9269</v>
      </c>
      <c r="H1795" t="s">
        <v>9270</v>
      </c>
    </row>
    <row r="1796" spans="1:8" ht="15.75" customHeight="1">
      <c r="A1796" t="s">
        <v>3916</v>
      </c>
      <c r="B1796" t="s">
        <v>3917</v>
      </c>
    </row>
    <row r="1797" spans="1:8" ht="15.75" customHeight="1">
      <c r="A1797" t="s">
        <v>3920</v>
      </c>
      <c r="B1797" t="s">
        <v>3921</v>
      </c>
      <c r="C1797" t="s">
        <v>9271</v>
      </c>
      <c r="E1797" s="12" t="s">
        <v>9272</v>
      </c>
    </row>
    <row r="1798" spans="1:8" ht="15.75" customHeight="1">
      <c r="A1798" t="s">
        <v>3924</v>
      </c>
      <c r="B1798" t="s">
        <v>3925</v>
      </c>
    </row>
    <row r="1799" spans="1:8" ht="15.75" customHeight="1">
      <c r="A1799" t="s">
        <v>3928</v>
      </c>
      <c r="B1799" t="s">
        <v>3929</v>
      </c>
      <c r="C1799" t="s">
        <v>9012</v>
      </c>
    </row>
    <row r="1800" spans="1:8" ht="15.75" customHeight="1">
      <c r="B1800" t="s">
        <v>3930</v>
      </c>
    </row>
    <row r="1801" spans="1:8" ht="15.75" customHeight="1">
      <c r="A1801" t="s">
        <v>3933</v>
      </c>
      <c r="B1801" t="s">
        <v>3934</v>
      </c>
      <c r="C1801" t="s">
        <v>9273</v>
      </c>
      <c r="E1801" s="12" t="s">
        <v>9274</v>
      </c>
    </row>
    <row r="1802" spans="1:8" ht="15.75" customHeight="1">
      <c r="A1802" t="s">
        <v>3937</v>
      </c>
      <c r="B1802" t="s">
        <v>3938</v>
      </c>
      <c r="C1802" t="s">
        <v>8684</v>
      </c>
    </row>
    <row r="1803" spans="1:8" ht="15.75" customHeight="1">
      <c r="A1803" t="s">
        <v>3941</v>
      </c>
      <c r="B1803" t="s">
        <v>3942</v>
      </c>
      <c r="C1803" t="s">
        <v>9275</v>
      </c>
      <c r="E1803" s="12" t="s">
        <v>9276</v>
      </c>
      <c r="F1803" s="12" t="s">
        <v>9277</v>
      </c>
      <c r="G1803" t="s">
        <v>9278</v>
      </c>
      <c r="H1803" t="s">
        <v>9279</v>
      </c>
    </row>
    <row r="1804" spans="1:8" ht="15.75" customHeight="1">
      <c r="A1804" t="s">
        <v>3941</v>
      </c>
      <c r="B1804" t="s">
        <v>3942</v>
      </c>
      <c r="C1804" t="s">
        <v>9275</v>
      </c>
      <c r="E1804" s="12" t="s">
        <v>9276</v>
      </c>
      <c r="F1804" s="12" t="s">
        <v>9280</v>
      </c>
      <c r="G1804" t="s">
        <v>9281</v>
      </c>
      <c r="H1804" t="s">
        <v>9282</v>
      </c>
    </row>
    <row r="1805" spans="1:8" ht="15.75" customHeight="1">
      <c r="A1805" t="s">
        <v>3945</v>
      </c>
      <c r="B1805" t="s">
        <v>3946</v>
      </c>
      <c r="C1805" t="s">
        <v>9283</v>
      </c>
      <c r="E1805" s="12" t="s">
        <v>9284</v>
      </c>
      <c r="F1805" s="12" t="s">
        <v>9285</v>
      </c>
      <c r="G1805" t="s">
        <v>9286</v>
      </c>
      <c r="H1805" t="s">
        <v>9287</v>
      </c>
    </row>
    <row r="1806" spans="1:8" ht="15.75" customHeight="1">
      <c r="A1806" t="s">
        <v>3948</v>
      </c>
      <c r="B1806" t="s">
        <v>3949</v>
      </c>
    </row>
    <row r="1807" spans="1:8" ht="15.75" customHeight="1">
      <c r="A1807" t="s">
        <v>3952</v>
      </c>
      <c r="B1807" t="s">
        <v>3953</v>
      </c>
      <c r="C1807" t="s">
        <v>9288</v>
      </c>
      <c r="E1807" s="12" t="s">
        <v>9289</v>
      </c>
      <c r="F1807" s="12" t="s">
        <v>9290</v>
      </c>
      <c r="G1807" t="s">
        <v>9291</v>
      </c>
      <c r="H1807" t="s">
        <v>9292</v>
      </c>
    </row>
    <row r="1808" spans="1:8" ht="15.75" customHeight="1">
      <c r="A1808" t="s">
        <v>3956</v>
      </c>
      <c r="B1808" t="s">
        <v>3957</v>
      </c>
      <c r="C1808" t="s">
        <v>9293</v>
      </c>
      <c r="E1808" s="12" t="s">
        <v>9294</v>
      </c>
    </row>
    <row r="1809" spans="1:8" ht="15.75" customHeight="1">
      <c r="A1809" t="s">
        <v>3956</v>
      </c>
      <c r="B1809" t="s">
        <v>3957</v>
      </c>
      <c r="C1809" t="s">
        <v>7934</v>
      </c>
      <c r="E1809" s="12" t="s">
        <v>7935</v>
      </c>
    </row>
    <row r="1810" spans="1:8" ht="15.75" customHeight="1">
      <c r="A1810" t="s">
        <v>3960</v>
      </c>
      <c r="B1810" t="s">
        <v>3961</v>
      </c>
      <c r="C1810" t="s">
        <v>9295</v>
      </c>
    </row>
    <row r="1811" spans="1:8" ht="15.75" customHeight="1">
      <c r="A1811" t="s">
        <v>3964</v>
      </c>
      <c r="B1811" t="s">
        <v>3965</v>
      </c>
      <c r="C1811" t="s">
        <v>9296</v>
      </c>
      <c r="E1811" s="12" t="s">
        <v>9297</v>
      </c>
      <c r="F1811" s="12" t="s">
        <v>9298</v>
      </c>
      <c r="G1811" t="s">
        <v>9299</v>
      </c>
      <c r="H1811" t="s">
        <v>9300</v>
      </c>
    </row>
    <row r="1812" spans="1:8" ht="15.75" customHeight="1">
      <c r="A1812" t="s">
        <v>3964</v>
      </c>
      <c r="B1812" t="s">
        <v>3965</v>
      </c>
      <c r="C1812" t="s">
        <v>9296</v>
      </c>
      <c r="E1812" s="12" t="s">
        <v>9297</v>
      </c>
      <c r="F1812" s="12" t="s">
        <v>9301</v>
      </c>
      <c r="G1812" t="s">
        <v>9302</v>
      </c>
      <c r="H1812" t="s">
        <v>9303</v>
      </c>
    </row>
    <row r="1813" spans="1:8" ht="15.75" customHeight="1">
      <c r="A1813" t="s">
        <v>3964</v>
      </c>
      <c r="B1813" t="s">
        <v>3965</v>
      </c>
      <c r="C1813" t="s">
        <v>9296</v>
      </c>
      <c r="E1813" s="12" t="s">
        <v>9297</v>
      </c>
      <c r="F1813" s="12" t="s">
        <v>9304</v>
      </c>
      <c r="G1813" t="s">
        <v>9302</v>
      </c>
      <c r="H1813" t="s">
        <v>9305</v>
      </c>
    </row>
    <row r="1814" spans="1:8" ht="15.75" customHeight="1">
      <c r="A1814" t="s">
        <v>3964</v>
      </c>
      <c r="B1814" t="s">
        <v>3965</v>
      </c>
      <c r="C1814" t="s">
        <v>9296</v>
      </c>
      <c r="E1814" s="12" t="s">
        <v>9297</v>
      </c>
      <c r="F1814" s="12" t="s">
        <v>9306</v>
      </c>
      <c r="G1814" t="s">
        <v>9299</v>
      </c>
      <c r="H1814" t="s">
        <v>9307</v>
      </c>
    </row>
    <row r="1815" spans="1:8" ht="15.75" customHeight="1">
      <c r="A1815" t="s">
        <v>3964</v>
      </c>
      <c r="B1815" t="s">
        <v>3965</v>
      </c>
      <c r="C1815" t="s">
        <v>9296</v>
      </c>
      <c r="E1815" s="12" t="s">
        <v>9297</v>
      </c>
      <c r="F1815" s="12" t="s">
        <v>9308</v>
      </c>
      <c r="G1815" t="s">
        <v>9309</v>
      </c>
      <c r="H1815" t="s">
        <v>9305</v>
      </c>
    </row>
    <row r="1816" spans="1:8" ht="15.75" customHeight="1">
      <c r="A1816" t="s">
        <v>3964</v>
      </c>
      <c r="B1816" t="s">
        <v>3965</v>
      </c>
      <c r="C1816" t="s">
        <v>9296</v>
      </c>
      <c r="E1816" s="12" t="s">
        <v>9297</v>
      </c>
      <c r="F1816" s="12" t="s">
        <v>9310</v>
      </c>
      <c r="G1816" t="s">
        <v>9311</v>
      </c>
      <c r="H1816" t="s">
        <v>9307</v>
      </c>
    </row>
    <row r="1817" spans="1:8" ht="15.75" customHeight="1">
      <c r="A1817" t="s">
        <v>3964</v>
      </c>
      <c r="B1817" t="s">
        <v>3965</v>
      </c>
      <c r="C1817" t="s">
        <v>9296</v>
      </c>
      <c r="E1817" s="12" t="s">
        <v>9297</v>
      </c>
      <c r="F1817" s="12" t="s">
        <v>9312</v>
      </c>
      <c r="G1817" t="s">
        <v>9313</v>
      </c>
      <c r="H1817" t="s">
        <v>9314</v>
      </c>
    </row>
    <row r="1818" spans="1:8" ht="15.75" customHeight="1">
      <c r="A1818" t="s">
        <v>3966</v>
      </c>
      <c r="B1818" t="s">
        <v>3967</v>
      </c>
    </row>
    <row r="1819" spans="1:8" ht="15.75" customHeight="1">
      <c r="A1819" t="s">
        <v>3970</v>
      </c>
      <c r="B1819" t="s">
        <v>3971</v>
      </c>
    </row>
    <row r="1820" spans="1:8" ht="15.75" customHeight="1">
      <c r="A1820" t="s">
        <v>3974</v>
      </c>
      <c r="B1820" t="s">
        <v>3975</v>
      </c>
    </row>
    <row r="1821" spans="1:8" ht="15.75" customHeight="1">
      <c r="A1821" t="s">
        <v>3978</v>
      </c>
      <c r="B1821" t="s">
        <v>3979</v>
      </c>
      <c r="C1821" t="s">
        <v>8211</v>
      </c>
    </row>
    <row r="1822" spans="1:8" ht="15.75" customHeight="1">
      <c r="A1822" t="s">
        <v>3982</v>
      </c>
      <c r="B1822" t="s">
        <v>3983</v>
      </c>
    </row>
    <row r="1823" spans="1:8" ht="15.75" customHeight="1">
      <c r="A1823" t="s">
        <v>3984</v>
      </c>
      <c r="B1823" t="s">
        <v>3985</v>
      </c>
    </row>
    <row r="1824" spans="1:8" ht="15.75" customHeight="1">
      <c r="A1824" t="s">
        <v>3988</v>
      </c>
      <c r="B1824" t="s">
        <v>3989</v>
      </c>
    </row>
    <row r="1825" spans="1:8" ht="15.75" customHeight="1">
      <c r="A1825" t="s">
        <v>3992</v>
      </c>
      <c r="B1825" t="s">
        <v>3993</v>
      </c>
      <c r="C1825" t="s">
        <v>8983</v>
      </c>
      <c r="E1825" s="12" t="s">
        <v>8984</v>
      </c>
      <c r="F1825" s="12" t="s">
        <v>8985</v>
      </c>
      <c r="G1825" t="s">
        <v>8986</v>
      </c>
      <c r="H1825" t="s">
        <v>8987</v>
      </c>
    </row>
    <row r="1826" spans="1:8" ht="15.75" customHeight="1">
      <c r="A1826" t="s">
        <v>3992</v>
      </c>
      <c r="B1826" t="s">
        <v>3993</v>
      </c>
      <c r="C1826" t="s">
        <v>8983</v>
      </c>
      <c r="E1826" s="12" t="s">
        <v>8984</v>
      </c>
      <c r="F1826" s="12" t="s">
        <v>8988</v>
      </c>
      <c r="G1826" t="s">
        <v>8989</v>
      </c>
      <c r="H1826" t="s">
        <v>8990</v>
      </c>
    </row>
    <row r="1827" spans="1:8" ht="15.75" customHeight="1">
      <c r="A1827" t="s">
        <v>3992</v>
      </c>
      <c r="B1827" t="s">
        <v>3993</v>
      </c>
      <c r="C1827" t="s">
        <v>8983</v>
      </c>
      <c r="E1827" s="12" t="s">
        <v>8984</v>
      </c>
      <c r="F1827" s="12" t="s">
        <v>8991</v>
      </c>
      <c r="G1827" t="s">
        <v>8992</v>
      </c>
      <c r="H1827" t="s">
        <v>8993</v>
      </c>
    </row>
    <row r="1828" spans="1:8" ht="15.75" customHeight="1">
      <c r="A1828" t="s">
        <v>3992</v>
      </c>
      <c r="B1828" t="s">
        <v>3993</v>
      </c>
      <c r="C1828" t="s">
        <v>8983</v>
      </c>
      <c r="E1828" s="12" t="s">
        <v>8984</v>
      </c>
      <c r="F1828" s="12" t="s">
        <v>8994</v>
      </c>
      <c r="G1828" t="s">
        <v>8995</v>
      </c>
      <c r="H1828" t="s">
        <v>8996</v>
      </c>
    </row>
    <row r="1829" spans="1:8" ht="15.75" customHeight="1">
      <c r="A1829" t="s">
        <v>3992</v>
      </c>
      <c r="B1829" t="s">
        <v>3993</v>
      </c>
      <c r="C1829" t="s">
        <v>9315</v>
      </c>
      <c r="E1829" s="12" t="s">
        <v>9316</v>
      </c>
      <c r="F1829" s="12" t="s">
        <v>9317</v>
      </c>
      <c r="G1829" t="s">
        <v>9318</v>
      </c>
      <c r="H1829" t="s">
        <v>9319</v>
      </c>
    </row>
    <row r="1830" spans="1:8" ht="15.75" customHeight="1">
      <c r="A1830" t="s">
        <v>3992</v>
      </c>
      <c r="B1830" t="s">
        <v>3993</v>
      </c>
      <c r="C1830" t="s">
        <v>9315</v>
      </c>
      <c r="E1830" s="12" t="s">
        <v>9316</v>
      </c>
      <c r="F1830" s="12" t="s">
        <v>9320</v>
      </c>
      <c r="G1830" t="s">
        <v>9321</v>
      </c>
      <c r="H1830" t="s">
        <v>9322</v>
      </c>
    </row>
    <row r="1831" spans="1:8" ht="15.75" customHeight="1">
      <c r="A1831" t="s">
        <v>3996</v>
      </c>
      <c r="B1831" t="s">
        <v>3997</v>
      </c>
    </row>
    <row r="1832" spans="1:8" ht="15.75" customHeight="1">
      <c r="A1832" t="s">
        <v>3998</v>
      </c>
      <c r="B1832" t="s">
        <v>3999</v>
      </c>
    </row>
    <row r="1833" spans="1:8" ht="15.75" customHeight="1">
      <c r="A1833" t="s">
        <v>4002</v>
      </c>
      <c r="B1833" t="s">
        <v>4003</v>
      </c>
      <c r="C1833" t="s">
        <v>9323</v>
      </c>
      <c r="E1833" s="12" t="s">
        <v>9324</v>
      </c>
      <c r="F1833" s="12" t="s">
        <v>9325</v>
      </c>
      <c r="G1833" t="s">
        <v>9141</v>
      </c>
      <c r="H1833" t="s">
        <v>9326</v>
      </c>
    </row>
    <row r="1834" spans="1:8" ht="15.75" customHeight="1">
      <c r="A1834" t="s">
        <v>4002</v>
      </c>
      <c r="B1834" t="s">
        <v>4003</v>
      </c>
      <c r="C1834" t="s">
        <v>9327</v>
      </c>
      <c r="E1834" s="12" t="s">
        <v>9328</v>
      </c>
      <c r="F1834" s="12" t="s">
        <v>9329</v>
      </c>
      <c r="G1834" t="s">
        <v>9330</v>
      </c>
      <c r="H1834" t="s">
        <v>9331</v>
      </c>
    </row>
    <row r="1835" spans="1:8" ht="15.75" customHeight="1">
      <c r="A1835" t="s">
        <v>4004</v>
      </c>
      <c r="B1835" t="s">
        <v>4005</v>
      </c>
    </row>
    <row r="1836" spans="1:8" ht="15.75" customHeight="1">
      <c r="A1836" t="s">
        <v>4007</v>
      </c>
      <c r="B1836" t="s">
        <v>4008</v>
      </c>
    </row>
    <row r="1837" spans="1:8" ht="15.75" customHeight="1">
      <c r="A1837" t="s">
        <v>4011</v>
      </c>
      <c r="B1837" t="s">
        <v>4012</v>
      </c>
      <c r="C1837" t="s">
        <v>9332</v>
      </c>
      <c r="E1837" s="12" t="s">
        <v>9333</v>
      </c>
      <c r="F1837" s="12" t="s">
        <v>9334</v>
      </c>
      <c r="G1837" t="s">
        <v>9335</v>
      </c>
      <c r="H1837" t="s">
        <v>9336</v>
      </c>
    </row>
    <row r="1838" spans="1:8" ht="15.75" customHeight="1">
      <c r="A1838" t="s">
        <v>4011</v>
      </c>
      <c r="B1838" t="s">
        <v>4012</v>
      </c>
      <c r="C1838" t="s">
        <v>9332</v>
      </c>
      <c r="E1838" s="12" t="s">
        <v>9333</v>
      </c>
      <c r="F1838" s="12" t="s">
        <v>9337</v>
      </c>
      <c r="G1838" t="s">
        <v>9338</v>
      </c>
      <c r="H1838" t="s">
        <v>9339</v>
      </c>
    </row>
    <row r="1839" spans="1:8" ht="15.75" customHeight="1">
      <c r="A1839" t="s">
        <v>4015</v>
      </c>
      <c r="B1839" t="s">
        <v>4016</v>
      </c>
      <c r="C1839" t="s">
        <v>9340</v>
      </c>
      <c r="E1839" s="12" t="s">
        <v>9341</v>
      </c>
      <c r="F1839" s="12" t="s">
        <v>9342</v>
      </c>
      <c r="G1839" t="s">
        <v>9343</v>
      </c>
      <c r="H1839" t="s">
        <v>9344</v>
      </c>
    </row>
    <row r="1840" spans="1:8" ht="15.75" customHeight="1">
      <c r="A1840" t="s">
        <v>4015</v>
      </c>
      <c r="B1840" t="s">
        <v>4016</v>
      </c>
      <c r="C1840" t="s">
        <v>9340</v>
      </c>
      <c r="E1840" s="12" t="s">
        <v>9341</v>
      </c>
      <c r="F1840" s="12" t="s">
        <v>9345</v>
      </c>
      <c r="G1840" t="s">
        <v>9346</v>
      </c>
      <c r="H1840" t="s">
        <v>9347</v>
      </c>
    </row>
    <row r="1841" spans="1:8" ht="15.75" customHeight="1">
      <c r="A1841" t="s">
        <v>4015</v>
      </c>
      <c r="B1841" t="s">
        <v>4016</v>
      </c>
      <c r="C1841" t="s">
        <v>9340</v>
      </c>
      <c r="E1841" s="12" t="s">
        <v>9341</v>
      </c>
      <c r="F1841" s="12" t="s">
        <v>9348</v>
      </c>
      <c r="G1841" t="s">
        <v>9349</v>
      </c>
      <c r="H1841" t="s">
        <v>9350</v>
      </c>
    </row>
    <row r="1842" spans="1:8" ht="15.75" customHeight="1">
      <c r="A1842" t="s">
        <v>4015</v>
      </c>
      <c r="B1842" t="s">
        <v>4016</v>
      </c>
      <c r="C1842" t="s">
        <v>9340</v>
      </c>
      <c r="E1842" s="12" t="s">
        <v>9341</v>
      </c>
      <c r="F1842" s="12" t="s">
        <v>9351</v>
      </c>
      <c r="G1842" t="s">
        <v>9352</v>
      </c>
      <c r="H1842" t="s">
        <v>9344</v>
      </c>
    </row>
    <row r="1843" spans="1:8" ht="15.75" customHeight="1">
      <c r="A1843" t="s">
        <v>4015</v>
      </c>
      <c r="B1843" t="s">
        <v>4016</v>
      </c>
      <c r="C1843" t="s">
        <v>9353</v>
      </c>
      <c r="E1843" s="12" t="s">
        <v>9354</v>
      </c>
      <c r="F1843" s="12" t="s">
        <v>7867</v>
      </c>
      <c r="G1843" t="s">
        <v>7868</v>
      </c>
      <c r="H1843" t="s">
        <v>7866</v>
      </c>
    </row>
    <row r="1844" spans="1:8" ht="15.75" customHeight="1">
      <c r="A1844" t="s">
        <v>4018</v>
      </c>
      <c r="B1844" t="s">
        <v>4019</v>
      </c>
    </row>
    <row r="1845" spans="1:8" ht="15.75" customHeight="1">
      <c r="A1845" t="s">
        <v>4022</v>
      </c>
      <c r="B1845" t="s">
        <v>4023</v>
      </c>
    </row>
    <row r="1846" spans="1:8" ht="15.75" customHeight="1">
      <c r="A1846" t="s">
        <v>4026</v>
      </c>
      <c r="B1846" t="s">
        <v>4027</v>
      </c>
      <c r="C1846" t="s">
        <v>9181</v>
      </c>
      <c r="E1846" s="12" t="s">
        <v>9182</v>
      </c>
    </row>
    <row r="1847" spans="1:8" ht="15.75" customHeight="1">
      <c r="A1847" t="s">
        <v>4030</v>
      </c>
      <c r="B1847" t="s">
        <v>4031</v>
      </c>
    </row>
    <row r="1848" spans="1:8" ht="15.75" customHeight="1">
      <c r="A1848" t="s">
        <v>4034</v>
      </c>
      <c r="B1848" t="s">
        <v>4035</v>
      </c>
      <c r="C1848" t="s">
        <v>9355</v>
      </c>
      <c r="E1848" s="12" t="s">
        <v>9356</v>
      </c>
      <c r="F1848" s="12" t="s">
        <v>9357</v>
      </c>
      <c r="G1848" t="s">
        <v>9358</v>
      </c>
      <c r="H1848" t="s">
        <v>9359</v>
      </c>
    </row>
    <row r="1849" spans="1:8" ht="15.75" customHeight="1">
      <c r="A1849" t="s">
        <v>4034</v>
      </c>
      <c r="B1849" t="s">
        <v>4035</v>
      </c>
      <c r="C1849" t="s">
        <v>9360</v>
      </c>
      <c r="E1849" s="12" t="s">
        <v>9361</v>
      </c>
      <c r="F1849" s="12" t="s">
        <v>9362</v>
      </c>
      <c r="G1849" t="s">
        <v>9363</v>
      </c>
      <c r="H1849" t="s">
        <v>9364</v>
      </c>
    </row>
    <row r="1850" spans="1:8" ht="15.75" customHeight="1">
      <c r="A1850" t="s">
        <v>4036</v>
      </c>
      <c r="B1850" t="s">
        <v>4037</v>
      </c>
    </row>
    <row r="1851" spans="1:8" ht="15.75" customHeight="1">
      <c r="A1851" t="s">
        <v>4038</v>
      </c>
      <c r="B1851" t="s">
        <v>4039</v>
      </c>
    </row>
    <row r="1852" spans="1:8" ht="15.75" customHeight="1">
      <c r="A1852" t="s">
        <v>4042</v>
      </c>
      <c r="B1852" t="s">
        <v>4043</v>
      </c>
    </row>
    <row r="1853" spans="1:8" ht="15.75" customHeight="1">
      <c r="A1853" t="s">
        <v>4045</v>
      </c>
      <c r="B1853" t="s">
        <v>4046</v>
      </c>
    </row>
    <row r="1854" spans="1:8" ht="15.75" customHeight="1">
      <c r="A1854" t="s">
        <v>4048</v>
      </c>
      <c r="B1854" t="s">
        <v>4049</v>
      </c>
    </row>
    <row r="1855" spans="1:8" ht="15.75" customHeight="1">
      <c r="A1855" t="s">
        <v>4051</v>
      </c>
      <c r="B1855" t="s">
        <v>4052</v>
      </c>
      <c r="C1855" t="s">
        <v>8173</v>
      </c>
      <c r="E1855" s="12" t="s">
        <v>8174</v>
      </c>
      <c r="F1855" s="12" t="s">
        <v>8175</v>
      </c>
      <c r="G1855" t="s">
        <v>8176</v>
      </c>
      <c r="H1855" t="s">
        <v>8177</v>
      </c>
    </row>
    <row r="1856" spans="1:8" ht="15.75" customHeight="1">
      <c r="A1856" t="s">
        <v>4051</v>
      </c>
      <c r="B1856" t="s">
        <v>4052</v>
      </c>
      <c r="C1856" t="s">
        <v>8173</v>
      </c>
      <c r="E1856" s="12" t="s">
        <v>8174</v>
      </c>
      <c r="F1856" s="12" t="s">
        <v>8178</v>
      </c>
      <c r="G1856" t="s">
        <v>8179</v>
      </c>
      <c r="H1856" t="s">
        <v>8180</v>
      </c>
    </row>
    <row r="1857" spans="1:8" ht="15.75" customHeight="1">
      <c r="A1857" t="s">
        <v>4051</v>
      </c>
      <c r="B1857" t="s">
        <v>4052</v>
      </c>
      <c r="C1857" t="s">
        <v>8173</v>
      </c>
      <c r="E1857" s="12" t="s">
        <v>8174</v>
      </c>
      <c r="F1857" s="12" t="s">
        <v>8181</v>
      </c>
      <c r="G1857" t="s">
        <v>8182</v>
      </c>
      <c r="H1857" t="s">
        <v>8183</v>
      </c>
    </row>
    <row r="1858" spans="1:8" ht="15.75" customHeight="1">
      <c r="A1858" t="s">
        <v>4051</v>
      </c>
      <c r="B1858" t="s">
        <v>4052</v>
      </c>
      <c r="C1858" t="s">
        <v>8173</v>
      </c>
      <c r="E1858" s="12" t="s">
        <v>8174</v>
      </c>
      <c r="F1858" s="12" t="s">
        <v>8184</v>
      </c>
      <c r="G1858" t="s">
        <v>8185</v>
      </c>
      <c r="H1858" t="s">
        <v>8186</v>
      </c>
    </row>
    <row r="1859" spans="1:8" ht="15.75" customHeight="1">
      <c r="A1859" t="s">
        <v>4051</v>
      </c>
      <c r="B1859" t="s">
        <v>4052</v>
      </c>
      <c r="C1859" t="s">
        <v>8173</v>
      </c>
      <c r="E1859" s="12" t="s">
        <v>8174</v>
      </c>
      <c r="F1859" s="12" t="s">
        <v>8187</v>
      </c>
      <c r="G1859" t="s">
        <v>8185</v>
      </c>
      <c r="H1859" t="s">
        <v>8188</v>
      </c>
    </row>
    <row r="1860" spans="1:8" ht="15.75" customHeight="1">
      <c r="A1860" t="s">
        <v>4051</v>
      </c>
      <c r="B1860" t="s">
        <v>4052</v>
      </c>
      <c r="C1860" t="s">
        <v>8173</v>
      </c>
      <c r="E1860" s="12" t="s">
        <v>8174</v>
      </c>
      <c r="F1860" s="12" t="s">
        <v>8189</v>
      </c>
      <c r="G1860" t="s">
        <v>8190</v>
      </c>
      <c r="H1860" t="s">
        <v>8191</v>
      </c>
    </row>
    <row r="1861" spans="1:8" ht="15.75" customHeight="1">
      <c r="A1861" t="s">
        <v>4051</v>
      </c>
      <c r="B1861" t="s">
        <v>4052</v>
      </c>
      <c r="C1861" t="s">
        <v>8173</v>
      </c>
      <c r="E1861" s="12" t="s">
        <v>8174</v>
      </c>
      <c r="F1861" s="12" t="s">
        <v>8192</v>
      </c>
      <c r="G1861" t="s">
        <v>8193</v>
      </c>
      <c r="H1861" t="s">
        <v>8194</v>
      </c>
    </row>
    <row r="1862" spans="1:8" ht="15.75" customHeight="1">
      <c r="A1862" t="s">
        <v>4051</v>
      </c>
      <c r="B1862" t="s">
        <v>4052</v>
      </c>
      <c r="C1862" t="s">
        <v>8173</v>
      </c>
      <c r="E1862" s="12" t="s">
        <v>8174</v>
      </c>
      <c r="F1862" s="12" t="s">
        <v>8195</v>
      </c>
      <c r="G1862" t="s">
        <v>8196</v>
      </c>
      <c r="H1862" t="s">
        <v>8197</v>
      </c>
    </row>
    <row r="1863" spans="1:8" ht="15.75" customHeight="1">
      <c r="A1863" t="s">
        <v>4054</v>
      </c>
      <c r="B1863" t="s">
        <v>4055</v>
      </c>
      <c r="C1863" t="s">
        <v>9365</v>
      </c>
      <c r="E1863" s="12" t="s">
        <v>9366</v>
      </c>
      <c r="F1863" s="12" t="s">
        <v>9367</v>
      </c>
      <c r="G1863" t="s">
        <v>9368</v>
      </c>
      <c r="H1863" t="s">
        <v>9369</v>
      </c>
    </row>
    <row r="1864" spans="1:8" ht="15.75" customHeight="1">
      <c r="A1864" t="s">
        <v>4058</v>
      </c>
      <c r="B1864" t="s">
        <v>4059</v>
      </c>
      <c r="C1864" t="s">
        <v>9370</v>
      </c>
      <c r="E1864" s="12" t="s">
        <v>9371</v>
      </c>
      <c r="F1864" s="12" t="s">
        <v>9372</v>
      </c>
      <c r="G1864" t="s">
        <v>9373</v>
      </c>
      <c r="H1864" t="s">
        <v>9374</v>
      </c>
    </row>
    <row r="1865" spans="1:8" ht="15.75" customHeight="1">
      <c r="A1865" t="s">
        <v>4062</v>
      </c>
      <c r="B1865" t="s">
        <v>4063</v>
      </c>
    </row>
    <row r="1866" spans="1:8" ht="15.75" customHeight="1">
      <c r="A1866" t="s">
        <v>4066</v>
      </c>
      <c r="B1866" t="s">
        <v>4067</v>
      </c>
    </row>
    <row r="1867" spans="1:8" ht="15.75" customHeight="1">
      <c r="A1867" t="s">
        <v>4070</v>
      </c>
      <c r="B1867" t="s">
        <v>4071</v>
      </c>
    </row>
    <row r="1868" spans="1:8" ht="15.75" customHeight="1">
      <c r="A1868" t="s">
        <v>4073</v>
      </c>
      <c r="B1868" t="s">
        <v>4074</v>
      </c>
    </row>
    <row r="1869" spans="1:8" ht="15.75" customHeight="1">
      <c r="A1869" t="s">
        <v>4077</v>
      </c>
      <c r="B1869" t="s">
        <v>4078</v>
      </c>
    </row>
    <row r="1870" spans="1:8" ht="15.75" customHeight="1">
      <c r="A1870" t="s">
        <v>4080</v>
      </c>
      <c r="B1870" t="s">
        <v>4081</v>
      </c>
    </row>
    <row r="1871" spans="1:8" ht="15.75" customHeight="1">
      <c r="A1871" t="s">
        <v>4083</v>
      </c>
      <c r="B1871" t="s">
        <v>4084</v>
      </c>
    </row>
    <row r="1872" spans="1:8" ht="15.75" customHeight="1">
      <c r="A1872" t="s">
        <v>4087</v>
      </c>
      <c r="B1872" t="s">
        <v>4088</v>
      </c>
      <c r="C1872" t="s">
        <v>9375</v>
      </c>
      <c r="E1872" s="12" t="s">
        <v>9376</v>
      </c>
      <c r="F1872" t="s">
        <v>9377</v>
      </c>
      <c r="G1872" t="s">
        <v>9378</v>
      </c>
      <c r="H1872" t="s">
        <v>9379</v>
      </c>
    </row>
    <row r="1873" spans="1:8" ht="15.75" customHeight="1">
      <c r="A1873" t="s">
        <v>4091</v>
      </c>
      <c r="B1873" t="s">
        <v>4092</v>
      </c>
      <c r="C1873" t="s">
        <v>9380</v>
      </c>
      <c r="E1873" s="12" t="s">
        <v>9381</v>
      </c>
      <c r="F1873" s="12" t="s">
        <v>9382</v>
      </c>
      <c r="G1873" t="s">
        <v>9383</v>
      </c>
      <c r="H1873" t="s">
        <v>9384</v>
      </c>
    </row>
    <row r="1874" spans="1:8" ht="15.75" customHeight="1">
      <c r="A1874" t="s">
        <v>4094</v>
      </c>
      <c r="B1874" t="s">
        <v>4095</v>
      </c>
    </row>
    <row r="1875" spans="1:8" ht="15.75" customHeight="1">
      <c r="A1875" t="s">
        <v>4096</v>
      </c>
      <c r="B1875" t="s">
        <v>4097</v>
      </c>
    </row>
    <row r="1876" spans="1:8" ht="15.75" customHeight="1">
      <c r="A1876" t="s">
        <v>4098</v>
      </c>
      <c r="B1876" t="s">
        <v>4099</v>
      </c>
    </row>
    <row r="1877" spans="1:8" ht="15.75" customHeight="1">
      <c r="A1877" t="s">
        <v>4102</v>
      </c>
      <c r="B1877" t="s">
        <v>4103</v>
      </c>
      <c r="C1877" t="s">
        <v>9385</v>
      </c>
      <c r="E1877" s="12" t="s">
        <v>9386</v>
      </c>
      <c r="F1877" s="12" t="s">
        <v>9387</v>
      </c>
      <c r="G1877" t="s">
        <v>9388</v>
      </c>
      <c r="H1877" t="s">
        <v>9389</v>
      </c>
    </row>
    <row r="1878" spans="1:8" ht="15.75" customHeight="1">
      <c r="A1878" t="s">
        <v>4106</v>
      </c>
      <c r="B1878" t="s">
        <v>4107</v>
      </c>
    </row>
    <row r="1879" spans="1:8" ht="15.75" customHeight="1">
      <c r="A1879" t="s">
        <v>4110</v>
      </c>
      <c r="B1879" t="s">
        <v>4111</v>
      </c>
    </row>
    <row r="1880" spans="1:8" ht="15.75" customHeight="1">
      <c r="A1880" t="s">
        <v>4113</v>
      </c>
      <c r="B1880" t="s">
        <v>4114</v>
      </c>
      <c r="C1880" t="s">
        <v>7175</v>
      </c>
    </row>
    <row r="1881" spans="1:8" ht="15.75" customHeight="1">
      <c r="A1881" t="s">
        <v>4117</v>
      </c>
      <c r="B1881" t="s">
        <v>4118</v>
      </c>
      <c r="C1881" t="s">
        <v>7175</v>
      </c>
    </row>
    <row r="1882" spans="1:8" ht="15.75" customHeight="1">
      <c r="A1882" t="s">
        <v>4120</v>
      </c>
      <c r="B1882" t="s">
        <v>4121</v>
      </c>
      <c r="C1882" t="s">
        <v>8781</v>
      </c>
      <c r="E1882" s="12" t="s">
        <v>8782</v>
      </c>
    </row>
    <row r="1883" spans="1:8" ht="15.75" customHeight="1">
      <c r="A1883" t="s">
        <v>4124</v>
      </c>
      <c r="B1883" t="s">
        <v>4125</v>
      </c>
      <c r="C1883" t="s">
        <v>9390</v>
      </c>
    </row>
    <row r="1884" spans="1:8" ht="15.75" customHeight="1">
      <c r="A1884" t="s">
        <v>4124</v>
      </c>
      <c r="B1884" t="s">
        <v>4125</v>
      </c>
      <c r="C1884" t="s">
        <v>9391</v>
      </c>
      <c r="E1884" s="12" t="s">
        <v>9392</v>
      </c>
      <c r="F1884" s="12" t="s">
        <v>9393</v>
      </c>
      <c r="G1884" t="s">
        <v>9394</v>
      </c>
      <c r="H1884" t="s">
        <v>9395</v>
      </c>
    </row>
    <row r="1885" spans="1:8" ht="15.75" customHeight="1">
      <c r="A1885" t="s">
        <v>4124</v>
      </c>
      <c r="B1885" t="s">
        <v>4125</v>
      </c>
      <c r="C1885" t="s">
        <v>9391</v>
      </c>
      <c r="E1885" s="12" t="s">
        <v>9392</v>
      </c>
      <c r="F1885" s="12" t="s">
        <v>9396</v>
      </c>
      <c r="G1885" t="s">
        <v>9397</v>
      </c>
      <c r="H1885" t="s">
        <v>9398</v>
      </c>
    </row>
    <row r="1886" spans="1:8" ht="15.75" customHeight="1">
      <c r="A1886" t="s">
        <v>4124</v>
      </c>
      <c r="B1886" t="s">
        <v>4125</v>
      </c>
      <c r="C1886" t="s">
        <v>9391</v>
      </c>
      <c r="E1886" s="12" t="s">
        <v>9392</v>
      </c>
      <c r="F1886" s="12" t="s">
        <v>9399</v>
      </c>
      <c r="G1886" t="s">
        <v>9400</v>
      </c>
      <c r="H1886" t="s">
        <v>9401</v>
      </c>
    </row>
    <row r="1887" spans="1:8" ht="15.75" customHeight="1">
      <c r="A1887" t="s">
        <v>4124</v>
      </c>
      <c r="B1887" t="s">
        <v>4125</v>
      </c>
      <c r="C1887" t="s">
        <v>9391</v>
      </c>
      <c r="E1887" s="12" t="s">
        <v>9392</v>
      </c>
      <c r="F1887" s="12" t="s">
        <v>9402</v>
      </c>
      <c r="G1887" t="s">
        <v>9403</v>
      </c>
      <c r="H1887" t="s">
        <v>9394</v>
      </c>
    </row>
    <row r="1888" spans="1:8" ht="15.75" customHeight="1">
      <c r="A1888" t="s">
        <v>4124</v>
      </c>
      <c r="B1888" t="s">
        <v>4125</v>
      </c>
      <c r="C1888" t="s">
        <v>9391</v>
      </c>
      <c r="E1888" s="12" t="s">
        <v>9392</v>
      </c>
      <c r="F1888" s="12" t="s">
        <v>9404</v>
      </c>
      <c r="G1888" t="s">
        <v>9405</v>
      </c>
      <c r="H1888" t="s">
        <v>9406</v>
      </c>
    </row>
    <row r="1889" spans="1:8" ht="15.75" customHeight="1">
      <c r="A1889" t="s">
        <v>4124</v>
      </c>
      <c r="B1889" t="s">
        <v>4125</v>
      </c>
      <c r="C1889" t="s">
        <v>9391</v>
      </c>
      <c r="E1889" s="12" t="s">
        <v>9392</v>
      </c>
      <c r="F1889" s="12" t="s">
        <v>9407</v>
      </c>
      <c r="G1889" t="s">
        <v>9408</v>
      </c>
      <c r="H1889" t="s">
        <v>9409</v>
      </c>
    </row>
    <row r="1890" spans="1:8" ht="15.75" customHeight="1">
      <c r="A1890" t="s">
        <v>4124</v>
      </c>
      <c r="B1890" t="s">
        <v>4125</v>
      </c>
      <c r="C1890" t="s">
        <v>9391</v>
      </c>
      <c r="E1890" s="12" t="s">
        <v>9392</v>
      </c>
      <c r="F1890" s="12" t="s">
        <v>9410</v>
      </c>
      <c r="G1890" t="s">
        <v>9411</v>
      </c>
      <c r="H1890" t="s">
        <v>9412</v>
      </c>
    </row>
    <row r="1891" spans="1:8" ht="15.75" customHeight="1">
      <c r="A1891" t="s">
        <v>4124</v>
      </c>
      <c r="B1891" t="s">
        <v>4125</v>
      </c>
      <c r="C1891" t="s">
        <v>9391</v>
      </c>
      <c r="E1891" s="12" t="s">
        <v>9392</v>
      </c>
      <c r="F1891" s="12" t="s">
        <v>9413</v>
      </c>
      <c r="G1891" t="s">
        <v>9414</v>
      </c>
      <c r="H1891" t="s">
        <v>9415</v>
      </c>
    </row>
    <row r="1892" spans="1:8" ht="15.75" customHeight="1">
      <c r="A1892" t="s">
        <v>4128</v>
      </c>
      <c r="B1892" t="s">
        <v>4129</v>
      </c>
      <c r="C1892" t="s">
        <v>9416</v>
      </c>
      <c r="E1892" s="12" t="s">
        <v>9417</v>
      </c>
    </row>
    <row r="1893" spans="1:8" ht="15.75" customHeight="1">
      <c r="A1893" t="s">
        <v>4131</v>
      </c>
      <c r="B1893" t="s">
        <v>4132</v>
      </c>
    </row>
    <row r="1894" spans="1:8" ht="15.75" customHeight="1">
      <c r="A1894" t="s">
        <v>4134</v>
      </c>
      <c r="B1894" t="s">
        <v>4135</v>
      </c>
    </row>
    <row r="1895" spans="1:8" ht="15.75" customHeight="1">
      <c r="A1895" t="s">
        <v>4138</v>
      </c>
      <c r="B1895" t="s">
        <v>4139</v>
      </c>
      <c r="C1895" t="s">
        <v>9418</v>
      </c>
      <c r="E1895" s="12" t="s">
        <v>9419</v>
      </c>
      <c r="F1895" s="12" t="s">
        <v>9420</v>
      </c>
      <c r="G1895" t="s">
        <v>9421</v>
      </c>
      <c r="H1895" t="s">
        <v>9422</v>
      </c>
    </row>
    <row r="1896" spans="1:8" ht="15.75" customHeight="1">
      <c r="A1896" t="s">
        <v>4140</v>
      </c>
      <c r="B1896" t="s">
        <v>4141</v>
      </c>
    </row>
    <row r="1897" spans="1:8" ht="15.75" customHeight="1">
      <c r="A1897" t="s">
        <v>4142</v>
      </c>
      <c r="B1897" t="s">
        <v>4143</v>
      </c>
    </row>
    <row r="1898" spans="1:8" ht="15.75" customHeight="1">
      <c r="A1898" t="s">
        <v>4146</v>
      </c>
      <c r="B1898" t="s">
        <v>4147</v>
      </c>
    </row>
    <row r="1899" spans="1:8" ht="15.75" customHeight="1">
      <c r="A1899" t="s">
        <v>4150</v>
      </c>
      <c r="B1899" t="s">
        <v>4151</v>
      </c>
    </row>
    <row r="1900" spans="1:8" ht="15.75" customHeight="1">
      <c r="A1900" t="s">
        <v>4152</v>
      </c>
      <c r="B1900" t="s">
        <v>4153</v>
      </c>
    </row>
    <row r="1901" spans="1:8" ht="15.75" customHeight="1">
      <c r="A1901" t="s">
        <v>4154</v>
      </c>
      <c r="B1901" t="s">
        <v>4155</v>
      </c>
    </row>
    <row r="1902" spans="1:8" ht="15.75" customHeight="1">
      <c r="A1902" t="s">
        <v>4157</v>
      </c>
      <c r="B1902" t="s">
        <v>4158</v>
      </c>
    </row>
    <row r="1903" spans="1:8" ht="15.75" customHeight="1">
      <c r="A1903" t="s">
        <v>4161</v>
      </c>
      <c r="B1903" t="s">
        <v>4162</v>
      </c>
      <c r="C1903" t="s">
        <v>9423</v>
      </c>
      <c r="E1903" s="12" t="s">
        <v>9424</v>
      </c>
    </row>
    <row r="1904" spans="1:8" ht="15.75" customHeight="1">
      <c r="A1904" t="s">
        <v>4165</v>
      </c>
      <c r="B1904" t="s">
        <v>4166</v>
      </c>
      <c r="C1904" t="s">
        <v>9423</v>
      </c>
      <c r="E1904" s="12" t="s">
        <v>9424</v>
      </c>
    </row>
    <row r="1905" spans="1:8" ht="15.75" customHeight="1">
      <c r="A1905" t="s">
        <v>4169</v>
      </c>
      <c r="B1905" t="s">
        <v>4170</v>
      </c>
      <c r="C1905" t="s">
        <v>9423</v>
      </c>
      <c r="E1905" s="12" t="s">
        <v>9424</v>
      </c>
    </row>
    <row r="1906" spans="1:8" ht="15.75" customHeight="1">
      <c r="A1906" t="s">
        <v>4173</v>
      </c>
      <c r="B1906" t="s">
        <v>4174</v>
      </c>
      <c r="C1906" t="s">
        <v>9423</v>
      </c>
      <c r="E1906" s="12" t="s">
        <v>9424</v>
      </c>
    </row>
    <row r="1907" spans="1:8" ht="15.75" customHeight="1">
      <c r="A1907" t="s">
        <v>4177</v>
      </c>
      <c r="B1907" t="s">
        <v>4178</v>
      </c>
      <c r="C1907" t="s">
        <v>9423</v>
      </c>
      <c r="E1907" s="12" t="s">
        <v>9424</v>
      </c>
    </row>
    <row r="1908" spans="1:8" ht="15.75" customHeight="1">
      <c r="A1908" t="s">
        <v>4181</v>
      </c>
      <c r="B1908" t="s">
        <v>4182</v>
      </c>
      <c r="C1908" t="s">
        <v>9423</v>
      </c>
      <c r="E1908" s="12" t="s">
        <v>9424</v>
      </c>
    </row>
    <row r="1909" spans="1:8" ht="15.75" customHeight="1">
      <c r="A1909" t="s">
        <v>4185</v>
      </c>
      <c r="B1909" t="s">
        <v>4186</v>
      </c>
      <c r="C1909" t="s">
        <v>9423</v>
      </c>
      <c r="E1909" s="12" t="s">
        <v>9424</v>
      </c>
    </row>
    <row r="1910" spans="1:8" ht="15.75" customHeight="1">
      <c r="A1910" t="s">
        <v>4189</v>
      </c>
      <c r="B1910" t="s">
        <v>4190</v>
      </c>
      <c r="C1910" t="s">
        <v>9423</v>
      </c>
      <c r="E1910" s="12" t="s">
        <v>9424</v>
      </c>
    </row>
    <row r="1911" spans="1:8" ht="15.75" customHeight="1">
      <c r="A1911" t="s">
        <v>4193</v>
      </c>
      <c r="B1911" t="s">
        <v>4194</v>
      </c>
      <c r="C1911" t="s">
        <v>9425</v>
      </c>
      <c r="E1911" s="12" t="s">
        <v>9426</v>
      </c>
      <c r="F1911" s="12" t="s">
        <v>9427</v>
      </c>
      <c r="G1911" t="s">
        <v>9428</v>
      </c>
      <c r="H1911" t="s">
        <v>9429</v>
      </c>
    </row>
    <row r="1912" spans="1:8" ht="15.75" customHeight="1">
      <c r="A1912" t="s">
        <v>4197</v>
      </c>
      <c r="B1912" t="s">
        <v>4198</v>
      </c>
    </row>
    <row r="1913" spans="1:8" ht="15.75" customHeight="1">
      <c r="A1913" t="s">
        <v>4200</v>
      </c>
      <c r="B1913" t="s">
        <v>4201</v>
      </c>
    </row>
    <row r="1914" spans="1:8" ht="15.75" customHeight="1">
      <c r="A1914" t="s">
        <v>4203</v>
      </c>
      <c r="B1914" t="s">
        <v>4204</v>
      </c>
    </row>
    <row r="1915" spans="1:8" ht="15.75" customHeight="1">
      <c r="A1915" t="s">
        <v>4207</v>
      </c>
      <c r="B1915" t="s">
        <v>4208</v>
      </c>
    </row>
    <row r="1916" spans="1:8" ht="15.75" customHeight="1">
      <c r="A1916" t="s">
        <v>4211</v>
      </c>
      <c r="B1916" t="s">
        <v>4212</v>
      </c>
    </row>
    <row r="1917" spans="1:8" ht="15.75" customHeight="1">
      <c r="A1917" t="s">
        <v>4214</v>
      </c>
      <c r="B1917" t="s">
        <v>4215</v>
      </c>
    </row>
    <row r="1918" spans="1:8" ht="15.75" customHeight="1">
      <c r="A1918" t="s">
        <v>4218</v>
      </c>
      <c r="B1918" t="s">
        <v>4219</v>
      </c>
      <c r="C1918" t="s">
        <v>9430</v>
      </c>
      <c r="E1918" s="12" t="s">
        <v>9431</v>
      </c>
      <c r="F1918" s="12" t="s">
        <v>9432</v>
      </c>
      <c r="G1918" t="s">
        <v>9433</v>
      </c>
      <c r="H1918" t="s">
        <v>8550</v>
      </c>
    </row>
    <row r="1919" spans="1:8" ht="15.75" customHeight="1">
      <c r="A1919" t="s">
        <v>4218</v>
      </c>
      <c r="B1919" t="s">
        <v>4219</v>
      </c>
      <c r="C1919" t="s">
        <v>9430</v>
      </c>
      <c r="E1919" s="12" t="s">
        <v>9431</v>
      </c>
      <c r="F1919" s="12" t="s">
        <v>9434</v>
      </c>
      <c r="G1919" t="s">
        <v>9433</v>
      </c>
      <c r="H1919" t="s">
        <v>8547</v>
      </c>
    </row>
    <row r="1920" spans="1:8" ht="15.75" customHeight="1">
      <c r="A1920" t="s">
        <v>4218</v>
      </c>
      <c r="B1920" t="s">
        <v>4219</v>
      </c>
      <c r="C1920" t="s">
        <v>9430</v>
      </c>
      <c r="E1920" s="12" t="s">
        <v>9431</v>
      </c>
      <c r="F1920" s="12" t="s">
        <v>9435</v>
      </c>
      <c r="G1920" t="s">
        <v>9436</v>
      </c>
      <c r="H1920" t="s">
        <v>9437</v>
      </c>
    </row>
    <row r="1921" spans="1:8" ht="15.75" customHeight="1">
      <c r="A1921" t="s">
        <v>4218</v>
      </c>
      <c r="B1921" t="s">
        <v>4219</v>
      </c>
      <c r="C1921" t="s">
        <v>9430</v>
      </c>
      <c r="E1921" s="12" t="s">
        <v>9431</v>
      </c>
      <c r="F1921" s="12" t="s">
        <v>9438</v>
      </c>
      <c r="G1921" t="s">
        <v>9439</v>
      </c>
      <c r="H1921" t="s">
        <v>9440</v>
      </c>
    </row>
    <row r="1922" spans="1:8" ht="15.75" customHeight="1">
      <c r="A1922" t="s">
        <v>4218</v>
      </c>
      <c r="B1922" t="s">
        <v>4219</v>
      </c>
      <c r="C1922" t="s">
        <v>9441</v>
      </c>
      <c r="E1922" s="12" t="s">
        <v>9442</v>
      </c>
      <c r="F1922" s="12" t="s">
        <v>9443</v>
      </c>
      <c r="G1922" t="s">
        <v>9444</v>
      </c>
      <c r="H1922" t="s">
        <v>9445</v>
      </c>
    </row>
    <row r="1923" spans="1:8" ht="15.75" customHeight="1">
      <c r="A1923" t="s">
        <v>4220</v>
      </c>
      <c r="B1923" t="s">
        <v>4221</v>
      </c>
    </row>
    <row r="1924" spans="1:8" ht="15.75" customHeight="1">
      <c r="A1924" t="s">
        <v>4222</v>
      </c>
      <c r="B1924" t="s">
        <v>4223</v>
      </c>
    </row>
    <row r="1925" spans="1:8" ht="15.75" customHeight="1">
      <c r="A1925" t="s">
        <v>4226</v>
      </c>
      <c r="B1925" t="s">
        <v>4227</v>
      </c>
    </row>
    <row r="1926" spans="1:8" ht="15.75" customHeight="1">
      <c r="A1926" t="s">
        <v>4228</v>
      </c>
      <c r="B1926" t="s">
        <v>4229</v>
      </c>
    </row>
    <row r="1927" spans="1:8" ht="15.75" customHeight="1">
      <c r="A1927" t="s">
        <v>4232</v>
      </c>
      <c r="B1927" t="s">
        <v>4233</v>
      </c>
    </row>
    <row r="1928" spans="1:8" ht="15.75" customHeight="1">
      <c r="A1928" t="s">
        <v>4236</v>
      </c>
      <c r="B1928" t="s">
        <v>4237</v>
      </c>
      <c r="C1928" t="s">
        <v>7740</v>
      </c>
      <c r="E1928" s="12" t="s">
        <v>7741</v>
      </c>
      <c r="F1928" s="12" t="s">
        <v>7742</v>
      </c>
      <c r="G1928" t="s">
        <v>7629</v>
      </c>
      <c r="H1928" t="s">
        <v>7743</v>
      </c>
    </row>
    <row r="1929" spans="1:8" ht="15.75" customHeight="1">
      <c r="A1929" t="s">
        <v>4238</v>
      </c>
      <c r="B1929" t="s">
        <v>4239</v>
      </c>
    </row>
    <row r="1930" spans="1:8" ht="15.75" customHeight="1">
      <c r="A1930" t="s">
        <v>4240</v>
      </c>
      <c r="B1930" t="s">
        <v>4241</v>
      </c>
    </row>
    <row r="1931" spans="1:8" ht="15.75" customHeight="1">
      <c r="A1931" t="s">
        <v>4243</v>
      </c>
      <c r="B1931" t="s">
        <v>4244</v>
      </c>
      <c r="C1931" t="s">
        <v>9271</v>
      </c>
      <c r="E1931" s="12" t="s">
        <v>9272</v>
      </c>
    </row>
    <row r="1932" spans="1:8" ht="15.75" customHeight="1">
      <c r="A1932" t="s">
        <v>4246</v>
      </c>
      <c r="B1932" t="s">
        <v>4247</v>
      </c>
      <c r="C1932" t="s">
        <v>8287</v>
      </c>
    </row>
    <row r="1933" spans="1:8" ht="15.75" customHeight="1">
      <c r="A1933" t="s">
        <v>4248</v>
      </c>
      <c r="B1933" t="s">
        <v>4249</v>
      </c>
    </row>
    <row r="1934" spans="1:8" ht="15.75" customHeight="1">
      <c r="A1934" t="s">
        <v>4252</v>
      </c>
      <c r="B1934" t="s">
        <v>4253</v>
      </c>
    </row>
    <row r="1935" spans="1:8" ht="15.75" customHeight="1">
      <c r="A1935" t="s">
        <v>4256</v>
      </c>
      <c r="B1935" t="s">
        <v>4257</v>
      </c>
      <c r="C1935" t="s">
        <v>9446</v>
      </c>
      <c r="E1935" s="12" t="s">
        <v>9447</v>
      </c>
      <c r="F1935" s="12" t="s">
        <v>9448</v>
      </c>
      <c r="G1935" t="s">
        <v>9449</v>
      </c>
      <c r="H1935" t="s">
        <v>9450</v>
      </c>
    </row>
    <row r="1936" spans="1:8" ht="15.75" customHeight="1">
      <c r="A1936" t="s">
        <v>4256</v>
      </c>
      <c r="B1936" t="s">
        <v>4257</v>
      </c>
      <c r="C1936" t="s">
        <v>9446</v>
      </c>
      <c r="E1936" s="12" t="s">
        <v>9447</v>
      </c>
      <c r="F1936" s="12" t="s">
        <v>9451</v>
      </c>
      <c r="G1936" t="s">
        <v>9452</v>
      </c>
      <c r="H1936" t="s">
        <v>9450</v>
      </c>
    </row>
    <row r="1937" spans="1:8" ht="15.75" customHeight="1">
      <c r="A1937" t="s">
        <v>4256</v>
      </c>
      <c r="B1937" t="s">
        <v>4257</v>
      </c>
      <c r="C1937" t="s">
        <v>8788</v>
      </c>
    </row>
    <row r="1938" spans="1:8" ht="15.75" customHeight="1">
      <c r="A1938" t="s">
        <v>4258</v>
      </c>
      <c r="B1938" t="s">
        <v>4259</v>
      </c>
    </row>
    <row r="1939" spans="1:8" ht="15.75" customHeight="1">
      <c r="A1939" t="s">
        <v>4260</v>
      </c>
      <c r="B1939" t="s">
        <v>4261</v>
      </c>
    </row>
    <row r="1940" spans="1:8" ht="15.75" customHeight="1">
      <c r="A1940" t="s">
        <v>4264</v>
      </c>
      <c r="B1940" t="s">
        <v>4265</v>
      </c>
      <c r="C1940" t="s">
        <v>9453</v>
      </c>
      <c r="E1940" s="12" t="s">
        <v>9454</v>
      </c>
      <c r="F1940" s="12" t="s">
        <v>9455</v>
      </c>
      <c r="G1940" t="s">
        <v>9456</v>
      </c>
      <c r="H1940" t="s">
        <v>9457</v>
      </c>
    </row>
    <row r="1941" spans="1:8" ht="15.75" customHeight="1">
      <c r="A1941" t="s">
        <v>4268</v>
      </c>
      <c r="B1941" t="s">
        <v>4269</v>
      </c>
      <c r="C1941" t="s">
        <v>9453</v>
      </c>
      <c r="E1941" s="12" t="s">
        <v>9454</v>
      </c>
      <c r="F1941" s="12" t="s">
        <v>9455</v>
      </c>
      <c r="G1941" t="s">
        <v>9456</v>
      </c>
      <c r="H1941" t="s">
        <v>9457</v>
      </c>
    </row>
    <row r="1942" spans="1:8" ht="15.75" customHeight="1">
      <c r="A1942" t="s">
        <v>4272</v>
      </c>
      <c r="B1942" t="s">
        <v>4273</v>
      </c>
    </row>
    <row r="1943" spans="1:8" ht="15.75" customHeight="1">
      <c r="A1943" t="s">
        <v>4276</v>
      </c>
      <c r="B1943" t="s">
        <v>4277</v>
      </c>
      <c r="C1943" t="s">
        <v>9458</v>
      </c>
      <c r="E1943" s="12" t="s">
        <v>9459</v>
      </c>
      <c r="F1943" s="12" t="s">
        <v>9460</v>
      </c>
      <c r="G1943" t="s">
        <v>9461</v>
      </c>
      <c r="H1943" t="s">
        <v>9462</v>
      </c>
    </row>
    <row r="1944" spans="1:8" ht="15.75" customHeight="1">
      <c r="A1944" t="s">
        <v>4280</v>
      </c>
      <c r="B1944" t="s">
        <v>4281</v>
      </c>
      <c r="C1944" t="s">
        <v>9458</v>
      </c>
      <c r="E1944" s="12" t="s">
        <v>9459</v>
      </c>
      <c r="F1944" s="12" t="s">
        <v>9460</v>
      </c>
      <c r="G1944" t="s">
        <v>9461</v>
      </c>
      <c r="H1944" t="s">
        <v>9462</v>
      </c>
    </row>
    <row r="1945" spans="1:8" ht="15.75" customHeight="1">
      <c r="A1945" t="s">
        <v>4284</v>
      </c>
      <c r="B1945" t="s">
        <v>4285</v>
      </c>
    </row>
    <row r="1946" spans="1:8" ht="15.75" customHeight="1">
      <c r="A1946" t="s">
        <v>4287</v>
      </c>
      <c r="B1946" t="s">
        <v>4288</v>
      </c>
      <c r="C1946" t="s">
        <v>9463</v>
      </c>
      <c r="E1946" s="12" t="s">
        <v>9464</v>
      </c>
    </row>
    <row r="1947" spans="1:8" ht="15.75" customHeight="1">
      <c r="A1947" t="s">
        <v>4291</v>
      </c>
      <c r="B1947" t="s">
        <v>4292</v>
      </c>
      <c r="C1947" t="s">
        <v>9465</v>
      </c>
    </row>
    <row r="1948" spans="1:8" ht="15.75" customHeight="1">
      <c r="A1948" t="s">
        <v>4295</v>
      </c>
      <c r="B1948" t="s">
        <v>4296</v>
      </c>
      <c r="C1948" t="s">
        <v>9466</v>
      </c>
    </row>
    <row r="1949" spans="1:8" ht="15.75" customHeight="1">
      <c r="A1949" t="s">
        <v>4299</v>
      </c>
      <c r="B1949" t="s">
        <v>4300</v>
      </c>
    </row>
    <row r="1950" spans="1:8" ht="15.75" customHeight="1">
      <c r="A1950" t="s">
        <v>4302</v>
      </c>
      <c r="B1950" t="s">
        <v>4303</v>
      </c>
    </row>
    <row r="1951" spans="1:8" ht="15.75" customHeight="1">
      <c r="A1951" t="s">
        <v>4304</v>
      </c>
      <c r="B1951" t="s">
        <v>4305</v>
      </c>
    </row>
    <row r="1952" spans="1:8" ht="15.75" customHeight="1">
      <c r="A1952" t="s">
        <v>4308</v>
      </c>
      <c r="B1952" t="s">
        <v>4309</v>
      </c>
      <c r="C1952" t="s">
        <v>9467</v>
      </c>
      <c r="E1952" s="12" t="s">
        <v>9468</v>
      </c>
      <c r="F1952" s="12" t="s">
        <v>9469</v>
      </c>
      <c r="G1952" t="s">
        <v>9470</v>
      </c>
      <c r="H1952" t="s">
        <v>9471</v>
      </c>
    </row>
    <row r="1953" spans="1:8" ht="15.75" customHeight="1">
      <c r="A1953" t="s">
        <v>4312</v>
      </c>
      <c r="B1953" t="s">
        <v>4313</v>
      </c>
    </row>
    <row r="1954" spans="1:8" ht="15.75" customHeight="1">
      <c r="A1954" t="s">
        <v>4316</v>
      </c>
      <c r="B1954" t="s">
        <v>4317</v>
      </c>
    </row>
    <row r="1955" spans="1:8" ht="15.75" customHeight="1">
      <c r="A1955" t="s">
        <v>4320</v>
      </c>
      <c r="B1955" t="s">
        <v>4321</v>
      </c>
      <c r="C1955" t="s">
        <v>7175</v>
      </c>
    </row>
    <row r="1956" spans="1:8" ht="15.75" customHeight="1">
      <c r="A1956" t="s">
        <v>4322</v>
      </c>
      <c r="B1956" t="s">
        <v>4323</v>
      </c>
    </row>
    <row r="1957" spans="1:8" ht="15.75" customHeight="1">
      <c r="A1957" t="s">
        <v>4325</v>
      </c>
      <c r="B1957" t="s">
        <v>4326</v>
      </c>
      <c r="C1957" t="s">
        <v>8983</v>
      </c>
      <c r="E1957" s="12" t="s">
        <v>8984</v>
      </c>
      <c r="F1957" s="12" t="s">
        <v>8985</v>
      </c>
      <c r="G1957" t="s">
        <v>8986</v>
      </c>
      <c r="H1957" t="s">
        <v>8987</v>
      </c>
    </row>
    <row r="1958" spans="1:8" ht="15.75" customHeight="1">
      <c r="A1958" t="s">
        <v>4325</v>
      </c>
      <c r="B1958" t="s">
        <v>4326</v>
      </c>
      <c r="C1958" t="s">
        <v>8983</v>
      </c>
      <c r="E1958" s="12" t="s">
        <v>8984</v>
      </c>
      <c r="F1958" s="12" t="s">
        <v>8988</v>
      </c>
      <c r="G1958" t="s">
        <v>8989</v>
      </c>
      <c r="H1958" t="s">
        <v>8990</v>
      </c>
    </row>
    <row r="1959" spans="1:8" ht="15.75" customHeight="1">
      <c r="A1959" t="s">
        <v>4325</v>
      </c>
      <c r="B1959" t="s">
        <v>4326</v>
      </c>
      <c r="C1959" t="s">
        <v>8983</v>
      </c>
      <c r="E1959" s="12" t="s">
        <v>8984</v>
      </c>
      <c r="F1959" s="12" t="s">
        <v>8991</v>
      </c>
      <c r="G1959" t="s">
        <v>8992</v>
      </c>
      <c r="H1959" t="s">
        <v>8993</v>
      </c>
    </row>
    <row r="1960" spans="1:8" ht="15.75" customHeight="1">
      <c r="A1960" t="s">
        <v>4325</v>
      </c>
      <c r="B1960" t="s">
        <v>4326</v>
      </c>
      <c r="C1960" t="s">
        <v>8983</v>
      </c>
      <c r="E1960" s="12" t="s">
        <v>8984</v>
      </c>
      <c r="F1960" s="12" t="s">
        <v>8994</v>
      </c>
      <c r="G1960" t="s">
        <v>8995</v>
      </c>
      <c r="H1960" t="s">
        <v>8996</v>
      </c>
    </row>
    <row r="1961" spans="1:8" ht="15.75" customHeight="1">
      <c r="A1961" t="s">
        <v>4328</v>
      </c>
      <c r="B1961" t="s">
        <v>4329</v>
      </c>
      <c r="C1961" t="s">
        <v>8684</v>
      </c>
    </row>
    <row r="1962" spans="1:8" ht="15.75" customHeight="1">
      <c r="A1962" t="s">
        <v>4332</v>
      </c>
      <c r="B1962" t="s">
        <v>4333</v>
      </c>
      <c r="C1962" t="s">
        <v>9360</v>
      </c>
      <c r="E1962" s="12" t="s">
        <v>9361</v>
      </c>
      <c r="F1962" s="12" t="s">
        <v>9362</v>
      </c>
      <c r="G1962" t="s">
        <v>9363</v>
      </c>
      <c r="H1962" t="s">
        <v>9364</v>
      </c>
    </row>
    <row r="1963" spans="1:8" ht="15.75" customHeight="1">
      <c r="A1963" t="s">
        <v>4332</v>
      </c>
      <c r="B1963" t="s">
        <v>4333</v>
      </c>
      <c r="C1963" t="s">
        <v>9360</v>
      </c>
      <c r="E1963" s="12" t="s">
        <v>9361</v>
      </c>
      <c r="F1963" s="12" t="s">
        <v>9472</v>
      </c>
      <c r="G1963" t="s">
        <v>9473</v>
      </c>
      <c r="H1963" t="s">
        <v>9474</v>
      </c>
    </row>
    <row r="1964" spans="1:8" ht="15.75" customHeight="1">
      <c r="A1964" t="s">
        <v>4335</v>
      </c>
      <c r="B1964" t="s">
        <v>4336</v>
      </c>
    </row>
    <row r="1965" spans="1:8" ht="15.75" customHeight="1">
      <c r="A1965" t="s">
        <v>4337</v>
      </c>
      <c r="B1965" t="s">
        <v>4338</v>
      </c>
    </row>
    <row r="1966" spans="1:8" ht="15.75" customHeight="1">
      <c r="A1966" t="s">
        <v>4341</v>
      </c>
      <c r="B1966" t="s">
        <v>4342</v>
      </c>
      <c r="C1966" t="s">
        <v>9475</v>
      </c>
      <c r="E1966" s="12" t="s">
        <v>9476</v>
      </c>
      <c r="F1966" s="12" t="s">
        <v>9477</v>
      </c>
      <c r="G1966" t="s">
        <v>9478</v>
      </c>
      <c r="H1966" t="s">
        <v>9479</v>
      </c>
    </row>
    <row r="1967" spans="1:8" ht="15.75" customHeight="1">
      <c r="A1967" t="s">
        <v>4344</v>
      </c>
      <c r="B1967" t="s">
        <v>4345</v>
      </c>
    </row>
    <row r="1968" spans="1:8" ht="15.75" customHeight="1">
      <c r="A1968" t="s">
        <v>4348</v>
      </c>
      <c r="B1968" t="s">
        <v>4349</v>
      </c>
    </row>
    <row r="1969" spans="1:8" ht="15.75" customHeight="1">
      <c r="A1969" t="s">
        <v>4350</v>
      </c>
      <c r="B1969" t="s">
        <v>4351</v>
      </c>
    </row>
    <row r="1970" spans="1:8" ht="15.75" customHeight="1">
      <c r="A1970" t="s">
        <v>4353</v>
      </c>
      <c r="B1970" t="s">
        <v>4354</v>
      </c>
    </row>
    <row r="1971" spans="1:8" ht="15.75" customHeight="1">
      <c r="A1971" t="s">
        <v>4356</v>
      </c>
      <c r="B1971" t="s">
        <v>4357</v>
      </c>
    </row>
    <row r="1972" spans="1:8" ht="15.75" customHeight="1">
      <c r="A1972" t="s">
        <v>4360</v>
      </c>
      <c r="B1972" t="s">
        <v>4361</v>
      </c>
      <c r="C1972" t="s">
        <v>9480</v>
      </c>
      <c r="E1972" s="12" t="s">
        <v>9481</v>
      </c>
      <c r="F1972" s="12" t="s">
        <v>7159</v>
      </c>
      <c r="G1972" t="s">
        <v>7160</v>
      </c>
      <c r="H1972" t="s">
        <v>7161</v>
      </c>
    </row>
    <row r="1973" spans="1:8" ht="15.75" customHeight="1">
      <c r="A1973" t="s">
        <v>4360</v>
      </c>
      <c r="B1973" t="s">
        <v>4361</v>
      </c>
      <c r="C1973" t="s">
        <v>9480</v>
      </c>
      <c r="E1973" s="12" t="s">
        <v>9481</v>
      </c>
      <c r="F1973" s="12" t="s">
        <v>9482</v>
      </c>
      <c r="G1973" t="s">
        <v>9483</v>
      </c>
      <c r="H1973" t="s">
        <v>9484</v>
      </c>
    </row>
    <row r="1974" spans="1:8" ht="15.75" customHeight="1">
      <c r="A1974" t="s">
        <v>4360</v>
      </c>
      <c r="B1974" t="s">
        <v>4361</v>
      </c>
      <c r="C1974" t="s">
        <v>9480</v>
      </c>
      <c r="E1974" s="12" t="s">
        <v>9481</v>
      </c>
      <c r="F1974" s="12" t="s">
        <v>9485</v>
      </c>
      <c r="G1974" t="s">
        <v>9486</v>
      </c>
      <c r="H1974" t="s">
        <v>9487</v>
      </c>
    </row>
    <row r="1975" spans="1:8" ht="15.75" customHeight="1">
      <c r="A1975" t="s">
        <v>4360</v>
      </c>
      <c r="B1975" t="s">
        <v>4361</v>
      </c>
      <c r="C1975" t="s">
        <v>9480</v>
      </c>
      <c r="E1975" s="12" t="s">
        <v>9481</v>
      </c>
      <c r="F1975" s="12" t="s">
        <v>9488</v>
      </c>
      <c r="G1975" t="s">
        <v>9489</v>
      </c>
      <c r="H1975" t="s">
        <v>9490</v>
      </c>
    </row>
    <row r="1976" spans="1:8" ht="15.75" customHeight="1">
      <c r="A1976" t="s">
        <v>4363</v>
      </c>
      <c r="B1976" t="s">
        <v>4364</v>
      </c>
    </row>
    <row r="1977" spans="1:8" ht="15.75" customHeight="1">
      <c r="A1977" t="s">
        <v>4366</v>
      </c>
      <c r="B1977" t="s">
        <v>4367</v>
      </c>
    </row>
    <row r="1978" spans="1:8" ht="15.75" customHeight="1">
      <c r="A1978" t="s">
        <v>4368</v>
      </c>
      <c r="B1978" t="s">
        <v>4369</v>
      </c>
    </row>
    <row r="1979" spans="1:8" ht="15.75" customHeight="1">
      <c r="A1979" t="s">
        <v>4370</v>
      </c>
      <c r="B1979" t="s">
        <v>4371</v>
      </c>
    </row>
    <row r="1980" spans="1:8" ht="15.75" customHeight="1">
      <c r="A1980" t="s">
        <v>4374</v>
      </c>
      <c r="B1980" t="s">
        <v>4375</v>
      </c>
      <c r="C1980" t="s">
        <v>7175</v>
      </c>
    </row>
    <row r="1981" spans="1:8" ht="15.75" customHeight="1">
      <c r="A1981" t="s">
        <v>4378</v>
      </c>
      <c r="B1981" t="s">
        <v>4379</v>
      </c>
    </row>
    <row r="1982" spans="1:8" ht="15.75" customHeight="1">
      <c r="A1982" t="s">
        <v>4380</v>
      </c>
      <c r="B1982" t="s">
        <v>4381</v>
      </c>
    </row>
    <row r="1983" spans="1:8" ht="15.75" customHeight="1">
      <c r="A1983" t="s">
        <v>4383</v>
      </c>
      <c r="B1983" t="s">
        <v>4384</v>
      </c>
      <c r="C1983" t="s">
        <v>9491</v>
      </c>
      <c r="E1983" s="12" t="s">
        <v>9492</v>
      </c>
    </row>
    <row r="1984" spans="1:8" ht="15.75" customHeight="1">
      <c r="A1984" t="s">
        <v>4386</v>
      </c>
      <c r="B1984" t="s">
        <v>4387</v>
      </c>
      <c r="C1984" t="s">
        <v>7175</v>
      </c>
    </row>
    <row r="1985" spans="1:8" ht="15.75" customHeight="1">
      <c r="A1985" t="s">
        <v>4390</v>
      </c>
      <c r="B1985" t="s">
        <v>4391</v>
      </c>
    </row>
    <row r="1986" spans="1:8" ht="15.75" customHeight="1">
      <c r="A1986" t="s">
        <v>4394</v>
      </c>
      <c r="B1986" t="s">
        <v>4395</v>
      </c>
      <c r="C1986" t="s">
        <v>8862</v>
      </c>
      <c r="E1986" s="12" t="s">
        <v>8863</v>
      </c>
      <c r="F1986" s="12" t="s">
        <v>8864</v>
      </c>
      <c r="G1986" t="s">
        <v>8865</v>
      </c>
      <c r="H1986" t="s">
        <v>8866</v>
      </c>
    </row>
    <row r="1987" spans="1:8" ht="15.75" customHeight="1">
      <c r="A1987" t="s">
        <v>4397</v>
      </c>
      <c r="B1987" t="s">
        <v>4398</v>
      </c>
    </row>
    <row r="1988" spans="1:8" ht="15.75" customHeight="1">
      <c r="A1988" t="s">
        <v>4400</v>
      </c>
      <c r="B1988" t="s">
        <v>4401</v>
      </c>
    </row>
    <row r="1989" spans="1:8" ht="15.75" customHeight="1">
      <c r="A1989" t="s">
        <v>4404</v>
      </c>
      <c r="B1989" t="s">
        <v>4405</v>
      </c>
      <c r="C1989" t="s">
        <v>7912</v>
      </c>
    </row>
    <row r="1990" spans="1:8" ht="15.75" customHeight="1">
      <c r="A1990" t="s">
        <v>4407</v>
      </c>
      <c r="B1990" t="s">
        <v>4408</v>
      </c>
    </row>
    <row r="1991" spans="1:8" ht="15.75" customHeight="1">
      <c r="A1991" t="s">
        <v>4410</v>
      </c>
      <c r="B1991" t="s">
        <v>4411</v>
      </c>
    </row>
    <row r="1992" spans="1:8" ht="15.75" customHeight="1">
      <c r="A1992" t="s">
        <v>4412</v>
      </c>
      <c r="B1992" t="s">
        <v>4413</v>
      </c>
    </row>
    <row r="1993" spans="1:8" ht="15.75" customHeight="1">
      <c r="A1993" t="s">
        <v>4415</v>
      </c>
      <c r="B1993" t="s">
        <v>4416</v>
      </c>
    </row>
    <row r="1994" spans="1:8" ht="15.75" customHeight="1">
      <c r="A1994" t="s">
        <v>4417</v>
      </c>
      <c r="B1994" t="s">
        <v>4418</v>
      </c>
    </row>
    <row r="1995" spans="1:8" ht="15.75" customHeight="1">
      <c r="A1995" t="s">
        <v>4420</v>
      </c>
      <c r="B1995" t="s">
        <v>4421</v>
      </c>
    </row>
    <row r="1996" spans="1:8" ht="15.75" customHeight="1">
      <c r="A1996" t="s">
        <v>4424</v>
      </c>
      <c r="B1996" t="s">
        <v>4425</v>
      </c>
      <c r="C1996" t="s">
        <v>9493</v>
      </c>
      <c r="E1996" s="12" t="s">
        <v>9494</v>
      </c>
      <c r="F1996" s="12" t="s">
        <v>9495</v>
      </c>
      <c r="G1996" t="s">
        <v>9496</v>
      </c>
      <c r="H1996" t="s">
        <v>9497</v>
      </c>
    </row>
    <row r="1997" spans="1:8" ht="15.75" customHeight="1">
      <c r="A1997" t="s">
        <v>4427</v>
      </c>
      <c r="B1997" t="s">
        <v>4428</v>
      </c>
      <c r="C1997" t="s">
        <v>7545</v>
      </c>
    </row>
    <row r="1998" spans="1:8" ht="15.75" customHeight="1">
      <c r="A1998" t="s">
        <v>4429</v>
      </c>
      <c r="B1998" t="s">
        <v>4430</v>
      </c>
    </row>
    <row r="1999" spans="1:8" ht="15.75" customHeight="1">
      <c r="A1999" t="s">
        <v>4433</v>
      </c>
      <c r="B1999" t="s">
        <v>4434</v>
      </c>
      <c r="C1999" t="s">
        <v>7491</v>
      </c>
      <c r="E1999" s="12" t="s">
        <v>7492</v>
      </c>
      <c r="F1999" s="12" t="s">
        <v>7493</v>
      </c>
      <c r="G1999" t="s">
        <v>7494</v>
      </c>
      <c r="H1999" t="s">
        <v>7495</v>
      </c>
    </row>
    <row r="2000" spans="1:8" ht="15.75" customHeight="1">
      <c r="A2000" t="s">
        <v>4437</v>
      </c>
      <c r="B2000" t="s">
        <v>4438</v>
      </c>
      <c r="C2000" t="s">
        <v>8595</v>
      </c>
      <c r="E2000" s="12" t="s">
        <v>8596</v>
      </c>
      <c r="F2000" s="12" t="s">
        <v>8597</v>
      </c>
      <c r="G2000" t="s">
        <v>8598</v>
      </c>
      <c r="H2000" t="s">
        <v>8599</v>
      </c>
    </row>
    <row r="2001" spans="1:8" ht="15.75" customHeight="1">
      <c r="A2001" t="s">
        <v>4437</v>
      </c>
      <c r="B2001" t="s">
        <v>4438</v>
      </c>
      <c r="C2001" t="s">
        <v>8642</v>
      </c>
    </row>
    <row r="2002" spans="1:8" ht="15.75" customHeight="1">
      <c r="A2002" t="s">
        <v>4441</v>
      </c>
      <c r="B2002" t="s">
        <v>4442</v>
      </c>
      <c r="C2002" t="s">
        <v>9498</v>
      </c>
      <c r="E2002" s="12" t="s">
        <v>9499</v>
      </c>
      <c r="F2002" s="12" t="s">
        <v>9500</v>
      </c>
      <c r="G2002" t="s">
        <v>9501</v>
      </c>
      <c r="H2002" t="s">
        <v>9502</v>
      </c>
    </row>
    <row r="2003" spans="1:8" ht="15.75" customHeight="1">
      <c r="A2003" t="s">
        <v>4445</v>
      </c>
      <c r="B2003" t="s">
        <v>4446</v>
      </c>
    </row>
    <row r="2004" spans="1:8" ht="15.75" customHeight="1">
      <c r="A2004" t="s">
        <v>4449</v>
      </c>
      <c r="B2004" t="s">
        <v>4450</v>
      </c>
      <c r="C2004" t="s">
        <v>9503</v>
      </c>
    </row>
    <row r="2005" spans="1:8" ht="15.75" customHeight="1">
      <c r="A2005" t="s">
        <v>4453</v>
      </c>
      <c r="B2005" t="s">
        <v>4454</v>
      </c>
      <c r="C2005" t="s">
        <v>9504</v>
      </c>
    </row>
    <row r="2006" spans="1:8" ht="15.75" customHeight="1">
      <c r="A2006" t="s">
        <v>4456</v>
      </c>
      <c r="B2006" t="s">
        <v>4457</v>
      </c>
    </row>
    <row r="2007" spans="1:8" ht="15.75" customHeight="1">
      <c r="A2007" t="s">
        <v>4459</v>
      </c>
      <c r="B2007" t="s">
        <v>4460</v>
      </c>
    </row>
    <row r="2008" spans="1:8" ht="15.75" customHeight="1">
      <c r="A2008" t="s">
        <v>4463</v>
      </c>
      <c r="B2008" t="s">
        <v>4464</v>
      </c>
      <c r="C2008" t="s">
        <v>9505</v>
      </c>
      <c r="E2008" s="12" t="s">
        <v>9506</v>
      </c>
    </row>
    <row r="2009" spans="1:8" ht="15.75" customHeight="1">
      <c r="A2009" t="s">
        <v>4463</v>
      </c>
      <c r="B2009" t="s">
        <v>4464</v>
      </c>
      <c r="C2009" t="s">
        <v>9507</v>
      </c>
      <c r="E2009" s="12" t="s">
        <v>9508</v>
      </c>
      <c r="F2009" s="12" t="s">
        <v>9509</v>
      </c>
      <c r="G2009" t="s">
        <v>9510</v>
      </c>
      <c r="H2009" t="s">
        <v>9511</v>
      </c>
    </row>
    <row r="2010" spans="1:8" ht="15.75" customHeight="1">
      <c r="A2010" t="s">
        <v>4466</v>
      </c>
      <c r="B2010" t="s">
        <v>4467</v>
      </c>
      <c r="C2010" t="s">
        <v>9512</v>
      </c>
      <c r="E2010" s="12" t="s">
        <v>9513</v>
      </c>
      <c r="F2010" s="12" t="s">
        <v>9514</v>
      </c>
      <c r="G2010" t="s">
        <v>9515</v>
      </c>
      <c r="H2010" t="s">
        <v>9516</v>
      </c>
    </row>
    <row r="2011" spans="1:8" ht="15.75" customHeight="1">
      <c r="A2011" t="s">
        <v>4466</v>
      </c>
      <c r="B2011" t="s">
        <v>4467</v>
      </c>
      <c r="C2011" t="s">
        <v>9512</v>
      </c>
      <c r="E2011" s="12" t="s">
        <v>9513</v>
      </c>
      <c r="F2011" s="12" t="s">
        <v>9517</v>
      </c>
      <c r="G2011" t="s">
        <v>9518</v>
      </c>
      <c r="H2011" t="s">
        <v>9519</v>
      </c>
    </row>
    <row r="2012" spans="1:8" ht="15.75" customHeight="1">
      <c r="A2012" t="s">
        <v>4466</v>
      </c>
      <c r="B2012" t="s">
        <v>4467</v>
      </c>
      <c r="C2012" t="s">
        <v>9512</v>
      </c>
      <c r="E2012" s="12" t="s">
        <v>9513</v>
      </c>
      <c r="F2012" s="12" t="s">
        <v>9520</v>
      </c>
      <c r="G2012" t="s">
        <v>9521</v>
      </c>
      <c r="H2012" t="s">
        <v>9522</v>
      </c>
    </row>
    <row r="2013" spans="1:8" ht="15.75" customHeight="1">
      <c r="A2013" t="s">
        <v>4466</v>
      </c>
      <c r="B2013" t="s">
        <v>4467</v>
      </c>
      <c r="C2013" t="s">
        <v>9512</v>
      </c>
      <c r="E2013" s="12" t="s">
        <v>9513</v>
      </c>
      <c r="F2013" s="12" t="s">
        <v>9523</v>
      </c>
      <c r="G2013" t="s">
        <v>9524</v>
      </c>
      <c r="H2013" t="s">
        <v>9525</v>
      </c>
    </row>
    <row r="2014" spans="1:8" ht="15.75" customHeight="1">
      <c r="A2014" t="s">
        <v>4466</v>
      </c>
      <c r="B2014" t="s">
        <v>4467</v>
      </c>
      <c r="C2014" t="s">
        <v>9512</v>
      </c>
      <c r="E2014" s="12" t="s">
        <v>9513</v>
      </c>
      <c r="F2014" s="12" t="s">
        <v>9526</v>
      </c>
      <c r="G2014" t="s">
        <v>9527</v>
      </c>
      <c r="H2014" t="s">
        <v>9528</v>
      </c>
    </row>
    <row r="2015" spans="1:8" ht="15.75" customHeight="1">
      <c r="A2015" t="s">
        <v>4466</v>
      </c>
      <c r="B2015" t="s">
        <v>4467</v>
      </c>
      <c r="C2015" t="s">
        <v>9512</v>
      </c>
      <c r="E2015" s="12" t="s">
        <v>9513</v>
      </c>
      <c r="F2015" s="12" t="s">
        <v>9529</v>
      </c>
      <c r="G2015" t="s">
        <v>9530</v>
      </c>
      <c r="H2015" t="s">
        <v>9531</v>
      </c>
    </row>
    <row r="2016" spans="1:8" ht="15.75" customHeight="1">
      <c r="A2016" t="s">
        <v>4466</v>
      </c>
      <c r="B2016" t="s">
        <v>4467</v>
      </c>
      <c r="C2016" t="s">
        <v>9512</v>
      </c>
      <c r="E2016" s="12" t="s">
        <v>9513</v>
      </c>
      <c r="F2016" s="12" t="s">
        <v>9532</v>
      </c>
      <c r="G2016" t="s">
        <v>9533</v>
      </c>
      <c r="H2016" t="s">
        <v>9534</v>
      </c>
    </row>
    <row r="2017" spans="1:8" ht="15.75" customHeight="1">
      <c r="A2017" t="s">
        <v>4470</v>
      </c>
      <c r="B2017" t="s">
        <v>4471</v>
      </c>
      <c r="C2017" t="s">
        <v>9012</v>
      </c>
    </row>
    <row r="2018" spans="1:8" ht="15.75" customHeight="1">
      <c r="A2018" t="s">
        <v>4472</v>
      </c>
      <c r="B2018" t="s">
        <v>4473</v>
      </c>
    </row>
    <row r="2019" spans="1:8" ht="15.75" customHeight="1">
      <c r="A2019" t="s">
        <v>4475</v>
      </c>
      <c r="B2019" t="s">
        <v>4476</v>
      </c>
    </row>
    <row r="2020" spans="1:8" ht="15.75" customHeight="1">
      <c r="A2020" t="s">
        <v>4477</v>
      </c>
      <c r="B2020" t="s">
        <v>4478</v>
      </c>
    </row>
    <row r="2021" spans="1:8" ht="15.75" customHeight="1">
      <c r="A2021" t="s">
        <v>4481</v>
      </c>
      <c r="B2021" t="s">
        <v>4482</v>
      </c>
      <c r="C2021" t="s">
        <v>9535</v>
      </c>
      <c r="E2021" s="12" t="s">
        <v>9536</v>
      </c>
      <c r="F2021" s="12" t="s">
        <v>9537</v>
      </c>
      <c r="G2021" t="s">
        <v>9538</v>
      </c>
      <c r="H2021" t="s">
        <v>9539</v>
      </c>
    </row>
    <row r="2022" spans="1:8" ht="15.75" customHeight="1">
      <c r="A2022" t="s">
        <v>4481</v>
      </c>
      <c r="B2022" t="s">
        <v>4482</v>
      </c>
      <c r="C2022" t="s">
        <v>9535</v>
      </c>
      <c r="E2022" s="12" t="s">
        <v>9536</v>
      </c>
      <c r="F2022" s="12" t="s">
        <v>9540</v>
      </c>
      <c r="G2022" t="s">
        <v>9541</v>
      </c>
      <c r="H2022" t="s">
        <v>9539</v>
      </c>
    </row>
    <row r="2023" spans="1:8" ht="15.75" customHeight="1">
      <c r="A2023" t="s">
        <v>4481</v>
      </c>
      <c r="B2023" t="s">
        <v>4482</v>
      </c>
      <c r="C2023" t="s">
        <v>9535</v>
      </c>
      <c r="E2023" s="12" t="s">
        <v>9536</v>
      </c>
      <c r="F2023" s="12" t="s">
        <v>9542</v>
      </c>
      <c r="G2023" t="s">
        <v>9543</v>
      </c>
      <c r="H2023" t="s">
        <v>9539</v>
      </c>
    </row>
    <row r="2024" spans="1:8" ht="15.75" customHeight="1">
      <c r="A2024" t="s">
        <v>4481</v>
      </c>
      <c r="B2024" t="s">
        <v>4482</v>
      </c>
      <c r="C2024" t="s">
        <v>9535</v>
      </c>
      <c r="E2024" s="12" t="s">
        <v>9536</v>
      </c>
      <c r="F2024" s="12" t="s">
        <v>9544</v>
      </c>
      <c r="G2024" t="s">
        <v>9545</v>
      </c>
      <c r="H2024" t="s">
        <v>9539</v>
      </c>
    </row>
    <row r="2025" spans="1:8" ht="15.75" customHeight="1">
      <c r="A2025" t="s">
        <v>4485</v>
      </c>
      <c r="B2025" t="s">
        <v>4486</v>
      </c>
      <c r="C2025" t="s">
        <v>9546</v>
      </c>
      <c r="E2025" s="12" t="s">
        <v>9547</v>
      </c>
    </row>
    <row r="2026" spans="1:8" ht="15.75" customHeight="1">
      <c r="A2026" t="s">
        <v>4489</v>
      </c>
      <c r="B2026" t="s">
        <v>4490</v>
      </c>
    </row>
    <row r="2027" spans="1:8" ht="15.75" customHeight="1">
      <c r="A2027" t="s">
        <v>4493</v>
      </c>
      <c r="B2027" t="s">
        <v>4494</v>
      </c>
    </row>
    <row r="2028" spans="1:8" ht="15.75" customHeight="1">
      <c r="A2028" t="s">
        <v>4497</v>
      </c>
      <c r="B2028" t="s">
        <v>4498</v>
      </c>
    </row>
    <row r="2029" spans="1:8" ht="15.75" customHeight="1">
      <c r="A2029" t="s">
        <v>4501</v>
      </c>
      <c r="B2029" t="s">
        <v>4502</v>
      </c>
      <c r="C2029" t="s">
        <v>8536</v>
      </c>
      <c r="E2029" s="12" t="s">
        <v>8537</v>
      </c>
    </row>
    <row r="2030" spans="1:8" ht="15.75" customHeight="1">
      <c r="A2030" t="s">
        <v>4505</v>
      </c>
      <c r="B2030" t="s">
        <v>4506</v>
      </c>
      <c r="C2030" t="s">
        <v>8536</v>
      </c>
      <c r="E2030" s="12" t="s">
        <v>8537</v>
      </c>
    </row>
    <row r="2031" spans="1:8" ht="15.75" customHeight="1">
      <c r="A2031" t="s">
        <v>4508</v>
      </c>
      <c r="B2031" t="s">
        <v>4509</v>
      </c>
    </row>
    <row r="2032" spans="1:8" ht="15.75" customHeight="1">
      <c r="A2032" t="s">
        <v>4511</v>
      </c>
      <c r="B2032" t="s">
        <v>4512</v>
      </c>
    </row>
    <row r="2033" spans="1:8" ht="15.75" customHeight="1">
      <c r="A2033" t="s">
        <v>4514</v>
      </c>
      <c r="B2033" t="s">
        <v>4515</v>
      </c>
    </row>
    <row r="2034" spans="1:8" ht="15.75" customHeight="1">
      <c r="A2034" t="s">
        <v>4518</v>
      </c>
      <c r="B2034" t="s">
        <v>4519</v>
      </c>
      <c r="C2034" t="s">
        <v>9548</v>
      </c>
      <c r="E2034" s="12" t="s">
        <v>9549</v>
      </c>
      <c r="F2034" s="12" t="s">
        <v>9550</v>
      </c>
      <c r="G2034" t="s">
        <v>7246</v>
      </c>
      <c r="H2034" t="s">
        <v>9551</v>
      </c>
    </row>
    <row r="2035" spans="1:8" ht="15.75" customHeight="1">
      <c r="A2035" t="s">
        <v>4521</v>
      </c>
      <c r="B2035" t="s">
        <v>4522</v>
      </c>
    </row>
    <row r="2036" spans="1:8" ht="15.75" customHeight="1">
      <c r="A2036" t="s">
        <v>4525</v>
      </c>
      <c r="B2036" t="s">
        <v>4526</v>
      </c>
      <c r="C2036" t="s">
        <v>9552</v>
      </c>
      <c r="E2036" s="12" t="s">
        <v>9553</v>
      </c>
      <c r="F2036" s="12" t="s">
        <v>9554</v>
      </c>
      <c r="G2036" t="s">
        <v>9555</v>
      </c>
      <c r="H2036" t="s">
        <v>9556</v>
      </c>
    </row>
    <row r="2037" spans="1:8" ht="15.75" customHeight="1">
      <c r="A2037" t="s">
        <v>4525</v>
      </c>
      <c r="B2037" t="s">
        <v>4526</v>
      </c>
      <c r="C2037" t="s">
        <v>9552</v>
      </c>
      <c r="E2037" s="12" t="s">
        <v>9553</v>
      </c>
      <c r="F2037" s="12" t="s">
        <v>9557</v>
      </c>
      <c r="G2037" t="s">
        <v>9558</v>
      </c>
      <c r="H2037" t="s">
        <v>9559</v>
      </c>
    </row>
    <row r="2038" spans="1:8" ht="15.75" customHeight="1">
      <c r="A2038" t="s">
        <v>4529</v>
      </c>
      <c r="B2038" t="s">
        <v>4530</v>
      </c>
      <c r="C2038" t="s">
        <v>7859</v>
      </c>
      <c r="E2038" s="12" t="s">
        <v>7860</v>
      </c>
    </row>
    <row r="2039" spans="1:8" ht="15.75" customHeight="1">
      <c r="A2039" t="s">
        <v>4533</v>
      </c>
      <c r="B2039" t="s">
        <v>4534</v>
      </c>
    </row>
    <row r="2040" spans="1:8" ht="15.75" customHeight="1">
      <c r="A2040" t="s">
        <v>4536</v>
      </c>
      <c r="B2040" t="s">
        <v>4537</v>
      </c>
    </row>
    <row r="2041" spans="1:8" ht="15.75" customHeight="1">
      <c r="A2041" t="s">
        <v>4540</v>
      </c>
      <c r="B2041" t="s">
        <v>4541</v>
      </c>
    </row>
    <row r="2042" spans="1:8" ht="15.75" customHeight="1">
      <c r="A2042" t="s">
        <v>4543</v>
      </c>
      <c r="B2042" t="s">
        <v>4544</v>
      </c>
    </row>
    <row r="2043" spans="1:8" ht="15.75" customHeight="1">
      <c r="A2043" t="s">
        <v>4547</v>
      </c>
      <c r="B2043" t="s">
        <v>4548</v>
      </c>
      <c r="C2043" t="s">
        <v>9560</v>
      </c>
      <c r="E2043" s="12" t="s">
        <v>9561</v>
      </c>
      <c r="F2043" s="12" t="s">
        <v>9562</v>
      </c>
      <c r="G2043" t="s">
        <v>9563</v>
      </c>
      <c r="H2043" t="s">
        <v>9564</v>
      </c>
    </row>
    <row r="2044" spans="1:8" ht="15.75" customHeight="1">
      <c r="A2044" t="s">
        <v>4551</v>
      </c>
      <c r="B2044" t="s">
        <v>4552</v>
      </c>
      <c r="C2044" t="s">
        <v>9565</v>
      </c>
      <c r="E2044" s="12" t="s">
        <v>9566</v>
      </c>
      <c r="F2044" s="12" t="s">
        <v>9567</v>
      </c>
      <c r="G2044" t="s">
        <v>9568</v>
      </c>
      <c r="H2044" t="s">
        <v>9569</v>
      </c>
    </row>
    <row r="2045" spans="1:8" ht="15.75" customHeight="1">
      <c r="A2045" t="s">
        <v>4551</v>
      </c>
      <c r="B2045" t="s">
        <v>4552</v>
      </c>
      <c r="C2045" t="s">
        <v>9565</v>
      </c>
      <c r="E2045" s="12" t="s">
        <v>9566</v>
      </c>
      <c r="F2045" s="12" t="s">
        <v>9570</v>
      </c>
      <c r="G2045" t="s">
        <v>9571</v>
      </c>
      <c r="H2045" t="s">
        <v>9572</v>
      </c>
    </row>
    <row r="2046" spans="1:8" ht="15.75" customHeight="1">
      <c r="A2046" t="s">
        <v>4551</v>
      </c>
      <c r="B2046" t="s">
        <v>4552</v>
      </c>
      <c r="C2046" t="s">
        <v>9565</v>
      </c>
      <c r="E2046" s="12" t="s">
        <v>9566</v>
      </c>
      <c r="F2046" s="12" t="s">
        <v>9573</v>
      </c>
      <c r="G2046" t="s">
        <v>9574</v>
      </c>
      <c r="H2046" t="s">
        <v>9575</v>
      </c>
    </row>
    <row r="2047" spans="1:8" ht="15.75" customHeight="1">
      <c r="A2047" t="s">
        <v>4551</v>
      </c>
      <c r="B2047" t="s">
        <v>4552</v>
      </c>
      <c r="C2047" t="s">
        <v>9565</v>
      </c>
      <c r="E2047" s="12" t="s">
        <v>9566</v>
      </c>
      <c r="F2047" s="12" t="s">
        <v>9576</v>
      </c>
      <c r="G2047" t="s">
        <v>9577</v>
      </c>
      <c r="H2047" t="s">
        <v>8496</v>
      </c>
    </row>
    <row r="2048" spans="1:8" ht="15.75" customHeight="1">
      <c r="A2048" t="s">
        <v>4554</v>
      </c>
      <c r="B2048" t="s">
        <v>4555</v>
      </c>
    </row>
    <row r="2049" spans="1:8" ht="15.75" customHeight="1">
      <c r="A2049" t="s">
        <v>4556</v>
      </c>
      <c r="B2049" t="s">
        <v>4557</v>
      </c>
    </row>
    <row r="2050" spans="1:8" ht="15.75" customHeight="1">
      <c r="A2050" t="s">
        <v>4560</v>
      </c>
      <c r="B2050" t="s">
        <v>4561</v>
      </c>
      <c r="C2050" t="s">
        <v>9578</v>
      </c>
      <c r="E2050" s="12" t="s">
        <v>9579</v>
      </c>
    </row>
    <row r="2051" spans="1:8" ht="15.75" customHeight="1">
      <c r="A2051" t="s">
        <v>4564</v>
      </c>
      <c r="B2051" t="s">
        <v>4565</v>
      </c>
      <c r="C2051" t="s">
        <v>9580</v>
      </c>
      <c r="E2051" s="12" t="s">
        <v>9581</v>
      </c>
      <c r="F2051" s="12" t="s">
        <v>9582</v>
      </c>
      <c r="G2051" t="s">
        <v>9583</v>
      </c>
      <c r="H2051" t="s">
        <v>9584</v>
      </c>
    </row>
    <row r="2052" spans="1:8" ht="15.75" customHeight="1">
      <c r="A2052" t="s">
        <v>4568</v>
      </c>
      <c r="B2052" t="s">
        <v>4569</v>
      </c>
      <c r="C2052" t="s">
        <v>9585</v>
      </c>
      <c r="E2052" s="12" t="s">
        <v>9586</v>
      </c>
      <c r="F2052" s="12" t="s">
        <v>9587</v>
      </c>
      <c r="G2052" t="s">
        <v>9588</v>
      </c>
      <c r="H2052" t="s">
        <v>9589</v>
      </c>
    </row>
    <row r="2053" spans="1:8" ht="15.75" customHeight="1">
      <c r="A2053" t="s">
        <v>4568</v>
      </c>
      <c r="B2053" t="s">
        <v>4569</v>
      </c>
      <c r="C2053" t="s">
        <v>9585</v>
      </c>
      <c r="E2053" s="12" t="s">
        <v>9586</v>
      </c>
      <c r="F2053" s="12" t="s">
        <v>9590</v>
      </c>
      <c r="G2053" t="s">
        <v>9591</v>
      </c>
      <c r="H2053" t="s">
        <v>9592</v>
      </c>
    </row>
    <row r="2054" spans="1:8" ht="15.75" customHeight="1">
      <c r="A2054" t="s">
        <v>4571</v>
      </c>
      <c r="B2054" t="s">
        <v>4572</v>
      </c>
      <c r="C2054" t="s">
        <v>9593</v>
      </c>
      <c r="E2054" s="12" t="s">
        <v>9594</v>
      </c>
      <c r="F2054" s="12" t="s">
        <v>9595</v>
      </c>
      <c r="G2054" t="s">
        <v>9596</v>
      </c>
      <c r="H2054" t="s">
        <v>9597</v>
      </c>
    </row>
    <row r="2055" spans="1:8" ht="15.75" customHeight="1">
      <c r="A2055" t="s">
        <v>4575</v>
      </c>
      <c r="B2055" t="s">
        <v>4576</v>
      </c>
      <c r="C2055" t="s">
        <v>9598</v>
      </c>
      <c r="E2055" s="12" t="s">
        <v>9599</v>
      </c>
      <c r="F2055" s="12" t="s">
        <v>9600</v>
      </c>
      <c r="G2055" t="s">
        <v>9601</v>
      </c>
      <c r="H2055" t="s">
        <v>9602</v>
      </c>
    </row>
    <row r="2056" spans="1:8" ht="15.75" customHeight="1">
      <c r="A2056" t="s">
        <v>4579</v>
      </c>
      <c r="B2056" t="s">
        <v>4580</v>
      </c>
      <c r="C2056" t="s">
        <v>9603</v>
      </c>
      <c r="E2056" s="12" t="s">
        <v>9604</v>
      </c>
      <c r="F2056" s="12" t="s">
        <v>9605</v>
      </c>
      <c r="G2056" t="s">
        <v>9606</v>
      </c>
      <c r="H2056" t="s">
        <v>9607</v>
      </c>
    </row>
    <row r="2057" spans="1:8" ht="15.75" customHeight="1">
      <c r="A2057" t="s">
        <v>4579</v>
      </c>
      <c r="B2057" t="s">
        <v>4580</v>
      </c>
      <c r="C2057" t="s">
        <v>9608</v>
      </c>
      <c r="E2057" s="12" t="s">
        <v>9609</v>
      </c>
      <c r="F2057" s="12" t="s">
        <v>9610</v>
      </c>
      <c r="G2057" t="s">
        <v>9611</v>
      </c>
      <c r="H2057" t="s">
        <v>9612</v>
      </c>
    </row>
    <row r="2058" spans="1:8" ht="15.75" customHeight="1">
      <c r="A2058" t="s">
        <v>4582</v>
      </c>
      <c r="B2058" t="s">
        <v>4583</v>
      </c>
    </row>
    <row r="2059" spans="1:8" ht="15.75" customHeight="1">
      <c r="A2059" t="s">
        <v>4586</v>
      </c>
      <c r="B2059" t="s">
        <v>4587</v>
      </c>
      <c r="C2059" t="s">
        <v>9613</v>
      </c>
      <c r="E2059" s="12" t="s">
        <v>9614</v>
      </c>
      <c r="F2059" s="12" t="s">
        <v>9615</v>
      </c>
      <c r="G2059" t="s">
        <v>9616</v>
      </c>
      <c r="H2059" t="s">
        <v>9617</v>
      </c>
    </row>
    <row r="2060" spans="1:8" ht="15.75" customHeight="1">
      <c r="A2060" t="s">
        <v>4590</v>
      </c>
      <c r="B2060" t="s">
        <v>4591</v>
      </c>
      <c r="C2060" t="s">
        <v>9618</v>
      </c>
      <c r="E2060" s="12" t="s">
        <v>9619</v>
      </c>
      <c r="F2060" s="12" t="s">
        <v>9620</v>
      </c>
      <c r="G2060" t="s">
        <v>9621</v>
      </c>
      <c r="H2060" t="s">
        <v>9622</v>
      </c>
    </row>
    <row r="2061" spans="1:8" ht="15.75" customHeight="1">
      <c r="A2061" t="s">
        <v>4594</v>
      </c>
      <c r="B2061" t="s">
        <v>4595</v>
      </c>
      <c r="C2061" t="s">
        <v>9623</v>
      </c>
      <c r="E2061" s="12" t="s">
        <v>9624</v>
      </c>
      <c r="F2061" s="12" t="s">
        <v>9625</v>
      </c>
      <c r="G2061" t="s">
        <v>9626</v>
      </c>
      <c r="H2061" t="s">
        <v>9627</v>
      </c>
    </row>
    <row r="2062" spans="1:8" ht="15.75" customHeight="1">
      <c r="A2062" t="s">
        <v>4594</v>
      </c>
      <c r="B2062" t="s">
        <v>4595</v>
      </c>
      <c r="C2062" t="s">
        <v>9623</v>
      </c>
      <c r="E2062" s="12" t="s">
        <v>9624</v>
      </c>
      <c r="F2062" s="12" t="s">
        <v>9628</v>
      </c>
      <c r="G2062" t="s">
        <v>9629</v>
      </c>
      <c r="H2062" t="s">
        <v>9630</v>
      </c>
    </row>
    <row r="2063" spans="1:8" ht="15.75" customHeight="1">
      <c r="A2063" t="s">
        <v>4598</v>
      </c>
      <c r="B2063" t="s">
        <v>4599</v>
      </c>
    </row>
    <row r="2064" spans="1:8" ht="15.75" customHeight="1">
      <c r="A2064" t="s">
        <v>4602</v>
      </c>
      <c r="B2064" t="s">
        <v>4603</v>
      </c>
    </row>
    <row r="2065" spans="1:8" ht="15.75" customHeight="1">
      <c r="A2065" t="s">
        <v>4605</v>
      </c>
      <c r="B2065" t="s">
        <v>4606</v>
      </c>
      <c r="C2065" t="s">
        <v>7547</v>
      </c>
    </row>
    <row r="2066" spans="1:8" ht="15.75" customHeight="1">
      <c r="A2066" t="s">
        <v>4608</v>
      </c>
      <c r="B2066" t="s">
        <v>4609</v>
      </c>
      <c r="C2066" t="s">
        <v>7544</v>
      </c>
    </row>
    <row r="2067" spans="1:8" ht="15.75" customHeight="1">
      <c r="A2067" t="s">
        <v>4608</v>
      </c>
      <c r="B2067" t="s">
        <v>4609</v>
      </c>
      <c r="C2067" t="s">
        <v>8997</v>
      </c>
      <c r="E2067" s="12" t="s">
        <v>8998</v>
      </c>
      <c r="F2067" s="12" t="s">
        <v>9631</v>
      </c>
      <c r="G2067" t="s">
        <v>9632</v>
      </c>
      <c r="H2067" t="s">
        <v>9633</v>
      </c>
    </row>
    <row r="2068" spans="1:8" ht="15.75" customHeight="1">
      <c r="A2068" t="s">
        <v>4608</v>
      </c>
      <c r="B2068" t="s">
        <v>4609</v>
      </c>
      <c r="C2068" t="s">
        <v>8997</v>
      </c>
      <c r="E2068" s="12" t="s">
        <v>8998</v>
      </c>
      <c r="F2068" s="12" t="s">
        <v>9634</v>
      </c>
      <c r="G2068" t="s">
        <v>9635</v>
      </c>
      <c r="H2068" t="s">
        <v>9636</v>
      </c>
    </row>
    <row r="2069" spans="1:8" ht="15.75" customHeight="1">
      <c r="A2069" t="s">
        <v>4610</v>
      </c>
      <c r="B2069" t="s">
        <v>4611</v>
      </c>
    </row>
    <row r="2070" spans="1:8" ht="15.75" customHeight="1">
      <c r="A2070" t="s">
        <v>4612</v>
      </c>
      <c r="B2070" t="s">
        <v>4613</v>
      </c>
    </row>
    <row r="2071" spans="1:8" ht="15.75" customHeight="1">
      <c r="A2071" t="s">
        <v>4616</v>
      </c>
      <c r="B2071" t="s">
        <v>4617</v>
      </c>
    </row>
    <row r="2072" spans="1:8" ht="15.75" customHeight="1">
      <c r="A2072" t="s">
        <v>4620</v>
      </c>
      <c r="B2072" t="s">
        <v>4621</v>
      </c>
      <c r="C2072" t="s">
        <v>7445</v>
      </c>
      <c r="E2072" s="12" t="s">
        <v>7446</v>
      </c>
      <c r="F2072" s="12" t="s">
        <v>7447</v>
      </c>
      <c r="G2072" t="s">
        <v>7448</v>
      </c>
      <c r="H2072" t="s">
        <v>7449</v>
      </c>
    </row>
    <row r="2073" spans="1:8" ht="15.75" customHeight="1">
      <c r="A2073" t="s">
        <v>4620</v>
      </c>
      <c r="B2073" t="s">
        <v>4621</v>
      </c>
      <c r="C2073" t="s">
        <v>7445</v>
      </c>
      <c r="E2073" s="12" t="s">
        <v>7446</v>
      </c>
      <c r="F2073" s="12" t="s">
        <v>7450</v>
      </c>
      <c r="G2073" t="s">
        <v>9637</v>
      </c>
      <c r="H2073" t="s">
        <v>7451</v>
      </c>
    </row>
    <row r="2074" spans="1:8" ht="15.75" customHeight="1">
      <c r="A2074" t="s">
        <v>4623</v>
      </c>
      <c r="B2074" t="s">
        <v>4624</v>
      </c>
      <c r="C2074" t="s">
        <v>9638</v>
      </c>
      <c r="E2074" s="12" t="s">
        <v>9639</v>
      </c>
      <c r="F2074" s="12" t="s">
        <v>9640</v>
      </c>
      <c r="G2074" t="s">
        <v>9641</v>
      </c>
      <c r="H2074" t="s">
        <v>9642</v>
      </c>
    </row>
    <row r="2075" spans="1:8" ht="15.75" customHeight="1">
      <c r="A2075" t="s">
        <v>4625</v>
      </c>
      <c r="B2075" t="s">
        <v>4626</v>
      </c>
    </row>
    <row r="2076" spans="1:8" ht="15.75" customHeight="1">
      <c r="A2076" t="s">
        <v>4629</v>
      </c>
      <c r="B2076" t="s">
        <v>4630</v>
      </c>
    </row>
    <row r="2077" spans="1:8" ht="15.75" customHeight="1">
      <c r="A2077" t="s">
        <v>4632</v>
      </c>
      <c r="B2077" t="s">
        <v>4633</v>
      </c>
      <c r="C2077" t="s">
        <v>7175</v>
      </c>
    </row>
    <row r="2078" spans="1:8" ht="15.75" customHeight="1">
      <c r="A2078" t="s">
        <v>4635</v>
      </c>
      <c r="B2078" t="s">
        <v>4636</v>
      </c>
      <c r="C2078" t="s">
        <v>7175</v>
      </c>
    </row>
    <row r="2079" spans="1:8" ht="15.75" customHeight="1">
      <c r="A2079" t="s">
        <v>4638</v>
      </c>
      <c r="B2079" t="s">
        <v>4639</v>
      </c>
      <c r="C2079" t="s">
        <v>9643</v>
      </c>
      <c r="E2079" s="12" t="s">
        <v>9644</v>
      </c>
      <c r="F2079" s="12" t="s">
        <v>9645</v>
      </c>
      <c r="G2079" t="s">
        <v>9646</v>
      </c>
      <c r="H2079" t="s">
        <v>9647</v>
      </c>
    </row>
    <row r="2080" spans="1:8" ht="15.75" customHeight="1">
      <c r="A2080" t="s">
        <v>4642</v>
      </c>
      <c r="B2080" t="s">
        <v>4643</v>
      </c>
    </row>
    <row r="2081" spans="1:8" ht="15.75" customHeight="1">
      <c r="A2081" t="s">
        <v>4646</v>
      </c>
      <c r="B2081" t="s">
        <v>4647</v>
      </c>
    </row>
    <row r="2082" spans="1:8" ht="15.75" customHeight="1">
      <c r="A2082" t="s">
        <v>4649</v>
      </c>
      <c r="B2082" t="s">
        <v>4650</v>
      </c>
    </row>
    <row r="2083" spans="1:8" ht="15.75" customHeight="1">
      <c r="A2083" t="s">
        <v>4652</v>
      </c>
      <c r="B2083" t="s">
        <v>4653</v>
      </c>
    </row>
    <row r="2084" spans="1:8" ht="15.75" customHeight="1">
      <c r="A2084" t="s">
        <v>4654</v>
      </c>
      <c r="B2084" t="s">
        <v>4655</v>
      </c>
    </row>
    <row r="2085" spans="1:8" ht="15.75" customHeight="1">
      <c r="A2085" t="s">
        <v>4658</v>
      </c>
      <c r="B2085" t="s">
        <v>4659</v>
      </c>
      <c r="C2085" t="s">
        <v>9648</v>
      </c>
      <c r="E2085" s="12" t="s">
        <v>9649</v>
      </c>
      <c r="F2085" s="12" t="s">
        <v>9650</v>
      </c>
      <c r="G2085" t="s">
        <v>9651</v>
      </c>
      <c r="H2085" t="s">
        <v>9652</v>
      </c>
    </row>
    <row r="2086" spans="1:8" ht="15.75" customHeight="1">
      <c r="A2086" t="s">
        <v>4658</v>
      </c>
      <c r="B2086" t="s">
        <v>4659</v>
      </c>
      <c r="C2086" t="s">
        <v>9648</v>
      </c>
      <c r="E2086" s="12" t="s">
        <v>9649</v>
      </c>
      <c r="G2086" t="s">
        <v>9653</v>
      </c>
      <c r="H2086" t="s">
        <v>9652</v>
      </c>
    </row>
    <row r="2087" spans="1:8" ht="15.75" customHeight="1">
      <c r="A2087" t="s">
        <v>4662</v>
      </c>
      <c r="B2087" t="s">
        <v>4663</v>
      </c>
      <c r="C2087" t="s">
        <v>9648</v>
      </c>
      <c r="E2087" s="12" t="s">
        <v>9649</v>
      </c>
      <c r="F2087" s="12" t="s">
        <v>9650</v>
      </c>
      <c r="G2087" t="s">
        <v>9651</v>
      </c>
      <c r="H2087" t="s">
        <v>9652</v>
      </c>
    </row>
    <row r="2088" spans="1:8" ht="15.75" customHeight="1">
      <c r="A2088" t="s">
        <v>4662</v>
      </c>
      <c r="B2088" t="s">
        <v>4663</v>
      </c>
      <c r="C2088" t="s">
        <v>9648</v>
      </c>
      <c r="E2088" s="12" t="s">
        <v>9649</v>
      </c>
      <c r="G2088" t="s">
        <v>9653</v>
      </c>
      <c r="H2088" t="s">
        <v>9652</v>
      </c>
    </row>
    <row r="2089" spans="1:8" ht="15.75" customHeight="1">
      <c r="A2089" t="s">
        <v>4665</v>
      </c>
      <c r="B2089" t="s">
        <v>4666</v>
      </c>
    </row>
    <row r="2090" spans="1:8" ht="15.75" customHeight="1">
      <c r="A2090" t="s">
        <v>4669</v>
      </c>
      <c r="B2090" t="s">
        <v>4670</v>
      </c>
    </row>
    <row r="2091" spans="1:8" ht="15.75" customHeight="1">
      <c r="A2091" t="s">
        <v>4671</v>
      </c>
      <c r="B2091" t="s">
        <v>4672</v>
      </c>
    </row>
    <row r="2092" spans="1:8" ht="15.75" customHeight="1">
      <c r="A2092" t="s">
        <v>4674</v>
      </c>
      <c r="B2092" t="s">
        <v>4675</v>
      </c>
    </row>
    <row r="2093" spans="1:8" ht="15.75" customHeight="1">
      <c r="A2093" t="s">
        <v>4676</v>
      </c>
      <c r="B2093" t="s">
        <v>4677</v>
      </c>
    </row>
    <row r="2094" spans="1:8" ht="15.75" customHeight="1">
      <c r="A2094" t="s">
        <v>4679</v>
      </c>
      <c r="B2094" t="s">
        <v>4680</v>
      </c>
    </row>
    <row r="2095" spans="1:8" ht="15.75" customHeight="1">
      <c r="A2095" t="s">
        <v>4682</v>
      </c>
      <c r="B2095" t="s">
        <v>4683</v>
      </c>
    </row>
    <row r="2096" spans="1:8" ht="15.75" customHeight="1">
      <c r="A2096" t="s">
        <v>4684</v>
      </c>
      <c r="B2096" t="s">
        <v>4685</v>
      </c>
    </row>
    <row r="2097" spans="1:8" ht="15.75" customHeight="1">
      <c r="A2097" t="s">
        <v>4687</v>
      </c>
      <c r="B2097" t="s">
        <v>4688</v>
      </c>
      <c r="C2097" t="s">
        <v>9135</v>
      </c>
      <c r="E2097" s="12" t="s">
        <v>9136</v>
      </c>
      <c r="F2097" s="12" t="s">
        <v>9137</v>
      </c>
      <c r="G2097" t="s">
        <v>9138</v>
      </c>
      <c r="H2097" t="s">
        <v>9139</v>
      </c>
    </row>
    <row r="2098" spans="1:8" ht="15.75" customHeight="1">
      <c r="A2098" t="s">
        <v>4687</v>
      </c>
      <c r="B2098" t="s">
        <v>4688</v>
      </c>
      <c r="C2098" t="s">
        <v>9135</v>
      </c>
      <c r="E2098" s="12" t="s">
        <v>9136</v>
      </c>
      <c r="F2098" s="12" t="s">
        <v>9140</v>
      </c>
      <c r="G2098" t="s">
        <v>9141</v>
      </c>
      <c r="H2098" t="s">
        <v>9142</v>
      </c>
    </row>
    <row r="2099" spans="1:8" ht="15.75" customHeight="1">
      <c r="A2099" t="s">
        <v>4691</v>
      </c>
      <c r="B2099" t="s">
        <v>4692</v>
      </c>
      <c r="C2099" t="s">
        <v>9654</v>
      </c>
      <c r="E2099" s="12" t="s">
        <v>9655</v>
      </c>
      <c r="F2099" s="12" t="s">
        <v>9656</v>
      </c>
      <c r="G2099" t="s">
        <v>9657</v>
      </c>
      <c r="H2099" t="s">
        <v>9658</v>
      </c>
    </row>
    <row r="2100" spans="1:8" ht="15.75" customHeight="1">
      <c r="A2100" t="s">
        <v>4691</v>
      </c>
      <c r="B2100" t="s">
        <v>4692</v>
      </c>
      <c r="C2100" t="s">
        <v>9654</v>
      </c>
      <c r="E2100" s="12" t="s">
        <v>9655</v>
      </c>
      <c r="F2100" s="12" t="s">
        <v>9659</v>
      </c>
      <c r="G2100" t="s">
        <v>9657</v>
      </c>
      <c r="H2100" t="s">
        <v>9146</v>
      </c>
    </row>
    <row r="2101" spans="1:8" ht="15.75" customHeight="1">
      <c r="A2101" t="s">
        <v>4691</v>
      </c>
      <c r="B2101" t="s">
        <v>4692</v>
      </c>
      <c r="C2101" t="s">
        <v>9654</v>
      </c>
      <c r="E2101" s="12" t="s">
        <v>9655</v>
      </c>
      <c r="F2101" s="12" t="s">
        <v>9660</v>
      </c>
      <c r="G2101" t="s">
        <v>9146</v>
      </c>
      <c r="H2101" t="s">
        <v>9658</v>
      </c>
    </row>
    <row r="2102" spans="1:8" ht="15.75" customHeight="1">
      <c r="A2102" t="s">
        <v>4695</v>
      </c>
      <c r="B2102" t="s">
        <v>4696</v>
      </c>
    </row>
    <row r="2103" spans="1:8" ht="15.75" customHeight="1">
      <c r="A2103" t="s">
        <v>4698</v>
      </c>
      <c r="B2103" t="s">
        <v>4699</v>
      </c>
    </row>
    <row r="2104" spans="1:8" ht="15.75" customHeight="1">
      <c r="A2104" t="s">
        <v>4702</v>
      </c>
      <c r="B2104" t="s">
        <v>4703</v>
      </c>
    </row>
    <row r="2105" spans="1:8" ht="15.75" customHeight="1">
      <c r="A2105" t="s">
        <v>4705</v>
      </c>
      <c r="B2105" t="s">
        <v>4706</v>
      </c>
      <c r="C2105" t="s">
        <v>7175</v>
      </c>
    </row>
    <row r="2106" spans="1:8" ht="15.75" customHeight="1">
      <c r="A2106" t="s">
        <v>4707</v>
      </c>
      <c r="B2106" t="s">
        <v>4708</v>
      </c>
    </row>
    <row r="2107" spans="1:8" ht="15.75" customHeight="1">
      <c r="A2107" t="s">
        <v>4711</v>
      </c>
      <c r="B2107" t="s">
        <v>4712</v>
      </c>
      <c r="C2107" t="s">
        <v>9661</v>
      </c>
      <c r="E2107" s="12" t="s">
        <v>9662</v>
      </c>
      <c r="F2107" s="12" t="s">
        <v>9663</v>
      </c>
      <c r="G2107" t="s">
        <v>9664</v>
      </c>
      <c r="H2107" t="s">
        <v>9665</v>
      </c>
    </row>
    <row r="2108" spans="1:8" ht="15.75" customHeight="1">
      <c r="A2108" t="s">
        <v>4715</v>
      </c>
      <c r="B2108" t="s">
        <v>4716</v>
      </c>
      <c r="C2108" t="s">
        <v>8574</v>
      </c>
      <c r="E2108" s="12" t="s">
        <v>8575</v>
      </c>
      <c r="F2108" s="12" t="s">
        <v>8576</v>
      </c>
      <c r="G2108" t="s">
        <v>8577</v>
      </c>
      <c r="H2108" t="s">
        <v>8578</v>
      </c>
    </row>
    <row r="2109" spans="1:8" ht="15.75" customHeight="1">
      <c r="A2109" t="s">
        <v>4715</v>
      </c>
      <c r="B2109" t="s">
        <v>4716</v>
      </c>
      <c r="C2109" t="s">
        <v>8574</v>
      </c>
      <c r="E2109" s="12" t="s">
        <v>8575</v>
      </c>
      <c r="F2109" s="12" t="s">
        <v>8579</v>
      </c>
      <c r="G2109" t="s">
        <v>8580</v>
      </c>
      <c r="H2109" t="s">
        <v>8581</v>
      </c>
    </row>
    <row r="2110" spans="1:8" ht="15.75" customHeight="1">
      <c r="A2110" t="s">
        <v>4715</v>
      </c>
      <c r="B2110" t="s">
        <v>4716</v>
      </c>
      <c r="C2110" t="s">
        <v>8574</v>
      </c>
      <c r="E2110" s="12" t="s">
        <v>8575</v>
      </c>
      <c r="F2110" s="12" t="s">
        <v>8582</v>
      </c>
      <c r="G2110" t="s">
        <v>8583</v>
      </c>
      <c r="H2110" t="s">
        <v>8584</v>
      </c>
    </row>
    <row r="2111" spans="1:8" ht="15.75" customHeight="1">
      <c r="A2111" t="s">
        <v>4718</v>
      </c>
      <c r="B2111" t="s">
        <v>4719</v>
      </c>
      <c r="C2111" t="s">
        <v>9143</v>
      </c>
      <c r="E2111" s="12" t="s">
        <v>9144</v>
      </c>
      <c r="F2111" s="12" t="s">
        <v>9145</v>
      </c>
      <c r="G2111" t="s">
        <v>9146</v>
      </c>
      <c r="H2111" t="s">
        <v>9147</v>
      </c>
    </row>
    <row r="2112" spans="1:8" ht="15.75" customHeight="1">
      <c r="A2112" t="s">
        <v>4718</v>
      </c>
      <c r="B2112" t="s">
        <v>4719</v>
      </c>
      <c r="C2112" t="s">
        <v>9143</v>
      </c>
      <c r="E2112" s="12" t="s">
        <v>9144</v>
      </c>
      <c r="F2112" s="12" t="s">
        <v>9148</v>
      </c>
      <c r="G2112" t="s">
        <v>9149</v>
      </c>
      <c r="H2112" t="s">
        <v>9147</v>
      </c>
    </row>
    <row r="2113" spans="1:8" ht="15.75" customHeight="1">
      <c r="A2113" t="s">
        <v>4721</v>
      </c>
      <c r="B2113" t="s">
        <v>4722</v>
      </c>
    </row>
    <row r="2114" spans="1:8" ht="15.75" customHeight="1">
      <c r="A2114" t="s">
        <v>4723</v>
      </c>
      <c r="B2114" t="s">
        <v>4724</v>
      </c>
    </row>
    <row r="2115" spans="1:8" ht="15.75" customHeight="1">
      <c r="A2115" t="s">
        <v>4725</v>
      </c>
      <c r="B2115" t="s">
        <v>4726</v>
      </c>
    </row>
    <row r="2116" spans="1:8" ht="15.75" customHeight="1">
      <c r="A2116" t="s">
        <v>4727</v>
      </c>
      <c r="B2116" t="s">
        <v>4728</v>
      </c>
    </row>
    <row r="2117" spans="1:8" ht="15.75" customHeight="1">
      <c r="A2117" t="s">
        <v>4731</v>
      </c>
      <c r="B2117" t="s">
        <v>4732</v>
      </c>
      <c r="C2117" t="s">
        <v>8781</v>
      </c>
      <c r="E2117" s="12" t="s">
        <v>8782</v>
      </c>
    </row>
    <row r="2118" spans="1:8" ht="15.75" customHeight="1">
      <c r="A2118" t="s">
        <v>4733</v>
      </c>
      <c r="B2118" t="s">
        <v>4734</v>
      </c>
    </row>
    <row r="2119" spans="1:8" ht="15.75" customHeight="1">
      <c r="A2119" t="s">
        <v>4737</v>
      </c>
      <c r="B2119" t="s">
        <v>4738</v>
      </c>
      <c r="C2119" t="s">
        <v>9666</v>
      </c>
    </row>
    <row r="2120" spans="1:8" ht="15.75" customHeight="1">
      <c r="A2120" t="s">
        <v>4737</v>
      </c>
      <c r="B2120" t="s">
        <v>4738</v>
      </c>
      <c r="C2120" t="s">
        <v>9667</v>
      </c>
      <c r="E2120" s="12" t="s">
        <v>9668</v>
      </c>
      <c r="F2120" s="12" t="s">
        <v>9669</v>
      </c>
      <c r="G2120" t="s">
        <v>9670</v>
      </c>
      <c r="H2120" t="s">
        <v>9671</v>
      </c>
    </row>
    <row r="2121" spans="1:8" ht="15.75" customHeight="1">
      <c r="A2121" t="s">
        <v>4737</v>
      </c>
      <c r="B2121" t="s">
        <v>4738</v>
      </c>
      <c r="C2121" t="s">
        <v>9667</v>
      </c>
      <c r="E2121" s="12" t="s">
        <v>9668</v>
      </c>
      <c r="F2121" s="12" t="s">
        <v>9672</v>
      </c>
      <c r="G2121" t="s">
        <v>9673</v>
      </c>
      <c r="H2121" t="s">
        <v>9674</v>
      </c>
    </row>
    <row r="2122" spans="1:8" ht="15.75" customHeight="1">
      <c r="A2122" t="s">
        <v>4737</v>
      </c>
      <c r="B2122" t="s">
        <v>4738</v>
      </c>
      <c r="C2122" t="s">
        <v>9667</v>
      </c>
      <c r="E2122" s="12" t="s">
        <v>9668</v>
      </c>
      <c r="F2122" s="12" t="s">
        <v>9675</v>
      </c>
      <c r="G2122" t="s">
        <v>9676</v>
      </c>
      <c r="H2122" t="s">
        <v>9677</v>
      </c>
    </row>
    <row r="2123" spans="1:8" ht="15.75" customHeight="1">
      <c r="A2123" t="s">
        <v>4739</v>
      </c>
      <c r="B2123" t="s">
        <v>4740</v>
      </c>
    </row>
    <row r="2124" spans="1:8" ht="15.75" customHeight="1">
      <c r="A2124" t="s">
        <v>4743</v>
      </c>
      <c r="B2124" t="s">
        <v>4744</v>
      </c>
      <c r="C2124" t="s">
        <v>9170</v>
      </c>
    </row>
    <row r="2125" spans="1:8" ht="15.75" customHeight="1">
      <c r="A2125" t="s">
        <v>4746</v>
      </c>
      <c r="B2125" t="s">
        <v>4747</v>
      </c>
      <c r="C2125" t="s">
        <v>9170</v>
      </c>
    </row>
    <row r="2126" spans="1:8" ht="15.75" customHeight="1">
      <c r="A2126" t="s">
        <v>4749</v>
      </c>
      <c r="B2126" t="s">
        <v>4750</v>
      </c>
    </row>
    <row r="2127" spans="1:8" ht="15.75" customHeight="1">
      <c r="A2127" t="s">
        <v>4753</v>
      </c>
      <c r="B2127" t="s">
        <v>4754</v>
      </c>
    </row>
    <row r="2128" spans="1:8" ht="15.75" customHeight="1">
      <c r="A2128" t="s">
        <v>4757</v>
      </c>
      <c r="B2128" t="s">
        <v>4758</v>
      </c>
      <c r="C2128" t="s">
        <v>7739</v>
      </c>
    </row>
    <row r="2129" spans="1:8" ht="15.75" customHeight="1">
      <c r="A2129" t="s">
        <v>4760</v>
      </c>
      <c r="B2129" t="s">
        <v>4761</v>
      </c>
    </row>
    <row r="2130" spans="1:8" ht="15.75" customHeight="1">
      <c r="A2130" t="s">
        <v>4763</v>
      </c>
      <c r="B2130" t="s">
        <v>4764</v>
      </c>
      <c r="C2130" t="s">
        <v>9623</v>
      </c>
      <c r="E2130" s="12" t="s">
        <v>9624</v>
      </c>
      <c r="F2130" s="12" t="s">
        <v>9625</v>
      </c>
      <c r="G2130" t="s">
        <v>9626</v>
      </c>
      <c r="H2130" t="s">
        <v>9627</v>
      </c>
    </row>
    <row r="2131" spans="1:8" ht="15.75" customHeight="1">
      <c r="A2131" t="s">
        <v>4763</v>
      </c>
      <c r="B2131" t="s">
        <v>4764</v>
      </c>
      <c r="C2131" t="s">
        <v>9623</v>
      </c>
      <c r="E2131" s="12" t="s">
        <v>9624</v>
      </c>
      <c r="F2131" s="12" t="s">
        <v>9628</v>
      </c>
      <c r="G2131" t="s">
        <v>9629</v>
      </c>
      <c r="H2131" t="s">
        <v>9630</v>
      </c>
    </row>
    <row r="2132" spans="1:8" ht="15.75" customHeight="1">
      <c r="A2132" t="s">
        <v>4767</v>
      </c>
      <c r="B2132" t="s">
        <v>4768</v>
      </c>
    </row>
    <row r="2133" spans="1:8" ht="15.75" customHeight="1">
      <c r="A2133" t="s">
        <v>4770</v>
      </c>
      <c r="B2133" t="s">
        <v>4771</v>
      </c>
    </row>
    <row r="2134" spans="1:8" ht="15.75" customHeight="1">
      <c r="A2134" t="s">
        <v>4774</v>
      </c>
      <c r="B2134" t="s">
        <v>4775</v>
      </c>
    </row>
    <row r="2135" spans="1:8" ht="15.75" customHeight="1">
      <c r="B2135" t="s">
        <v>4776</v>
      </c>
    </row>
    <row r="2136" spans="1:8" ht="15.75" customHeight="1">
      <c r="A2136" t="s">
        <v>4778</v>
      </c>
      <c r="B2136" t="s">
        <v>4779</v>
      </c>
    </row>
    <row r="2137" spans="1:8" ht="15.75" customHeight="1">
      <c r="A2137" t="s">
        <v>4780</v>
      </c>
      <c r="B2137" t="s">
        <v>4781</v>
      </c>
      <c r="C2137" t="s">
        <v>9012</v>
      </c>
    </row>
    <row r="2138" spans="1:8" ht="15.75" customHeight="1">
      <c r="A2138" t="s">
        <v>4783</v>
      </c>
      <c r="B2138" t="s">
        <v>4784</v>
      </c>
    </row>
    <row r="2139" spans="1:8" ht="15.75" customHeight="1">
      <c r="A2139" t="s">
        <v>4785</v>
      </c>
      <c r="B2139" t="s">
        <v>4786</v>
      </c>
    </row>
    <row r="2140" spans="1:8" ht="15.75" customHeight="1">
      <c r="A2140" t="s">
        <v>4787</v>
      </c>
      <c r="B2140" t="s">
        <v>4788</v>
      </c>
    </row>
    <row r="2141" spans="1:8" ht="15.75" customHeight="1">
      <c r="A2141" t="s">
        <v>4791</v>
      </c>
      <c r="B2141" t="s">
        <v>4792</v>
      </c>
    </row>
    <row r="2142" spans="1:8" ht="15.75" customHeight="1">
      <c r="A2142" t="s">
        <v>4795</v>
      </c>
      <c r="B2142" t="s">
        <v>4796</v>
      </c>
    </row>
    <row r="2143" spans="1:8" ht="15.75" customHeight="1">
      <c r="A2143" t="s">
        <v>4799</v>
      </c>
      <c r="B2143" t="s">
        <v>4800</v>
      </c>
      <c r="C2143" t="s">
        <v>8684</v>
      </c>
    </row>
    <row r="2144" spans="1:8" ht="15.75" customHeight="1">
      <c r="A2144" t="s">
        <v>4803</v>
      </c>
      <c r="B2144" t="s">
        <v>4804</v>
      </c>
    </row>
    <row r="2145" spans="1:8" ht="15.75" customHeight="1">
      <c r="A2145" t="s">
        <v>4807</v>
      </c>
      <c r="B2145" t="s">
        <v>4808</v>
      </c>
      <c r="C2145" t="s">
        <v>7823</v>
      </c>
    </row>
    <row r="2146" spans="1:8" ht="15.75" customHeight="1">
      <c r="A2146" t="s">
        <v>4810</v>
      </c>
      <c r="B2146" t="s">
        <v>4811</v>
      </c>
    </row>
    <row r="2147" spans="1:8" ht="15.75" customHeight="1">
      <c r="A2147" t="s">
        <v>4813</v>
      </c>
      <c r="B2147" t="s">
        <v>4814</v>
      </c>
    </row>
    <row r="2148" spans="1:8" ht="15.75" customHeight="1">
      <c r="A2148" t="s">
        <v>4817</v>
      </c>
      <c r="B2148" t="s">
        <v>4818</v>
      </c>
      <c r="C2148" t="s">
        <v>9678</v>
      </c>
      <c r="E2148" s="12" t="s">
        <v>9679</v>
      </c>
    </row>
    <row r="2149" spans="1:8" ht="15.75" customHeight="1">
      <c r="A2149" t="s">
        <v>4821</v>
      </c>
      <c r="B2149" t="s">
        <v>4822</v>
      </c>
    </row>
    <row r="2150" spans="1:8" ht="15.75" customHeight="1">
      <c r="A2150" t="s">
        <v>4825</v>
      </c>
      <c r="B2150" t="s">
        <v>4826</v>
      </c>
      <c r="C2150" t="s">
        <v>9680</v>
      </c>
      <c r="E2150" s="12" t="s">
        <v>9681</v>
      </c>
      <c r="F2150" s="12" t="s">
        <v>9682</v>
      </c>
      <c r="G2150" t="s">
        <v>9683</v>
      </c>
      <c r="H2150" t="s">
        <v>9684</v>
      </c>
    </row>
    <row r="2151" spans="1:8" ht="15.75" customHeight="1">
      <c r="A2151" t="s">
        <v>4829</v>
      </c>
      <c r="B2151" t="s">
        <v>4830</v>
      </c>
      <c r="C2151" t="s">
        <v>9685</v>
      </c>
      <c r="E2151" s="12" t="s">
        <v>9686</v>
      </c>
      <c r="F2151" s="12" t="s">
        <v>7159</v>
      </c>
      <c r="G2151" t="s">
        <v>7160</v>
      </c>
      <c r="H2151" t="s">
        <v>7161</v>
      </c>
    </row>
    <row r="2152" spans="1:8" ht="15.75" customHeight="1">
      <c r="A2152" t="s">
        <v>4829</v>
      </c>
      <c r="B2152" t="s">
        <v>4830</v>
      </c>
      <c r="C2152" t="s">
        <v>9685</v>
      </c>
      <c r="E2152" s="12" t="s">
        <v>9686</v>
      </c>
      <c r="F2152" s="12" t="s">
        <v>9687</v>
      </c>
      <c r="G2152" t="s">
        <v>9688</v>
      </c>
      <c r="H2152" t="s">
        <v>9689</v>
      </c>
    </row>
    <row r="2153" spans="1:8" ht="15.75" customHeight="1">
      <c r="A2153" t="s">
        <v>4829</v>
      </c>
      <c r="B2153" t="s">
        <v>4830</v>
      </c>
      <c r="C2153" t="s">
        <v>9685</v>
      </c>
      <c r="E2153" s="12" t="s">
        <v>9686</v>
      </c>
      <c r="F2153" s="12" t="s">
        <v>8407</v>
      </c>
      <c r="G2153" t="s">
        <v>8408</v>
      </c>
      <c r="H2153" t="s">
        <v>8409</v>
      </c>
    </row>
    <row r="2154" spans="1:8" ht="15.75" customHeight="1">
      <c r="A2154" t="s">
        <v>4829</v>
      </c>
      <c r="B2154" t="s">
        <v>4830</v>
      </c>
      <c r="C2154" t="s">
        <v>9685</v>
      </c>
      <c r="E2154" s="12" t="s">
        <v>9686</v>
      </c>
      <c r="F2154" s="12" t="s">
        <v>9690</v>
      </c>
      <c r="G2154" t="s">
        <v>9691</v>
      </c>
      <c r="H2154" t="s">
        <v>9692</v>
      </c>
    </row>
    <row r="2155" spans="1:8" ht="15.75" customHeight="1">
      <c r="A2155" t="s">
        <v>4829</v>
      </c>
      <c r="B2155" t="s">
        <v>4830</v>
      </c>
      <c r="C2155" t="s">
        <v>9685</v>
      </c>
      <c r="E2155" s="12" t="s">
        <v>9686</v>
      </c>
      <c r="F2155" s="12" t="s">
        <v>9693</v>
      </c>
      <c r="G2155" t="s">
        <v>9694</v>
      </c>
      <c r="H2155" t="s">
        <v>9695</v>
      </c>
    </row>
    <row r="2156" spans="1:8" ht="15.75" customHeight="1">
      <c r="A2156" t="s">
        <v>4829</v>
      </c>
      <c r="B2156" t="s">
        <v>4830</v>
      </c>
      <c r="C2156" t="s">
        <v>9685</v>
      </c>
      <c r="E2156" s="12" t="s">
        <v>9686</v>
      </c>
      <c r="F2156" s="12" t="s">
        <v>9696</v>
      </c>
      <c r="G2156" t="s">
        <v>9697</v>
      </c>
      <c r="H2156" t="s">
        <v>9698</v>
      </c>
    </row>
    <row r="2157" spans="1:8" ht="15.75" customHeight="1">
      <c r="A2157" t="s">
        <v>4833</v>
      </c>
      <c r="B2157" t="s">
        <v>4834</v>
      </c>
      <c r="C2157" t="s">
        <v>9685</v>
      </c>
      <c r="E2157" s="12" t="s">
        <v>9686</v>
      </c>
      <c r="F2157" s="12" t="s">
        <v>7159</v>
      </c>
      <c r="G2157" t="s">
        <v>7160</v>
      </c>
      <c r="H2157" t="s">
        <v>7161</v>
      </c>
    </row>
    <row r="2158" spans="1:8" ht="15.75" customHeight="1">
      <c r="A2158" t="s">
        <v>4833</v>
      </c>
      <c r="B2158" t="s">
        <v>4834</v>
      </c>
      <c r="C2158" t="s">
        <v>9685</v>
      </c>
      <c r="E2158" s="12" t="s">
        <v>9686</v>
      </c>
      <c r="F2158" s="12" t="s">
        <v>9687</v>
      </c>
      <c r="G2158" t="s">
        <v>9688</v>
      </c>
      <c r="H2158" t="s">
        <v>9689</v>
      </c>
    </row>
    <row r="2159" spans="1:8" ht="15.75" customHeight="1">
      <c r="A2159" t="s">
        <v>4833</v>
      </c>
      <c r="B2159" t="s">
        <v>4834</v>
      </c>
      <c r="C2159" t="s">
        <v>9685</v>
      </c>
      <c r="E2159" s="12" t="s">
        <v>9686</v>
      </c>
      <c r="F2159" s="12" t="s">
        <v>8407</v>
      </c>
      <c r="G2159" t="s">
        <v>8408</v>
      </c>
      <c r="H2159" t="s">
        <v>8409</v>
      </c>
    </row>
    <row r="2160" spans="1:8" ht="15.75" customHeight="1">
      <c r="A2160" t="s">
        <v>4833</v>
      </c>
      <c r="B2160" t="s">
        <v>4834</v>
      </c>
      <c r="C2160" t="s">
        <v>9685</v>
      </c>
      <c r="E2160" s="12" t="s">
        <v>9686</v>
      </c>
      <c r="F2160" s="12" t="s">
        <v>9690</v>
      </c>
      <c r="G2160" t="s">
        <v>9691</v>
      </c>
      <c r="H2160" t="s">
        <v>9692</v>
      </c>
    </row>
    <row r="2161" spans="1:8" ht="15.75" customHeight="1">
      <c r="A2161" t="s">
        <v>4833</v>
      </c>
      <c r="B2161" t="s">
        <v>4834</v>
      </c>
      <c r="C2161" t="s">
        <v>9685</v>
      </c>
      <c r="E2161" s="12" t="s">
        <v>9686</v>
      </c>
      <c r="F2161" s="12" t="s">
        <v>9693</v>
      </c>
      <c r="G2161" t="s">
        <v>9694</v>
      </c>
      <c r="H2161" t="s">
        <v>9695</v>
      </c>
    </row>
    <row r="2162" spans="1:8" ht="15.75" customHeight="1">
      <c r="A2162" t="s">
        <v>4833</v>
      </c>
      <c r="B2162" t="s">
        <v>4834</v>
      </c>
      <c r="C2162" t="s">
        <v>9685</v>
      </c>
      <c r="E2162" s="12" t="s">
        <v>9686</v>
      </c>
      <c r="F2162" s="12" t="s">
        <v>9696</v>
      </c>
      <c r="G2162" t="s">
        <v>9697</v>
      </c>
      <c r="H2162" t="s">
        <v>9698</v>
      </c>
    </row>
    <row r="2163" spans="1:8" ht="15.75" customHeight="1">
      <c r="A2163" t="s">
        <v>4837</v>
      </c>
      <c r="B2163" t="s">
        <v>4838</v>
      </c>
    </row>
    <row r="2164" spans="1:8" ht="15.75" customHeight="1">
      <c r="A2164" t="s">
        <v>4840</v>
      </c>
      <c r="B2164" t="s">
        <v>4841</v>
      </c>
    </row>
    <row r="2165" spans="1:8" ht="15.75" customHeight="1">
      <c r="A2165" t="s">
        <v>4844</v>
      </c>
      <c r="B2165" t="s">
        <v>4845</v>
      </c>
    </row>
    <row r="2166" spans="1:8" ht="15.75" customHeight="1">
      <c r="A2166" t="s">
        <v>4848</v>
      </c>
      <c r="B2166" t="s">
        <v>4849</v>
      </c>
    </row>
    <row r="2167" spans="1:8" ht="15.75" customHeight="1">
      <c r="A2167" t="s">
        <v>4852</v>
      </c>
      <c r="B2167" t="s">
        <v>4853</v>
      </c>
      <c r="C2167" t="s">
        <v>9699</v>
      </c>
      <c r="E2167" s="12" t="s">
        <v>9700</v>
      </c>
      <c r="F2167" s="12" t="s">
        <v>9701</v>
      </c>
      <c r="G2167" t="s">
        <v>9702</v>
      </c>
      <c r="H2167" t="s">
        <v>9703</v>
      </c>
    </row>
    <row r="2168" spans="1:8" ht="15.75" customHeight="1">
      <c r="A2168" t="s">
        <v>4855</v>
      </c>
      <c r="B2168" t="s">
        <v>4856</v>
      </c>
      <c r="C2168" t="s">
        <v>9704</v>
      </c>
      <c r="E2168" s="12" t="s">
        <v>9705</v>
      </c>
      <c r="F2168" s="12" t="s">
        <v>9706</v>
      </c>
      <c r="G2168" t="s">
        <v>9707</v>
      </c>
      <c r="H2168" t="s">
        <v>7584</v>
      </c>
    </row>
    <row r="2169" spans="1:8" ht="15.75" customHeight="1">
      <c r="A2169" t="s">
        <v>4855</v>
      </c>
      <c r="B2169" t="s">
        <v>4856</v>
      </c>
      <c r="C2169" t="s">
        <v>9704</v>
      </c>
      <c r="E2169" s="12" t="s">
        <v>9705</v>
      </c>
      <c r="F2169" s="12" t="s">
        <v>9708</v>
      </c>
      <c r="G2169" t="s">
        <v>9709</v>
      </c>
      <c r="H2169" t="s">
        <v>7587</v>
      </c>
    </row>
    <row r="2170" spans="1:8" ht="15.75" customHeight="1">
      <c r="A2170" t="s">
        <v>4858</v>
      </c>
      <c r="B2170" t="s">
        <v>4859</v>
      </c>
    </row>
    <row r="2171" spans="1:8" ht="15.75" customHeight="1">
      <c r="A2171" t="s">
        <v>4860</v>
      </c>
      <c r="B2171" t="s">
        <v>4861</v>
      </c>
    </row>
    <row r="2172" spans="1:8" ht="15.75" customHeight="1">
      <c r="A2172" t="s">
        <v>4864</v>
      </c>
      <c r="B2172" t="s">
        <v>4865</v>
      </c>
      <c r="C2172" t="s">
        <v>9710</v>
      </c>
      <c r="E2172" s="12" t="s">
        <v>9711</v>
      </c>
      <c r="F2172" s="12" t="s">
        <v>9712</v>
      </c>
      <c r="G2172" t="s">
        <v>9713</v>
      </c>
      <c r="H2172" t="s">
        <v>9714</v>
      </c>
    </row>
    <row r="2173" spans="1:8" ht="15.75" customHeight="1">
      <c r="A2173" t="s">
        <v>4864</v>
      </c>
      <c r="B2173" t="s">
        <v>4865</v>
      </c>
      <c r="C2173" t="s">
        <v>9710</v>
      </c>
      <c r="E2173" s="12" t="s">
        <v>9711</v>
      </c>
      <c r="F2173" s="12" t="s">
        <v>9715</v>
      </c>
      <c r="G2173" t="s">
        <v>9716</v>
      </c>
      <c r="H2173" t="s">
        <v>9717</v>
      </c>
    </row>
    <row r="2174" spans="1:8" ht="15.75" customHeight="1">
      <c r="A2174" t="s">
        <v>4864</v>
      </c>
      <c r="B2174" t="s">
        <v>4865</v>
      </c>
      <c r="C2174" t="s">
        <v>8523</v>
      </c>
    </row>
    <row r="2175" spans="1:8" ht="15.75" customHeight="1">
      <c r="A2175" t="s">
        <v>4868</v>
      </c>
      <c r="B2175" t="s">
        <v>4869</v>
      </c>
    </row>
    <row r="2176" spans="1:8" ht="15.75" customHeight="1">
      <c r="A2176" t="s">
        <v>4870</v>
      </c>
      <c r="B2176" t="s">
        <v>4871</v>
      </c>
    </row>
    <row r="2177" spans="1:8" ht="15.75" customHeight="1">
      <c r="A2177" t="s">
        <v>4874</v>
      </c>
      <c r="B2177" t="s">
        <v>4875</v>
      </c>
      <c r="C2177" t="s">
        <v>9718</v>
      </c>
      <c r="E2177" s="12" t="s">
        <v>9719</v>
      </c>
    </row>
    <row r="2178" spans="1:8" ht="15.75" customHeight="1">
      <c r="A2178" t="s">
        <v>4878</v>
      </c>
      <c r="B2178" t="s">
        <v>4879</v>
      </c>
      <c r="C2178" t="s">
        <v>9720</v>
      </c>
      <c r="E2178" s="12" t="s">
        <v>9721</v>
      </c>
      <c r="F2178" s="12" t="s">
        <v>9722</v>
      </c>
      <c r="G2178" t="s">
        <v>9723</v>
      </c>
      <c r="H2178" t="s">
        <v>9724</v>
      </c>
    </row>
    <row r="2179" spans="1:8" ht="15.75" customHeight="1">
      <c r="A2179" t="s">
        <v>4878</v>
      </c>
      <c r="B2179" t="s">
        <v>4879</v>
      </c>
      <c r="C2179" t="s">
        <v>9720</v>
      </c>
      <c r="E2179" s="12" t="s">
        <v>9721</v>
      </c>
      <c r="F2179" s="12" t="s">
        <v>9725</v>
      </c>
      <c r="G2179" t="s">
        <v>9726</v>
      </c>
      <c r="H2179" t="s">
        <v>9727</v>
      </c>
    </row>
    <row r="2180" spans="1:8" ht="15.75" customHeight="1">
      <c r="A2180" t="s">
        <v>4878</v>
      </c>
      <c r="B2180" t="s">
        <v>4879</v>
      </c>
      <c r="C2180" t="s">
        <v>9720</v>
      </c>
      <c r="E2180" s="12" t="s">
        <v>9721</v>
      </c>
      <c r="F2180" s="12" t="s">
        <v>9728</v>
      </c>
      <c r="G2180" t="s">
        <v>9726</v>
      </c>
      <c r="H2180" t="s">
        <v>9729</v>
      </c>
    </row>
    <row r="2181" spans="1:8" ht="15.75" customHeight="1">
      <c r="A2181" t="s">
        <v>4878</v>
      </c>
      <c r="B2181" t="s">
        <v>4879</v>
      </c>
      <c r="C2181" t="s">
        <v>9720</v>
      </c>
      <c r="E2181" s="12" t="s">
        <v>9721</v>
      </c>
      <c r="F2181" s="12" t="s">
        <v>9730</v>
      </c>
      <c r="G2181" t="s">
        <v>9731</v>
      </c>
      <c r="H2181" t="s">
        <v>9732</v>
      </c>
    </row>
    <row r="2182" spans="1:8" ht="15.75" customHeight="1">
      <c r="A2182" t="s">
        <v>4882</v>
      </c>
      <c r="B2182" t="s">
        <v>4883</v>
      </c>
    </row>
    <row r="2183" spans="1:8" ht="15.75" customHeight="1">
      <c r="A2183" t="s">
        <v>4885</v>
      </c>
      <c r="B2183" t="s">
        <v>4886</v>
      </c>
    </row>
    <row r="2184" spans="1:8" ht="15.75" customHeight="1">
      <c r="A2184" t="s">
        <v>4887</v>
      </c>
      <c r="B2184" t="s">
        <v>4888</v>
      </c>
    </row>
    <row r="2185" spans="1:8" ht="15.75" customHeight="1">
      <c r="A2185" t="s">
        <v>4891</v>
      </c>
      <c r="B2185" t="s">
        <v>4892</v>
      </c>
      <c r="C2185" t="s">
        <v>9733</v>
      </c>
      <c r="E2185" s="12" t="s">
        <v>9734</v>
      </c>
      <c r="F2185" s="12" t="s">
        <v>9735</v>
      </c>
      <c r="G2185" t="s">
        <v>9736</v>
      </c>
      <c r="H2185" t="s">
        <v>9737</v>
      </c>
    </row>
    <row r="2186" spans="1:8" ht="15.75" customHeight="1">
      <c r="A2186" t="s">
        <v>4894</v>
      </c>
      <c r="B2186" t="s">
        <v>4895</v>
      </c>
      <c r="C2186" t="s">
        <v>9733</v>
      </c>
      <c r="E2186" s="12" t="s">
        <v>9734</v>
      </c>
      <c r="F2186" s="12" t="s">
        <v>9735</v>
      </c>
      <c r="G2186" t="s">
        <v>9736</v>
      </c>
      <c r="H2186" t="s">
        <v>9737</v>
      </c>
    </row>
    <row r="2187" spans="1:8" ht="15.75" customHeight="1">
      <c r="A2187" t="s">
        <v>4897</v>
      </c>
      <c r="B2187" t="s">
        <v>4898</v>
      </c>
      <c r="C2187" t="s">
        <v>9720</v>
      </c>
      <c r="E2187" s="12" t="s">
        <v>9721</v>
      </c>
      <c r="F2187" s="12" t="s">
        <v>9722</v>
      </c>
      <c r="G2187" t="s">
        <v>9723</v>
      </c>
      <c r="H2187" t="s">
        <v>9724</v>
      </c>
    </row>
    <row r="2188" spans="1:8" ht="15.75" customHeight="1">
      <c r="A2188" t="s">
        <v>4897</v>
      </c>
      <c r="B2188" t="s">
        <v>4898</v>
      </c>
      <c r="C2188" t="s">
        <v>9720</v>
      </c>
      <c r="E2188" s="12" t="s">
        <v>9721</v>
      </c>
      <c r="F2188" s="12" t="s">
        <v>9725</v>
      </c>
      <c r="G2188" t="s">
        <v>9726</v>
      </c>
      <c r="H2188" t="s">
        <v>9727</v>
      </c>
    </row>
    <row r="2189" spans="1:8" ht="15.75" customHeight="1">
      <c r="A2189" t="s">
        <v>4897</v>
      </c>
      <c r="B2189" t="s">
        <v>4898</v>
      </c>
      <c r="C2189" t="s">
        <v>9720</v>
      </c>
      <c r="E2189" s="12" t="s">
        <v>9721</v>
      </c>
      <c r="F2189" s="12" t="s">
        <v>9728</v>
      </c>
      <c r="G2189" t="s">
        <v>9726</v>
      </c>
      <c r="H2189" t="s">
        <v>9729</v>
      </c>
    </row>
    <row r="2190" spans="1:8" ht="15.75" customHeight="1">
      <c r="A2190" t="s">
        <v>4897</v>
      </c>
      <c r="B2190" t="s">
        <v>4898</v>
      </c>
      <c r="C2190" t="s">
        <v>9720</v>
      </c>
      <c r="E2190" s="12" t="s">
        <v>9721</v>
      </c>
      <c r="F2190" s="12" t="s">
        <v>9730</v>
      </c>
      <c r="G2190" t="s">
        <v>9731</v>
      </c>
      <c r="H2190" t="s">
        <v>9732</v>
      </c>
    </row>
    <row r="2191" spans="1:8" ht="15.75" customHeight="1">
      <c r="A2191" t="s">
        <v>4899</v>
      </c>
      <c r="B2191" t="s">
        <v>4900</v>
      </c>
    </row>
    <row r="2192" spans="1:8" ht="15.75" customHeight="1">
      <c r="A2192" t="s">
        <v>4903</v>
      </c>
      <c r="B2192" t="s">
        <v>4904</v>
      </c>
      <c r="C2192" t="s">
        <v>9738</v>
      </c>
      <c r="E2192" s="12" t="s">
        <v>9739</v>
      </c>
      <c r="F2192" s="12" t="s">
        <v>9740</v>
      </c>
      <c r="G2192" t="s">
        <v>9741</v>
      </c>
      <c r="H2192" t="s">
        <v>9742</v>
      </c>
    </row>
    <row r="2193" spans="1:8" ht="15.75" customHeight="1">
      <c r="A2193" t="s">
        <v>4903</v>
      </c>
      <c r="B2193" t="s">
        <v>4904</v>
      </c>
      <c r="C2193" t="s">
        <v>9738</v>
      </c>
      <c r="E2193" s="12" t="s">
        <v>9739</v>
      </c>
      <c r="F2193" s="12" t="s">
        <v>9743</v>
      </c>
      <c r="G2193" t="s">
        <v>9744</v>
      </c>
      <c r="H2193" t="s">
        <v>9742</v>
      </c>
    </row>
    <row r="2194" spans="1:8" ht="15.75" customHeight="1">
      <c r="A2194" t="s">
        <v>4903</v>
      </c>
      <c r="B2194" t="s">
        <v>4904</v>
      </c>
      <c r="C2194" t="s">
        <v>9738</v>
      </c>
      <c r="E2194" s="12" t="s">
        <v>9739</v>
      </c>
      <c r="F2194" s="12" t="s">
        <v>9745</v>
      </c>
      <c r="G2194" t="s">
        <v>9744</v>
      </c>
      <c r="H2194" t="s">
        <v>9741</v>
      </c>
    </row>
    <row r="2195" spans="1:8" ht="15.75" customHeight="1">
      <c r="A2195" t="s">
        <v>4906</v>
      </c>
      <c r="B2195" t="s">
        <v>4907</v>
      </c>
    </row>
    <row r="2196" spans="1:8" ht="15.75" customHeight="1">
      <c r="A2196" t="s">
        <v>4910</v>
      </c>
      <c r="B2196" t="s">
        <v>4911</v>
      </c>
      <c r="C2196" t="s">
        <v>8678</v>
      </c>
    </row>
    <row r="2197" spans="1:8" ht="15.75" customHeight="1">
      <c r="A2197" t="s">
        <v>4913</v>
      </c>
      <c r="B2197" t="s">
        <v>4914</v>
      </c>
    </row>
    <row r="2198" spans="1:8" ht="15.75" customHeight="1">
      <c r="A2198" t="s">
        <v>4917</v>
      </c>
      <c r="B2198" t="s">
        <v>4918</v>
      </c>
      <c r="C2198" t="s">
        <v>9746</v>
      </c>
      <c r="E2198" s="12" t="s">
        <v>9747</v>
      </c>
      <c r="F2198" s="12" t="s">
        <v>9748</v>
      </c>
      <c r="G2198" t="s">
        <v>9749</v>
      </c>
      <c r="H2198" t="s">
        <v>9750</v>
      </c>
    </row>
    <row r="2199" spans="1:8" ht="15.75" customHeight="1">
      <c r="B2199" t="s">
        <v>4919</v>
      </c>
    </row>
    <row r="2200" spans="1:8" ht="15.75" customHeight="1">
      <c r="A2200" t="s">
        <v>4922</v>
      </c>
      <c r="B2200" t="s">
        <v>4923</v>
      </c>
      <c r="C2200" t="s">
        <v>9751</v>
      </c>
      <c r="E2200" s="12" t="s">
        <v>9752</v>
      </c>
    </row>
    <row r="2201" spans="1:8" ht="15.75" customHeight="1">
      <c r="A2201" t="s">
        <v>4926</v>
      </c>
      <c r="B2201" t="s">
        <v>4927</v>
      </c>
    </row>
    <row r="2202" spans="1:8" ht="15.75" customHeight="1">
      <c r="A2202" t="s">
        <v>4929</v>
      </c>
      <c r="B2202" t="s">
        <v>4930</v>
      </c>
      <c r="C2202" t="s">
        <v>7668</v>
      </c>
    </row>
    <row r="2203" spans="1:8" ht="15.75" customHeight="1">
      <c r="A2203" t="s">
        <v>4932</v>
      </c>
      <c r="B2203" t="s">
        <v>4933</v>
      </c>
      <c r="C2203" t="s">
        <v>7668</v>
      </c>
    </row>
    <row r="2204" spans="1:8" ht="15.75" customHeight="1">
      <c r="A2204" t="s">
        <v>4936</v>
      </c>
      <c r="B2204" t="s">
        <v>4937</v>
      </c>
    </row>
    <row r="2205" spans="1:8" ht="15.75" customHeight="1">
      <c r="A2205" t="s">
        <v>4940</v>
      </c>
      <c r="B2205" t="s">
        <v>4941</v>
      </c>
      <c r="C2205" t="s">
        <v>9753</v>
      </c>
      <c r="E2205" s="12" t="s">
        <v>9754</v>
      </c>
      <c r="F2205" s="12" t="s">
        <v>9755</v>
      </c>
      <c r="G2205" t="s">
        <v>9756</v>
      </c>
      <c r="H2205" t="s">
        <v>9757</v>
      </c>
    </row>
    <row r="2206" spans="1:8" ht="15.75" customHeight="1">
      <c r="A2206" t="s">
        <v>4940</v>
      </c>
      <c r="B2206" t="s">
        <v>4941</v>
      </c>
      <c r="C2206" t="s">
        <v>9753</v>
      </c>
      <c r="E2206" s="12" t="s">
        <v>9754</v>
      </c>
      <c r="F2206" s="12" t="s">
        <v>9758</v>
      </c>
      <c r="G2206" t="s">
        <v>9759</v>
      </c>
      <c r="H2206" t="s">
        <v>9757</v>
      </c>
    </row>
    <row r="2207" spans="1:8" ht="15.75" customHeight="1">
      <c r="A2207" t="s">
        <v>4943</v>
      </c>
      <c r="B2207" t="s">
        <v>4944</v>
      </c>
    </row>
    <row r="2208" spans="1:8" ht="15.75" customHeight="1">
      <c r="A2208" t="s">
        <v>4947</v>
      </c>
      <c r="B2208" t="s">
        <v>4948</v>
      </c>
    </row>
    <row r="2209" spans="1:8" ht="15.75" customHeight="1">
      <c r="A2209" t="s">
        <v>4949</v>
      </c>
      <c r="B2209" t="s">
        <v>4950</v>
      </c>
    </row>
    <row r="2210" spans="1:8" ht="15.75" customHeight="1">
      <c r="A2210" t="s">
        <v>4953</v>
      </c>
      <c r="B2210" t="s">
        <v>4954</v>
      </c>
      <c r="C2210" t="s">
        <v>9760</v>
      </c>
    </row>
    <row r="2211" spans="1:8" ht="15.75" customHeight="1">
      <c r="A2211" t="s">
        <v>4955</v>
      </c>
      <c r="B2211" t="s">
        <v>4956</v>
      </c>
    </row>
    <row r="2212" spans="1:8" ht="15.75" customHeight="1">
      <c r="A2212" t="s">
        <v>4957</v>
      </c>
      <c r="B2212" t="s">
        <v>4958</v>
      </c>
    </row>
    <row r="2213" spans="1:8" ht="15.75" customHeight="1">
      <c r="A2213" t="s">
        <v>4961</v>
      </c>
      <c r="B2213" t="s">
        <v>4962</v>
      </c>
      <c r="C2213" t="s">
        <v>8914</v>
      </c>
      <c r="E2213" s="12" t="s">
        <v>8915</v>
      </c>
      <c r="F2213" s="12" t="s">
        <v>8916</v>
      </c>
      <c r="G2213" t="s">
        <v>8917</v>
      </c>
      <c r="H2213" t="s">
        <v>8918</v>
      </c>
    </row>
    <row r="2214" spans="1:8" ht="15.75" customHeight="1">
      <c r="A2214" t="s">
        <v>4961</v>
      </c>
      <c r="B2214" t="s">
        <v>4962</v>
      </c>
      <c r="C2214" t="s">
        <v>8914</v>
      </c>
      <c r="E2214" s="12" t="s">
        <v>8915</v>
      </c>
      <c r="F2214" s="12" t="s">
        <v>8919</v>
      </c>
      <c r="G2214" t="s">
        <v>8920</v>
      </c>
      <c r="H2214" t="s">
        <v>8921</v>
      </c>
    </row>
    <row r="2215" spans="1:8" ht="15.75" customHeight="1">
      <c r="A2215" t="s">
        <v>4965</v>
      </c>
      <c r="B2215" t="s">
        <v>4966</v>
      </c>
      <c r="C2215" t="s">
        <v>9761</v>
      </c>
      <c r="E2215" s="12" t="s">
        <v>9762</v>
      </c>
      <c r="F2215" s="12" t="s">
        <v>9763</v>
      </c>
      <c r="G2215" t="s">
        <v>9764</v>
      </c>
      <c r="H2215" t="s">
        <v>9765</v>
      </c>
    </row>
    <row r="2216" spans="1:8" ht="15.75" customHeight="1">
      <c r="A2216" t="s">
        <v>4968</v>
      </c>
      <c r="B2216" t="s">
        <v>4969</v>
      </c>
    </row>
    <row r="2217" spans="1:8" ht="15.75" customHeight="1">
      <c r="A2217" t="s">
        <v>4971</v>
      </c>
      <c r="B2217" t="s">
        <v>4972</v>
      </c>
    </row>
    <row r="2218" spans="1:8" ht="15.75" customHeight="1">
      <c r="A2218" t="s">
        <v>4974</v>
      </c>
      <c r="B2218" t="s">
        <v>4975</v>
      </c>
    </row>
    <row r="2219" spans="1:8" ht="15.75" customHeight="1">
      <c r="A2219" t="s">
        <v>4978</v>
      </c>
      <c r="B2219" t="s">
        <v>4979</v>
      </c>
    </row>
    <row r="2220" spans="1:8" ht="15.75" customHeight="1">
      <c r="A2220" t="s">
        <v>4982</v>
      </c>
      <c r="B2220" t="s">
        <v>4983</v>
      </c>
    </row>
    <row r="2221" spans="1:8" ht="15.75" customHeight="1">
      <c r="A2221" t="s">
        <v>4986</v>
      </c>
      <c r="B2221" t="s">
        <v>4987</v>
      </c>
      <c r="C2221" t="s">
        <v>9766</v>
      </c>
      <c r="E2221" s="12" t="s">
        <v>9767</v>
      </c>
      <c r="F2221" s="12" t="s">
        <v>9768</v>
      </c>
      <c r="G2221" t="s">
        <v>9769</v>
      </c>
      <c r="H2221" t="s">
        <v>9770</v>
      </c>
    </row>
    <row r="2222" spans="1:8" ht="15.75" customHeight="1">
      <c r="A2222" t="s">
        <v>4990</v>
      </c>
      <c r="B2222" t="s">
        <v>4991</v>
      </c>
      <c r="C2222" t="s">
        <v>9771</v>
      </c>
    </row>
    <row r="2223" spans="1:8" ht="15.75" customHeight="1">
      <c r="A2223" t="s">
        <v>4993</v>
      </c>
      <c r="B2223" t="s">
        <v>4994</v>
      </c>
    </row>
    <row r="2224" spans="1:8" ht="15.75" customHeight="1">
      <c r="A2224" t="s">
        <v>4996</v>
      </c>
      <c r="B2224" t="s">
        <v>4997</v>
      </c>
      <c r="C2224" t="s">
        <v>7474</v>
      </c>
      <c r="E2224" s="12" t="s">
        <v>7475</v>
      </c>
    </row>
    <row r="2225" spans="1:8" ht="15.75" customHeight="1">
      <c r="A2225" t="s">
        <v>4999</v>
      </c>
      <c r="B2225" t="s">
        <v>5000</v>
      </c>
    </row>
    <row r="2226" spans="1:8" ht="15.75" customHeight="1">
      <c r="A2226" t="s">
        <v>5002</v>
      </c>
      <c r="B2226" t="s">
        <v>5003</v>
      </c>
    </row>
    <row r="2227" spans="1:8" ht="15.75" customHeight="1">
      <c r="A2227" t="s">
        <v>5005</v>
      </c>
      <c r="B2227" t="s">
        <v>5006</v>
      </c>
    </row>
    <row r="2228" spans="1:8" ht="15.75" customHeight="1">
      <c r="A2228" t="s">
        <v>5009</v>
      </c>
      <c r="B2228" t="s">
        <v>5010</v>
      </c>
    </row>
    <row r="2229" spans="1:8" ht="15.75" customHeight="1">
      <c r="A2229" t="s">
        <v>5013</v>
      </c>
      <c r="B2229" t="s">
        <v>5014</v>
      </c>
      <c r="C2229" t="s">
        <v>9772</v>
      </c>
      <c r="E2229" s="12" t="s">
        <v>9773</v>
      </c>
      <c r="F2229" s="12" t="s">
        <v>9774</v>
      </c>
      <c r="G2229" t="s">
        <v>9775</v>
      </c>
      <c r="H2229" t="s">
        <v>9776</v>
      </c>
    </row>
    <row r="2230" spans="1:8" ht="15.75" customHeight="1">
      <c r="A2230" t="s">
        <v>5013</v>
      </c>
      <c r="B2230" t="s">
        <v>5014</v>
      </c>
      <c r="C2230" t="s">
        <v>9772</v>
      </c>
      <c r="E2230" s="12" t="s">
        <v>9773</v>
      </c>
      <c r="F2230" s="12" t="s">
        <v>9777</v>
      </c>
      <c r="G2230" t="s">
        <v>9778</v>
      </c>
      <c r="H2230" t="s">
        <v>9779</v>
      </c>
    </row>
    <row r="2231" spans="1:8" ht="15.75" customHeight="1">
      <c r="A2231" t="s">
        <v>5013</v>
      </c>
      <c r="B2231" t="s">
        <v>5014</v>
      </c>
      <c r="C2231" t="s">
        <v>9772</v>
      </c>
      <c r="E2231" s="12" t="s">
        <v>9773</v>
      </c>
      <c r="F2231" s="12" t="s">
        <v>9780</v>
      </c>
      <c r="G2231" t="s">
        <v>9781</v>
      </c>
      <c r="H2231" t="s">
        <v>9782</v>
      </c>
    </row>
    <row r="2232" spans="1:8" ht="15.75" customHeight="1">
      <c r="A2232" t="s">
        <v>5017</v>
      </c>
      <c r="B2232" t="s">
        <v>5018</v>
      </c>
      <c r="C2232" t="s">
        <v>9783</v>
      </c>
      <c r="E2232" s="12" t="s">
        <v>9784</v>
      </c>
    </row>
    <row r="2233" spans="1:8" ht="15.75" customHeight="1">
      <c r="A2233" t="s">
        <v>5021</v>
      </c>
      <c r="B2233" t="s">
        <v>5022</v>
      </c>
    </row>
    <row r="2234" spans="1:8" ht="15.75" customHeight="1">
      <c r="A2234" t="s">
        <v>5024</v>
      </c>
      <c r="B2234" t="s">
        <v>5025</v>
      </c>
    </row>
    <row r="2235" spans="1:8" ht="15.75" customHeight="1">
      <c r="A2235" t="s">
        <v>5027</v>
      </c>
      <c r="B2235" t="s">
        <v>5028</v>
      </c>
    </row>
    <row r="2236" spans="1:8" ht="15.75" customHeight="1">
      <c r="A2236" t="s">
        <v>5030</v>
      </c>
      <c r="B2236" t="s">
        <v>5031</v>
      </c>
      <c r="C2236" t="s">
        <v>9785</v>
      </c>
      <c r="E2236" s="12" t="s">
        <v>9786</v>
      </c>
      <c r="F2236" s="12" t="s">
        <v>9787</v>
      </c>
      <c r="G2236" t="s">
        <v>9788</v>
      </c>
      <c r="H2236" t="s">
        <v>9789</v>
      </c>
    </row>
    <row r="2237" spans="1:8" ht="15.75" customHeight="1">
      <c r="A2237" t="s">
        <v>5030</v>
      </c>
      <c r="B2237" t="s">
        <v>5031</v>
      </c>
      <c r="C2237" t="s">
        <v>9785</v>
      </c>
      <c r="E2237" s="12" t="s">
        <v>9786</v>
      </c>
      <c r="F2237" s="12" t="s">
        <v>9790</v>
      </c>
      <c r="G2237" t="s">
        <v>9791</v>
      </c>
      <c r="H2237" t="s">
        <v>9792</v>
      </c>
    </row>
    <row r="2238" spans="1:8" ht="15.75" customHeight="1">
      <c r="A2238" t="s">
        <v>5030</v>
      </c>
      <c r="B2238" t="s">
        <v>5031</v>
      </c>
      <c r="C2238" t="s">
        <v>9785</v>
      </c>
      <c r="E2238" s="12" t="s">
        <v>9786</v>
      </c>
      <c r="F2238" s="12" t="s">
        <v>8278</v>
      </c>
      <c r="G2238" t="s">
        <v>8279</v>
      </c>
      <c r="H2238" t="s">
        <v>8280</v>
      </c>
    </row>
    <row r="2239" spans="1:8" ht="15.75" customHeight="1">
      <c r="A2239" t="s">
        <v>5030</v>
      </c>
      <c r="B2239" t="s">
        <v>5031</v>
      </c>
      <c r="C2239" t="s">
        <v>9793</v>
      </c>
      <c r="E2239" s="12" t="s">
        <v>9794</v>
      </c>
      <c r="F2239" s="12" t="s">
        <v>9795</v>
      </c>
      <c r="G2239" t="s">
        <v>9796</v>
      </c>
      <c r="H2239" t="s">
        <v>9797</v>
      </c>
    </row>
    <row r="2240" spans="1:8" ht="15.75" customHeight="1">
      <c r="A2240" t="s">
        <v>5030</v>
      </c>
      <c r="B2240" t="s">
        <v>5031</v>
      </c>
      <c r="C2240" t="s">
        <v>9793</v>
      </c>
      <c r="E2240" s="12" t="s">
        <v>9794</v>
      </c>
      <c r="F2240" s="12" t="s">
        <v>9798</v>
      </c>
      <c r="G2240" t="s">
        <v>9799</v>
      </c>
      <c r="H2240" t="s">
        <v>9800</v>
      </c>
    </row>
    <row r="2241" spans="1:8" ht="15.75" customHeight="1">
      <c r="A2241" t="s">
        <v>5030</v>
      </c>
      <c r="B2241" t="s">
        <v>5031</v>
      </c>
      <c r="C2241" t="s">
        <v>9793</v>
      </c>
      <c r="E2241" s="12" t="s">
        <v>9794</v>
      </c>
      <c r="F2241" s="12" t="s">
        <v>9801</v>
      </c>
      <c r="G2241" t="s">
        <v>9802</v>
      </c>
      <c r="H2241" t="s">
        <v>9803</v>
      </c>
    </row>
    <row r="2242" spans="1:8" ht="15.75" customHeight="1">
      <c r="A2242" t="s">
        <v>5033</v>
      </c>
      <c r="B2242" t="s">
        <v>5034</v>
      </c>
    </row>
    <row r="2243" spans="1:8" ht="15.75" customHeight="1">
      <c r="A2243" t="s">
        <v>5037</v>
      </c>
      <c r="B2243" t="s">
        <v>5038</v>
      </c>
      <c r="C2243" t="s">
        <v>7731</v>
      </c>
      <c r="E2243" s="12" t="s">
        <v>7732</v>
      </c>
      <c r="F2243" s="12" t="s">
        <v>7733</v>
      </c>
      <c r="G2243" t="s">
        <v>7734</v>
      </c>
      <c r="H2243" t="s">
        <v>7735</v>
      </c>
    </row>
    <row r="2244" spans="1:8" ht="15.75" customHeight="1">
      <c r="A2244" t="s">
        <v>5037</v>
      </c>
      <c r="B2244" t="s">
        <v>5038</v>
      </c>
      <c r="C2244" t="s">
        <v>9804</v>
      </c>
      <c r="E2244" s="12" t="s">
        <v>9805</v>
      </c>
    </row>
    <row r="2245" spans="1:8" ht="15.75" customHeight="1">
      <c r="A2245" t="s">
        <v>5039</v>
      </c>
      <c r="B2245" t="s">
        <v>5040</v>
      </c>
    </row>
    <row r="2246" spans="1:8" ht="15.75" customHeight="1">
      <c r="A2246" t="s">
        <v>5042</v>
      </c>
      <c r="B2246" t="s">
        <v>5043</v>
      </c>
    </row>
    <row r="2247" spans="1:8" ht="15.75" customHeight="1">
      <c r="A2247" t="s">
        <v>5046</v>
      </c>
      <c r="B2247" t="s">
        <v>5047</v>
      </c>
      <c r="C2247" t="s">
        <v>9806</v>
      </c>
      <c r="E2247" s="12" t="s">
        <v>9807</v>
      </c>
      <c r="F2247" s="12" t="s">
        <v>9808</v>
      </c>
      <c r="G2247" t="s">
        <v>9809</v>
      </c>
      <c r="H2247" t="s">
        <v>9810</v>
      </c>
    </row>
    <row r="2248" spans="1:8" ht="15.75" customHeight="1">
      <c r="A2248" t="s">
        <v>5046</v>
      </c>
      <c r="B2248" t="s">
        <v>5047</v>
      </c>
      <c r="C2248" t="s">
        <v>9806</v>
      </c>
      <c r="E2248" s="12" t="s">
        <v>9807</v>
      </c>
      <c r="F2248" s="12" t="s">
        <v>9811</v>
      </c>
      <c r="G2248" t="s">
        <v>9812</v>
      </c>
      <c r="H2248" t="s">
        <v>9813</v>
      </c>
    </row>
    <row r="2249" spans="1:8" ht="15.75" customHeight="1">
      <c r="A2249" t="s">
        <v>5046</v>
      </c>
      <c r="B2249" t="s">
        <v>5047</v>
      </c>
      <c r="C2249" t="s">
        <v>9806</v>
      </c>
      <c r="E2249" s="12" t="s">
        <v>9807</v>
      </c>
      <c r="F2249" s="12" t="s">
        <v>9814</v>
      </c>
      <c r="G2249" t="s">
        <v>9815</v>
      </c>
      <c r="H2249" t="s">
        <v>9816</v>
      </c>
    </row>
    <row r="2250" spans="1:8" ht="15.75" customHeight="1">
      <c r="A2250" t="s">
        <v>5046</v>
      </c>
      <c r="B2250" t="s">
        <v>5047</v>
      </c>
      <c r="C2250" t="s">
        <v>9806</v>
      </c>
      <c r="E2250" s="12" t="s">
        <v>9807</v>
      </c>
      <c r="F2250" s="12" t="s">
        <v>9817</v>
      </c>
      <c r="G2250" t="s">
        <v>9818</v>
      </c>
      <c r="H2250" t="s">
        <v>9819</v>
      </c>
    </row>
    <row r="2251" spans="1:8" ht="15.75" customHeight="1">
      <c r="A2251" t="s">
        <v>5046</v>
      </c>
      <c r="B2251" t="s">
        <v>5047</v>
      </c>
      <c r="C2251" t="s">
        <v>9806</v>
      </c>
      <c r="E2251" s="12" t="s">
        <v>9807</v>
      </c>
      <c r="F2251" s="12" t="s">
        <v>9820</v>
      </c>
      <c r="G2251" t="s">
        <v>9821</v>
      </c>
      <c r="H2251" t="s">
        <v>9822</v>
      </c>
    </row>
    <row r="2252" spans="1:8" ht="15.75" customHeight="1">
      <c r="A2252" t="s">
        <v>5050</v>
      </c>
      <c r="B2252" t="s">
        <v>5051</v>
      </c>
      <c r="C2252" t="s">
        <v>9823</v>
      </c>
      <c r="E2252" s="12" t="s">
        <v>9824</v>
      </c>
    </row>
    <row r="2253" spans="1:8" ht="15.75" customHeight="1">
      <c r="A2253" t="s">
        <v>5054</v>
      </c>
      <c r="B2253" t="s">
        <v>5055</v>
      </c>
      <c r="C2253" t="s">
        <v>9823</v>
      </c>
      <c r="E2253" s="12" t="s">
        <v>9824</v>
      </c>
    </row>
    <row r="2254" spans="1:8" ht="15.75" customHeight="1">
      <c r="A2254" t="s">
        <v>5058</v>
      </c>
      <c r="B2254" t="s">
        <v>5059</v>
      </c>
      <c r="C2254" t="s">
        <v>9825</v>
      </c>
      <c r="E2254" s="12" t="s">
        <v>9826</v>
      </c>
      <c r="F2254" s="12" t="s">
        <v>9827</v>
      </c>
      <c r="G2254" t="s">
        <v>9828</v>
      </c>
      <c r="H2254" t="s">
        <v>9829</v>
      </c>
    </row>
    <row r="2255" spans="1:8" ht="15.75" customHeight="1">
      <c r="A2255" t="s">
        <v>5062</v>
      </c>
      <c r="B2255" t="s">
        <v>5063</v>
      </c>
      <c r="C2255" t="s">
        <v>9830</v>
      </c>
      <c r="E2255" s="12" t="s">
        <v>9831</v>
      </c>
    </row>
    <row r="2256" spans="1:8" ht="15.75" customHeight="1">
      <c r="A2256" t="s">
        <v>5066</v>
      </c>
      <c r="B2256" t="s">
        <v>5067</v>
      </c>
    </row>
    <row r="2257" spans="1:8" ht="15.75" customHeight="1">
      <c r="A2257" t="s">
        <v>5070</v>
      </c>
      <c r="B2257" t="s">
        <v>5071</v>
      </c>
    </row>
    <row r="2258" spans="1:8" ht="15.75" customHeight="1">
      <c r="A2258" t="s">
        <v>5074</v>
      </c>
      <c r="B2258" t="s">
        <v>5075</v>
      </c>
      <c r="C2258" t="s">
        <v>9040</v>
      </c>
      <c r="E2258" s="12" t="s">
        <v>9041</v>
      </c>
      <c r="F2258" s="12" t="s">
        <v>9042</v>
      </c>
      <c r="G2258" t="s">
        <v>9043</v>
      </c>
      <c r="H2258" t="s">
        <v>9044</v>
      </c>
    </row>
    <row r="2259" spans="1:8" ht="15.75" customHeight="1">
      <c r="A2259" t="s">
        <v>5078</v>
      </c>
      <c r="B2259" t="s">
        <v>5079</v>
      </c>
      <c r="C2259" t="s">
        <v>9832</v>
      </c>
    </row>
    <row r="2260" spans="1:8" ht="15.75" customHeight="1">
      <c r="A2260" t="s">
        <v>5080</v>
      </c>
      <c r="B2260" t="s">
        <v>5081</v>
      </c>
    </row>
    <row r="2261" spans="1:8" ht="15.75" customHeight="1">
      <c r="A2261" t="s">
        <v>5082</v>
      </c>
      <c r="B2261" t="s">
        <v>5083</v>
      </c>
    </row>
    <row r="2262" spans="1:8" ht="15.75" customHeight="1">
      <c r="A2262" t="s">
        <v>5085</v>
      </c>
      <c r="B2262" t="s">
        <v>5086</v>
      </c>
    </row>
    <row r="2263" spans="1:8" ht="15.75" customHeight="1">
      <c r="A2263" t="s">
        <v>5088</v>
      </c>
      <c r="B2263" t="s">
        <v>5089</v>
      </c>
    </row>
    <row r="2264" spans="1:8" ht="15.75" customHeight="1">
      <c r="A2264" t="s">
        <v>5090</v>
      </c>
      <c r="B2264" t="s">
        <v>5091</v>
      </c>
    </row>
    <row r="2265" spans="1:8" ht="15.75" customHeight="1">
      <c r="A2265" t="s">
        <v>5094</v>
      </c>
      <c r="B2265" t="s">
        <v>5095</v>
      </c>
      <c r="C2265" t="s">
        <v>7834</v>
      </c>
      <c r="E2265" s="12" t="s">
        <v>7835</v>
      </c>
    </row>
    <row r="2266" spans="1:8" ht="15.75" customHeight="1">
      <c r="A2266" t="s">
        <v>5094</v>
      </c>
      <c r="B2266" t="s">
        <v>5095</v>
      </c>
      <c r="C2266" t="s">
        <v>8284</v>
      </c>
    </row>
    <row r="2267" spans="1:8" ht="15.75" customHeight="1">
      <c r="A2267" t="s">
        <v>5098</v>
      </c>
      <c r="B2267" t="s">
        <v>5099</v>
      </c>
    </row>
    <row r="2268" spans="1:8" ht="15.75" customHeight="1">
      <c r="A2268" t="s">
        <v>5101</v>
      </c>
      <c r="B2268" t="s">
        <v>5102</v>
      </c>
      <c r="C2268" t="s">
        <v>8869</v>
      </c>
    </row>
    <row r="2269" spans="1:8" ht="15.75" customHeight="1">
      <c r="A2269" t="s">
        <v>5104</v>
      </c>
      <c r="B2269" t="s">
        <v>5105</v>
      </c>
    </row>
    <row r="2270" spans="1:8" ht="15.75" customHeight="1">
      <c r="A2270" t="s">
        <v>5106</v>
      </c>
      <c r="B2270" t="s">
        <v>5107</v>
      </c>
    </row>
    <row r="2271" spans="1:8" ht="15.75" customHeight="1">
      <c r="A2271" t="s">
        <v>5109</v>
      </c>
      <c r="B2271" t="s">
        <v>5110</v>
      </c>
    </row>
    <row r="2272" spans="1:8" ht="15.75" customHeight="1">
      <c r="A2272" t="s">
        <v>5113</v>
      </c>
      <c r="B2272" t="s">
        <v>5114</v>
      </c>
      <c r="C2272" t="s">
        <v>9833</v>
      </c>
      <c r="E2272" s="12" t="s">
        <v>9834</v>
      </c>
      <c r="F2272" s="12" t="s">
        <v>9835</v>
      </c>
      <c r="G2272" t="s">
        <v>9836</v>
      </c>
      <c r="H2272" t="s">
        <v>9837</v>
      </c>
    </row>
    <row r="2273" spans="1:8" ht="15.75" customHeight="1">
      <c r="A2273" t="s">
        <v>5113</v>
      </c>
      <c r="B2273" t="s">
        <v>5114</v>
      </c>
      <c r="C2273" t="s">
        <v>9833</v>
      </c>
      <c r="E2273" s="12" t="s">
        <v>9834</v>
      </c>
      <c r="F2273" s="12" t="s">
        <v>9838</v>
      </c>
      <c r="G2273" t="s">
        <v>9839</v>
      </c>
      <c r="H2273" t="s">
        <v>9840</v>
      </c>
    </row>
    <row r="2274" spans="1:8" ht="15.75" customHeight="1">
      <c r="A2274" t="s">
        <v>5113</v>
      </c>
      <c r="B2274" t="s">
        <v>5114</v>
      </c>
      <c r="C2274" t="s">
        <v>9833</v>
      </c>
      <c r="E2274" s="12" t="s">
        <v>9834</v>
      </c>
      <c r="F2274" s="12" t="s">
        <v>9841</v>
      </c>
      <c r="G2274" t="s">
        <v>9842</v>
      </c>
      <c r="H2274" t="s">
        <v>9843</v>
      </c>
    </row>
    <row r="2275" spans="1:8" ht="15.75" customHeight="1">
      <c r="A2275" t="s">
        <v>5116</v>
      </c>
      <c r="B2275" t="s">
        <v>5117</v>
      </c>
      <c r="C2275" t="s">
        <v>8198</v>
      </c>
      <c r="E2275" s="12" t="s">
        <v>8199</v>
      </c>
      <c r="F2275" s="12" t="s">
        <v>8200</v>
      </c>
      <c r="G2275" t="s">
        <v>8201</v>
      </c>
      <c r="H2275" t="s">
        <v>8202</v>
      </c>
    </row>
    <row r="2276" spans="1:8" ht="15.75" customHeight="1">
      <c r="A2276" t="s">
        <v>5120</v>
      </c>
      <c r="B2276" t="s">
        <v>5121</v>
      </c>
    </row>
    <row r="2277" spans="1:8" ht="15.75" customHeight="1">
      <c r="A2277" t="s">
        <v>5124</v>
      </c>
      <c r="B2277" t="s">
        <v>5125</v>
      </c>
      <c r="C2277" t="s">
        <v>9171</v>
      </c>
      <c r="E2277" s="12" t="s">
        <v>9172</v>
      </c>
      <c r="F2277" s="12" t="s">
        <v>9173</v>
      </c>
      <c r="G2277" t="s">
        <v>9174</v>
      </c>
      <c r="H2277" t="s">
        <v>9175</v>
      </c>
    </row>
    <row r="2278" spans="1:8" ht="15.75" customHeight="1">
      <c r="A2278" t="s">
        <v>5128</v>
      </c>
      <c r="B2278" t="s">
        <v>5129</v>
      </c>
      <c r="C2278" t="s">
        <v>9844</v>
      </c>
      <c r="E2278" s="12" t="s">
        <v>9845</v>
      </c>
      <c r="F2278" s="12" t="s">
        <v>9846</v>
      </c>
      <c r="G2278" t="s">
        <v>9847</v>
      </c>
      <c r="H2278" t="s">
        <v>9848</v>
      </c>
    </row>
    <row r="2279" spans="1:8" ht="15.75" customHeight="1">
      <c r="A2279" t="s">
        <v>5132</v>
      </c>
      <c r="B2279" t="s">
        <v>5133</v>
      </c>
      <c r="C2279" t="s">
        <v>9849</v>
      </c>
      <c r="E2279" s="12" t="s">
        <v>9850</v>
      </c>
    </row>
    <row r="2280" spans="1:8" ht="15.75" customHeight="1">
      <c r="A2280" t="s">
        <v>5136</v>
      </c>
      <c r="B2280" t="s">
        <v>5137</v>
      </c>
      <c r="C2280" t="s">
        <v>9851</v>
      </c>
      <c r="E2280" s="12" t="s">
        <v>9852</v>
      </c>
      <c r="F2280" s="12" t="s">
        <v>9853</v>
      </c>
      <c r="G2280" t="s">
        <v>9854</v>
      </c>
      <c r="H2280" t="s">
        <v>9855</v>
      </c>
    </row>
    <row r="2281" spans="1:8" ht="15.75" customHeight="1">
      <c r="A2281" t="s">
        <v>5136</v>
      </c>
      <c r="B2281" t="s">
        <v>5137</v>
      </c>
      <c r="C2281" t="s">
        <v>9851</v>
      </c>
      <c r="E2281" s="12" t="s">
        <v>9852</v>
      </c>
      <c r="F2281" s="12" t="s">
        <v>9856</v>
      </c>
      <c r="G2281" t="s">
        <v>9857</v>
      </c>
      <c r="H2281" t="s">
        <v>9858</v>
      </c>
    </row>
    <row r="2282" spans="1:8" ht="15.75" customHeight="1">
      <c r="A2282" t="s">
        <v>5138</v>
      </c>
      <c r="B2282" t="s">
        <v>5139</v>
      </c>
    </row>
    <row r="2283" spans="1:8" ht="15.75" customHeight="1">
      <c r="A2283" t="s">
        <v>5140</v>
      </c>
      <c r="B2283" t="s">
        <v>5141</v>
      </c>
    </row>
    <row r="2284" spans="1:8" ht="15.75" customHeight="1">
      <c r="A2284" t="s">
        <v>5142</v>
      </c>
      <c r="B2284" t="s">
        <v>5143</v>
      </c>
    </row>
    <row r="2285" spans="1:8" ht="15.75" customHeight="1">
      <c r="A2285" t="s">
        <v>5144</v>
      </c>
      <c r="B2285" t="s">
        <v>5145</v>
      </c>
      <c r="C2285" t="s">
        <v>7175</v>
      </c>
    </row>
    <row r="2286" spans="1:8" ht="15.75" customHeight="1">
      <c r="A2286" t="s">
        <v>5148</v>
      </c>
      <c r="B2286" t="s">
        <v>5149</v>
      </c>
    </row>
    <row r="2287" spans="1:8" ht="15.75" customHeight="1">
      <c r="A2287" t="s">
        <v>5151</v>
      </c>
      <c r="B2287" t="s">
        <v>5152</v>
      </c>
    </row>
    <row r="2288" spans="1:8" ht="15.75" customHeight="1">
      <c r="A2288" t="s">
        <v>5155</v>
      </c>
      <c r="B2288" t="s">
        <v>5156</v>
      </c>
    </row>
    <row r="2289" spans="1:8" ht="15.75" customHeight="1">
      <c r="A2289" t="s">
        <v>5159</v>
      </c>
      <c r="B2289" t="s">
        <v>5160</v>
      </c>
      <c r="C2289" t="s">
        <v>9859</v>
      </c>
      <c r="E2289" s="12" t="s">
        <v>9860</v>
      </c>
      <c r="F2289" s="12" t="s">
        <v>9861</v>
      </c>
      <c r="G2289" t="s">
        <v>9862</v>
      </c>
      <c r="H2289" t="s">
        <v>9863</v>
      </c>
    </row>
    <row r="2290" spans="1:8" ht="15.75" customHeight="1">
      <c r="A2290" t="s">
        <v>5162</v>
      </c>
      <c r="B2290" t="s">
        <v>5163</v>
      </c>
    </row>
    <row r="2291" spans="1:8" ht="15.75" customHeight="1">
      <c r="A2291" t="s">
        <v>5164</v>
      </c>
      <c r="B2291" t="s">
        <v>5165</v>
      </c>
    </row>
    <row r="2292" spans="1:8" ht="15.75" customHeight="1">
      <c r="A2292" t="s">
        <v>5168</v>
      </c>
      <c r="B2292" t="s">
        <v>5169</v>
      </c>
    </row>
    <row r="2293" spans="1:8" ht="15.75" customHeight="1">
      <c r="A2293" t="s">
        <v>5171</v>
      </c>
      <c r="B2293" t="s">
        <v>5172</v>
      </c>
    </row>
    <row r="2294" spans="1:8" ht="15.75" customHeight="1">
      <c r="A2294" t="s">
        <v>5175</v>
      </c>
      <c r="B2294" t="s">
        <v>5176</v>
      </c>
    </row>
    <row r="2295" spans="1:8" ht="15.75" customHeight="1">
      <c r="A2295" t="s">
        <v>5178</v>
      </c>
      <c r="B2295" t="s">
        <v>5179</v>
      </c>
    </row>
    <row r="2296" spans="1:8" ht="15.75" customHeight="1">
      <c r="A2296" t="s">
        <v>5182</v>
      </c>
      <c r="B2296" t="s">
        <v>5183</v>
      </c>
      <c r="C2296" t="s">
        <v>9864</v>
      </c>
      <c r="E2296" s="12" t="s">
        <v>9865</v>
      </c>
      <c r="F2296" s="12" t="s">
        <v>9866</v>
      </c>
      <c r="G2296" t="s">
        <v>9867</v>
      </c>
      <c r="H2296" t="s">
        <v>9868</v>
      </c>
    </row>
    <row r="2297" spans="1:8" ht="15.75" customHeight="1">
      <c r="A2297" t="s">
        <v>5185</v>
      </c>
      <c r="B2297" t="s">
        <v>5186</v>
      </c>
      <c r="C2297" t="s">
        <v>7744</v>
      </c>
      <c r="E2297" s="12" t="s">
        <v>7745</v>
      </c>
    </row>
    <row r="2298" spans="1:8" ht="15.75" customHeight="1">
      <c r="A2298" t="s">
        <v>5189</v>
      </c>
      <c r="B2298" t="s">
        <v>5190</v>
      </c>
      <c r="C2298" t="s">
        <v>9869</v>
      </c>
      <c r="E2298" s="12" t="s">
        <v>9870</v>
      </c>
      <c r="F2298" s="12" t="s">
        <v>9871</v>
      </c>
      <c r="G2298" t="s">
        <v>9872</v>
      </c>
      <c r="H2298" t="s">
        <v>9873</v>
      </c>
    </row>
    <row r="2299" spans="1:8" ht="15.75" customHeight="1">
      <c r="A2299" t="s">
        <v>5193</v>
      </c>
      <c r="B2299" t="s">
        <v>5194</v>
      </c>
      <c r="C2299" t="s">
        <v>9874</v>
      </c>
      <c r="E2299" s="12" t="s">
        <v>9875</v>
      </c>
      <c r="F2299" s="12" t="s">
        <v>9876</v>
      </c>
      <c r="G2299" t="s">
        <v>9877</v>
      </c>
      <c r="H2299" t="s">
        <v>9571</v>
      </c>
    </row>
    <row r="2300" spans="1:8" ht="15.75" customHeight="1">
      <c r="A2300" t="s">
        <v>5193</v>
      </c>
      <c r="B2300" t="s">
        <v>5194</v>
      </c>
      <c r="C2300" t="s">
        <v>9874</v>
      </c>
      <c r="E2300" s="12" t="s">
        <v>9875</v>
      </c>
      <c r="F2300" s="12" t="s">
        <v>9878</v>
      </c>
      <c r="G2300" t="s">
        <v>9879</v>
      </c>
      <c r="H2300" t="s">
        <v>9880</v>
      </c>
    </row>
    <row r="2301" spans="1:8" ht="15.75" customHeight="1">
      <c r="A2301" t="s">
        <v>5197</v>
      </c>
      <c r="B2301" t="s">
        <v>5198</v>
      </c>
      <c r="C2301" t="s">
        <v>8776</v>
      </c>
      <c r="E2301" s="12" t="s">
        <v>8777</v>
      </c>
      <c r="F2301" s="12" t="s">
        <v>8778</v>
      </c>
      <c r="G2301" t="s">
        <v>8779</v>
      </c>
      <c r="H2301" t="s">
        <v>8780</v>
      </c>
    </row>
    <row r="2302" spans="1:8" ht="15.75" customHeight="1">
      <c r="A2302" t="s">
        <v>5201</v>
      </c>
      <c r="B2302" t="s">
        <v>5202</v>
      </c>
    </row>
    <row r="2303" spans="1:8" ht="15.75" customHeight="1">
      <c r="A2303" t="s">
        <v>5204</v>
      </c>
      <c r="B2303" t="s">
        <v>5205</v>
      </c>
      <c r="C2303" t="s">
        <v>8776</v>
      </c>
      <c r="E2303" s="12" t="s">
        <v>8777</v>
      </c>
      <c r="F2303" s="12" t="s">
        <v>8778</v>
      </c>
      <c r="G2303" t="s">
        <v>8779</v>
      </c>
      <c r="H2303" t="s">
        <v>8780</v>
      </c>
    </row>
    <row r="2304" spans="1:8" ht="15.75" customHeight="1">
      <c r="A2304" t="s">
        <v>5208</v>
      </c>
      <c r="B2304" t="s">
        <v>5209</v>
      </c>
      <c r="C2304" t="s">
        <v>9881</v>
      </c>
      <c r="E2304" s="12" t="s">
        <v>9882</v>
      </c>
      <c r="F2304" s="12" t="s">
        <v>9883</v>
      </c>
      <c r="G2304" t="s">
        <v>9884</v>
      </c>
      <c r="H2304" t="s">
        <v>9885</v>
      </c>
    </row>
    <row r="2305" spans="1:8" ht="15.75" customHeight="1">
      <c r="A2305" t="s">
        <v>5208</v>
      </c>
      <c r="B2305" t="s">
        <v>5209</v>
      </c>
      <c r="C2305" t="s">
        <v>9881</v>
      </c>
      <c r="E2305" s="12" t="s">
        <v>9882</v>
      </c>
      <c r="F2305" s="12" t="s">
        <v>9886</v>
      </c>
      <c r="G2305" t="s">
        <v>9887</v>
      </c>
      <c r="H2305" t="s">
        <v>9888</v>
      </c>
    </row>
    <row r="2306" spans="1:8" ht="15.75" customHeight="1">
      <c r="A2306" t="s">
        <v>5212</v>
      </c>
      <c r="B2306" t="s">
        <v>5213</v>
      </c>
      <c r="C2306" t="s">
        <v>9889</v>
      </c>
      <c r="E2306" s="12" t="s">
        <v>9890</v>
      </c>
      <c r="F2306" s="12" t="s">
        <v>9891</v>
      </c>
      <c r="G2306" t="s">
        <v>9892</v>
      </c>
      <c r="H2306" t="s">
        <v>9893</v>
      </c>
    </row>
    <row r="2307" spans="1:8" ht="15.75" customHeight="1">
      <c r="A2307" t="s">
        <v>5212</v>
      </c>
      <c r="B2307" t="s">
        <v>5213</v>
      </c>
      <c r="C2307" t="s">
        <v>9889</v>
      </c>
      <c r="E2307" s="12" t="s">
        <v>9890</v>
      </c>
      <c r="F2307" s="12" t="s">
        <v>9894</v>
      </c>
      <c r="G2307" t="s">
        <v>9895</v>
      </c>
      <c r="H2307" t="s">
        <v>9896</v>
      </c>
    </row>
    <row r="2308" spans="1:8" ht="15.75" customHeight="1">
      <c r="A2308" t="s">
        <v>5216</v>
      </c>
      <c r="B2308" t="s">
        <v>5217</v>
      </c>
      <c r="C2308" t="s">
        <v>9897</v>
      </c>
      <c r="E2308" s="12" t="s">
        <v>9898</v>
      </c>
      <c r="F2308" s="12" t="s">
        <v>9899</v>
      </c>
      <c r="G2308" t="s">
        <v>9900</v>
      </c>
      <c r="H2308" t="s">
        <v>9901</v>
      </c>
    </row>
    <row r="2309" spans="1:8" ht="15.75" customHeight="1">
      <c r="A2309" t="s">
        <v>5219</v>
      </c>
      <c r="B2309" t="s">
        <v>5220</v>
      </c>
    </row>
    <row r="2310" spans="1:8" ht="15.75" customHeight="1">
      <c r="A2310" t="s">
        <v>5223</v>
      </c>
      <c r="B2310" t="s">
        <v>5224</v>
      </c>
      <c r="C2310" t="s">
        <v>9902</v>
      </c>
      <c r="E2310" s="12" t="s">
        <v>9903</v>
      </c>
      <c r="F2310" s="12" t="s">
        <v>9904</v>
      </c>
      <c r="G2310" t="s">
        <v>9905</v>
      </c>
      <c r="H2310" t="s">
        <v>9906</v>
      </c>
    </row>
    <row r="2311" spans="1:8" ht="15.75" customHeight="1">
      <c r="A2311" t="s">
        <v>5223</v>
      </c>
      <c r="B2311" t="s">
        <v>5224</v>
      </c>
      <c r="C2311" t="s">
        <v>9902</v>
      </c>
      <c r="E2311" s="12" t="s">
        <v>9903</v>
      </c>
      <c r="F2311" s="12" t="s">
        <v>9907</v>
      </c>
      <c r="G2311" t="s">
        <v>9908</v>
      </c>
      <c r="H2311" t="s">
        <v>9909</v>
      </c>
    </row>
    <row r="2312" spans="1:8" ht="15.75" customHeight="1">
      <c r="A2312" t="s">
        <v>5225</v>
      </c>
      <c r="B2312" t="s">
        <v>5226</v>
      </c>
    </row>
    <row r="2313" spans="1:8" ht="15.75" customHeight="1">
      <c r="A2313" t="s">
        <v>5229</v>
      </c>
      <c r="B2313" t="s">
        <v>5230</v>
      </c>
      <c r="C2313" t="s">
        <v>7739</v>
      </c>
    </row>
    <row r="2314" spans="1:8" ht="15.75" customHeight="1">
      <c r="A2314" t="s">
        <v>5233</v>
      </c>
      <c r="B2314" t="s">
        <v>5234</v>
      </c>
      <c r="C2314" t="s">
        <v>7739</v>
      </c>
    </row>
    <row r="2315" spans="1:8" ht="15.75" customHeight="1">
      <c r="A2315" t="s">
        <v>5235</v>
      </c>
      <c r="B2315" t="s">
        <v>5236</v>
      </c>
    </row>
    <row r="2316" spans="1:8" ht="15.75" customHeight="1">
      <c r="A2316" t="s">
        <v>5239</v>
      </c>
      <c r="B2316" t="s">
        <v>5240</v>
      </c>
      <c r="C2316" t="s">
        <v>7823</v>
      </c>
    </row>
    <row r="2317" spans="1:8" ht="15.75" customHeight="1">
      <c r="A2317" t="s">
        <v>5239</v>
      </c>
      <c r="B2317" t="s">
        <v>5240</v>
      </c>
      <c r="C2317" t="s">
        <v>9910</v>
      </c>
      <c r="E2317" s="12" t="s">
        <v>9911</v>
      </c>
    </row>
    <row r="2318" spans="1:8" ht="15.75" customHeight="1">
      <c r="A2318" t="s">
        <v>5243</v>
      </c>
      <c r="B2318" t="s">
        <v>5244</v>
      </c>
      <c r="C2318" t="s">
        <v>9910</v>
      </c>
      <c r="E2318" s="12" t="s">
        <v>9911</v>
      </c>
    </row>
    <row r="2319" spans="1:8" ht="15.75" customHeight="1">
      <c r="A2319" t="s">
        <v>5246</v>
      </c>
      <c r="B2319" t="s">
        <v>5247</v>
      </c>
    </row>
    <row r="2320" spans="1:8" ht="15.75" customHeight="1">
      <c r="A2320" t="s">
        <v>5250</v>
      </c>
      <c r="B2320" t="s">
        <v>5251</v>
      </c>
      <c r="C2320" t="s">
        <v>7460</v>
      </c>
      <c r="E2320" s="12" t="s">
        <v>7461</v>
      </c>
    </row>
    <row r="2321" spans="1:8" ht="15.75" customHeight="1">
      <c r="A2321" t="s">
        <v>5254</v>
      </c>
      <c r="B2321" t="s">
        <v>5255</v>
      </c>
    </row>
    <row r="2322" spans="1:8" ht="15.75" customHeight="1">
      <c r="A2322" t="s">
        <v>5256</v>
      </c>
      <c r="B2322" t="s">
        <v>5257</v>
      </c>
    </row>
    <row r="2323" spans="1:8" ht="15.75" customHeight="1">
      <c r="A2323" t="s">
        <v>5258</v>
      </c>
      <c r="B2323" t="s">
        <v>5259</v>
      </c>
    </row>
    <row r="2324" spans="1:8" ht="15.75" customHeight="1">
      <c r="A2324" t="s">
        <v>5260</v>
      </c>
      <c r="B2324" t="s">
        <v>5261</v>
      </c>
    </row>
    <row r="2325" spans="1:8" ht="15.75" customHeight="1">
      <c r="A2325" t="s">
        <v>5263</v>
      </c>
      <c r="B2325" t="s">
        <v>5264</v>
      </c>
      <c r="C2325" t="s">
        <v>9648</v>
      </c>
      <c r="E2325" s="12" t="s">
        <v>9649</v>
      </c>
      <c r="F2325" s="12" t="s">
        <v>9650</v>
      </c>
      <c r="G2325" t="s">
        <v>9651</v>
      </c>
      <c r="H2325" t="s">
        <v>9652</v>
      </c>
    </row>
    <row r="2326" spans="1:8" ht="15.75" customHeight="1">
      <c r="A2326" t="s">
        <v>5263</v>
      </c>
      <c r="B2326" t="s">
        <v>5264</v>
      </c>
      <c r="C2326" t="s">
        <v>9648</v>
      </c>
      <c r="E2326" s="12" t="s">
        <v>9649</v>
      </c>
      <c r="F2326" s="12" t="s">
        <v>9912</v>
      </c>
      <c r="G2326" t="s">
        <v>9653</v>
      </c>
      <c r="H2326" t="s">
        <v>9652</v>
      </c>
    </row>
    <row r="2327" spans="1:8" ht="15.75" customHeight="1">
      <c r="A2327" t="s">
        <v>5266</v>
      </c>
      <c r="B2327" t="s">
        <v>5267</v>
      </c>
    </row>
    <row r="2328" spans="1:8" ht="15.75" customHeight="1">
      <c r="A2328" t="s">
        <v>5268</v>
      </c>
      <c r="B2328" t="s">
        <v>5269</v>
      </c>
    </row>
    <row r="2329" spans="1:8" ht="15.75" customHeight="1">
      <c r="A2329" t="s">
        <v>5272</v>
      </c>
      <c r="B2329" t="s">
        <v>5273</v>
      </c>
    </row>
    <row r="2330" spans="1:8" ht="15.75" customHeight="1">
      <c r="A2330" t="s">
        <v>5276</v>
      </c>
      <c r="B2330" t="s">
        <v>5277</v>
      </c>
      <c r="C2330" t="s">
        <v>9913</v>
      </c>
      <c r="E2330" s="12" t="s">
        <v>9914</v>
      </c>
    </row>
    <row r="2331" spans="1:8" ht="15.75" customHeight="1">
      <c r="A2331" t="s">
        <v>5280</v>
      </c>
      <c r="B2331" t="s">
        <v>5281</v>
      </c>
      <c r="C2331" t="s">
        <v>9257</v>
      </c>
      <c r="E2331" s="12" t="s">
        <v>9258</v>
      </c>
      <c r="F2331" s="12" t="s">
        <v>9259</v>
      </c>
      <c r="G2331" t="s">
        <v>9260</v>
      </c>
      <c r="H2331" t="s">
        <v>9261</v>
      </c>
    </row>
    <row r="2332" spans="1:8" ht="15.75" customHeight="1">
      <c r="A2332" t="s">
        <v>5280</v>
      </c>
      <c r="B2332" t="s">
        <v>5281</v>
      </c>
      <c r="C2332" t="s">
        <v>9257</v>
      </c>
      <c r="E2332" s="12" t="s">
        <v>9258</v>
      </c>
      <c r="F2332" s="12" t="s">
        <v>9262</v>
      </c>
      <c r="G2332" t="s">
        <v>9263</v>
      </c>
      <c r="H2332" t="s">
        <v>9264</v>
      </c>
    </row>
    <row r="2333" spans="1:8" ht="15.75" customHeight="1">
      <c r="A2333" t="s">
        <v>5280</v>
      </c>
      <c r="B2333" t="s">
        <v>5281</v>
      </c>
      <c r="C2333" t="s">
        <v>9257</v>
      </c>
      <c r="E2333" s="12" t="s">
        <v>9258</v>
      </c>
      <c r="F2333" s="12" t="s">
        <v>9265</v>
      </c>
      <c r="G2333" t="s">
        <v>9266</v>
      </c>
      <c r="H2333" t="s">
        <v>9267</v>
      </c>
    </row>
    <row r="2334" spans="1:8" ht="15.75" customHeight="1">
      <c r="A2334" t="s">
        <v>5280</v>
      </c>
      <c r="B2334" t="s">
        <v>5281</v>
      </c>
      <c r="C2334" t="s">
        <v>9257</v>
      </c>
      <c r="E2334" s="12" t="s">
        <v>9258</v>
      </c>
      <c r="F2334" s="12" t="s">
        <v>9268</v>
      </c>
      <c r="G2334" t="s">
        <v>9269</v>
      </c>
      <c r="H2334" t="s">
        <v>9270</v>
      </c>
    </row>
    <row r="2335" spans="1:8" ht="15.75" customHeight="1">
      <c r="A2335" t="s">
        <v>5284</v>
      </c>
      <c r="B2335" t="s">
        <v>5285</v>
      </c>
      <c r="C2335" t="s">
        <v>9915</v>
      </c>
      <c r="E2335" s="12" t="s">
        <v>9916</v>
      </c>
      <c r="F2335" s="12" t="s">
        <v>9917</v>
      </c>
      <c r="G2335" t="s">
        <v>9918</v>
      </c>
      <c r="H2335" t="s">
        <v>9919</v>
      </c>
    </row>
    <row r="2336" spans="1:8" ht="15.75" customHeight="1">
      <c r="A2336" t="s">
        <v>5288</v>
      </c>
      <c r="B2336" t="s">
        <v>5289</v>
      </c>
      <c r="C2336" t="s">
        <v>9920</v>
      </c>
      <c r="E2336" s="12" t="s">
        <v>9921</v>
      </c>
      <c r="F2336" s="12" t="s">
        <v>9922</v>
      </c>
      <c r="G2336" t="s">
        <v>9923</v>
      </c>
      <c r="H2336" t="s">
        <v>9924</v>
      </c>
    </row>
    <row r="2337" spans="1:8" ht="15.75" customHeight="1">
      <c r="A2337" t="s">
        <v>5288</v>
      </c>
      <c r="B2337" t="s">
        <v>5289</v>
      </c>
      <c r="C2337" t="s">
        <v>9920</v>
      </c>
      <c r="E2337" s="12" t="s">
        <v>9921</v>
      </c>
      <c r="F2337" s="12" t="s">
        <v>9925</v>
      </c>
      <c r="G2337" t="s">
        <v>9926</v>
      </c>
      <c r="H2337" t="s">
        <v>9927</v>
      </c>
    </row>
    <row r="2338" spans="1:8" ht="15.75" customHeight="1">
      <c r="A2338" t="s">
        <v>5288</v>
      </c>
      <c r="B2338" t="s">
        <v>5289</v>
      </c>
      <c r="C2338" t="s">
        <v>9920</v>
      </c>
      <c r="E2338" s="12" t="s">
        <v>9921</v>
      </c>
      <c r="F2338" s="12" t="s">
        <v>9928</v>
      </c>
      <c r="G2338" t="s">
        <v>9929</v>
      </c>
      <c r="H2338" t="s">
        <v>9930</v>
      </c>
    </row>
    <row r="2339" spans="1:8" ht="15.75" customHeight="1">
      <c r="A2339" t="s">
        <v>5288</v>
      </c>
      <c r="B2339" t="s">
        <v>5289</v>
      </c>
      <c r="C2339" t="s">
        <v>9920</v>
      </c>
      <c r="E2339" s="12" t="s">
        <v>9921</v>
      </c>
      <c r="F2339" s="12" t="s">
        <v>9931</v>
      </c>
      <c r="G2339" t="s">
        <v>9932</v>
      </c>
      <c r="H2339" t="s">
        <v>9933</v>
      </c>
    </row>
    <row r="2340" spans="1:8" ht="15.75" customHeight="1">
      <c r="A2340" t="s">
        <v>5288</v>
      </c>
      <c r="B2340" t="s">
        <v>5289</v>
      </c>
      <c r="C2340" t="s">
        <v>9920</v>
      </c>
      <c r="E2340" s="12" t="s">
        <v>9921</v>
      </c>
      <c r="F2340" s="12" t="s">
        <v>9934</v>
      </c>
      <c r="G2340" t="s">
        <v>9935</v>
      </c>
      <c r="H2340" t="s">
        <v>9936</v>
      </c>
    </row>
    <row r="2341" spans="1:8" ht="15.75" customHeight="1">
      <c r="A2341" t="s">
        <v>5288</v>
      </c>
      <c r="B2341" t="s">
        <v>5289</v>
      </c>
      <c r="C2341" t="s">
        <v>9920</v>
      </c>
      <c r="E2341" s="12" t="s">
        <v>9921</v>
      </c>
      <c r="F2341" s="12" t="s">
        <v>9937</v>
      </c>
      <c r="G2341" t="s">
        <v>9938</v>
      </c>
      <c r="H2341" t="s">
        <v>9939</v>
      </c>
    </row>
    <row r="2342" spans="1:8" ht="15.75" customHeight="1">
      <c r="A2342" t="s">
        <v>5288</v>
      </c>
      <c r="B2342" t="s">
        <v>5289</v>
      </c>
      <c r="C2342" t="s">
        <v>9920</v>
      </c>
      <c r="E2342" s="12" t="s">
        <v>9921</v>
      </c>
      <c r="F2342" s="12" t="s">
        <v>9940</v>
      </c>
      <c r="G2342" t="s">
        <v>9941</v>
      </c>
      <c r="H2342" t="s">
        <v>9942</v>
      </c>
    </row>
    <row r="2343" spans="1:8" ht="15.75" customHeight="1">
      <c r="A2343" t="s">
        <v>5288</v>
      </c>
      <c r="B2343" t="s">
        <v>5289</v>
      </c>
      <c r="C2343" t="s">
        <v>9920</v>
      </c>
      <c r="E2343" s="12" t="s">
        <v>9921</v>
      </c>
      <c r="F2343" s="12" t="s">
        <v>9943</v>
      </c>
      <c r="G2343" t="s">
        <v>9944</v>
      </c>
      <c r="H2343" t="s">
        <v>9945</v>
      </c>
    </row>
    <row r="2344" spans="1:8" ht="15.75" customHeight="1">
      <c r="A2344" t="s">
        <v>5288</v>
      </c>
      <c r="B2344" t="s">
        <v>5289</v>
      </c>
      <c r="C2344" t="s">
        <v>9920</v>
      </c>
      <c r="E2344" s="12" t="s">
        <v>9921</v>
      </c>
      <c r="F2344" s="12" t="s">
        <v>9946</v>
      </c>
      <c r="G2344" t="s">
        <v>9947</v>
      </c>
      <c r="H2344" t="s">
        <v>9948</v>
      </c>
    </row>
    <row r="2345" spans="1:8" ht="15.75" customHeight="1">
      <c r="A2345" t="s">
        <v>5288</v>
      </c>
      <c r="B2345" t="s">
        <v>5289</v>
      </c>
      <c r="C2345" t="s">
        <v>9920</v>
      </c>
      <c r="E2345" s="12" t="s">
        <v>9921</v>
      </c>
      <c r="F2345" s="12" t="s">
        <v>9949</v>
      </c>
      <c r="G2345" t="s">
        <v>9950</v>
      </c>
      <c r="H2345" t="s">
        <v>9951</v>
      </c>
    </row>
    <row r="2346" spans="1:8" ht="15.75" customHeight="1">
      <c r="A2346" t="s">
        <v>5288</v>
      </c>
      <c r="B2346" t="s">
        <v>5289</v>
      </c>
      <c r="C2346" t="s">
        <v>9920</v>
      </c>
      <c r="E2346" s="12" t="s">
        <v>9921</v>
      </c>
      <c r="F2346" s="12" t="s">
        <v>9952</v>
      </c>
      <c r="G2346" t="s">
        <v>9953</v>
      </c>
      <c r="H2346" t="s">
        <v>9954</v>
      </c>
    </row>
    <row r="2347" spans="1:8" ht="15.75" customHeight="1">
      <c r="A2347" t="s">
        <v>5288</v>
      </c>
      <c r="B2347" t="s">
        <v>5289</v>
      </c>
      <c r="C2347" t="s">
        <v>9955</v>
      </c>
      <c r="E2347" s="12" t="s">
        <v>9956</v>
      </c>
      <c r="F2347" s="12" t="s">
        <v>9957</v>
      </c>
      <c r="G2347" t="s">
        <v>9958</v>
      </c>
      <c r="H2347" t="s">
        <v>9959</v>
      </c>
    </row>
    <row r="2348" spans="1:8" ht="15.75" customHeight="1">
      <c r="A2348" t="s">
        <v>5288</v>
      </c>
      <c r="B2348" t="s">
        <v>5289</v>
      </c>
      <c r="C2348" t="s">
        <v>9955</v>
      </c>
      <c r="E2348" s="12" t="s">
        <v>9956</v>
      </c>
      <c r="F2348" s="12" t="s">
        <v>7255</v>
      </c>
      <c r="G2348" t="s">
        <v>7256</v>
      </c>
      <c r="H2348" t="s">
        <v>7257</v>
      </c>
    </row>
    <row r="2349" spans="1:8" ht="15.75" customHeight="1">
      <c r="A2349" t="s">
        <v>5288</v>
      </c>
      <c r="B2349" t="s">
        <v>5289</v>
      </c>
      <c r="C2349" t="s">
        <v>9955</v>
      </c>
      <c r="E2349" s="12" t="s">
        <v>9956</v>
      </c>
      <c r="F2349" s="12" t="s">
        <v>9960</v>
      </c>
      <c r="G2349" t="s">
        <v>9961</v>
      </c>
      <c r="H2349" t="s">
        <v>9962</v>
      </c>
    </row>
    <row r="2350" spans="1:8" ht="15.75" customHeight="1">
      <c r="A2350" t="s">
        <v>5292</v>
      </c>
      <c r="B2350" t="s">
        <v>5293</v>
      </c>
      <c r="C2350" t="s">
        <v>8788</v>
      </c>
    </row>
    <row r="2351" spans="1:8" ht="15.75" customHeight="1">
      <c r="A2351" t="s">
        <v>5296</v>
      </c>
      <c r="B2351" t="s">
        <v>5297</v>
      </c>
    </row>
    <row r="2352" spans="1:8" ht="15.75" customHeight="1">
      <c r="A2352" t="s">
        <v>5298</v>
      </c>
      <c r="B2352" t="s">
        <v>5299</v>
      </c>
    </row>
    <row r="2353" spans="1:8" ht="15.75" customHeight="1">
      <c r="A2353" t="s">
        <v>5302</v>
      </c>
      <c r="B2353" t="s">
        <v>5303</v>
      </c>
      <c r="C2353" t="s">
        <v>9963</v>
      </c>
      <c r="E2353" s="12" t="s">
        <v>9964</v>
      </c>
      <c r="F2353" s="12" t="s">
        <v>9965</v>
      </c>
      <c r="G2353" t="s">
        <v>9966</v>
      </c>
      <c r="H2353" t="s">
        <v>9967</v>
      </c>
    </row>
    <row r="2354" spans="1:8" ht="15.75" customHeight="1">
      <c r="A2354" t="s">
        <v>5306</v>
      </c>
      <c r="B2354" t="s">
        <v>5307</v>
      </c>
      <c r="C2354" t="s">
        <v>9761</v>
      </c>
      <c r="E2354" s="12" t="s">
        <v>9762</v>
      </c>
      <c r="F2354" s="12" t="s">
        <v>9763</v>
      </c>
      <c r="G2354" t="s">
        <v>9764</v>
      </c>
      <c r="H2354" t="s">
        <v>9968</v>
      </c>
    </row>
    <row r="2355" spans="1:8" ht="15.75" customHeight="1">
      <c r="A2355" t="s">
        <v>5310</v>
      </c>
      <c r="B2355" t="s">
        <v>5311</v>
      </c>
      <c r="C2355" t="s">
        <v>9969</v>
      </c>
      <c r="E2355" s="12" t="s">
        <v>9970</v>
      </c>
    </row>
    <row r="2356" spans="1:8" ht="15.75" customHeight="1">
      <c r="A2356" t="s">
        <v>5310</v>
      </c>
      <c r="B2356" t="s">
        <v>5311</v>
      </c>
      <c r="C2356" t="s">
        <v>9771</v>
      </c>
    </row>
    <row r="2357" spans="1:8" ht="15.75" customHeight="1">
      <c r="A2357" t="s">
        <v>5312</v>
      </c>
      <c r="B2357" t="s">
        <v>5313</v>
      </c>
    </row>
    <row r="2358" spans="1:8" ht="15.75" customHeight="1">
      <c r="A2358" t="s">
        <v>5315</v>
      </c>
      <c r="B2358" t="s">
        <v>5316</v>
      </c>
      <c r="C2358" t="s">
        <v>9012</v>
      </c>
    </row>
    <row r="2359" spans="1:8" ht="15.75" customHeight="1">
      <c r="A2359" t="s">
        <v>5319</v>
      </c>
      <c r="B2359" t="s">
        <v>5320</v>
      </c>
      <c r="C2359" t="s">
        <v>7188</v>
      </c>
    </row>
    <row r="2360" spans="1:8" ht="15.75" customHeight="1">
      <c r="A2360" t="s">
        <v>5323</v>
      </c>
      <c r="B2360" t="s">
        <v>5324</v>
      </c>
      <c r="C2360" t="s">
        <v>7188</v>
      </c>
    </row>
    <row r="2361" spans="1:8" ht="15.75" customHeight="1">
      <c r="A2361" t="s">
        <v>5327</v>
      </c>
      <c r="B2361" t="s">
        <v>5328</v>
      </c>
    </row>
    <row r="2362" spans="1:8" ht="15.75" customHeight="1">
      <c r="A2362" t="s">
        <v>5331</v>
      </c>
      <c r="B2362" t="s">
        <v>5332</v>
      </c>
    </row>
    <row r="2363" spans="1:8" ht="15.75" customHeight="1">
      <c r="A2363" t="s">
        <v>5335</v>
      </c>
      <c r="B2363" t="s">
        <v>5336</v>
      </c>
      <c r="C2363" t="s">
        <v>9971</v>
      </c>
      <c r="E2363" s="12" t="s">
        <v>9972</v>
      </c>
      <c r="F2363" s="12" t="s">
        <v>9973</v>
      </c>
      <c r="G2363" t="s">
        <v>9974</v>
      </c>
      <c r="H2363" t="s">
        <v>9975</v>
      </c>
    </row>
    <row r="2364" spans="1:8" ht="15.75" customHeight="1">
      <c r="A2364" t="s">
        <v>5339</v>
      </c>
      <c r="B2364" t="s">
        <v>5340</v>
      </c>
      <c r="C2364" t="s">
        <v>9503</v>
      </c>
    </row>
    <row r="2365" spans="1:8" ht="15.75" customHeight="1">
      <c r="A2365" t="s">
        <v>5343</v>
      </c>
      <c r="B2365" t="s">
        <v>5344</v>
      </c>
    </row>
    <row r="2366" spans="1:8" ht="15.75" customHeight="1">
      <c r="A2366" t="s">
        <v>5347</v>
      </c>
      <c r="B2366" t="s">
        <v>5348</v>
      </c>
      <c r="C2366" t="s">
        <v>9976</v>
      </c>
      <c r="E2366" s="12" t="s">
        <v>9977</v>
      </c>
      <c r="F2366" s="12" t="s">
        <v>9978</v>
      </c>
      <c r="G2366" t="s">
        <v>9979</v>
      </c>
      <c r="H2366" t="s">
        <v>9980</v>
      </c>
    </row>
    <row r="2367" spans="1:8" ht="15.75" customHeight="1">
      <c r="A2367" t="s">
        <v>5347</v>
      </c>
      <c r="B2367" t="s">
        <v>5348</v>
      </c>
      <c r="C2367" t="s">
        <v>9976</v>
      </c>
      <c r="E2367" s="12" t="s">
        <v>9977</v>
      </c>
      <c r="F2367" s="12" t="s">
        <v>9981</v>
      </c>
      <c r="G2367" t="s">
        <v>9982</v>
      </c>
      <c r="H2367" t="s">
        <v>9983</v>
      </c>
    </row>
    <row r="2368" spans="1:8" ht="15.75" customHeight="1">
      <c r="A2368" t="s">
        <v>5347</v>
      </c>
      <c r="B2368" t="s">
        <v>5348</v>
      </c>
      <c r="C2368" t="s">
        <v>9976</v>
      </c>
      <c r="E2368" s="12" t="s">
        <v>9977</v>
      </c>
      <c r="F2368" s="12" t="s">
        <v>9984</v>
      </c>
      <c r="G2368" t="s">
        <v>9985</v>
      </c>
      <c r="H2368" t="s">
        <v>9986</v>
      </c>
    </row>
    <row r="2369" spans="1:8" ht="15.75" customHeight="1">
      <c r="A2369" t="s">
        <v>5347</v>
      </c>
      <c r="B2369" t="s">
        <v>5348</v>
      </c>
      <c r="C2369" t="s">
        <v>9976</v>
      </c>
      <c r="E2369" s="12" t="s">
        <v>9977</v>
      </c>
      <c r="F2369" s="12" t="s">
        <v>9987</v>
      </c>
      <c r="G2369" t="s">
        <v>9988</v>
      </c>
      <c r="H2369" t="s">
        <v>9989</v>
      </c>
    </row>
    <row r="2370" spans="1:8" ht="15.75" customHeight="1">
      <c r="A2370" t="s">
        <v>5347</v>
      </c>
      <c r="B2370" t="s">
        <v>5348</v>
      </c>
      <c r="C2370" t="s">
        <v>9976</v>
      </c>
      <c r="E2370" s="12" t="s">
        <v>9977</v>
      </c>
      <c r="F2370" s="12" t="s">
        <v>9990</v>
      </c>
      <c r="G2370" t="s">
        <v>9991</v>
      </c>
      <c r="H2370" t="s">
        <v>9992</v>
      </c>
    </row>
    <row r="2371" spans="1:8" ht="15.75" customHeight="1">
      <c r="A2371" t="s">
        <v>5347</v>
      </c>
      <c r="B2371" t="s">
        <v>5348</v>
      </c>
      <c r="C2371" t="s">
        <v>9976</v>
      </c>
      <c r="E2371" s="12" t="s">
        <v>9977</v>
      </c>
      <c r="F2371" s="12" t="s">
        <v>9993</v>
      </c>
      <c r="G2371" t="s">
        <v>9994</v>
      </c>
      <c r="H2371" t="s">
        <v>9995</v>
      </c>
    </row>
    <row r="2372" spans="1:8" ht="15.75" customHeight="1">
      <c r="A2372" t="s">
        <v>5347</v>
      </c>
      <c r="B2372" t="s">
        <v>5348</v>
      </c>
      <c r="C2372" t="s">
        <v>9976</v>
      </c>
      <c r="E2372" s="12" t="s">
        <v>9977</v>
      </c>
      <c r="F2372" s="12" t="s">
        <v>9996</v>
      </c>
      <c r="G2372" t="s">
        <v>9997</v>
      </c>
      <c r="H2372" t="s">
        <v>9998</v>
      </c>
    </row>
    <row r="2373" spans="1:8" ht="15.75" customHeight="1">
      <c r="A2373" t="s">
        <v>5347</v>
      </c>
      <c r="B2373" t="s">
        <v>5348</v>
      </c>
      <c r="C2373" t="s">
        <v>9976</v>
      </c>
      <c r="E2373" s="12" t="s">
        <v>9977</v>
      </c>
      <c r="F2373" s="12" t="s">
        <v>9999</v>
      </c>
      <c r="G2373" t="s">
        <v>10000</v>
      </c>
      <c r="H2373" t="s">
        <v>10001</v>
      </c>
    </row>
    <row r="2374" spans="1:8" ht="15.75" customHeight="1">
      <c r="A2374" t="s">
        <v>5351</v>
      </c>
      <c r="B2374" t="s">
        <v>5352</v>
      </c>
      <c r="C2374" t="s">
        <v>9976</v>
      </c>
      <c r="E2374" s="12" t="s">
        <v>9977</v>
      </c>
      <c r="F2374" s="12" t="s">
        <v>9978</v>
      </c>
      <c r="G2374" t="s">
        <v>9979</v>
      </c>
      <c r="H2374" t="s">
        <v>9980</v>
      </c>
    </row>
    <row r="2375" spans="1:8" ht="15.75" customHeight="1">
      <c r="A2375" t="s">
        <v>5351</v>
      </c>
      <c r="B2375" t="s">
        <v>5352</v>
      </c>
      <c r="C2375" t="s">
        <v>9976</v>
      </c>
      <c r="E2375" s="12" t="s">
        <v>9977</v>
      </c>
      <c r="F2375" s="12" t="s">
        <v>9981</v>
      </c>
      <c r="G2375" t="s">
        <v>9982</v>
      </c>
      <c r="H2375" t="s">
        <v>9983</v>
      </c>
    </row>
    <row r="2376" spans="1:8" ht="15.75" customHeight="1">
      <c r="A2376" t="s">
        <v>5351</v>
      </c>
      <c r="B2376" t="s">
        <v>5352</v>
      </c>
      <c r="C2376" t="s">
        <v>9976</v>
      </c>
      <c r="E2376" s="12" t="s">
        <v>9977</v>
      </c>
      <c r="F2376" s="12" t="s">
        <v>9984</v>
      </c>
      <c r="G2376" t="s">
        <v>9985</v>
      </c>
      <c r="H2376" t="s">
        <v>9986</v>
      </c>
    </row>
    <row r="2377" spans="1:8" ht="15.75" customHeight="1">
      <c r="A2377" t="s">
        <v>5351</v>
      </c>
      <c r="B2377" t="s">
        <v>5352</v>
      </c>
      <c r="C2377" t="s">
        <v>9976</v>
      </c>
      <c r="E2377" s="12" t="s">
        <v>9977</v>
      </c>
      <c r="F2377" s="12" t="s">
        <v>9987</v>
      </c>
      <c r="G2377" t="s">
        <v>9988</v>
      </c>
      <c r="H2377" t="s">
        <v>9989</v>
      </c>
    </row>
    <row r="2378" spans="1:8" ht="15.75" customHeight="1">
      <c r="A2378" t="s">
        <v>5351</v>
      </c>
      <c r="B2378" t="s">
        <v>5352</v>
      </c>
      <c r="C2378" t="s">
        <v>9976</v>
      </c>
      <c r="E2378" s="12" t="s">
        <v>9977</v>
      </c>
      <c r="F2378" s="12" t="s">
        <v>9990</v>
      </c>
      <c r="G2378" t="s">
        <v>9991</v>
      </c>
      <c r="H2378" t="s">
        <v>9992</v>
      </c>
    </row>
    <row r="2379" spans="1:8" ht="15.75" customHeight="1">
      <c r="A2379" t="s">
        <v>5351</v>
      </c>
      <c r="B2379" t="s">
        <v>5352</v>
      </c>
      <c r="C2379" t="s">
        <v>9976</v>
      </c>
      <c r="E2379" s="12" t="s">
        <v>9977</v>
      </c>
      <c r="F2379" s="12" t="s">
        <v>9993</v>
      </c>
      <c r="G2379" t="s">
        <v>9994</v>
      </c>
      <c r="H2379" t="s">
        <v>9995</v>
      </c>
    </row>
    <row r="2380" spans="1:8" ht="15.75" customHeight="1">
      <c r="A2380" t="s">
        <v>5351</v>
      </c>
      <c r="B2380" t="s">
        <v>5352</v>
      </c>
      <c r="C2380" t="s">
        <v>9976</v>
      </c>
      <c r="E2380" s="12" t="s">
        <v>9977</v>
      </c>
      <c r="F2380" s="12" t="s">
        <v>9996</v>
      </c>
      <c r="G2380" t="s">
        <v>9997</v>
      </c>
      <c r="H2380" t="s">
        <v>9998</v>
      </c>
    </row>
    <row r="2381" spans="1:8" ht="15.75" customHeight="1">
      <c r="A2381" t="s">
        <v>5351</v>
      </c>
      <c r="B2381" t="s">
        <v>5352</v>
      </c>
      <c r="C2381" t="s">
        <v>9976</v>
      </c>
      <c r="E2381" s="12" t="s">
        <v>9977</v>
      </c>
      <c r="F2381" s="12" t="s">
        <v>9999</v>
      </c>
      <c r="G2381" t="s">
        <v>10000</v>
      </c>
      <c r="H2381" t="s">
        <v>10001</v>
      </c>
    </row>
    <row r="2382" spans="1:8" ht="15.75" customHeight="1">
      <c r="A2382" t="s">
        <v>5355</v>
      </c>
      <c r="B2382" t="s">
        <v>5356</v>
      </c>
    </row>
    <row r="2383" spans="1:8" ht="15.75" customHeight="1">
      <c r="A2383" t="s">
        <v>5358</v>
      </c>
      <c r="B2383" t="s">
        <v>5359</v>
      </c>
      <c r="C2383" t="s">
        <v>7178</v>
      </c>
      <c r="E2383" s="12" t="s">
        <v>7179</v>
      </c>
      <c r="F2383" s="12" t="s">
        <v>7180</v>
      </c>
      <c r="G2383" t="s">
        <v>7181</v>
      </c>
      <c r="H2383" t="s">
        <v>7182</v>
      </c>
    </row>
    <row r="2384" spans="1:8" ht="15.75" customHeight="1">
      <c r="A2384" t="s">
        <v>5358</v>
      </c>
      <c r="B2384" t="s">
        <v>5359</v>
      </c>
      <c r="C2384" t="s">
        <v>7178</v>
      </c>
      <c r="E2384" s="12" t="s">
        <v>7179</v>
      </c>
      <c r="F2384" s="12" t="s">
        <v>7183</v>
      </c>
      <c r="G2384" t="s">
        <v>7184</v>
      </c>
      <c r="H2384" t="s">
        <v>7185</v>
      </c>
    </row>
    <row r="2385" spans="1:8" ht="15.75" customHeight="1">
      <c r="A2385" t="s">
        <v>5358</v>
      </c>
      <c r="B2385" t="s">
        <v>5359</v>
      </c>
      <c r="C2385" t="s">
        <v>7178</v>
      </c>
      <c r="E2385" s="12" t="s">
        <v>7179</v>
      </c>
      <c r="F2385" s="12" t="s">
        <v>7186</v>
      </c>
      <c r="G2385" t="s">
        <v>7187</v>
      </c>
      <c r="H2385" t="s">
        <v>7185</v>
      </c>
    </row>
    <row r="2386" spans="1:8" ht="15.75" customHeight="1">
      <c r="A2386" t="s">
        <v>5362</v>
      </c>
      <c r="B2386" t="s">
        <v>5363</v>
      </c>
    </row>
    <row r="2387" spans="1:8" ht="15.75" customHeight="1">
      <c r="A2387" t="s">
        <v>5366</v>
      </c>
      <c r="B2387" t="s">
        <v>5367</v>
      </c>
      <c r="C2387" t="s">
        <v>7188</v>
      </c>
    </row>
    <row r="2388" spans="1:8" ht="15.75" customHeight="1">
      <c r="A2388" t="s">
        <v>5366</v>
      </c>
      <c r="B2388" t="s">
        <v>5367</v>
      </c>
      <c r="C2388" t="s">
        <v>7176</v>
      </c>
      <c r="E2388" s="12" t="s">
        <v>7177</v>
      </c>
    </row>
    <row r="2389" spans="1:8" ht="15.75" customHeight="1">
      <c r="A2389" t="s">
        <v>5370</v>
      </c>
      <c r="B2389" t="s">
        <v>5371</v>
      </c>
    </row>
    <row r="2390" spans="1:8" ht="15.75" customHeight="1">
      <c r="A2390" t="s">
        <v>5372</v>
      </c>
      <c r="B2390" t="s">
        <v>5373</v>
      </c>
    </row>
    <row r="2391" spans="1:8" ht="15.75" customHeight="1">
      <c r="A2391" t="s">
        <v>5376</v>
      </c>
      <c r="B2391" t="s">
        <v>5377</v>
      </c>
      <c r="C2391" t="s">
        <v>10002</v>
      </c>
      <c r="E2391" s="12" t="s">
        <v>10003</v>
      </c>
      <c r="F2391" s="12" t="s">
        <v>10004</v>
      </c>
      <c r="G2391" t="s">
        <v>10005</v>
      </c>
      <c r="H2391" t="s">
        <v>10006</v>
      </c>
    </row>
    <row r="2392" spans="1:8" ht="15.75" customHeight="1">
      <c r="A2392" t="s">
        <v>5380</v>
      </c>
      <c r="B2392" t="s">
        <v>5381</v>
      </c>
      <c r="C2392" t="s">
        <v>10007</v>
      </c>
      <c r="E2392" s="12" t="s">
        <v>10008</v>
      </c>
      <c r="F2392" s="12" t="s">
        <v>10009</v>
      </c>
      <c r="G2392" t="s">
        <v>10010</v>
      </c>
      <c r="H2392" t="s">
        <v>10011</v>
      </c>
    </row>
    <row r="2393" spans="1:8" ht="15.75" customHeight="1">
      <c r="A2393" t="s">
        <v>5383</v>
      </c>
      <c r="B2393" t="s">
        <v>5384</v>
      </c>
      <c r="C2393" t="s">
        <v>10012</v>
      </c>
      <c r="E2393" s="12" t="s">
        <v>10013</v>
      </c>
      <c r="F2393" s="12" t="s">
        <v>10014</v>
      </c>
      <c r="G2393" t="s">
        <v>10015</v>
      </c>
      <c r="H2393" t="s">
        <v>10016</v>
      </c>
    </row>
    <row r="2394" spans="1:8" ht="15.75" customHeight="1">
      <c r="A2394" t="s">
        <v>5387</v>
      </c>
      <c r="B2394" t="s">
        <v>5388</v>
      </c>
      <c r="C2394" t="s">
        <v>10012</v>
      </c>
      <c r="E2394" s="12" t="s">
        <v>10013</v>
      </c>
      <c r="F2394" s="12" t="s">
        <v>10014</v>
      </c>
      <c r="G2394" t="s">
        <v>10015</v>
      </c>
      <c r="H2394" t="s">
        <v>10016</v>
      </c>
    </row>
    <row r="2395" spans="1:8" ht="15.75" customHeight="1">
      <c r="A2395" t="s">
        <v>5390</v>
      </c>
      <c r="B2395" t="s">
        <v>5391</v>
      </c>
    </row>
    <row r="2396" spans="1:8" ht="15.75" customHeight="1">
      <c r="A2396" t="s">
        <v>5392</v>
      </c>
      <c r="B2396" t="s">
        <v>5393</v>
      </c>
    </row>
    <row r="2397" spans="1:8" ht="15.75" customHeight="1">
      <c r="A2397" t="s">
        <v>5396</v>
      </c>
      <c r="B2397" t="s">
        <v>5397</v>
      </c>
    </row>
    <row r="2398" spans="1:8" ht="15.75" customHeight="1">
      <c r="A2398" t="s">
        <v>5400</v>
      </c>
      <c r="B2398" t="s">
        <v>5401</v>
      </c>
      <c r="C2398" t="s">
        <v>10017</v>
      </c>
      <c r="E2398" s="12" t="s">
        <v>10018</v>
      </c>
    </row>
    <row r="2399" spans="1:8" ht="15.75" customHeight="1">
      <c r="A2399" t="s">
        <v>5403</v>
      </c>
      <c r="B2399" t="s">
        <v>5404</v>
      </c>
    </row>
    <row r="2400" spans="1:8" ht="15.75" customHeight="1">
      <c r="A2400" t="s">
        <v>5406</v>
      </c>
      <c r="B2400" t="s">
        <v>5407</v>
      </c>
      <c r="C2400" t="s">
        <v>7545</v>
      </c>
    </row>
    <row r="2401" spans="1:8" ht="15.75" customHeight="1">
      <c r="A2401" t="s">
        <v>5410</v>
      </c>
      <c r="B2401" t="s">
        <v>5411</v>
      </c>
      <c r="C2401" t="s">
        <v>8720</v>
      </c>
      <c r="E2401" s="12" t="s">
        <v>8721</v>
      </c>
      <c r="F2401" s="12" t="s">
        <v>8722</v>
      </c>
      <c r="G2401" t="s">
        <v>8723</v>
      </c>
      <c r="H2401" t="s">
        <v>8724</v>
      </c>
    </row>
    <row r="2402" spans="1:8" ht="15.75" customHeight="1">
      <c r="A2402" t="s">
        <v>5412</v>
      </c>
      <c r="B2402" t="s">
        <v>5413</v>
      </c>
    </row>
    <row r="2403" spans="1:8" ht="15.75" customHeight="1">
      <c r="A2403" t="s">
        <v>5414</v>
      </c>
      <c r="B2403" t="s">
        <v>5415</v>
      </c>
    </row>
    <row r="2404" spans="1:8" ht="15.75" customHeight="1">
      <c r="A2404" t="s">
        <v>5417</v>
      </c>
      <c r="B2404" t="s">
        <v>5418</v>
      </c>
    </row>
    <row r="2405" spans="1:8" ht="15.75" customHeight="1">
      <c r="A2405" t="s">
        <v>5420</v>
      </c>
      <c r="B2405" t="s">
        <v>5421</v>
      </c>
    </row>
    <row r="2406" spans="1:8" ht="15.75" customHeight="1">
      <c r="A2406" t="s">
        <v>5423</v>
      </c>
      <c r="B2406" t="s">
        <v>5424</v>
      </c>
    </row>
    <row r="2407" spans="1:8" ht="15.75" customHeight="1">
      <c r="A2407" t="s">
        <v>5427</v>
      </c>
      <c r="B2407" t="s">
        <v>5428</v>
      </c>
      <c r="C2407" t="s">
        <v>7544</v>
      </c>
    </row>
    <row r="2408" spans="1:8" ht="15.75" customHeight="1">
      <c r="A2408" t="s">
        <v>5431</v>
      </c>
      <c r="B2408" t="s">
        <v>5432</v>
      </c>
      <c r="C2408" t="s">
        <v>7544</v>
      </c>
    </row>
    <row r="2409" spans="1:8" ht="15.75" customHeight="1">
      <c r="A2409" t="s">
        <v>5431</v>
      </c>
      <c r="B2409" t="s">
        <v>5432</v>
      </c>
      <c r="C2409" t="s">
        <v>10019</v>
      </c>
      <c r="E2409" s="12" t="s">
        <v>10020</v>
      </c>
      <c r="F2409" s="12" t="s">
        <v>10021</v>
      </c>
      <c r="G2409" t="s">
        <v>10022</v>
      </c>
      <c r="H2409" t="s">
        <v>10023</v>
      </c>
    </row>
    <row r="2410" spans="1:8" ht="15.75" customHeight="1">
      <c r="A2410" t="s">
        <v>5434</v>
      </c>
      <c r="B2410" t="s">
        <v>5432</v>
      </c>
    </row>
    <row r="2411" spans="1:8" ht="15.75" customHeight="1">
      <c r="A2411" t="s">
        <v>5438</v>
      </c>
      <c r="B2411" t="s">
        <v>5439</v>
      </c>
    </row>
    <row r="2412" spans="1:8" ht="15.75" customHeight="1">
      <c r="A2412" t="s">
        <v>5442</v>
      </c>
      <c r="B2412" t="s">
        <v>5443</v>
      </c>
      <c r="C2412" t="s">
        <v>10024</v>
      </c>
    </row>
    <row r="2413" spans="1:8" ht="15.75" customHeight="1">
      <c r="A2413" t="s">
        <v>5445</v>
      </c>
      <c r="B2413" t="s">
        <v>5446</v>
      </c>
    </row>
    <row r="2414" spans="1:8" ht="15.75" customHeight="1">
      <c r="A2414" t="s">
        <v>5448</v>
      </c>
      <c r="B2414" t="s">
        <v>5449</v>
      </c>
    </row>
    <row r="2415" spans="1:8" ht="15.75" customHeight="1">
      <c r="A2415" t="s">
        <v>5450</v>
      </c>
      <c r="B2415" t="s">
        <v>5451</v>
      </c>
    </row>
    <row r="2416" spans="1:8" ht="15.75" customHeight="1">
      <c r="A2416" t="s">
        <v>5454</v>
      </c>
      <c r="B2416" t="s">
        <v>5455</v>
      </c>
      <c r="C2416" t="s">
        <v>10025</v>
      </c>
      <c r="E2416" s="12" t="s">
        <v>10026</v>
      </c>
      <c r="F2416" s="12" t="s">
        <v>10027</v>
      </c>
      <c r="G2416" t="s">
        <v>10028</v>
      </c>
      <c r="H2416" t="s">
        <v>10029</v>
      </c>
    </row>
    <row r="2417" spans="1:8" ht="15.75" customHeight="1">
      <c r="A2417" t="s">
        <v>5458</v>
      </c>
      <c r="B2417" t="s">
        <v>5459</v>
      </c>
    </row>
    <row r="2418" spans="1:8" ht="15.75" customHeight="1">
      <c r="A2418" t="s">
        <v>5460</v>
      </c>
      <c r="B2418" t="s">
        <v>5461</v>
      </c>
    </row>
    <row r="2419" spans="1:8" ht="15.75" customHeight="1">
      <c r="A2419" t="s">
        <v>5464</v>
      </c>
      <c r="B2419" t="s">
        <v>5465</v>
      </c>
    </row>
    <row r="2420" spans="1:8" ht="15.75" customHeight="1">
      <c r="A2420" t="s">
        <v>5466</v>
      </c>
      <c r="B2420" t="s">
        <v>5467</v>
      </c>
    </row>
    <row r="2421" spans="1:8" ht="15.75" customHeight="1">
      <c r="A2421" t="s">
        <v>5468</v>
      </c>
      <c r="B2421" t="s">
        <v>5469</v>
      </c>
    </row>
    <row r="2422" spans="1:8" ht="15.75" customHeight="1">
      <c r="A2422" t="s">
        <v>5471</v>
      </c>
      <c r="B2422" t="s">
        <v>5472</v>
      </c>
    </row>
    <row r="2423" spans="1:8" ht="15.75" customHeight="1">
      <c r="A2423" t="s">
        <v>5474</v>
      </c>
      <c r="B2423" t="s">
        <v>5475</v>
      </c>
      <c r="C2423" t="s">
        <v>7997</v>
      </c>
      <c r="E2423" s="12" t="s">
        <v>7998</v>
      </c>
      <c r="F2423" s="12" t="s">
        <v>7999</v>
      </c>
      <c r="G2423" t="s">
        <v>8000</v>
      </c>
      <c r="H2423" t="s">
        <v>8001</v>
      </c>
    </row>
    <row r="2424" spans="1:8" ht="15.75" customHeight="1">
      <c r="A2424" t="s">
        <v>5474</v>
      </c>
      <c r="B2424" t="s">
        <v>5475</v>
      </c>
      <c r="C2424" t="s">
        <v>7997</v>
      </c>
      <c r="E2424" s="12" t="s">
        <v>7998</v>
      </c>
      <c r="F2424" s="12" t="s">
        <v>8002</v>
      </c>
      <c r="G2424" t="s">
        <v>8003</v>
      </c>
      <c r="H2424" t="s">
        <v>8004</v>
      </c>
    </row>
    <row r="2425" spans="1:8" ht="15.75" customHeight="1">
      <c r="A2425" t="s">
        <v>5474</v>
      </c>
      <c r="B2425" t="s">
        <v>5475</v>
      </c>
      <c r="C2425" t="s">
        <v>7997</v>
      </c>
      <c r="E2425" s="12" t="s">
        <v>7998</v>
      </c>
      <c r="F2425" s="12" t="s">
        <v>8005</v>
      </c>
      <c r="G2425" t="s">
        <v>7525</v>
      </c>
      <c r="H2425" t="s">
        <v>8006</v>
      </c>
    </row>
    <row r="2426" spans="1:8" ht="15.75" customHeight="1">
      <c r="A2426" t="s">
        <v>5476</v>
      </c>
      <c r="B2426" t="s">
        <v>5477</v>
      </c>
    </row>
    <row r="2427" spans="1:8" ht="15.75" customHeight="1">
      <c r="A2427" t="s">
        <v>5478</v>
      </c>
      <c r="B2427" t="s">
        <v>5479</v>
      </c>
    </row>
    <row r="2428" spans="1:8" ht="15.75" customHeight="1">
      <c r="A2428" t="s">
        <v>5480</v>
      </c>
      <c r="B2428" t="s">
        <v>5481</v>
      </c>
    </row>
    <row r="2429" spans="1:8" ht="15.75" customHeight="1">
      <c r="A2429" t="s">
        <v>5482</v>
      </c>
      <c r="B2429" t="s">
        <v>5483</v>
      </c>
    </row>
    <row r="2430" spans="1:8" ht="15.75" customHeight="1">
      <c r="A2430" t="s">
        <v>5485</v>
      </c>
      <c r="B2430" t="s">
        <v>5486</v>
      </c>
    </row>
    <row r="2431" spans="1:8" ht="15.75" customHeight="1">
      <c r="A2431" t="s">
        <v>5488</v>
      </c>
      <c r="B2431" t="s">
        <v>5489</v>
      </c>
    </row>
    <row r="2432" spans="1:8" ht="15.75" customHeight="1">
      <c r="A2432" t="s">
        <v>5490</v>
      </c>
      <c r="B2432" t="s">
        <v>5491</v>
      </c>
    </row>
    <row r="2433" spans="1:3" ht="15.75" customHeight="1">
      <c r="A2433" t="s">
        <v>5493</v>
      </c>
      <c r="B2433" t="s">
        <v>5494</v>
      </c>
    </row>
    <row r="2434" spans="1:3" ht="15.75" customHeight="1">
      <c r="A2434" t="s">
        <v>5496</v>
      </c>
      <c r="B2434" t="s">
        <v>5497</v>
      </c>
    </row>
    <row r="2435" spans="1:3" ht="15.75" customHeight="1">
      <c r="A2435" t="s">
        <v>5499</v>
      </c>
      <c r="B2435" t="s">
        <v>5500</v>
      </c>
    </row>
    <row r="2436" spans="1:3" ht="15.75" customHeight="1">
      <c r="A2436" t="s">
        <v>5502</v>
      </c>
      <c r="B2436" t="s">
        <v>5503</v>
      </c>
    </row>
    <row r="2437" spans="1:3" ht="15.75" customHeight="1">
      <c r="A2437" t="s">
        <v>5505</v>
      </c>
      <c r="B2437" t="s">
        <v>5506</v>
      </c>
    </row>
    <row r="2438" spans="1:3" ht="15.75" customHeight="1">
      <c r="A2438" t="s">
        <v>5509</v>
      </c>
      <c r="B2438" t="s">
        <v>5510</v>
      </c>
      <c r="C2438" t="s">
        <v>7188</v>
      </c>
    </row>
    <row r="2439" spans="1:3" ht="15.75" customHeight="1">
      <c r="A2439" t="s">
        <v>5512</v>
      </c>
      <c r="B2439" t="s">
        <v>5513</v>
      </c>
    </row>
    <row r="2440" spans="1:3" ht="15.75" customHeight="1">
      <c r="A2440" t="s">
        <v>5514</v>
      </c>
      <c r="B2440" t="s">
        <v>5515</v>
      </c>
    </row>
    <row r="2441" spans="1:3" ht="15.75" customHeight="1">
      <c r="A2441" t="s">
        <v>5518</v>
      </c>
      <c r="B2441" t="s">
        <v>5519</v>
      </c>
      <c r="C2441" t="s">
        <v>10030</v>
      </c>
    </row>
    <row r="2442" spans="1:3" ht="15.75" customHeight="1">
      <c r="A2442" t="s">
        <v>5521</v>
      </c>
      <c r="B2442" t="s">
        <v>5522</v>
      </c>
      <c r="C2442" t="s">
        <v>10030</v>
      </c>
    </row>
    <row r="2443" spans="1:3" ht="15.75" customHeight="1">
      <c r="A2443" t="s">
        <v>5524</v>
      </c>
      <c r="B2443" t="s">
        <v>5525</v>
      </c>
      <c r="C2443" t="s">
        <v>7188</v>
      </c>
    </row>
    <row r="2444" spans="1:3" ht="15.75" customHeight="1">
      <c r="A2444" t="s">
        <v>5526</v>
      </c>
      <c r="B2444" t="s">
        <v>5527</v>
      </c>
    </row>
    <row r="2445" spans="1:3" ht="15.75" customHeight="1">
      <c r="A2445" t="s">
        <v>5528</v>
      </c>
      <c r="B2445" t="s">
        <v>5529</v>
      </c>
    </row>
    <row r="2446" spans="1:3" ht="15.75" customHeight="1">
      <c r="A2446" t="s">
        <v>5530</v>
      </c>
      <c r="B2446" t="s">
        <v>5531</v>
      </c>
    </row>
    <row r="2447" spans="1:3" ht="15.75" customHeight="1">
      <c r="A2447" t="s">
        <v>5532</v>
      </c>
      <c r="B2447" t="s">
        <v>5533</v>
      </c>
    </row>
    <row r="2448" spans="1:3" ht="15.75" customHeight="1">
      <c r="A2448" t="s">
        <v>5535</v>
      </c>
      <c r="B2448" t="s">
        <v>5536</v>
      </c>
    </row>
    <row r="2449" spans="1:8" ht="15.75" customHeight="1">
      <c r="A2449" t="s">
        <v>5539</v>
      </c>
      <c r="B2449" t="s">
        <v>5540</v>
      </c>
    </row>
    <row r="2450" spans="1:8" ht="15.75" customHeight="1">
      <c r="A2450" t="s">
        <v>5541</v>
      </c>
      <c r="B2450" t="s">
        <v>5542</v>
      </c>
    </row>
    <row r="2451" spans="1:8" ht="15.75" customHeight="1">
      <c r="A2451" t="s">
        <v>5544</v>
      </c>
      <c r="B2451" t="s">
        <v>5545</v>
      </c>
    </row>
    <row r="2452" spans="1:8" ht="15.75" customHeight="1">
      <c r="A2452" t="s">
        <v>5548</v>
      </c>
      <c r="B2452" t="s">
        <v>5549</v>
      </c>
    </row>
    <row r="2453" spans="1:8" ht="15.75" customHeight="1">
      <c r="A2453" t="s">
        <v>5551</v>
      </c>
      <c r="B2453" t="s">
        <v>5552</v>
      </c>
    </row>
    <row r="2454" spans="1:8" ht="15.75" customHeight="1">
      <c r="A2454" t="s">
        <v>5554</v>
      </c>
      <c r="B2454" t="s">
        <v>5555</v>
      </c>
    </row>
    <row r="2455" spans="1:8" ht="15.75" customHeight="1">
      <c r="A2455" t="s">
        <v>5558</v>
      </c>
      <c r="B2455" t="s">
        <v>5559</v>
      </c>
    </row>
    <row r="2456" spans="1:8" ht="15.75" customHeight="1">
      <c r="A2456" t="s">
        <v>5560</v>
      </c>
      <c r="B2456" t="s">
        <v>5561</v>
      </c>
    </row>
    <row r="2457" spans="1:8" ht="15.75" customHeight="1">
      <c r="A2457" t="s">
        <v>5564</v>
      </c>
      <c r="B2457" t="s">
        <v>5565</v>
      </c>
      <c r="C2457" t="s">
        <v>8684</v>
      </c>
    </row>
    <row r="2458" spans="1:8" ht="15.75" customHeight="1">
      <c r="A2458" t="s">
        <v>5568</v>
      </c>
      <c r="B2458" t="s">
        <v>5569</v>
      </c>
      <c r="C2458" t="s">
        <v>8789</v>
      </c>
      <c r="E2458" s="12" t="s">
        <v>8790</v>
      </c>
    </row>
    <row r="2459" spans="1:8" ht="15.75" customHeight="1">
      <c r="A2459" t="s">
        <v>5568</v>
      </c>
      <c r="B2459" t="s">
        <v>5569</v>
      </c>
      <c r="C2459" t="s">
        <v>8684</v>
      </c>
    </row>
    <row r="2460" spans="1:8" ht="15.75" customHeight="1">
      <c r="A2460" t="s">
        <v>5571</v>
      </c>
      <c r="B2460" t="s">
        <v>5572</v>
      </c>
    </row>
    <row r="2461" spans="1:8" ht="15.75" customHeight="1">
      <c r="A2461" t="s">
        <v>5574</v>
      </c>
      <c r="B2461" t="s">
        <v>5575</v>
      </c>
    </row>
    <row r="2462" spans="1:8" ht="15.75" customHeight="1">
      <c r="A2462" t="s">
        <v>5577</v>
      </c>
      <c r="B2462" t="s">
        <v>5578</v>
      </c>
    </row>
    <row r="2463" spans="1:8" ht="15.75" customHeight="1">
      <c r="A2463" t="s">
        <v>5581</v>
      </c>
      <c r="B2463" t="s">
        <v>5582</v>
      </c>
      <c r="C2463" t="s">
        <v>10031</v>
      </c>
      <c r="E2463" s="12" t="s">
        <v>10032</v>
      </c>
      <c r="F2463" s="12" t="s">
        <v>10033</v>
      </c>
      <c r="G2463" t="s">
        <v>10034</v>
      </c>
      <c r="H2463" t="s">
        <v>10035</v>
      </c>
    </row>
    <row r="2464" spans="1:8" ht="15.75" customHeight="1">
      <c r="A2464" t="s">
        <v>5581</v>
      </c>
      <c r="B2464" t="s">
        <v>5582</v>
      </c>
      <c r="C2464" t="s">
        <v>10031</v>
      </c>
      <c r="E2464" s="12" t="s">
        <v>10032</v>
      </c>
      <c r="F2464" s="12" t="s">
        <v>10036</v>
      </c>
      <c r="G2464" t="s">
        <v>10037</v>
      </c>
      <c r="H2464" t="s">
        <v>10038</v>
      </c>
    </row>
    <row r="2465" spans="1:8" ht="15.75" customHeight="1">
      <c r="A2465" t="s">
        <v>5583</v>
      </c>
      <c r="B2465" t="s">
        <v>5584</v>
      </c>
    </row>
    <row r="2466" spans="1:8" ht="15.75" customHeight="1">
      <c r="A2466" t="s">
        <v>5587</v>
      </c>
      <c r="B2466" t="s">
        <v>5588</v>
      </c>
    </row>
    <row r="2467" spans="1:8" ht="15.75" customHeight="1">
      <c r="A2467" t="s">
        <v>5591</v>
      </c>
      <c r="B2467" t="s">
        <v>5592</v>
      </c>
      <c r="C2467" t="s">
        <v>8684</v>
      </c>
    </row>
    <row r="2468" spans="1:8" ht="15.75" customHeight="1">
      <c r="A2468" t="s">
        <v>5595</v>
      </c>
      <c r="B2468" t="s">
        <v>5596</v>
      </c>
    </row>
    <row r="2469" spans="1:8" ht="15.75" customHeight="1">
      <c r="A2469" t="s">
        <v>5597</v>
      </c>
      <c r="B2469" t="s">
        <v>5598</v>
      </c>
    </row>
    <row r="2470" spans="1:8" ht="15.75" customHeight="1">
      <c r="A2470" t="s">
        <v>5601</v>
      </c>
      <c r="B2470" t="s">
        <v>5602</v>
      </c>
      <c r="C2470" t="s">
        <v>10039</v>
      </c>
      <c r="E2470" s="12" t="s">
        <v>10040</v>
      </c>
      <c r="F2470" s="12" t="s">
        <v>10041</v>
      </c>
      <c r="G2470" t="s">
        <v>10042</v>
      </c>
      <c r="H2470" t="s">
        <v>10043</v>
      </c>
    </row>
    <row r="2471" spans="1:8" ht="15.75" customHeight="1">
      <c r="A2471" t="s">
        <v>5601</v>
      </c>
      <c r="B2471" t="s">
        <v>5602</v>
      </c>
      <c r="C2471" t="s">
        <v>10039</v>
      </c>
      <c r="E2471" s="12" t="s">
        <v>10040</v>
      </c>
      <c r="F2471" s="12" t="s">
        <v>10044</v>
      </c>
      <c r="G2471" t="s">
        <v>10045</v>
      </c>
      <c r="H2471" t="s">
        <v>10046</v>
      </c>
    </row>
    <row r="2472" spans="1:8" ht="15.75" customHeight="1">
      <c r="A2472" t="s">
        <v>5601</v>
      </c>
      <c r="B2472" t="s">
        <v>5602</v>
      </c>
      <c r="C2472" t="s">
        <v>10039</v>
      </c>
      <c r="E2472" s="12" t="s">
        <v>10040</v>
      </c>
      <c r="F2472" s="12" t="s">
        <v>10047</v>
      </c>
      <c r="G2472" t="s">
        <v>10048</v>
      </c>
      <c r="H2472" t="s">
        <v>10049</v>
      </c>
    </row>
    <row r="2473" spans="1:8" ht="15.75" customHeight="1">
      <c r="A2473" t="s">
        <v>5605</v>
      </c>
      <c r="B2473" t="s">
        <v>5606</v>
      </c>
      <c r="C2473" t="s">
        <v>10050</v>
      </c>
    </row>
    <row r="2474" spans="1:8" ht="15.75" customHeight="1">
      <c r="A2474" t="s">
        <v>5609</v>
      </c>
      <c r="B2474" t="s">
        <v>5610</v>
      </c>
      <c r="C2474" t="s">
        <v>9832</v>
      </c>
    </row>
    <row r="2475" spans="1:8" ht="15.75" customHeight="1">
      <c r="A2475" t="s">
        <v>5613</v>
      </c>
      <c r="B2475" t="s">
        <v>5614</v>
      </c>
      <c r="C2475" t="s">
        <v>10051</v>
      </c>
      <c r="E2475" s="12" t="s">
        <v>10052</v>
      </c>
      <c r="F2475" s="12" t="s">
        <v>10053</v>
      </c>
      <c r="G2475" t="s">
        <v>10054</v>
      </c>
      <c r="H2475" t="s">
        <v>10055</v>
      </c>
    </row>
    <row r="2476" spans="1:8" ht="15.75" customHeight="1">
      <c r="A2476" t="s">
        <v>5617</v>
      </c>
      <c r="B2476" t="s">
        <v>5618</v>
      </c>
      <c r="C2476" t="s">
        <v>10056</v>
      </c>
      <c r="E2476" s="12" t="s">
        <v>10057</v>
      </c>
      <c r="F2476" s="12" t="s">
        <v>10058</v>
      </c>
      <c r="G2476" t="s">
        <v>10059</v>
      </c>
      <c r="H2476" t="s">
        <v>10060</v>
      </c>
    </row>
    <row r="2477" spans="1:8" ht="15.75" customHeight="1">
      <c r="B2477" t="s">
        <v>5619</v>
      </c>
    </row>
    <row r="2478" spans="1:8" ht="15.75" customHeight="1">
      <c r="A2478" t="s">
        <v>5621</v>
      </c>
      <c r="B2478" t="s">
        <v>5622</v>
      </c>
    </row>
    <row r="2479" spans="1:8" ht="15.75" customHeight="1">
      <c r="A2479" t="s">
        <v>5625</v>
      </c>
      <c r="B2479" t="s">
        <v>5626</v>
      </c>
    </row>
    <row r="2480" spans="1:8" ht="15.75" customHeight="1">
      <c r="A2480" t="s">
        <v>5629</v>
      </c>
      <c r="B2480" t="s">
        <v>5630</v>
      </c>
      <c r="C2480" t="s">
        <v>10061</v>
      </c>
      <c r="E2480" s="12" t="s">
        <v>10062</v>
      </c>
    </row>
    <row r="2481" spans="1:8" ht="15.75" customHeight="1">
      <c r="A2481" t="s">
        <v>5633</v>
      </c>
      <c r="B2481" t="s">
        <v>5634</v>
      </c>
      <c r="C2481" t="s">
        <v>10063</v>
      </c>
      <c r="E2481" s="12" t="s">
        <v>10064</v>
      </c>
    </row>
    <row r="2482" spans="1:8" ht="15.75" customHeight="1">
      <c r="A2482" t="s">
        <v>5636</v>
      </c>
      <c r="B2482" t="s">
        <v>5637</v>
      </c>
    </row>
    <row r="2483" spans="1:8" ht="15.75" customHeight="1">
      <c r="A2483" t="s">
        <v>5639</v>
      </c>
      <c r="B2483" t="s">
        <v>5640</v>
      </c>
    </row>
    <row r="2484" spans="1:8" ht="15.75" customHeight="1">
      <c r="A2484" t="s">
        <v>5643</v>
      </c>
      <c r="B2484" t="s">
        <v>5644</v>
      </c>
    </row>
    <row r="2485" spans="1:8" ht="15.75" customHeight="1">
      <c r="A2485" t="s">
        <v>5645</v>
      </c>
      <c r="B2485" t="s">
        <v>5646</v>
      </c>
    </row>
    <row r="2486" spans="1:8" ht="15.75" customHeight="1">
      <c r="A2486" t="s">
        <v>5648</v>
      </c>
      <c r="B2486" t="s">
        <v>5649</v>
      </c>
    </row>
    <row r="2487" spans="1:8" ht="15.75" customHeight="1">
      <c r="A2487" t="s">
        <v>5652</v>
      </c>
      <c r="B2487" t="s">
        <v>5653</v>
      </c>
    </row>
    <row r="2488" spans="1:8" ht="15.75" customHeight="1">
      <c r="A2488" t="s">
        <v>5656</v>
      </c>
      <c r="B2488" t="s">
        <v>5657</v>
      </c>
    </row>
    <row r="2489" spans="1:8" ht="15.75" customHeight="1">
      <c r="A2489" t="s">
        <v>5658</v>
      </c>
      <c r="B2489" t="s">
        <v>5659</v>
      </c>
    </row>
    <row r="2490" spans="1:8" ht="15.75" customHeight="1">
      <c r="A2490" t="s">
        <v>5662</v>
      </c>
      <c r="B2490" t="s">
        <v>5663</v>
      </c>
      <c r="C2490" t="s">
        <v>10065</v>
      </c>
      <c r="E2490" s="12" t="s">
        <v>10066</v>
      </c>
      <c r="F2490" s="12" t="s">
        <v>10067</v>
      </c>
      <c r="G2490" t="s">
        <v>10068</v>
      </c>
      <c r="H2490" t="s">
        <v>10069</v>
      </c>
    </row>
    <row r="2491" spans="1:8" ht="15.75" customHeight="1">
      <c r="A2491" t="s">
        <v>5662</v>
      </c>
      <c r="B2491" t="s">
        <v>5663</v>
      </c>
      <c r="C2491" t="s">
        <v>10065</v>
      </c>
      <c r="E2491" s="12" t="s">
        <v>10066</v>
      </c>
      <c r="F2491" s="12" t="s">
        <v>10070</v>
      </c>
      <c r="G2491" t="s">
        <v>10071</v>
      </c>
      <c r="H2491" t="s">
        <v>10072</v>
      </c>
    </row>
    <row r="2492" spans="1:8" ht="15.75" customHeight="1">
      <c r="A2492" t="s">
        <v>5664</v>
      </c>
      <c r="B2492" t="s">
        <v>5665</v>
      </c>
    </row>
    <row r="2493" spans="1:8" ht="15.75" customHeight="1">
      <c r="A2493" t="s">
        <v>5666</v>
      </c>
      <c r="B2493" t="s">
        <v>5667</v>
      </c>
    </row>
    <row r="2494" spans="1:8" ht="15.75" customHeight="1">
      <c r="A2494" t="s">
        <v>5670</v>
      </c>
      <c r="B2494" t="s">
        <v>5671</v>
      </c>
      <c r="C2494" t="s">
        <v>10073</v>
      </c>
      <c r="E2494" s="12" t="s">
        <v>10074</v>
      </c>
      <c r="F2494" s="12" t="s">
        <v>10075</v>
      </c>
      <c r="G2494" t="s">
        <v>10076</v>
      </c>
      <c r="H2494" t="s">
        <v>10077</v>
      </c>
    </row>
    <row r="2495" spans="1:8" ht="15.75" customHeight="1">
      <c r="A2495" t="s">
        <v>5670</v>
      </c>
      <c r="B2495" t="s">
        <v>5671</v>
      </c>
      <c r="C2495" t="s">
        <v>10073</v>
      </c>
      <c r="E2495" s="12" t="s">
        <v>10074</v>
      </c>
      <c r="F2495" s="12" t="s">
        <v>10078</v>
      </c>
      <c r="G2495" t="s">
        <v>10079</v>
      </c>
      <c r="H2495" t="s">
        <v>10080</v>
      </c>
    </row>
    <row r="2496" spans="1:8" ht="15.75" customHeight="1">
      <c r="A2496" t="s">
        <v>5670</v>
      </c>
      <c r="B2496" t="s">
        <v>5671</v>
      </c>
      <c r="C2496" t="s">
        <v>10073</v>
      </c>
      <c r="E2496" s="12" t="s">
        <v>10074</v>
      </c>
      <c r="F2496" s="12" t="s">
        <v>10081</v>
      </c>
      <c r="G2496" t="s">
        <v>10082</v>
      </c>
      <c r="H2496" t="s">
        <v>10083</v>
      </c>
    </row>
    <row r="2497" spans="1:8" ht="15.75" customHeight="1">
      <c r="A2497" t="s">
        <v>5674</v>
      </c>
      <c r="B2497" t="s">
        <v>5675</v>
      </c>
      <c r="C2497" t="s">
        <v>7197</v>
      </c>
      <c r="E2497" s="12" t="s">
        <v>7198</v>
      </c>
      <c r="F2497" s="12" t="s">
        <v>7199</v>
      </c>
      <c r="G2497" t="s">
        <v>7200</v>
      </c>
      <c r="H2497" t="s">
        <v>7201</v>
      </c>
    </row>
    <row r="2498" spans="1:8" ht="15.75" customHeight="1">
      <c r="A2498" t="s">
        <v>5674</v>
      </c>
      <c r="B2498" t="s">
        <v>5675</v>
      </c>
      <c r="C2498" t="s">
        <v>7197</v>
      </c>
      <c r="E2498" s="12" t="s">
        <v>7198</v>
      </c>
      <c r="F2498" s="12" t="s">
        <v>7202</v>
      </c>
      <c r="G2498" t="s">
        <v>7203</v>
      </c>
      <c r="H2498" t="s">
        <v>7201</v>
      </c>
    </row>
    <row r="2499" spans="1:8" ht="15.75" customHeight="1">
      <c r="A2499" t="s">
        <v>5674</v>
      </c>
      <c r="B2499" t="s">
        <v>5675</v>
      </c>
      <c r="C2499" t="s">
        <v>7197</v>
      </c>
      <c r="E2499" s="12" t="s">
        <v>7198</v>
      </c>
      <c r="F2499" s="12" t="s">
        <v>7204</v>
      </c>
      <c r="G2499" t="s">
        <v>7205</v>
      </c>
      <c r="H2499" t="s">
        <v>7201</v>
      </c>
    </row>
    <row r="2500" spans="1:8" ht="15.75" customHeight="1">
      <c r="A2500" t="s">
        <v>5674</v>
      </c>
      <c r="B2500" t="s">
        <v>5675</v>
      </c>
      <c r="C2500" t="s">
        <v>7197</v>
      </c>
      <c r="E2500" s="12" t="s">
        <v>7198</v>
      </c>
      <c r="F2500" s="12" t="s">
        <v>7206</v>
      </c>
      <c r="G2500" t="s">
        <v>7207</v>
      </c>
      <c r="H2500" t="s">
        <v>7201</v>
      </c>
    </row>
    <row r="2501" spans="1:8" ht="15.75" customHeight="1">
      <c r="A2501" t="s">
        <v>5674</v>
      </c>
      <c r="B2501" t="s">
        <v>5675</v>
      </c>
      <c r="C2501" t="s">
        <v>7197</v>
      </c>
      <c r="E2501" s="12" t="s">
        <v>7198</v>
      </c>
      <c r="F2501" s="12" t="s">
        <v>7208</v>
      </c>
      <c r="G2501" t="s">
        <v>7209</v>
      </c>
      <c r="H2501" t="s">
        <v>7201</v>
      </c>
    </row>
    <row r="2502" spans="1:8" ht="15.75" customHeight="1">
      <c r="A2502" t="s">
        <v>5674</v>
      </c>
      <c r="B2502" t="s">
        <v>5675</v>
      </c>
      <c r="C2502" t="s">
        <v>7197</v>
      </c>
      <c r="E2502" s="12" t="s">
        <v>7198</v>
      </c>
      <c r="F2502" s="12" t="s">
        <v>7210</v>
      </c>
      <c r="G2502" t="s">
        <v>7211</v>
      </c>
      <c r="H2502" t="s">
        <v>7212</v>
      </c>
    </row>
    <row r="2503" spans="1:8" ht="15.75" customHeight="1">
      <c r="A2503" t="s">
        <v>5676</v>
      </c>
      <c r="B2503" t="s">
        <v>5677</v>
      </c>
    </row>
    <row r="2504" spans="1:8" ht="15.75" customHeight="1">
      <c r="A2504" t="s">
        <v>5680</v>
      </c>
      <c r="B2504" t="s">
        <v>5681</v>
      </c>
      <c r="C2504" t="s">
        <v>10084</v>
      </c>
      <c r="E2504" s="12" t="s">
        <v>10085</v>
      </c>
      <c r="F2504" s="12" t="s">
        <v>10086</v>
      </c>
      <c r="G2504" t="s">
        <v>10087</v>
      </c>
      <c r="H2504" t="s">
        <v>10088</v>
      </c>
    </row>
    <row r="2505" spans="1:8" ht="15.75" customHeight="1">
      <c r="A2505" t="s">
        <v>5680</v>
      </c>
      <c r="B2505" t="s">
        <v>5681</v>
      </c>
      <c r="C2505" t="s">
        <v>10089</v>
      </c>
      <c r="E2505" s="12" t="s">
        <v>10090</v>
      </c>
      <c r="F2505" s="12" t="s">
        <v>10091</v>
      </c>
      <c r="G2505" t="s">
        <v>9646</v>
      </c>
      <c r="H2505" t="s">
        <v>10092</v>
      </c>
    </row>
    <row r="2506" spans="1:8" ht="15.75" customHeight="1">
      <c r="A2506" t="s">
        <v>5680</v>
      </c>
      <c r="B2506" t="s">
        <v>5681</v>
      </c>
      <c r="C2506" t="s">
        <v>10089</v>
      </c>
      <c r="E2506" s="12" t="s">
        <v>10090</v>
      </c>
      <c r="F2506" s="12" t="s">
        <v>10086</v>
      </c>
      <c r="G2506" t="s">
        <v>10087</v>
      </c>
      <c r="H2506" t="s">
        <v>10088</v>
      </c>
    </row>
    <row r="2507" spans="1:8" ht="15.75" customHeight="1">
      <c r="A2507" t="s">
        <v>5680</v>
      </c>
      <c r="B2507" t="s">
        <v>5681</v>
      </c>
      <c r="C2507" t="s">
        <v>10089</v>
      </c>
      <c r="E2507" s="12" t="s">
        <v>10090</v>
      </c>
      <c r="F2507" s="12" t="s">
        <v>10093</v>
      </c>
      <c r="G2507" t="s">
        <v>10094</v>
      </c>
      <c r="H2507" t="s">
        <v>10095</v>
      </c>
    </row>
    <row r="2508" spans="1:8" ht="15.75" customHeight="1">
      <c r="A2508" t="s">
        <v>5682</v>
      </c>
      <c r="B2508" t="s">
        <v>5683</v>
      </c>
    </row>
    <row r="2509" spans="1:8" ht="15.75" customHeight="1">
      <c r="A2509" t="s">
        <v>5686</v>
      </c>
      <c r="B2509" t="s">
        <v>5687</v>
      </c>
      <c r="C2509" t="s">
        <v>10096</v>
      </c>
      <c r="E2509" s="12" t="s">
        <v>10097</v>
      </c>
      <c r="F2509" s="12" t="s">
        <v>10098</v>
      </c>
      <c r="G2509" t="s">
        <v>10099</v>
      </c>
      <c r="H2509" t="s">
        <v>10100</v>
      </c>
    </row>
    <row r="2510" spans="1:8" ht="15.75" customHeight="1">
      <c r="A2510" t="s">
        <v>5690</v>
      </c>
      <c r="B2510" t="s">
        <v>5691</v>
      </c>
    </row>
    <row r="2511" spans="1:8" ht="15.75" customHeight="1">
      <c r="A2511" t="s">
        <v>5693</v>
      </c>
      <c r="B2511" t="s">
        <v>5694</v>
      </c>
    </row>
    <row r="2512" spans="1:8" ht="15.75" customHeight="1">
      <c r="A2512" t="s">
        <v>5695</v>
      </c>
      <c r="B2512" t="s">
        <v>5696</v>
      </c>
    </row>
    <row r="2513" spans="1:8" ht="15.75" customHeight="1">
      <c r="A2513" t="s">
        <v>5698</v>
      </c>
      <c r="B2513" t="s">
        <v>5699</v>
      </c>
    </row>
    <row r="2514" spans="1:8" ht="15.75" customHeight="1">
      <c r="A2514" t="s">
        <v>5702</v>
      </c>
      <c r="B2514" t="s">
        <v>5703</v>
      </c>
      <c r="C2514" t="s">
        <v>7861</v>
      </c>
    </row>
    <row r="2515" spans="1:8" ht="15.75" customHeight="1">
      <c r="A2515" t="s">
        <v>5705</v>
      </c>
      <c r="B2515" t="s">
        <v>5706</v>
      </c>
    </row>
    <row r="2516" spans="1:8" ht="15.75" customHeight="1">
      <c r="A2516" t="s">
        <v>5707</v>
      </c>
      <c r="B2516" t="s">
        <v>5708</v>
      </c>
    </row>
    <row r="2517" spans="1:8" ht="15.75" customHeight="1">
      <c r="A2517" t="s">
        <v>5711</v>
      </c>
      <c r="B2517" t="s">
        <v>5712</v>
      </c>
      <c r="C2517" t="s">
        <v>7466</v>
      </c>
      <c r="E2517" s="12" t="s">
        <v>7467</v>
      </c>
      <c r="F2517" s="12" t="s">
        <v>7468</v>
      </c>
      <c r="G2517" t="s">
        <v>7469</v>
      </c>
      <c r="H2517" t="s">
        <v>7470</v>
      </c>
    </row>
    <row r="2518" spans="1:8" ht="15.75" customHeight="1">
      <c r="A2518" t="s">
        <v>5714</v>
      </c>
      <c r="B2518" t="s">
        <v>5715</v>
      </c>
      <c r="C2518" t="s">
        <v>8684</v>
      </c>
    </row>
    <row r="2519" spans="1:8" ht="15.75" customHeight="1">
      <c r="A2519" t="s">
        <v>5717</v>
      </c>
      <c r="B2519" t="s">
        <v>5718</v>
      </c>
      <c r="C2519" t="s">
        <v>7823</v>
      </c>
    </row>
    <row r="2520" spans="1:8" ht="15.75" customHeight="1">
      <c r="A2520" t="s">
        <v>5719</v>
      </c>
      <c r="B2520" t="s">
        <v>5720</v>
      </c>
    </row>
    <row r="2521" spans="1:8" ht="15.75" customHeight="1">
      <c r="A2521" t="s">
        <v>5723</v>
      </c>
      <c r="B2521" t="s">
        <v>5724</v>
      </c>
      <c r="C2521" t="s">
        <v>8684</v>
      </c>
    </row>
    <row r="2522" spans="1:8" ht="15.75" customHeight="1">
      <c r="A2522" t="s">
        <v>5727</v>
      </c>
      <c r="B2522" t="s">
        <v>5728</v>
      </c>
    </row>
    <row r="2523" spans="1:8" ht="15.75" customHeight="1">
      <c r="A2523" t="s">
        <v>5731</v>
      </c>
      <c r="B2523" t="s">
        <v>5732</v>
      </c>
      <c r="C2523" t="s">
        <v>10101</v>
      </c>
      <c r="E2523" s="12" t="s">
        <v>10102</v>
      </c>
    </row>
    <row r="2524" spans="1:8" ht="15.75" customHeight="1">
      <c r="A2524" t="s">
        <v>5735</v>
      </c>
      <c r="B2524" t="s">
        <v>5736</v>
      </c>
    </row>
    <row r="2525" spans="1:8" ht="15.75" customHeight="1">
      <c r="A2525" t="s">
        <v>5739</v>
      </c>
      <c r="B2525" t="s">
        <v>5740</v>
      </c>
    </row>
    <row r="2526" spans="1:8" ht="15.75" customHeight="1">
      <c r="A2526" t="s">
        <v>5743</v>
      </c>
      <c r="B2526" t="s">
        <v>5744</v>
      </c>
      <c r="C2526" t="s">
        <v>10103</v>
      </c>
      <c r="E2526" s="12" t="s">
        <v>10104</v>
      </c>
      <c r="F2526" s="12" t="s">
        <v>10105</v>
      </c>
      <c r="G2526" t="s">
        <v>10106</v>
      </c>
      <c r="H2526" t="s">
        <v>10107</v>
      </c>
    </row>
    <row r="2527" spans="1:8" ht="15.75" customHeight="1">
      <c r="A2527" t="s">
        <v>5747</v>
      </c>
      <c r="B2527" t="s">
        <v>5748</v>
      </c>
      <c r="C2527" t="s">
        <v>10108</v>
      </c>
      <c r="E2527" s="12" t="s">
        <v>10109</v>
      </c>
    </row>
    <row r="2528" spans="1:8" ht="15.75" customHeight="1">
      <c r="A2528" t="s">
        <v>5751</v>
      </c>
      <c r="B2528" t="s">
        <v>5752</v>
      </c>
    </row>
    <row r="2529" spans="1:8" ht="15.75" customHeight="1">
      <c r="A2529" t="s">
        <v>5755</v>
      </c>
      <c r="B2529" t="s">
        <v>5756</v>
      </c>
      <c r="C2529" t="s">
        <v>10110</v>
      </c>
      <c r="E2529" s="12" t="s">
        <v>10111</v>
      </c>
      <c r="F2529" s="12" t="s">
        <v>10112</v>
      </c>
      <c r="G2529" t="s">
        <v>10113</v>
      </c>
      <c r="H2529" t="s">
        <v>10114</v>
      </c>
    </row>
    <row r="2530" spans="1:8" ht="15.75" customHeight="1">
      <c r="A2530" t="s">
        <v>5755</v>
      </c>
      <c r="B2530" t="s">
        <v>5756</v>
      </c>
      <c r="C2530" t="s">
        <v>10115</v>
      </c>
      <c r="E2530" s="12" t="s">
        <v>10116</v>
      </c>
      <c r="F2530" s="12" t="s">
        <v>10117</v>
      </c>
      <c r="G2530" t="s">
        <v>10118</v>
      </c>
      <c r="H2530" t="s">
        <v>10119</v>
      </c>
    </row>
    <row r="2531" spans="1:8" ht="15.75" customHeight="1">
      <c r="A2531" t="s">
        <v>5758</v>
      </c>
      <c r="B2531" t="s">
        <v>5759</v>
      </c>
    </row>
    <row r="2532" spans="1:8" ht="15.75" customHeight="1">
      <c r="A2532" t="s">
        <v>5761</v>
      </c>
      <c r="B2532" t="s">
        <v>5762</v>
      </c>
    </row>
    <row r="2533" spans="1:8" ht="15.75" customHeight="1">
      <c r="A2533" t="s">
        <v>5765</v>
      </c>
      <c r="B2533" t="s">
        <v>5766</v>
      </c>
      <c r="C2533" t="s">
        <v>7934</v>
      </c>
      <c r="E2533" s="12" t="s">
        <v>7935</v>
      </c>
    </row>
    <row r="2534" spans="1:8" ht="15.75" customHeight="1">
      <c r="A2534" t="s">
        <v>5769</v>
      </c>
      <c r="B2534" t="s">
        <v>5770</v>
      </c>
      <c r="C2534" t="s">
        <v>10120</v>
      </c>
      <c r="E2534" s="12" t="s">
        <v>10121</v>
      </c>
      <c r="F2534" s="12" t="s">
        <v>10122</v>
      </c>
      <c r="G2534" t="s">
        <v>10123</v>
      </c>
      <c r="H2534" t="s">
        <v>10124</v>
      </c>
    </row>
    <row r="2535" spans="1:8" ht="15.75" customHeight="1">
      <c r="A2535" t="s">
        <v>5773</v>
      </c>
      <c r="B2535" t="s">
        <v>5774</v>
      </c>
    </row>
    <row r="2536" spans="1:8" ht="15.75" customHeight="1">
      <c r="A2536" t="s">
        <v>5776</v>
      </c>
      <c r="B2536" t="s">
        <v>5777</v>
      </c>
      <c r="C2536" t="s">
        <v>9365</v>
      </c>
      <c r="E2536" s="12" t="s">
        <v>9366</v>
      </c>
      <c r="F2536" s="12" t="s">
        <v>9367</v>
      </c>
      <c r="G2536" t="s">
        <v>9368</v>
      </c>
      <c r="H2536" t="s">
        <v>9369</v>
      </c>
    </row>
    <row r="2537" spans="1:8" ht="15.75" customHeight="1">
      <c r="A2537" t="s">
        <v>5780</v>
      </c>
      <c r="B2537" t="s">
        <v>5781</v>
      </c>
    </row>
    <row r="2538" spans="1:8" ht="15.75" customHeight="1">
      <c r="A2538" t="s">
        <v>5784</v>
      </c>
      <c r="B2538" t="s">
        <v>5785</v>
      </c>
    </row>
    <row r="2539" spans="1:8" ht="15.75" customHeight="1">
      <c r="A2539" t="s">
        <v>5787</v>
      </c>
      <c r="B2539" t="s">
        <v>5788</v>
      </c>
    </row>
    <row r="2540" spans="1:8" ht="15.75" customHeight="1">
      <c r="A2540" t="s">
        <v>5790</v>
      </c>
      <c r="B2540" t="s">
        <v>5791</v>
      </c>
    </row>
    <row r="2541" spans="1:8" ht="15.75" customHeight="1">
      <c r="A2541" t="s">
        <v>5794</v>
      </c>
      <c r="B2541" t="s">
        <v>5795</v>
      </c>
    </row>
    <row r="2542" spans="1:8" ht="15.75" customHeight="1">
      <c r="A2542" t="s">
        <v>5797</v>
      </c>
      <c r="B2542" t="s">
        <v>5798</v>
      </c>
    </row>
    <row r="2543" spans="1:8" ht="15.75" customHeight="1">
      <c r="A2543" t="s">
        <v>5800</v>
      </c>
      <c r="B2543" t="s">
        <v>5801</v>
      </c>
    </row>
    <row r="2544" spans="1:8" ht="15.75" customHeight="1">
      <c r="A2544" t="s">
        <v>5803</v>
      </c>
      <c r="B2544" t="s">
        <v>5804</v>
      </c>
      <c r="C2544" t="s">
        <v>7545</v>
      </c>
    </row>
    <row r="2545" spans="1:8" ht="15.75" customHeight="1">
      <c r="A2545" t="s">
        <v>5807</v>
      </c>
      <c r="B2545" t="s">
        <v>5808</v>
      </c>
      <c r="C2545" t="s">
        <v>10125</v>
      </c>
      <c r="E2545" s="12" t="s">
        <v>10126</v>
      </c>
      <c r="F2545" s="12" t="s">
        <v>10127</v>
      </c>
      <c r="G2545" t="s">
        <v>10128</v>
      </c>
      <c r="H2545" t="s">
        <v>10129</v>
      </c>
    </row>
    <row r="2546" spans="1:8" ht="15.75" customHeight="1">
      <c r="A2546" t="s">
        <v>5807</v>
      </c>
      <c r="B2546" t="s">
        <v>5808</v>
      </c>
      <c r="C2546" t="s">
        <v>10125</v>
      </c>
      <c r="E2546" s="12" t="s">
        <v>10126</v>
      </c>
      <c r="F2546" s="12" t="s">
        <v>9672</v>
      </c>
      <c r="G2546" t="s">
        <v>9673</v>
      </c>
      <c r="H2546" t="s">
        <v>9674</v>
      </c>
    </row>
    <row r="2547" spans="1:8" ht="15.75" customHeight="1">
      <c r="A2547" t="s">
        <v>5807</v>
      </c>
      <c r="B2547" t="s">
        <v>5808</v>
      </c>
      <c r="C2547" t="s">
        <v>10125</v>
      </c>
      <c r="E2547" s="12" t="s">
        <v>10126</v>
      </c>
      <c r="F2547" s="12" t="s">
        <v>9675</v>
      </c>
      <c r="G2547" t="s">
        <v>9676</v>
      </c>
      <c r="H2547" t="s">
        <v>9677</v>
      </c>
    </row>
    <row r="2548" spans="1:8" ht="15.75" customHeight="1">
      <c r="A2548" t="s">
        <v>5807</v>
      </c>
      <c r="B2548" t="s">
        <v>5808</v>
      </c>
      <c r="C2548" t="s">
        <v>10125</v>
      </c>
      <c r="E2548" s="12" t="s">
        <v>10126</v>
      </c>
      <c r="G2548" t="s">
        <v>10130</v>
      </c>
      <c r="H2548" t="s">
        <v>10131</v>
      </c>
    </row>
    <row r="2549" spans="1:8" ht="15.75" customHeight="1">
      <c r="A2549" t="s">
        <v>5810</v>
      </c>
      <c r="B2549" t="s">
        <v>5811</v>
      </c>
      <c r="C2549" t="s">
        <v>10125</v>
      </c>
      <c r="E2549" s="12" t="s">
        <v>10126</v>
      </c>
      <c r="F2549" s="12" t="s">
        <v>10127</v>
      </c>
      <c r="G2549" t="s">
        <v>10128</v>
      </c>
      <c r="H2549" t="s">
        <v>10129</v>
      </c>
    </row>
    <row r="2550" spans="1:8" ht="15.75" customHeight="1">
      <c r="A2550" t="s">
        <v>5810</v>
      </c>
      <c r="B2550" t="s">
        <v>5811</v>
      </c>
      <c r="C2550" t="s">
        <v>10125</v>
      </c>
      <c r="E2550" s="12" t="s">
        <v>10126</v>
      </c>
      <c r="F2550" s="12" t="s">
        <v>9672</v>
      </c>
      <c r="G2550" t="s">
        <v>9673</v>
      </c>
      <c r="H2550" t="s">
        <v>9674</v>
      </c>
    </row>
    <row r="2551" spans="1:8" ht="15.75" customHeight="1">
      <c r="A2551" t="s">
        <v>5810</v>
      </c>
      <c r="B2551" t="s">
        <v>5811</v>
      </c>
      <c r="C2551" t="s">
        <v>10125</v>
      </c>
      <c r="E2551" s="12" t="s">
        <v>10126</v>
      </c>
      <c r="F2551" s="12" t="s">
        <v>9675</v>
      </c>
      <c r="G2551" t="s">
        <v>9676</v>
      </c>
      <c r="H2551" t="s">
        <v>9677</v>
      </c>
    </row>
    <row r="2552" spans="1:8" ht="15.75" customHeight="1">
      <c r="A2552" t="s">
        <v>5810</v>
      </c>
      <c r="B2552" t="s">
        <v>5811</v>
      </c>
      <c r="C2552" t="s">
        <v>10125</v>
      </c>
      <c r="E2552" s="12" t="s">
        <v>10126</v>
      </c>
      <c r="G2552" t="s">
        <v>10130</v>
      </c>
      <c r="H2552" t="s">
        <v>10131</v>
      </c>
    </row>
    <row r="2553" spans="1:8" ht="15.75" customHeight="1">
      <c r="A2553" t="s">
        <v>5813</v>
      </c>
      <c r="B2553" t="s">
        <v>5814</v>
      </c>
    </row>
    <row r="2554" spans="1:8" ht="15.75" customHeight="1">
      <c r="A2554" t="s">
        <v>5815</v>
      </c>
      <c r="B2554" t="s">
        <v>5816</v>
      </c>
    </row>
    <row r="2555" spans="1:8" ht="15.75" customHeight="1">
      <c r="A2555" t="s">
        <v>5819</v>
      </c>
      <c r="B2555" t="s">
        <v>5820</v>
      </c>
    </row>
    <row r="2556" spans="1:8" ht="15.75" customHeight="1">
      <c r="A2556" t="s">
        <v>5822</v>
      </c>
      <c r="B2556" t="s">
        <v>5823</v>
      </c>
    </row>
    <row r="2557" spans="1:8" ht="15.75" customHeight="1">
      <c r="A2557" t="s">
        <v>5826</v>
      </c>
      <c r="B2557" t="s">
        <v>5827</v>
      </c>
    </row>
    <row r="2558" spans="1:8" ht="15.75" customHeight="1">
      <c r="A2558" t="s">
        <v>5830</v>
      </c>
      <c r="B2558" t="s">
        <v>5831</v>
      </c>
    </row>
    <row r="2559" spans="1:8" ht="15.75" customHeight="1">
      <c r="A2559" t="s">
        <v>5834</v>
      </c>
      <c r="B2559" t="s">
        <v>5835</v>
      </c>
      <c r="C2559" t="s">
        <v>10132</v>
      </c>
      <c r="E2559" s="12" t="s">
        <v>10133</v>
      </c>
      <c r="F2559" s="12" t="s">
        <v>9207</v>
      </c>
      <c r="G2559" t="s">
        <v>9208</v>
      </c>
      <c r="H2559" t="s">
        <v>9209</v>
      </c>
    </row>
    <row r="2560" spans="1:8" ht="15.75" customHeight="1">
      <c r="A2560" t="s">
        <v>5838</v>
      </c>
      <c r="B2560" t="s">
        <v>5839</v>
      </c>
      <c r="C2560" t="s">
        <v>10134</v>
      </c>
      <c r="E2560" s="12" t="s">
        <v>10135</v>
      </c>
      <c r="F2560" s="12" t="s">
        <v>10136</v>
      </c>
      <c r="G2560" t="s">
        <v>10137</v>
      </c>
      <c r="H2560" t="s">
        <v>10138</v>
      </c>
    </row>
    <row r="2561" spans="1:8" ht="15.75" customHeight="1">
      <c r="A2561" t="s">
        <v>5838</v>
      </c>
      <c r="B2561" t="s">
        <v>5839</v>
      </c>
      <c r="C2561" t="s">
        <v>10134</v>
      </c>
      <c r="E2561" s="12" t="s">
        <v>10135</v>
      </c>
      <c r="F2561" s="12" t="s">
        <v>10139</v>
      </c>
      <c r="G2561" t="s">
        <v>10140</v>
      </c>
      <c r="H2561" t="s">
        <v>10141</v>
      </c>
    </row>
    <row r="2562" spans="1:8" ht="15.75" customHeight="1">
      <c r="A2562" t="s">
        <v>5840</v>
      </c>
      <c r="B2562" t="s">
        <v>5841</v>
      </c>
    </row>
    <row r="2563" spans="1:8" ht="15.75" customHeight="1">
      <c r="A2563" t="s">
        <v>5842</v>
      </c>
      <c r="B2563" t="s">
        <v>5843</v>
      </c>
    </row>
    <row r="2564" spans="1:8" ht="15.75" customHeight="1">
      <c r="A2564" t="s">
        <v>5844</v>
      </c>
      <c r="B2564" t="s">
        <v>5845</v>
      </c>
    </row>
    <row r="2565" spans="1:8" ht="15.75" customHeight="1">
      <c r="A2565" t="s">
        <v>5847</v>
      </c>
      <c r="B2565" t="s">
        <v>5848</v>
      </c>
    </row>
    <row r="2566" spans="1:8" ht="15.75" customHeight="1">
      <c r="A2566" t="s">
        <v>5851</v>
      </c>
      <c r="B2566" t="s">
        <v>5852</v>
      </c>
      <c r="C2566" t="s">
        <v>10142</v>
      </c>
      <c r="E2566" s="12" t="s">
        <v>10143</v>
      </c>
    </row>
    <row r="2567" spans="1:8" ht="15.75" customHeight="1">
      <c r="A2567" t="s">
        <v>5854</v>
      </c>
      <c r="B2567" t="s">
        <v>5855</v>
      </c>
    </row>
    <row r="2568" spans="1:8" ht="15.75" customHeight="1">
      <c r="A2568" t="s">
        <v>5858</v>
      </c>
      <c r="B2568" t="s">
        <v>5859</v>
      </c>
      <c r="C2568" t="s">
        <v>7197</v>
      </c>
      <c r="E2568" s="12" t="s">
        <v>7198</v>
      </c>
      <c r="F2568" s="12" t="s">
        <v>7199</v>
      </c>
      <c r="G2568" t="s">
        <v>7200</v>
      </c>
      <c r="H2568" t="s">
        <v>7201</v>
      </c>
    </row>
    <row r="2569" spans="1:8" ht="15.75" customHeight="1">
      <c r="A2569" t="s">
        <v>5858</v>
      </c>
      <c r="B2569" t="s">
        <v>5859</v>
      </c>
      <c r="C2569" t="s">
        <v>7197</v>
      </c>
      <c r="E2569" s="12" t="s">
        <v>7198</v>
      </c>
      <c r="F2569" s="12" t="s">
        <v>7202</v>
      </c>
      <c r="G2569" t="s">
        <v>7203</v>
      </c>
      <c r="H2569" t="s">
        <v>7201</v>
      </c>
    </row>
    <row r="2570" spans="1:8" ht="15.75" customHeight="1">
      <c r="A2570" t="s">
        <v>5858</v>
      </c>
      <c r="B2570" t="s">
        <v>5859</v>
      </c>
      <c r="C2570" t="s">
        <v>7197</v>
      </c>
      <c r="E2570" s="12" t="s">
        <v>7198</v>
      </c>
      <c r="F2570" s="12" t="s">
        <v>7204</v>
      </c>
      <c r="G2570" t="s">
        <v>7205</v>
      </c>
      <c r="H2570" t="s">
        <v>7201</v>
      </c>
    </row>
    <row r="2571" spans="1:8" ht="15.75" customHeight="1">
      <c r="A2571" t="s">
        <v>5858</v>
      </c>
      <c r="B2571" t="s">
        <v>5859</v>
      </c>
      <c r="C2571" t="s">
        <v>7197</v>
      </c>
      <c r="E2571" s="12" t="s">
        <v>7198</v>
      </c>
      <c r="F2571" s="12" t="s">
        <v>7206</v>
      </c>
      <c r="G2571" t="s">
        <v>7207</v>
      </c>
      <c r="H2571" t="s">
        <v>7201</v>
      </c>
    </row>
    <row r="2572" spans="1:8" ht="15.75" customHeight="1">
      <c r="A2572" t="s">
        <v>5858</v>
      </c>
      <c r="B2572" t="s">
        <v>5859</v>
      </c>
      <c r="C2572" t="s">
        <v>7197</v>
      </c>
      <c r="E2572" s="12" t="s">
        <v>7198</v>
      </c>
      <c r="F2572" s="12" t="s">
        <v>7208</v>
      </c>
      <c r="G2572" t="s">
        <v>7209</v>
      </c>
      <c r="H2572" t="s">
        <v>7201</v>
      </c>
    </row>
    <row r="2573" spans="1:8" ht="15.75" customHeight="1">
      <c r="A2573" t="s">
        <v>5858</v>
      </c>
      <c r="B2573" t="s">
        <v>5859</v>
      </c>
      <c r="C2573" t="s">
        <v>7197</v>
      </c>
      <c r="E2573" s="12" t="s">
        <v>7198</v>
      </c>
      <c r="F2573" s="12" t="s">
        <v>7210</v>
      </c>
      <c r="G2573" t="s">
        <v>7211</v>
      </c>
      <c r="H2573" t="s">
        <v>7212</v>
      </c>
    </row>
    <row r="2574" spans="1:8" ht="15.75" customHeight="1">
      <c r="A2574" t="s">
        <v>5862</v>
      </c>
      <c r="B2574" t="s">
        <v>5863</v>
      </c>
      <c r="C2574" t="s">
        <v>10144</v>
      </c>
      <c r="E2574" s="12" t="s">
        <v>10145</v>
      </c>
      <c r="F2574" s="12" t="s">
        <v>10146</v>
      </c>
      <c r="G2574" t="s">
        <v>10147</v>
      </c>
      <c r="H2574" t="s">
        <v>10148</v>
      </c>
    </row>
    <row r="2575" spans="1:8" ht="15.75" customHeight="1">
      <c r="A2575" t="s">
        <v>5862</v>
      </c>
      <c r="B2575" t="s">
        <v>5863</v>
      </c>
      <c r="C2575" t="s">
        <v>10144</v>
      </c>
      <c r="E2575" s="12" t="s">
        <v>10145</v>
      </c>
      <c r="F2575" s="12" t="s">
        <v>10149</v>
      </c>
      <c r="G2575" t="s">
        <v>10150</v>
      </c>
      <c r="H2575" t="s">
        <v>10151</v>
      </c>
    </row>
    <row r="2576" spans="1:8" ht="15.75" customHeight="1">
      <c r="A2576" t="s">
        <v>5866</v>
      </c>
      <c r="B2576" t="s">
        <v>5867</v>
      </c>
      <c r="C2576" t="s">
        <v>10152</v>
      </c>
      <c r="E2576" s="12" t="s">
        <v>10153</v>
      </c>
      <c r="F2576" s="12" t="s">
        <v>10154</v>
      </c>
      <c r="G2576" t="s">
        <v>10155</v>
      </c>
      <c r="H2576" t="s">
        <v>10156</v>
      </c>
    </row>
    <row r="2577" spans="1:8" ht="15.75" customHeight="1">
      <c r="A2577" t="s">
        <v>5866</v>
      </c>
      <c r="B2577" t="s">
        <v>5867</v>
      </c>
      <c r="C2577" t="s">
        <v>10152</v>
      </c>
      <c r="E2577" s="12" t="s">
        <v>10153</v>
      </c>
      <c r="F2577" s="12" t="s">
        <v>10157</v>
      </c>
      <c r="G2577" t="s">
        <v>10158</v>
      </c>
      <c r="H2577" t="s">
        <v>10159</v>
      </c>
    </row>
    <row r="2578" spans="1:8" ht="15.75" customHeight="1">
      <c r="A2578" t="s">
        <v>5866</v>
      </c>
      <c r="B2578" t="s">
        <v>5867</v>
      </c>
      <c r="C2578" t="s">
        <v>10152</v>
      </c>
      <c r="E2578" s="12" t="s">
        <v>10153</v>
      </c>
      <c r="F2578" s="12" t="s">
        <v>10160</v>
      </c>
      <c r="G2578" t="s">
        <v>10161</v>
      </c>
      <c r="H2578" t="s">
        <v>10162</v>
      </c>
    </row>
    <row r="2579" spans="1:8" ht="15.75" customHeight="1">
      <c r="A2579" t="s">
        <v>5866</v>
      </c>
      <c r="B2579" t="s">
        <v>5867</v>
      </c>
      <c r="C2579" t="s">
        <v>10152</v>
      </c>
      <c r="E2579" s="12" t="s">
        <v>10153</v>
      </c>
      <c r="F2579" s="12" t="s">
        <v>10163</v>
      </c>
      <c r="G2579" t="s">
        <v>10164</v>
      </c>
      <c r="H2579" t="s">
        <v>10165</v>
      </c>
    </row>
    <row r="2580" spans="1:8" ht="15.75" customHeight="1">
      <c r="A2580" t="s">
        <v>5870</v>
      </c>
      <c r="B2580" t="s">
        <v>5871</v>
      </c>
      <c r="C2580" t="s">
        <v>10166</v>
      </c>
      <c r="E2580" s="12" t="s">
        <v>10167</v>
      </c>
      <c r="F2580" s="12" t="s">
        <v>10168</v>
      </c>
      <c r="G2580" t="s">
        <v>10169</v>
      </c>
      <c r="H2580" t="s">
        <v>10170</v>
      </c>
    </row>
    <row r="2581" spans="1:8" ht="15.75" customHeight="1">
      <c r="A2581" t="s">
        <v>5874</v>
      </c>
      <c r="B2581" t="s">
        <v>5875</v>
      </c>
      <c r="C2581" t="s">
        <v>10171</v>
      </c>
      <c r="E2581" s="12" t="s">
        <v>10172</v>
      </c>
      <c r="F2581" s="12" t="s">
        <v>10173</v>
      </c>
      <c r="G2581" t="s">
        <v>10174</v>
      </c>
      <c r="H2581" t="s">
        <v>10175</v>
      </c>
    </row>
    <row r="2582" spans="1:8" ht="15.75" customHeight="1">
      <c r="A2582" t="s">
        <v>5878</v>
      </c>
      <c r="B2582" t="s">
        <v>5879</v>
      </c>
      <c r="C2582" t="s">
        <v>7491</v>
      </c>
      <c r="E2582" s="12" t="s">
        <v>7492</v>
      </c>
      <c r="F2582" s="12" t="s">
        <v>7493</v>
      </c>
      <c r="G2582" t="s">
        <v>7494</v>
      </c>
      <c r="H2582" t="s">
        <v>7495</v>
      </c>
    </row>
    <row r="2583" spans="1:8" ht="15.75" customHeight="1">
      <c r="A2583" t="s">
        <v>5882</v>
      </c>
      <c r="B2583" t="s">
        <v>5883</v>
      </c>
      <c r="C2583" t="s">
        <v>9849</v>
      </c>
      <c r="E2583" s="12" t="s">
        <v>9850</v>
      </c>
    </row>
    <row r="2584" spans="1:8" ht="15.75" customHeight="1">
      <c r="A2584" t="s">
        <v>5886</v>
      </c>
      <c r="B2584" t="s">
        <v>5887</v>
      </c>
      <c r="C2584" t="s">
        <v>10176</v>
      </c>
      <c r="E2584" s="12" t="s">
        <v>10177</v>
      </c>
    </row>
    <row r="2585" spans="1:8" ht="15.75" customHeight="1">
      <c r="A2585" t="s">
        <v>5890</v>
      </c>
      <c r="B2585" t="s">
        <v>5891</v>
      </c>
    </row>
    <row r="2586" spans="1:8" ht="15.75" customHeight="1">
      <c r="A2586" t="s">
        <v>5892</v>
      </c>
      <c r="B2586" t="s">
        <v>5893</v>
      </c>
    </row>
    <row r="2587" spans="1:8" ht="15.75" customHeight="1">
      <c r="A2587" t="s">
        <v>5894</v>
      </c>
      <c r="B2587" t="s">
        <v>5895</v>
      </c>
    </row>
    <row r="2588" spans="1:8" ht="15.75" customHeight="1">
      <c r="A2588" t="s">
        <v>5897</v>
      </c>
      <c r="B2588" t="s">
        <v>5898</v>
      </c>
      <c r="C2588" t="s">
        <v>7668</v>
      </c>
    </row>
    <row r="2589" spans="1:8" ht="15.75" customHeight="1">
      <c r="A2589" t="s">
        <v>5900</v>
      </c>
      <c r="B2589" t="s">
        <v>5901</v>
      </c>
      <c r="C2589" t="s">
        <v>10178</v>
      </c>
      <c r="E2589" s="12" t="s">
        <v>10179</v>
      </c>
      <c r="F2589" s="12" t="s">
        <v>10180</v>
      </c>
      <c r="G2589" t="s">
        <v>10181</v>
      </c>
      <c r="H2589" t="s">
        <v>10182</v>
      </c>
    </row>
    <row r="2590" spans="1:8" ht="15.75" customHeight="1">
      <c r="A2590" t="s">
        <v>5904</v>
      </c>
      <c r="B2590" t="s">
        <v>5905</v>
      </c>
      <c r="C2590" t="s">
        <v>10183</v>
      </c>
      <c r="E2590" s="12" t="s">
        <v>10184</v>
      </c>
      <c r="F2590" s="12" t="s">
        <v>10185</v>
      </c>
      <c r="G2590" t="s">
        <v>10186</v>
      </c>
      <c r="H2590" t="s">
        <v>10187</v>
      </c>
    </row>
    <row r="2591" spans="1:8" ht="15.75" customHeight="1">
      <c r="A2591" t="s">
        <v>5904</v>
      </c>
      <c r="B2591" t="s">
        <v>5905</v>
      </c>
      <c r="C2591" t="s">
        <v>10183</v>
      </c>
      <c r="E2591" s="12" t="s">
        <v>10184</v>
      </c>
      <c r="F2591" s="12" t="s">
        <v>8423</v>
      </c>
      <c r="G2591" t="s">
        <v>8424</v>
      </c>
      <c r="H2591" t="s">
        <v>8425</v>
      </c>
    </row>
    <row r="2592" spans="1:8" ht="15.75" customHeight="1">
      <c r="A2592" t="s">
        <v>5908</v>
      </c>
      <c r="B2592" t="s">
        <v>5909</v>
      </c>
      <c r="C2592" t="s">
        <v>8694</v>
      </c>
      <c r="E2592" s="12" t="s">
        <v>8695</v>
      </c>
      <c r="F2592" s="12" t="s">
        <v>8696</v>
      </c>
      <c r="G2592" t="s">
        <v>8697</v>
      </c>
      <c r="H2592" t="s">
        <v>8698</v>
      </c>
    </row>
    <row r="2593" spans="1:8" ht="15.75" customHeight="1">
      <c r="A2593" t="s">
        <v>5911</v>
      </c>
      <c r="B2593" t="s">
        <v>5912</v>
      </c>
    </row>
    <row r="2594" spans="1:8" ht="15.75" customHeight="1">
      <c r="A2594" t="s">
        <v>5915</v>
      </c>
      <c r="B2594" t="s">
        <v>5916</v>
      </c>
      <c r="C2594" t="s">
        <v>10188</v>
      </c>
      <c r="E2594" s="12" t="s">
        <v>10189</v>
      </c>
      <c r="F2594" s="12" t="s">
        <v>10190</v>
      </c>
      <c r="G2594" t="s">
        <v>10191</v>
      </c>
      <c r="H2594" t="s">
        <v>10192</v>
      </c>
    </row>
    <row r="2595" spans="1:8" ht="15.75" customHeight="1">
      <c r="A2595" t="s">
        <v>5915</v>
      </c>
      <c r="B2595" t="s">
        <v>5916</v>
      </c>
      <c r="C2595" t="s">
        <v>10188</v>
      </c>
      <c r="E2595" s="12" t="s">
        <v>10189</v>
      </c>
      <c r="F2595" s="12" t="s">
        <v>10193</v>
      </c>
      <c r="G2595" t="s">
        <v>10194</v>
      </c>
      <c r="H2595" t="s">
        <v>10195</v>
      </c>
    </row>
    <row r="2596" spans="1:8" ht="15.75" customHeight="1">
      <c r="A2596" t="s">
        <v>5917</v>
      </c>
      <c r="B2596" t="s">
        <v>5918</v>
      </c>
    </row>
    <row r="2597" spans="1:8" ht="15.75" customHeight="1">
      <c r="A2597" t="s">
        <v>5921</v>
      </c>
      <c r="B2597" t="s">
        <v>5922</v>
      </c>
      <c r="C2597" t="s">
        <v>10196</v>
      </c>
      <c r="E2597" s="12" t="s">
        <v>10197</v>
      </c>
      <c r="F2597" s="12" t="s">
        <v>10198</v>
      </c>
      <c r="G2597" t="s">
        <v>10199</v>
      </c>
      <c r="H2597" t="s">
        <v>10200</v>
      </c>
    </row>
    <row r="2598" spans="1:8" ht="15.75" customHeight="1">
      <c r="A2598" t="s">
        <v>5923</v>
      </c>
      <c r="B2598" t="s">
        <v>5924</v>
      </c>
    </row>
    <row r="2599" spans="1:8" ht="15.75" customHeight="1">
      <c r="A2599" t="s">
        <v>5925</v>
      </c>
      <c r="B2599" t="s">
        <v>5926</v>
      </c>
    </row>
    <row r="2600" spans="1:8" ht="15.75" customHeight="1">
      <c r="A2600" t="s">
        <v>5928</v>
      </c>
      <c r="B2600" t="s">
        <v>5929</v>
      </c>
    </row>
    <row r="2601" spans="1:8" ht="15.75" customHeight="1">
      <c r="A2601" t="s">
        <v>5931</v>
      </c>
      <c r="B2601" t="s">
        <v>5932</v>
      </c>
      <c r="C2601" t="s">
        <v>7175</v>
      </c>
    </row>
    <row r="2602" spans="1:8" ht="15.75" customHeight="1">
      <c r="A2602" t="s">
        <v>5933</v>
      </c>
      <c r="B2602" t="s">
        <v>5934</v>
      </c>
    </row>
    <row r="2603" spans="1:8" ht="15.75" customHeight="1">
      <c r="A2603" t="s">
        <v>5935</v>
      </c>
      <c r="B2603" t="s">
        <v>5936</v>
      </c>
    </row>
    <row r="2604" spans="1:8" ht="15.75" customHeight="1">
      <c r="A2604" t="s">
        <v>5938</v>
      </c>
      <c r="B2604" t="s">
        <v>5939</v>
      </c>
    </row>
    <row r="2605" spans="1:8" ht="15.75" customHeight="1">
      <c r="A2605" t="s">
        <v>5941</v>
      </c>
      <c r="B2605" t="s">
        <v>5942</v>
      </c>
    </row>
    <row r="2606" spans="1:8" ht="15.75" customHeight="1">
      <c r="A2606" t="s">
        <v>5945</v>
      </c>
      <c r="B2606" t="s">
        <v>5946</v>
      </c>
    </row>
    <row r="2607" spans="1:8" ht="15.75" customHeight="1">
      <c r="A2607" t="s">
        <v>5948</v>
      </c>
      <c r="B2607" t="s">
        <v>5949</v>
      </c>
    </row>
    <row r="2608" spans="1:8" ht="15.75" customHeight="1">
      <c r="A2608" t="s">
        <v>5951</v>
      </c>
      <c r="B2608" t="s">
        <v>5952</v>
      </c>
    </row>
    <row r="2609" spans="1:8" ht="15.75" customHeight="1">
      <c r="A2609" t="s">
        <v>5953</v>
      </c>
      <c r="B2609" t="s">
        <v>5954</v>
      </c>
    </row>
    <row r="2610" spans="1:8" ht="15.75" customHeight="1">
      <c r="A2610" t="s">
        <v>5956</v>
      </c>
      <c r="B2610" t="s">
        <v>5957</v>
      </c>
    </row>
    <row r="2611" spans="1:8" ht="15.75" customHeight="1">
      <c r="A2611" t="s">
        <v>5958</v>
      </c>
      <c r="B2611" t="s">
        <v>5959</v>
      </c>
    </row>
    <row r="2612" spans="1:8" ht="15.75" customHeight="1">
      <c r="A2612" t="s">
        <v>5960</v>
      </c>
      <c r="B2612" t="s">
        <v>5961</v>
      </c>
    </row>
    <row r="2613" spans="1:8" ht="15.75" customHeight="1">
      <c r="A2613" t="s">
        <v>5962</v>
      </c>
      <c r="B2613" t="s">
        <v>5963</v>
      </c>
    </row>
    <row r="2614" spans="1:8" ht="15.75" customHeight="1">
      <c r="A2614" t="s">
        <v>5966</v>
      </c>
      <c r="B2614" t="s">
        <v>5967</v>
      </c>
      <c r="C2614" t="s">
        <v>10201</v>
      </c>
      <c r="E2614" s="12" t="s">
        <v>10202</v>
      </c>
      <c r="F2614" s="12" t="s">
        <v>10203</v>
      </c>
      <c r="G2614" t="s">
        <v>10204</v>
      </c>
      <c r="H2614" t="s">
        <v>10205</v>
      </c>
    </row>
    <row r="2615" spans="1:8" ht="15.75" customHeight="1">
      <c r="A2615" t="s">
        <v>5966</v>
      </c>
      <c r="B2615" t="s">
        <v>5967</v>
      </c>
      <c r="C2615" t="s">
        <v>10201</v>
      </c>
      <c r="E2615" s="12" t="s">
        <v>10202</v>
      </c>
      <c r="F2615" s="12" t="s">
        <v>10206</v>
      </c>
      <c r="G2615" t="s">
        <v>10207</v>
      </c>
      <c r="H2615" t="s">
        <v>10208</v>
      </c>
    </row>
    <row r="2616" spans="1:8" ht="15.75" customHeight="1">
      <c r="A2616" t="s">
        <v>5966</v>
      </c>
      <c r="B2616" t="s">
        <v>5967</v>
      </c>
      <c r="C2616" t="s">
        <v>10201</v>
      </c>
      <c r="E2616" s="12" t="s">
        <v>10202</v>
      </c>
      <c r="F2616" s="12" t="s">
        <v>10209</v>
      </c>
      <c r="G2616" t="s">
        <v>10210</v>
      </c>
      <c r="H2616" t="s">
        <v>10211</v>
      </c>
    </row>
    <row r="2617" spans="1:8" ht="15.75" customHeight="1">
      <c r="A2617" t="s">
        <v>5966</v>
      </c>
      <c r="B2617" t="s">
        <v>5967</v>
      </c>
      <c r="C2617" t="s">
        <v>10201</v>
      </c>
      <c r="E2617" s="12" t="s">
        <v>10202</v>
      </c>
      <c r="F2617" s="12" t="s">
        <v>10212</v>
      </c>
      <c r="G2617" t="s">
        <v>10213</v>
      </c>
      <c r="H2617" t="s">
        <v>10214</v>
      </c>
    </row>
    <row r="2618" spans="1:8" ht="15.75" customHeight="1">
      <c r="A2618" t="s">
        <v>5966</v>
      </c>
      <c r="B2618" t="s">
        <v>5967</v>
      </c>
      <c r="C2618" t="s">
        <v>10201</v>
      </c>
      <c r="E2618" s="12" t="s">
        <v>10202</v>
      </c>
      <c r="F2618" s="12" t="s">
        <v>10215</v>
      </c>
      <c r="G2618" t="s">
        <v>10216</v>
      </c>
      <c r="H2618" t="s">
        <v>10217</v>
      </c>
    </row>
    <row r="2619" spans="1:8" ht="15.75" customHeight="1">
      <c r="A2619" t="s">
        <v>5966</v>
      </c>
      <c r="B2619" t="s">
        <v>5967</v>
      </c>
      <c r="C2619" t="s">
        <v>10201</v>
      </c>
      <c r="E2619" s="12" t="s">
        <v>10202</v>
      </c>
      <c r="F2619" s="12" t="s">
        <v>10218</v>
      </c>
      <c r="G2619" t="s">
        <v>10219</v>
      </c>
      <c r="H2619" t="s">
        <v>10220</v>
      </c>
    </row>
    <row r="2620" spans="1:8" ht="15.75" customHeight="1">
      <c r="A2620" t="s">
        <v>5966</v>
      </c>
      <c r="B2620" t="s">
        <v>5967</v>
      </c>
      <c r="C2620" t="s">
        <v>10201</v>
      </c>
      <c r="E2620" s="12" t="s">
        <v>10202</v>
      </c>
      <c r="F2620" s="12" t="s">
        <v>10221</v>
      </c>
      <c r="G2620" t="s">
        <v>10222</v>
      </c>
      <c r="H2620" t="s">
        <v>10223</v>
      </c>
    </row>
    <row r="2621" spans="1:8" ht="15.75" customHeight="1">
      <c r="A2621" t="s">
        <v>5966</v>
      </c>
      <c r="B2621" t="s">
        <v>5967</v>
      </c>
      <c r="C2621" t="s">
        <v>10201</v>
      </c>
      <c r="E2621" s="12" t="s">
        <v>10202</v>
      </c>
      <c r="F2621" s="12" t="s">
        <v>10224</v>
      </c>
      <c r="G2621" t="s">
        <v>10225</v>
      </c>
      <c r="H2621" t="s">
        <v>10226</v>
      </c>
    </row>
    <row r="2622" spans="1:8" ht="15.75" customHeight="1">
      <c r="A2622" t="s">
        <v>5970</v>
      </c>
      <c r="B2622" t="s">
        <v>5971</v>
      </c>
      <c r="C2622" t="s">
        <v>10227</v>
      </c>
      <c r="E2622" s="12" t="s">
        <v>10228</v>
      </c>
      <c r="F2622" s="12" t="s">
        <v>10229</v>
      </c>
      <c r="G2622" t="s">
        <v>10230</v>
      </c>
      <c r="H2622" t="s">
        <v>10231</v>
      </c>
    </row>
    <row r="2623" spans="1:8" ht="15.75" customHeight="1">
      <c r="A2623" t="s">
        <v>5970</v>
      </c>
      <c r="B2623" t="s">
        <v>5971</v>
      </c>
      <c r="C2623" t="s">
        <v>10227</v>
      </c>
      <c r="E2623" s="12" t="s">
        <v>10228</v>
      </c>
      <c r="F2623" s="12" t="s">
        <v>10232</v>
      </c>
      <c r="G2623" t="s">
        <v>10233</v>
      </c>
      <c r="H2623" t="s">
        <v>10234</v>
      </c>
    </row>
    <row r="2624" spans="1:8" ht="15.75" customHeight="1">
      <c r="A2624" t="s">
        <v>5970</v>
      </c>
      <c r="B2624" t="s">
        <v>5971</v>
      </c>
      <c r="C2624" t="s">
        <v>10227</v>
      </c>
      <c r="E2624" s="12" t="s">
        <v>10228</v>
      </c>
      <c r="F2624" s="12" t="s">
        <v>10235</v>
      </c>
      <c r="G2624" t="s">
        <v>10236</v>
      </c>
      <c r="H2624" t="s">
        <v>10237</v>
      </c>
    </row>
    <row r="2625" spans="1:8" ht="15.75" customHeight="1">
      <c r="A2625" t="s">
        <v>5970</v>
      </c>
      <c r="B2625" t="s">
        <v>5971</v>
      </c>
      <c r="C2625" t="s">
        <v>10227</v>
      </c>
      <c r="E2625" s="12" t="s">
        <v>10228</v>
      </c>
      <c r="F2625" s="12" t="s">
        <v>10238</v>
      </c>
      <c r="G2625" t="s">
        <v>10239</v>
      </c>
      <c r="H2625" t="s">
        <v>10240</v>
      </c>
    </row>
    <row r="2626" spans="1:8" ht="15.75" customHeight="1">
      <c r="A2626" t="s">
        <v>5970</v>
      </c>
      <c r="B2626" t="s">
        <v>5971</v>
      </c>
      <c r="C2626" t="s">
        <v>10227</v>
      </c>
      <c r="E2626" s="12" t="s">
        <v>10228</v>
      </c>
      <c r="F2626" s="12" t="s">
        <v>10241</v>
      </c>
      <c r="G2626" t="s">
        <v>10242</v>
      </c>
      <c r="H2626" t="s">
        <v>10243</v>
      </c>
    </row>
    <row r="2627" spans="1:8" ht="15.75" customHeight="1">
      <c r="A2627" t="s">
        <v>5970</v>
      </c>
      <c r="B2627" t="s">
        <v>5971</v>
      </c>
      <c r="C2627" t="s">
        <v>10227</v>
      </c>
      <c r="E2627" s="12" t="s">
        <v>10228</v>
      </c>
      <c r="F2627" s="12" t="s">
        <v>10244</v>
      </c>
      <c r="G2627" t="s">
        <v>10245</v>
      </c>
      <c r="H2627" t="s">
        <v>10246</v>
      </c>
    </row>
    <row r="2628" spans="1:8" ht="15.75" customHeight="1">
      <c r="A2628" t="s">
        <v>5970</v>
      </c>
      <c r="B2628" t="s">
        <v>5971</v>
      </c>
      <c r="C2628" t="s">
        <v>10227</v>
      </c>
      <c r="E2628" s="12" t="s">
        <v>10228</v>
      </c>
      <c r="F2628" s="12" t="s">
        <v>10009</v>
      </c>
      <c r="G2628" t="s">
        <v>10010</v>
      </c>
      <c r="H2628" t="s">
        <v>10011</v>
      </c>
    </row>
    <row r="2629" spans="1:8" ht="15.75" customHeight="1">
      <c r="A2629" t="s">
        <v>5970</v>
      </c>
      <c r="B2629" t="s">
        <v>5971</v>
      </c>
      <c r="C2629" t="s">
        <v>10227</v>
      </c>
      <c r="E2629" s="12" t="s">
        <v>10228</v>
      </c>
      <c r="F2629" s="12" t="s">
        <v>10247</v>
      </c>
      <c r="G2629" t="s">
        <v>10248</v>
      </c>
      <c r="H2629" t="s">
        <v>10249</v>
      </c>
    </row>
    <row r="2630" spans="1:8" ht="15.75" customHeight="1">
      <c r="A2630" t="s">
        <v>5970</v>
      </c>
      <c r="B2630" t="s">
        <v>5971</v>
      </c>
      <c r="C2630" t="s">
        <v>10227</v>
      </c>
      <c r="E2630" s="12" t="s">
        <v>10228</v>
      </c>
      <c r="F2630" s="12" t="s">
        <v>10250</v>
      </c>
      <c r="G2630" t="s">
        <v>10251</v>
      </c>
      <c r="H2630" t="s">
        <v>10252</v>
      </c>
    </row>
    <row r="2631" spans="1:8" ht="15.75" customHeight="1">
      <c r="A2631" t="s">
        <v>5970</v>
      </c>
      <c r="B2631" t="s">
        <v>5971</v>
      </c>
      <c r="C2631" t="s">
        <v>10227</v>
      </c>
      <c r="E2631" s="12" t="s">
        <v>10228</v>
      </c>
      <c r="F2631" s="12" t="s">
        <v>10253</v>
      </c>
      <c r="G2631" t="s">
        <v>10254</v>
      </c>
      <c r="H2631" t="s">
        <v>10255</v>
      </c>
    </row>
    <row r="2632" spans="1:8" ht="15.75" customHeight="1">
      <c r="A2632" t="s">
        <v>5974</v>
      </c>
      <c r="B2632" t="s">
        <v>5975</v>
      </c>
      <c r="C2632" t="s">
        <v>7197</v>
      </c>
      <c r="E2632" s="12" t="s">
        <v>7198</v>
      </c>
      <c r="F2632" s="12" t="s">
        <v>7199</v>
      </c>
      <c r="G2632" t="s">
        <v>7200</v>
      </c>
      <c r="H2632" t="s">
        <v>7201</v>
      </c>
    </row>
    <row r="2633" spans="1:8" ht="15.75" customHeight="1">
      <c r="A2633" t="s">
        <v>5974</v>
      </c>
      <c r="B2633" t="s">
        <v>5975</v>
      </c>
      <c r="C2633" t="s">
        <v>7197</v>
      </c>
      <c r="E2633" s="12" t="s">
        <v>7198</v>
      </c>
      <c r="F2633" s="12" t="s">
        <v>7202</v>
      </c>
      <c r="G2633" t="s">
        <v>7203</v>
      </c>
      <c r="H2633" t="s">
        <v>7201</v>
      </c>
    </row>
    <row r="2634" spans="1:8" ht="15.75" customHeight="1">
      <c r="A2634" t="s">
        <v>5974</v>
      </c>
      <c r="B2634" t="s">
        <v>5975</v>
      </c>
      <c r="C2634" t="s">
        <v>7197</v>
      </c>
      <c r="E2634" s="12" t="s">
        <v>7198</v>
      </c>
      <c r="F2634" s="12" t="s">
        <v>7204</v>
      </c>
      <c r="G2634" t="s">
        <v>7205</v>
      </c>
      <c r="H2634" t="s">
        <v>7201</v>
      </c>
    </row>
    <row r="2635" spans="1:8" ht="15.75" customHeight="1">
      <c r="A2635" t="s">
        <v>5974</v>
      </c>
      <c r="B2635" t="s">
        <v>5975</v>
      </c>
      <c r="C2635" t="s">
        <v>7197</v>
      </c>
      <c r="E2635" s="12" t="s">
        <v>7198</v>
      </c>
      <c r="F2635" s="12" t="s">
        <v>7206</v>
      </c>
      <c r="G2635" t="s">
        <v>7207</v>
      </c>
      <c r="H2635" t="s">
        <v>7201</v>
      </c>
    </row>
    <row r="2636" spans="1:8" ht="15.75" customHeight="1">
      <c r="A2636" t="s">
        <v>5974</v>
      </c>
      <c r="B2636" t="s">
        <v>5975</v>
      </c>
      <c r="C2636" t="s">
        <v>7197</v>
      </c>
      <c r="E2636" s="12" t="s">
        <v>7198</v>
      </c>
      <c r="F2636" s="12" t="s">
        <v>7208</v>
      </c>
      <c r="G2636" t="s">
        <v>7209</v>
      </c>
      <c r="H2636" t="s">
        <v>7201</v>
      </c>
    </row>
    <row r="2637" spans="1:8" ht="15.75" customHeight="1">
      <c r="A2637" t="s">
        <v>5974</v>
      </c>
      <c r="B2637" t="s">
        <v>5975</v>
      </c>
      <c r="C2637" t="s">
        <v>7197</v>
      </c>
      <c r="E2637" s="12" t="s">
        <v>7198</v>
      </c>
      <c r="F2637" s="12" t="s">
        <v>7210</v>
      </c>
      <c r="G2637" t="s">
        <v>7211</v>
      </c>
      <c r="H2637" t="s">
        <v>7212</v>
      </c>
    </row>
    <row r="2638" spans="1:8" ht="15.75" customHeight="1">
      <c r="A2638" t="s">
        <v>5978</v>
      </c>
      <c r="B2638" t="s">
        <v>5979</v>
      </c>
      <c r="C2638" t="s">
        <v>10256</v>
      </c>
      <c r="E2638" s="12" t="s">
        <v>10257</v>
      </c>
    </row>
    <row r="2639" spans="1:8" ht="15.75" customHeight="1">
      <c r="A2639" t="s">
        <v>5981</v>
      </c>
      <c r="B2639" t="s">
        <v>5982</v>
      </c>
    </row>
    <row r="2640" spans="1:8" ht="15.75" customHeight="1">
      <c r="A2640" t="s">
        <v>5983</v>
      </c>
      <c r="B2640" t="s">
        <v>5984</v>
      </c>
    </row>
    <row r="2641" spans="1:8" ht="15.75" customHeight="1">
      <c r="A2641" t="s">
        <v>5987</v>
      </c>
      <c r="B2641" t="s">
        <v>5988</v>
      </c>
      <c r="C2641" t="s">
        <v>10258</v>
      </c>
      <c r="E2641" s="12" t="s">
        <v>10259</v>
      </c>
    </row>
    <row r="2642" spans="1:8" ht="15.75" customHeight="1">
      <c r="A2642" t="s">
        <v>5990</v>
      </c>
      <c r="B2642" t="s">
        <v>5991</v>
      </c>
    </row>
    <row r="2643" spans="1:8" ht="15.75" customHeight="1">
      <c r="A2643" t="s">
        <v>5994</v>
      </c>
      <c r="B2643" t="s">
        <v>5995</v>
      </c>
      <c r="C2643" t="s">
        <v>8862</v>
      </c>
      <c r="E2643" s="12" t="s">
        <v>8863</v>
      </c>
      <c r="F2643" s="12" t="s">
        <v>8864</v>
      </c>
      <c r="G2643" t="s">
        <v>8865</v>
      </c>
      <c r="H2643" t="s">
        <v>8866</v>
      </c>
    </row>
    <row r="2644" spans="1:8" ht="15.75" customHeight="1">
      <c r="A2644" t="s">
        <v>5997</v>
      </c>
      <c r="B2644" t="s">
        <v>5998</v>
      </c>
    </row>
    <row r="2645" spans="1:8" ht="15.75" customHeight="1">
      <c r="A2645" t="s">
        <v>6000</v>
      </c>
      <c r="B2645" t="s">
        <v>6001</v>
      </c>
    </row>
    <row r="2646" spans="1:8" ht="15.75" customHeight="1">
      <c r="A2646" t="s">
        <v>6003</v>
      </c>
      <c r="B2646" t="s">
        <v>6004</v>
      </c>
    </row>
    <row r="2647" spans="1:8" ht="15.75" customHeight="1">
      <c r="A2647" t="s">
        <v>6006</v>
      </c>
      <c r="B2647" t="s">
        <v>6007</v>
      </c>
    </row>
    <row r="2648" spans="1:8" ht="15.75" customHeight="1">
      <c r="A2648" t="s">
        <v>6010</v>
      </c>
      <c r="B2648" t="s">
        <v>6011</v>
      </c>
      <c r="C2648" t="s">
        <v>10260</v>
      </c>
      <c r="E2648" s="12" t="s">
        <v>10261</v>
      </c>
      <c r="F2648" s="12" t="s">
        <v>10262</v>
      </c>
      <c r="G2648" t="s">
        <v>10263</v>
      </c>
      <c r="H2648" t="s">
        <v>10264</v>
      </c>
    </row>
    <row r="2649" spans="1:8" ht="15.75" customHeight="1">
      <c r="A2649" t="s">
        <v>6010</v>
      </c>
      <c r="B2649" t="s">
        <v>6011</v>
      </c>
      <c r="C2649" t="s">
        <v>10260</v>
      </c>
      <c r="E2649" s="12" t="s">
        <v>10261</v>
      </c>
      <c r="F2649" s="12" t="s">
        <v>10265</v>
      </c>
      <c r="G2649" t="s">
        <v>10266</v>
      </c>
      <c r="H2649" t="s">
        <v>10267</v>
      </c>
    </row>
    <row r="2650" spans="1:8" ht="15.75" customHeight="1">
      <c r="A2650" t="s">
        <v>6014</v>
      </c>
      <c r="B2650" t="s">
        <v>6015</v>
      </c>
      <c r="C2650" t="s">
        <v>9833</v>
      </c>
    </row>
    <row r="2651" spans="1:8" ht="15.75" customHeight="1">
      <c r="A2651" t="s">
        <v>6016</v>
      </c>
      <c r="B2651" t="s">
        <v>6017</v>
      </c>
    </row>
    <row r="2652" spans="1:8" ht="15.75" customHeight="1">
      <c r="A2652" t="s">
        <v>6020</v>
      </c>
      <c r="B2652" t="s">
        <v>6021</v>
      </c>
    </row>
    <row r="2653" spans="1:8" ht="15.75" customHeight="1">
      <c r="A2653" t="s">
        <v>6024</v>
      </c>
      <c r="B2653" t="s">
        <v>6025</v>
      </c>
    </row>
    <row r="2654" spans="1:8" ht="15.75" customHeight="1">
      <c r="A2654" t="s">
        <v>6028</v>
      </c>
      <c r="B2654" t="s">
        <v>6029</v>
      </c>
      <c r="C2654" t="s">
        <v>10227</v>
      </c>
      <c r="E2654" s="12" t="s">
        <v>10228</v>
      </c>
      <c r="F2654" s="12" t="s">
        <v>10229</v>
      </c>
      <c r="G2654" t="s">
        <v>10230</v>
      </c>
      <c r="H2654" t="s">
        <v>10231</v>
      </c>
    </row>
    <row r="2655" spans="1:8" ht="15.75" customHeight="1">
      <c r="A2655" t="s">
        <v>6028</v>
      </c>
      <c r="B2655" t="s">
        <v>6029</v>
      </c>
      <c r="C2655" t="s">
        <v>10227</v>
      </c>
      <c r="E2655" s="12" t="s">
        <v>10228</v>
      </c>
      <c r="F2655" s="12" t="s">
        <v>10232</v>
      </c>
      <c r="G2655" t="s">
        <v>10233</v>
      </c>
      <c r="H2655" t="s">
        <v>10234</v>
      </c>
    </row>
    <row r="2656" spans="1:8" ht="15.75" customHeight="1">
      <c r="A2656" t="s">
        <v>6028</v>
      </c>
      <c r="B2656" t="s">
        <v>6029</v>
      </c>
      <c r="C2656" t="s">
        <v>10227</v>
      </c>
      <c r="E2656" s="12" t="s">
        <v>10228</v>
      </c>
      <c r="F2656" s="12" t="s">
        <v>10235</v>
      </c>
      <c r="G2656" t="s">
        <v>10236</v>
      </c>
      <c r="H2656" t="s">
        <v>10237</v>
      </c>
    </row>
    <row r="2657" spans="1:8" ht="15.75" customHeight="1">
      <c r="A2657" t="s">
        <v>6028</v>
      </c>
      <c r="B2657" t="s">
        <v>6029</v>
      </c>
      <c r="C2657" t="s">
        <v>10227</v>
      </c>
      <c r="E2657" s="12" t="s">
        <v>10228</v>
      </c>
      <c r="F2657" s="12" t="s">
        <v>10238</v>
      </c>
      <c r="G2657" t="s">
        <v>10239</v>
      </c>
      <c r="H2657" t="s">
        <v>10240</v>
      </c>
    </row>
    <row r="2658" spans="1:8" ht="15.75" customHeight="1">
      <c r="A2658" t="s">
        <v>6028</v>
      </c>
      <c r="B2658" t="s">
        <v>6029</v>
      </c>
      <c r="C2658" t="s">
        <v>10227</v>
      </c>
      <c r="E2658" s="12" t="s">
        <v>10228</v>
      </c>
      <c r="F2658" s="12" t="s">
        <v>10241</v>
      </c>
      <c r="G2658" t="s">
        <v>10242</v>
      </c>
      <c r="H2658" t="s">
        <v>10243</v>
      </c>
    </row>
    <row r="2659" spans="1:8" ht="15.75" customHeight="1">
      <c r="A2659" t="s">
        <v>6028</v>
      </c>
      <c r="B2659" t="s">
        <v>6029</v>
      </c>
      <c r="C2659" t="s">
        <v>10227</v>
      </c>
      <c r="E2659" s="12" t="s">
        <v>10228</v>
      </c>
      <c r="F2659" s="12" t="s">
        <v>10244</v>
      </c>
      <c r="G2659" t="s">
        <v>10245</v>
      </c>
      <c r="H2659" t="s">
        <v>10246</v>
      </c>
    </row>
    <row r="2660" spans="1:8" ht="15.75" customHeight="1">
      <c r="A2660" t="s">
        <v>6028</v>
      </c>
      <c r="B2660" t="s">
        <v>6029</v>
      </c>
      <c r="C2660" t="s">
        <v>10227</v>
      </c>
      <c r="E2660" s="12" t="s">
        <v>10228</v>
      </c>
      <c r="F2660" s="12" t="s">
        <v>10009</v>
      </c>
      <c r="G2660" t="s">
        <v>10010</v>
      </c>
      <c r="H2660" t="s">
        <v>10011</v>
      </c>
    </row>
    <row r="2661" spans="1:8" ht="15.75" customHeight="1">
      <c r="A2661" t="s">
        <v>6028</v>
      </c>
      <c r="B2661" t="s">
        <v>6029</v>
      </c>
      <c r="C2661" t="s">
        <v>10227</v>
      </c>
      <c r="E2661" s="12" t="s">
        <v>10228</v>
      </c>
      <c r="F2661" s="12" t="s">
        <v>10247</v>
      </c>
      <c r="G2661" t="s">
        <v>10248</v>
      </c>
      <c r="H2661" t="s">
        <v>10249</v>
      </c>
    </row>
    <row r="2662" spans="1:8" ht="15.75" customHeight="1">
      <c r="A2662" t="s">
        <v>6028</v>
      </c>
      <c r="B2662" t="s">
        <v>6029</v>
      </c>
      <c r="C2662" t="s">
        <v>10227</v>
      </c>
      <c r="E2662" s="12" t="s">
        <v>10228</v>
      </c>
      <c r="F2662" s="12" t="s">
        <v>10250</v>
      </c>
      <c r="G2662" t="s">
        <v>10251</v>
      </c>
      <c r="H2662" t="s">
        <v>10252</v>
      </c>
    </row>
    <row r="2663" spans="1:8" ht="15.75" customHeight="1">
      <c r="A2663" t="s">
        <v>6028</v>
      </c>
      <c r="B2663" t="s">
        <v>6029</v>
      </c>
      <c r="C2663" t="s">
        <v>10227</v>
      </c>
      <c r="E2663" s="12" t="s">
        <v>10228</v>
      </c>
      <c r="F2663" s="12" t="s">
        <v>10253</v>
      </c>
      <c r="G2663" t="s">
        <v>10254</v>
      </c>
      <c r="H2663" t="s">
        <v>10255</v>
      </c>
    </row>
    <row r="2664" spans="1:8" ht="15.75" customHeight="1">
      <c r="A2664" t="s">
        <v>6028</v>
      </c>
      <c r="B2664" t="s">
        <v>6029</v>
      </c>
      <c r="C2664" t="s">
        <v>10268</v>
      </c>
      <c r="E2664" s="12" t="s">
        <v>10269</v>
      </c>
      <c r="F2664" s="12" t="s">
        <v>10270</v>
      </c>
      <c r="G2664" t="s">
        <v>10271</v>
      </c>
      <c r="H2664" t="s">
        <v>10234</v>
      </c>
    </row>
    <row r="2665" spans="1:8" ht="15.75" customHeight="1">
      <c r="A2665" t="s">
        <v>6028</v>
      </c>
      <c r="B2665" t="s">
        <v>6029</v>
      </c>
      <c r="C2665" t="s">
        <v>10268</v>
      </c>
      <c r="E2665" s="12" t="s">
        <v>10269</v>
      </c>
      <c r="F2665" s="12" t="s">
        <v>10272</v>
      </c>
      <c r="G2665" t="s">
        <v>10271</v>
      </c>
      <c r="H2665" t="s">
        <v>10231</v>
      </c>
    </row>
    <row r="2666" spans="1:8" ht="15.75" customHeight="1">
      <c r="A2666" t="s">
        <v>6028</v>
      </c>
      <c r="B2666" t="s">
        <v>6029</v>
      </c>
      <c r="C2666" t="s">
        <v>10268</v>
      </c>
      <c r="E2666" s="12" t="s">
        <v>10269</v>
      </c>
      <c r="F2666" s="12" t="s">
        <v>10009</v>
      </c>
      <c r="G2666" t="s">
        <v>10010</v>
      </c>
      <c r="H2666" t="s">
        <v>10011</v>
      </c>
    </row>
    <row r="2667" spans="1:8" ht="15.75" customHeight="1">
      <c r="A2667" t="s">
        <v>6031</v>
      </c>
      <c r="B2667" t="s">
        <v>6032</v>
      </c>
      <c r="C2667" t="s">
        <v>10007</v>
      </c>
      <c r="E2667" s="12" t="s">
        <v>10008</v>
      </c>
      <c r="F2667" s="12" t="s">
        <v>10009</v>
      </c>
      <c r="G2667" t="s">
        <v>10010</v>
      </c>
      <c r="H2667" t="s">
        <v>10011</v>
      </c>
    </row>
    <row r="2668" spans="1:8" ht="15.75" customHeight="1">
      <c r="A2668" t="s">
        <v>6031</v>
      </c>
      <c r="B2668" t="s">
        <v>6032</v>
      </c>
      <c r="C2668" t="s">
        <v>10268</v>
      </c>
      <c r="E2668" s="12" t="s">
        <v>10269</v>
      </c>
      <c r="F2668" s="12" t="s">
        <v>10270</v>
      </c>
      <c r="G2668" t="s">
        <v>10271</v>
      </c>
      <c r="H2668" t="s">
        <v>10234</v>
      </c>
    </row>
    <row r="2669" spans="1:8" ht="15.75" customHeight="1">
      <c r="A2669" t="s">
        <v>6031</v>
      </c>
      <c r="B2669" t="s">
        <v>6032</v>
      </c>
      <c r="C2669" t="s">
        <v>10268</v>
      </c>
      <c r="E2669" s="12" t="s">
        <v>10269</v>
      </c>
      <c r="F2669" s="12" t="s">
        <v>10272</v>
      </c>
      <c r="G2669" t="s">
        <v>10271</v>
      </c>
      <c r="H2669" t="s">
        <v>10231</v>
      </c>
    </row>
    <row r="2670" spans="1:8" ht="15.75" customHeight="1">
      <c r="A2670" t="s">
        <v>6031</v>
      </c>
      <c r="B2670" t="s">
        <v>6032</v>
      </c>
      <c r="C2670" t="s">
        <v>10268</v>
      </c>
      <c r="E2670" s="12" t="s">
        <v>10269</v>
      </c>
      <c r="F2670" s="12" t="s">
        <v>10009</v>
      </c>
      <c r="G2670" t="s">
        <v>10010</v>
      </c>
      <c r="H2670" t="s">
        <v>10011</v>
      </c>
    </row>
    <row r="2671" spans="1:8" ht="15.75" customHeight="1">
      <c r="A2671" t="s">
        <v>6035</v>
      </c>
      <c r="B2671" t="s">
        <v>6036</v>
      </c>
    </row>
    <row r="2672" spans="1:8" ht="15.75" customHeight="1">
      <c r="B2672" t="s">
        <v>6037</v>
      </c>
    </row>
    <row r="2673" spans="1:8" ht="15.75" customHeight="1">
      <c r="B2673" t="s">
        <v>6041</v>
      </c>
    </row>
    <row r="2674" spans="1:8" ht="15.75" customHeight="1">
      <c r="A2674" t="s">
        <v>6044</v>
      </c>
      <c r="B2674" t="s">
        <v>6045</v>
      </c>
    </row>
    <row r="2675" spans="1:8" ht="15.75" customHeight="1">
      <c r="A2675" t="s">
        <v>6048</v>
      </c>
      <c r="B2675" t="s">
        <v>6049</v>
      </c>
      <c r="C2675" t="s">
        <v>10273</v>
      </c>
      <c r="E2675" s="12" t="s">
        <v>10274</v>
      </c>
    </row>
    <row r="2676" spans="1:8" ht="15.75" customHeight="1">
      <c r="A2676" t="s">
        <v>6051</v>
      </c>
      <c r="B2676" t="s">
        <v>6052</v>
      </c>
    </row>
    <row r="2677" spans="1:8" ht="15.75" customHeight="1">
      <c r="A2677" t="s">
        <v>6055</v>
      </c>
      <c r="B2677" t="s">
        <v>6056</v>
      </c>
    </row>
    <row r="2678" spans="1:8" ht="15.75" customHeight="1">
      <c r="A2678" t="s">
        <v>6058</v>
      </c>
      <c r="B2678" t="s">
        <v>6059</v>
      </c>
      <c r="C2678" t="s">
        <v>9833</v>
      </c>
      <c r="E2678" s="12" t="s">
        <v>9834</v>
      </c>
      <c r="F2678" s="12" t="s">
        <v>9835</v>
      </c>
      <c r="G2678" t="s">
        <v>9836</v>
      </c>
      <c r="H2678" t="s">
        <v>9837</v>
      </c>
    </row>
    <row r="2679" spans="1:8" ht="15.75" customHeight="1">
      <c r="A2679" t="s">
        <v>6058</v>
      </c>
      <c r="B2679" t="s">
        <v>6059</v>
      </c>
      <c r="C2679" t="s">
        <v>9833</v>
      </c>
      <c r="E2679" s="12" t="s">
        <v>9834</v>
      </c>
      <c r="F2679" s="12" t="s">
        <v>9838</v>
      </c>
      <c r="G2679" t="s">
        <v>9839</v>
      </c>
      <c r="H2679" t="s">
        <v>9840</v>
      </c>
    </row>
    <row r="2680" spans="1:8" ht="15.75" customHeight="1">
      <c r="A2680" t="s">
        <v>6058</v>
      </c>
      <c r="B2680" t="s">
        <v>6059</v>
      </c>
      <c r="C2680" t="s">
        <v>9833</v>
      </c>
      <c r="E2680" s="12" t="s">
        <v>9834</v>
      </c>
      <c r="F2680" s="12" t="s">
        <v>9841</v>
      </c>
      <c r="G2680" t="s">
        <v>9842</v>
      </c>
      <c r="H2680" t="s">
        <v>9843</v>
      </c>
    </row>
    <row r="2681" spans="1:8" ht="15.75" customHeight="1">
      <c r="A2681" t="s">
        <v>6062</v>
      </c>
      <c r="B2681" t="s">
        <v>6063</v>
      </c>
    </row>
    <row r="2682" spans="1:8" ht="15.75" customHeight="1">
      <c r="A2682" t="s">
        <v>6066</v>
      </c>
      <c r="B2682" t="s">
        <v>6067</v>
      </c>
    </row>
    <row r="2683" spans="1:8" ht="15.75" customHeight="1">
      <c r="A2683" t="s">
        <v>6068</v>
      </c>
      <c r="B2683" t="s">
        <v>6069</v>
      </c>
    </row>
    <row r="2684" spans="1:8" ht="15.75" customHeight="1">
      <c r="A2684" t="s">
        <v>6072</v>
      </c>
      <c r="B2684" t="s">
        <v>6073</v>
      </c>
      <c r="C2684" t="s">
        <v>7197</v>
      </c>
      <c r="E2684" s="12" t="s">
        <v>7198</v>
      </c>
      <c r="F2684" s="12" t="s">
        <v>7199</v>
      </c>
      <c r="G2684" t="s">
        <v>7200</v>
      </c>
      <c r="H2684" t="s">
        <v>7201</v>
      </c>
    </row>
    <row r="2685" spans="1:8" ht="15.75" customHeight="1">
      <c r="A2685" t="s">
        <v>6072</v>
      </c>
      <c r="B2685" t="s">
        <v>6073</v>
      </c>
      <c r="C2685" t="s">
        <v>7197</v>
      </c>
      <c r="E2685" s="12" t="s">
        <v>7198</v>
      </c>
      <c r="F2685" s="12" t="s">
        <v>7202</v>
      </c>
      <c r="G2685" t="s">
        <v>7203</v>
      </c>
      <c r="H2685" t="s">
        <v>7201</v>
      </c>
    </row>
    <row r="2686" spans="1:8" ht="15.75" customHeight="1">
      <c r="A2686" t="s">
        <v>6072</v>
      </c>
      <c r="B2686" t="s">
        <v>6073</v>
      </c>
      <c r="C2686" t="s">
        <v>7197</v>
      </c>
      <c r="E2686" s="12" t="s">
        <v>7198</v>
      </c>
      <c r="F2686" s="12" t="s">
        <v>7204</v>
      </c>
      <c r="G2686" t="s">
        <v>7205</v>
      </c>
      <c r="H2686" t="s">
        <v>7201</v>
      </c>
    </row>
    <row r="2687" spans="1:8" ht="15.75" customHeight="1">
      <c r="A2687" t="s">
        <v>6072</v>
      </c>
      <c r="B2687" t="s">
        <v>6073</v>
      </c>
      <c r="C2687" t="s">
        <v>7197</v>
      </c>
      <c r="E2687" s="12" t="s">
        <v>7198</v>
      </c>
      <c r="F2687" s="12" t="s">
        <v>7206</v>
      </c>
      <c r="G2687" t="s">
        <v>7207</v>
      </c>
      <c r="H2687" t="s">
        <v>7201</v>
      </c>
    </row>
    <row r="2688" spans="1:8" ht="15.75" customHeight="1">
      <c r="A2688" t="s">
        <v>6072</v>
      </c>
      <c r="B2688" t="s">
        <v>6073</v>
      </c>
      <c r="C2688" t="s">
        <v>7197</v>
      </c>
      <c r="E2688" s="12" t="s">
        <v>7198</v>
      </c>
      <c r="F2688" s="12" t="s">
        <v>7208</v>
      </c>
      <c r="G2688" t="s">
        <v>7209</v>
      </c>
      <c r="H2688" t="s">
        <v>7201</v>
      </c>
    </row>
    <row r="2689" spans="1:8" ht="15.75" customHeight="1">
      <c r="A2689" t="s">
        <v>6072</v>
      </c>
      <c r="B2689" t="s">
        <v>6073</v>
      </c>
      <c r="C2689" t="s">
        <v>7197</v>
      </c>
      <c r="E2689" s="12" t="s">
        <v>7198</v>
      </c>
      <c r="F2689" s="12" t="s">
        <v>7210</v>
      </c>
      <c r="G2689" t="s">
        <v>7211</v>
      </c>
      <c r="H2689" t="s">
        <v>7212</v>
      </c>
    </row>
    <row r="2690" spans="1:8" ht="15.75" customHeight="1">
      <c r="A2690" t="s">
        <v>6076</v>
      </c>
      <c r="B2690" t="s">
        <v>6077</v>
      </c>
      <c r="C2690" t="s">
        <v>10275</v>
      </c>
      <c r="E2690" s="12" t="s">
        <v>10276</v>
      </c>
      <c r="F2690" s="12" t="s">
        <v>10277</v>
      </c>
      <c r="G2690" t="s">
        <v>10278</v>
      </c>
      <c r="H2690" t="s">
        <v>10279</v>
      </c>
    </row>
    <row r="2691" spans="1:8" ht="15.75" customHeight="1">
      <c r="A2691" t="s">
        <v>6076</v>
      </c>
      <c r="B2691" t="s">
        <v>6077</v>
      </c>
      <c r="C2691" t="s">
        <v>10275</v>
      </c>
      <c r="E2691" s="12" t="s">
        <v>10276</v>
      </c>
      <c r="F2691" s="12" t="s">
        <v>10280</v>
      </c>
      <c r="G2691" t="s">
        <v>10278</v>
      </c>
      <c r="H2691" t="s">
        <v>10281</v>
      </c>
    </row>
    <row r="2692" spans="1:8" ht="15.75" customHeight="1">
      <c r="A2692" t="s">
        <v>6080</v>
      </c>
      <c r="B2692" t="s">
        <v>6081</v>
      </c>
    </row>
    <row r="2693" spans="1:8" ht="15.75" customHeight="1">
      <c r="B2693" t="s">
        <v>6082</v>
      </c>
    </row>
    <row r="2694" spans="1:8" ht="15.75" customHeight="1">
      <c r="B2694" t="s">
        <v>6083</v>
      </c>
    </row>
    <row r="2695" spans="1:8" ht="15.75" customHeight="1">
      <c r="A2695" t="s">
        <v>6085</v>
      </c>
      <c r="B2695" t="s">
        <v>6086</v>
      </c>
    </row>
    <row r="2696" spans="1:8" ht="15.75" customHeight="1">
      <c r="A2696" t="s">
        <v>6089</v>
      </c>
      <c r="B2696" t="s">
        <v>6090</v>
      </c>
      <c r="C2696" t="s">
        <v>8593</v>
      </c>
      <c r="E2696" s="12" t="s">
        <v>8594</v>
      </c>
    </row>
    <row r="2697" spans="1:8" ht="15.75" customHeight="1">
      <c r="A2697" t="s">
        <v>6091</v>
      </c>
      <c r="B2697" t="s">
        <v>6092</v>
      </c>
    </row>
    <row r="2698" spans="1:8" ht="15.75" customHeight="1">
      <c r="A2698" t="s">
        <v>6093</v>
      </c>
      <c r="B2698" t="s">
        <v>6094</v>
      </c>
    </row>
    <row r="2699" spans="1:8" ht="15.75" customHeight="1">
      <c r="A2699" t="s">
        <v>6097</v>
      </c>
      <c r="B2699" t="s">
        <v>6098</v>
      </c>
    </row>
    <row r="2700" spans="1:8" ht="15.75" customHeight="1">
      <c r="A2700" t="s">
        <v>6100</v>
      </c>
      <c r="B2700" t="s">
        <v>6101</v>
      </c>
      <c r="C2700" t="s">
        <v>10282</v>
      </c>
      <c r="E2700" s="12" t="s">
        <v>10283</v>
      </c>
      <c r="F2700" s="12" t="s">
        <v>10284</v>
      </c>
      <c r="G2700" t="s">
        <v>10285</v>
      </c>
      <c r="H2700" t="s">
        <v>10286</v>
      </c>
    </row>
    <row r="2701" spans="1:8" ht="15.75" customHeight="1">
      <c r="A2701" t="s">
        <v>6100</v>
      </c>
      <c r="B2701" t="s">
        <v>6101</v>
      </c>
      <c r="C2701" t="s">
        <v>10282</v>
      </c>
      <c r="E2701" s="12" t="s">
        <v>10283</v>
      </c>
      <c r="F2701" s="12" t="s">
        <v>10287</v>
      </c>
      <c r="G2701" t="s">
        <v>10288</v>
      </c>
      <c r="H2701" t="s">
        <v>10289</v>
      </c>
    </row>
    <row r="2702" spans="1:8" ht="15.75" customHeight="1">
      <c r="A2702" t="s">
        <v>6100</v>
      </c>
      <c r="B2702" t="s">
        <v>6101</v>
      </c>
      <c r="C2702" t="s">
        <v>10282</v>
      </c>
      <c r="E2702" s="12" t="s">
        <v>10283</v>
      </c>
      <c r="F2702" s="12" t="s">
        <v>10290</v>
      </c>
      <c r="G2702" t="s">
        <v>10291</v>
      </c>
      <c r="H2702" t="s">
        <v>10292</v>
      </c>
    </row>
    <row r="2703" spans="1:8" ht="15.75" customHeight="1">
      <c r="A2703" t="s">
        <v>6100</v>
      </c>
      <c r="B2703" t="s">
        <v>6101</v>
      </c>
      <c r="C2703" t="s">
        <v>10282</v>
      </c>
      <c r="E2703" s="12" t="s">
        <v>10283</v>
      </c>
      <c r="F2703" s="12" t="s">
        <v>10293</v>
      </c>
      <c r="G2703" t="s">
        <v>10294</v>
      </c>
      <c r="H2703" t="s">
        <v>10295</v>
      </c>
    </row>
    <row r="2704" spans="1:8" ht="15.75" customHeight="1">
      <c r="A2704" t="s">
        <v>6104</v>
      </c>
      <c r="B2704" t="s">
        <v>6105</v>
      </c>
      <c r="C2704" t="s">
        <v>10296</v>
      </c>
    </row>
    <row r="2705" spans="1:8" ht="15.75" customHeight="1">
      <c r="A2705" t="s">
        <v>6107</v>
      </c>
      <c r="B2705" t="s">
        <v>6108</v>
      </c>
    </row>
    <row r="2706" spans="1:8" ht="15.75" customHeight="1">
      <c r="A2706" t="s">
        <v>6111</v>
      </c>
      <c r="B2706" t="s">
        <v>6112</v>
      </c>
      <c r="C2706" t="s">
        <v>10296</v>
      </c>
    </row>
    <row r="2707" spans="1:8" ht="15.75" customHeight="1">
      <c r="A2707" t="s">
        <v>6115</v>
      </c>
      <c r="B2707" t="s">
        <v>6116</v>
      </c>
      <c r="C2707" t="s">
        <v>7545</v>
      </c>
    </row>
    <row r="2708" spans="1:8" ht="15.75" customHeight="1">
      <c r="A2708" t="s">
        <v>6118</v>
      </c>
      <c r="B2708" t="s">
        <v>6119</v>
      </c>
    </row>
    <row r="2709" spans="1:8" ht="15.75" customHeight="1">
      <c r="A2709" t="s">
        <v>6121</v>
      </c>
      <c r="B2709" t="s">
        <v>6122</v>
      </c>
    </row>
    <row r="2710" spans="1:8" ht="15.75" customHeight="1">
      <c r="A2710" t="s">
        <v>6123</v>
      </c>
      <c r="B2710" t="s">
        <v>6124</v>
      </c>
    </row>
    <row r="2711" spans="1:8" ht="15.75" customHeight="1">
      <c r="A2711" t="s">
        <v>6126</v>
      </c>
      <c r="B2711" t="s">
        <v>6127</v>
      </c>
    </row>
    <row r="2712" spans="1:8" ht="15.75" customHeight="1">
      <c r="A2712" t="s">
        <v>6128</v>
      </c>
      <c r="B2712" t="s">
        <v>6129</v>
      </c>
    </row>
    <row r="2713" spans="1:8" ht="15.75" customHeight="1">
      <c r="A2713" t="s">
        <v>6131</v>
      </c>
      <c r="B2713" t="s">
        <v>6132</v>
      </c>
    </row>
    <row r="2714" spans="1:8" ht="15.75" customHeight="1">
      <c r="A2714" t="s">
        <v>6134</v>
      </c>
      <c r="B2714" t="s">
        <v>6135</v>
      </c>
      <c r="C2714" t="s">
        <v>10297</v>
      </c>
      <c r="E2714" s="12" t="s">
        <v>10298</v>
      </c>
    </row>
    <row r="2715" spans="1:8" ht="15.75" customHeight="1">
      <c r="A2715" t="s">
        <v>6137</v>
      </c>
      <c r="B2715" t="s">
        <v>6138</v>
      </c>
    </row>
    <row r="2716" spans="1:8" ht="15.75" customHeight="1">
      <c r="A2716" t="s">
        <v>6140</v>
      </c>
      <c r="B2716" t="s">
        <v>6141</v>
      </c>
      <c r="C2716" t="s">
        <v>8574</v>
      </c>
      <c r="E2716" s="12" t="s">
        <v>8575</v>
      </c>
      <c r="F2716" s="12" t="s">
        <v>8576</v>
      </c>
      <c r="G2716" t="s">
        <v>8577</v>
      </c>
      <c r="H2716" t="s">
        <v>8578</v>
      </c>
    </row>
    <row r="2717" spans="1:8" ht="15.75" customHeight="1">
      <c r="A2717" t="s">
        <v>6140</v>
      </c>
      <c r="B2717" t="s">
        <v>6141</v>
      </c>
      <c r="C2717" t="s">
        <v>8574</v>
      </c>
      <c r="E2717" s="12" t="s">
        <v>8575</v>
      </c>
      <c r="F2717" s="12" t="s">
        <v>8579</v>
      </c>
      <c r="G2717" t="s">
        <v>8580</v>
      </c>
      <c r="H2717" t="s">
        <v>8581</v>
      </c>
    </row>
    <row r="2718" spans="1:8" ht="15.75" customHeight="1">
      <c r="A2718" t="s">
        <v>6140</v>
      </c>
      <c r="B2718" t="s">
        <v>6141</v>
      </c>
      <c r="C2718" t="s">
        <v>8574</v>
      </c>
      <c r="E2718" s="12" t="s">
        <v>8575</v>
      </c>
      <c r="F2718" s="12" t="s">
        <v>8582</v>
      </c>
      <c r="G2718" t="s">
        <v>8583</v>
      </c>
      <c r="H2718" t="s">
        <v>8584</v>
      </c>
    </row>
    <row r="2719" spans="1:8" ht="15.75" customHeight="1">
      <c r="A2719" t="s">
        <v>6144</v>
      </c>
      <c r="B2719" t="s">
        <v>6145</v>
      </c>
      <c r="C2719" t="s">
        <v>10299</v>
      </c>
      <c r="E2719" s="12" t="s">
        <v>10300</v>
      </c>
      <c r="F2719" s="12" t="s">
        <v>10301</v>
      </c>
      <c r="G2719" t="s">
        <v>10302</v>
      </c>
      <c r="H2719" t="s">
        <v>10303</v>
      </c>
    </row>
    <row r="2720" spans="1:8" ht="15.75" customHeight="1">
      <c r="A2720" t="s">
        <v>6148</v>
      </c>
      <c r="B2720" t="s">
        <v>6149</v>
      </c>
      <c r="C2720" t="s">
        <v>10304</v>
      </c>
      <c r="E2720" s="12" t="s">
        <v>10305</v>
      </c>
      <c r="F2720" s="12" t="s">
        <v>10306</v>
      </c>
      <c r="G2720" t="s">
        <v>7981</v>
      </c>
      <c r="H2720" t="s">
        <v>10307</v>
      </c>
    </row>
    <row r="2721" spans="1:8" ht="15.75" customHeight="1">
      <c r="A2721" t="s">
        <v>6148</v>
      </c>
      <c r="B2721" t="s">
        <v>6149</v>
      </c>
      <c r="C2721" t="s">
        <v>10304</v>
      </c>
      <c r="E2721" s="12" t="s">
        <v>10305</v>
      </c>
      <c r="F2721" s="12" t="s">
        <v>10308</v>
      </c>
      <c r="G2721" t="s">
        <v>7963</v>
      </c>
      <c r="H2721" t="s">
        <v>10309</v>
      </c>
    </row>
    <row r="2722" spans="1:8" ht="15.75" customHeight="1">
      <c r="A2722" t="s">
        <v>6148</v>
      </c>
      <c r="B2722" t="s">
        <v>6149</v>
      </c>
      <c r="C2722" t="s">
        <v>10304</v>
      </c>
      <c r="E2722" s="12" t="s">
        <v>10305</v>
      </c>
      <c r="F2722" s="12" t="s">
        <v>10310</v>
      </c>
      <c r="G2722" t="s">
        <v>7960</v>
      </c>
      <c r="H2722" t="s">
        <v>10311</v>
      </c>
    </row>
    <row r="2723" spans="1:8" ht="15.75" customHeight="1">
      <c r="A2723" t="s">
        <v>6148</v>
      </c>
      <c r="B2723" t="s">
        <v>6149</v>
      </c>
      <c r="C2723" t="s">
        <v>10304</v>
      </c>
      <c r="E2723" s="12" t="s">
        <v>10305</v>
      </c>
      <c r="F2723" s="12" t="s">
        <v>10312</v>
      </c>
      <c r="G2723" t="s">
        <v>7993</v>
      </c>
      <c r="H2723" t="s">
        <v>10313</v>
      </c>
    </row>
    <row r="2724" spans="1:8" ht="15.75" customHeight="1">
      <c r="A2724" t="s">
        <v>6148</v>
      </c>
      <c r="B2724" t="s">
        <v>6149</v>
      </c>
      <c r="C2724" t="s">
        <v>10304</v>
      </c>
      <c r="E2724" s="12" t="s">
        <v>10305</v>
      </c>
      <c r="F2724" s="12" t="s">
        <v>10314</v>
      </c>
      <c r="G2724" t="s">
        <v>10315</v>
      </c>
      <c r="H2724" t="s">
        <v>10316</v>
      </c>
    </row>
    <row r="2725" spans="1:8" ht="15.75" customHeight="1">
      <c r="A2725" t="s">
        <v>6152</v>
      </c>
      <c r="B2725" t="s">
        <v>6153</v>
      </c>
      <c r="C2725" t="s">
        <v>10317</v>
      </c>
      <c r="E2725" s="12" t="s">
        <v>10318</v>
      </c>
      <c r="F2725" s="12" t="s">
        <v>7505</v>
      </c>
      <c r="G2725" t="s">
        <v>7506</v>
      </c>
      <c r="H2725" t="s">
        <v>7507</v>
      </c>
    </row>
    <row r="2726" spans="1:8" ht="15.75" customHeight="1">
      <c r="A2726" t="s">
        <v>6155</v>
      </c>
      <c r="B2726" t="s">
        <v>6156</v>
      </c>
    </row>
    <row r="2727" spans="1:8" ht="15.75" customHeight="1">
      <c r="A2727" t="s">
        <v>6159</v>
      </c>
      <c r="B2727" t="s">
        <v>6160</v>
      </c>
      <c r="C2727" t="s">
        <v>10319</v>
      </c>
      <c r="E2727" s="12" t="s">
        <v>10320</v>
      </c>
      <c r="F2727" s="12" t="s">
        <v>10321</v>
      </c>
      <c r="G2727" t="s">
        <v>10322</v>
      </c>
      <c r="H2727" t="s">
        <v>10323</v>
      </c>
    </row>
    <row r="2728" spans="1:8" ht="15.75" customHeight="1">
      <c r="A2728" t="s">
        <v>6159</v>
      </c>
      <c r="B2728" t="s">
        <v>6160</v>
      </c>
      <c r="C2728" t="s">
        <v>10319</v>
      </c>
      <c r="E2728" s="12" t="s">
        <v>10320</v>
      </c>
      <c r="F2728" s="12" t="s">
        <v>10324</v>
      </c>
      <c r="G2728" t="s">
        <v>10325</v>
      </c>
      <c r="H2728" t="s">
        <v>10326</v>
      </c>
    </row>
    <row r="2729" spans="1:8" ht="15.75" customHeight="1">
      <c r="A2729" t="s">
        <v>6159</v>
      </c>
      <c r="B2729" t="s">
        <v>6160</v>
      </c>
      <c r="C2729" t="s">
        <v>10319</v>
      </c>
      <c r="E2729" s="12" t="s">
        <v>10320</v>
      </c>
      <c r="F2729" s="12" t="s">
        <v>10327</v>
      </c>
      <c r="G2729" t="s">
        <v>10328</v>
      </c>
      <c r="H2729" t="s">
        <v>10329</v>
      </c>
    </row>
    <row r="2730" spans="1:8" ht="15.75" customHeight="1">
      <c r="A2730" t="s">
        <v>6163</v>
      </c>
      <c r="B2730" t="s">
        <v>6164</v>
      </c>
    </row>
    <row r="2731" spans="1:8" ht="15.75" customHeight="1">
      <c r="A2731" t="s">
        <v>6166</v>
      </c>
      <c r="B2731" t="s">
        <v>6167</v>
      </c>
    </row>
    <row r="2732" spans="1:8" ht="15.75" customHeight="1">
      <c r="A2732" t="s">
        <v>6170</v>
      </c>
      <c r="B2732" t="s">
        <v>6171</v>
      </c>
      <c r="C2732" t="s">
        <v>8007</v>
      </c>
      <c r="E2732" s="12" t="s">
        <v>8008</v>
      </c>
      <c r="F2732" s="12" t="s">
        <v>8009</v>
      </c>
      <c r="G2732" t="s">
        <v>8010</v>
      </c>
      <c r="H2732" t="s">
        <v>8011</v>
      </c>
    </row>
    <row r="2733" spans="1:8" ht="15.75" customHeight="1">
      <c r="A2733" t="s">
        <v>6170</v>
      </c>
      <c r="B2733" t="s">
        <v>6171</v>
      </c>
      <c r="C2733" t="s">
        <v>8007</v>
      </c>
      <c r="E2733" s="12" t="s">
        <v>8008</v>
      </c>
      <c r="F2733" s="12" t="s">
        <v>8012</v>
      </c>
      <c r="G2733" t="s">
        <v>7957</v>
      </c>
      <c r="H2733" t="s">
        <v>8013</v>
      </c>
    </row>
    <row r="2734" spans="1:8" ht="15.75" customHeight="1">
      <c r="A2734" t="s">
        <v>6170</v>
      </c>
      <c r="B2734" t="s">
        <v>6171</v>
      </c>
      <c r="C2734" t="s">
        <v>8007</v>
      </c>
      <c r="E2734" s="12" t="s">
        <v>8008</v>
      </c>
      <c r="F2734" s="12" t="s">
        <v>8014</v>
      </c>
      <c r="G2734" t="s">
        <v>7966</v>
      </c>
      <c r="H2734" t="s">
        <v>8015</v>
      </c>
    </row>
    <row r="2735" spans="1:8" ht="15.75" customHeight="1">
      <c r="A2735" t="s">
        <v>6170</v>
      </c>
      <c r="B2735" t="s">
        <v>6171</v>
      </c>
      <c r="C2735" t="s">
        <v>8007</v>
      </c>
      <c r="E2735" s="12" t="s">
        <v>8008</v>
      </c>
      <c r="F2735" s="12" t="s">
        <v>8016</v>
      </c>
      <c r="G2735" t="s">
        <v>8017</v>
      </c>
      <c r="H2735" t="s">
        <v>8018</v>
      </c>
    </row>
    <row r="2736" spans="1:8" ht="15.75" customHeight="1">
      <c r="A2736" t="s">
        <v>6170</v>
      </c>
      <c r="B2736" t="s">
        <v>6171</v>
      </c>
      <c r="C2736" t="s">
        <v>8007</v>
      </c>
      <c r="E2736" s="12" t="s">
        <v>8008</v>
      </c>
      <c r="F2736" s="12" t="s">
        <v>8019</v>
      </c>
      <c r="G2736" t="s">
        <v>7975</v>
      </c>
      <c r="H2736" t="s">
        <v>8020</v>
      </c>
    </row>
    <row r="2737" spans="1:8" ht="15.75" customHeight="1">
      <c r="A2737" t="s">
        <v>6170</v>
      </c>
      <c r="B2737" t="s">
        <v>6171</v>
      </c>
      <c r="C2737" t="s">
        <v>8007</v>
      </c>
      <c r="E2737" s="12" t="s">
        <v>8008</v>
      </c>
      <c r="F2737" s="12" t="s">
        <v>8021</v>
      </c>
      <c r="G2737" t="s">
        <v>8022</v>
      </c>
      <c r="H2737" t="s">
        <v>8023</v>
      </c>
    </row>
    <row r="2738" spans="1:8" ht="15.75" customHeight="1">
      <c r="A2738" t="s">
        <v>6170</v>
      </c>
      <c r="B2738" t="s">
        <v>6171</v>
      </c>
      <c r="C2738" t="s">
        <v>8007</v>
      </c>
      <c r="E2738" s="12" t="s">
        <v>8008</v>
      </c>
      <c r="F2738" s="12" t="s">
        <v>8024</v>
      </c>
      <c r="G2738" t="s">
        <v>7987</v>
      </c>
      <c r="H2738" t="s">
        <v>8025</v>
      </c>
    </row>
    <row r="2739" spans="1:8" ht="15.75" customHeight="1">
      <c r="A2739" t="s">
        <v>6170</v>
      </c>
      <c r="B2739" t="s">
        <v>6171</v>
      </c>
      <c r="C2739" t="s">
        <v>8007</v>
      </c>
      <c r="E2739" s="12" t="s">
        <v>8008</v>
      </c>
      <c r="F2739" s="12" t="s">
        <v>8026</v>
      </c>
      <c r="G2739" t="s">
        <v>7990</v>
      </c>
      <c r="H2739" t="s">
        <v>8027</v>
      </c>
    </row>
    <row r="2740" spans="1:8" ht="15.75" customHeight="1">
      <c r="A2740" t="s">
        <v>6170</v>
      </c>
      <c r="B2740" t="s">
        <v>6171</v>
      </c>
      <c r="C2740" t="s">
        <v>8007</v>
      </c>
      <c r="E2740" s="12" t="s">
        <v>8008</v>
      </c>
      <c r="F2740" s="12" t="s">
        <v>8028</v>
      </c>
      <c r="G2740" t="s">
        <v>7996</v>
      </c>
      <c r="H2740" t="s">
        <v>8029</v>
      </c>
    </row>
    <row r="2741" spans="1:8" ht="15.75" customHeight="1">
      <c r="A2741" t="s">
        <v>6170</v>
      </c>
      <c r="B2741" t="s">
        <v>6171</v>
      </c>
      <c r="C2741" t="s">
        <v>8007</v>
      </c>
      <c r="E2741" s="12" t="s">
        <v>8008</v>
      </c>
      <c r="F2741" s="12" t="s">
        <v>8030</v>
      </c>
      <c r="G2741" t="s">
        <v>7972</v>
      </c>
      <c r="H2741" t="s">
        <v>8031</v>
      </c>
    </row>
    <row r="2742" spans="1:8" ht="15.75" customHeight="1">
      <c r="A2742" t="s">
        <v>6170</v>
      </c>
      <c r="B2742" t="s">
        <v>6171</v>
      </c>
      <c r="C2742" t="s">
        <v>8007</v>
      </c>
      <c r="E2742" s="12" t="s">
        <v>8008</v>
      </c>
      <c r="F2742" s="12" t="s">
        <v>8032</v>
      </c>
      <c r="G2742" t="s">
        <v>7978</v>
      </c>
      <c r="H2742" t="s">
        <v>8033</v>
      </c>
    </row>
    <row r="2743" spans="1:8" ht="15.75" customHeight="1">
      <c r="A2743" t="s">
        <v>6173</v>
      </c>
      <c r="B2743" t="s">
        <v>6174</v>
      </c>
    </row>
    <row r="2744" spans="1:8" ht="15.75" customHeight="1">
      <c r="A2744" t="s">
        <v>6176</v>
      </c>
      <c r="B2744" t="s">
        <v>6177</v>
      </c>
    </row>
    <row r="2745" spans="1:8" ht="15.75" customHeight="1">
      <c r="A2745" t="s">
        <v>6179</v>
      </c>
      <c r="B2745" t="s">
        <v>6180</v>
      </c>
    </row>
    <row r="2746" spans="1:8" ht="15.75" customHeight="1">
      <c r="A2746" t="s">
        <v>6182</v>
      </c>
      <c r="B2746" t="s">
        <v>6183</v>
      </c>
      <c r="C2746" t="s">
        <v>8007</v>
      </c>
      <c r="E2746" s="12" t="s">
        <v>8008</v>
      </c>
      <c r="F2746" s="12" t="s">
        <v>8009</v>
      </c>
      <c r="G2746" t="s">
        <v>8010</v>
      </c>
      <c r="H2746" t="s">
        <v>8011</v>
      </c>
    </row>
    <row r="2747" spans="1:8" ht="15.75" customHeight="1">
      <c r="A2747" t="s">
        <v>6182</v>
      </c>
      <c r="B2747" t="s">
        <v>6183</v>
      </c>
      <c r="C2747" t="s">
        <v>8007</v>
      </c>
      <c r="E2747" s="12" t="s">
        <v>8008</v>
      </c>
      <c r="F2747" s="12" t="s">
        <v>8012</v>
      </c>
      <c r="G2747" t="s">
        <v>7957</v>
      </c>
      <c r="H2747" t="s">
        <v>8013</v>
      </c>
    </row>
    <row r="2748" spans="1:8" ht="15.75" customHeight="1">
      <c r="A2748" t="s">
        <v>6182</v>
      </c>
      <c r="B2748" t="s">
        <v>6183</v>
      </c>
      <c r="C2748" t="s">
        <v>8007</v>
      </c>
      <c r="E2748" s="12" t="s">
        <v>8008</v>
      </c>
      <c r="F2748" s="12" t="s">
        <v>8014</v>
      </c>
      <c r="G2748" t="s">
        <v>7966</v>
      </c>
      <c r="H2748" t="s">
        <v>8015</v>
      </c>
    </row>
    <row r="2749" spans="1:8" ht="15.75" customHeight="1">
      <c r="A2749" t="s">
        <v>6182</v>
      </c>
      <c r="B2749" t="s">
        <v>6183</v>
      </c>
      <c r="C2749" t="s">
        <v>8007</v>
      </c>
      <c r="E2749" s="12" t="s">
        <v>8008</v>
      </c>
      <c r="F2749" s="12" t="s">
        <v>8016</v>
      </c>
      <c r="G2749" t="s">
        <v>8017</v>
      </c>
      <c r="H2749" t="s">
        <v>8018</v>
      </c>
    </row>
    <row r="2750" spans="1:8" ht="15.75" customHeight="1">
      <c r="A2750" t="s">
        <v>6182</v>
      </c>
      <c r="B2750" t="s">
        <v>6183</v>
      </c>
      <c r="C2750" t="s">
        <v>8007</v>
      </c>
      <c r="E2750" s="12" t="s">
        <v>8008</v>
      </c>
      <c r="F2750" s="12" t="s">
        <v>8019</v>
      </c>
      <c r="G2750" t="s">
        <v>7975</v>
      </c>
      <c r="H2750" t="s">
        <v>8020</v>
      </c>
    </row>
    <row r="2751" spans="1:8" ht="15.75" customHeight="1">
      <c r="A2751" t="s">
        <v>6182</v>
      </c>
      <c r="B2751" t="s">
        <v>6183</v>
      </c>
      <c r="C2751" t="s">
        <v>8007</v>
      </c>
      <c r="E2751" s="12" t="s">
        <v>8008</v>
      </c>
      <c r="F2751" s="12" t="s">
        <v>8021</v>
      </c>
      <c r="G2751" t="s">
        <v>8022</v>
      </c>
      <c r="H2751" t="s">
        <v>8023</v>
      </c>
    </row>
    <row r="2752" spans="1:8" ht="15.75" customHeight="1">
      <c r="A2752" t="s">
        <v>6182</v>
      </c>
      <c r="B2752" t="s">
        <v>6183</v>
      </c>
      <c r="C2752" t="s">
        <v>8007</v>
      </c>
      <c r="E2752" s="12" t="s">
        <v>8008</v>
      </c>
      <c r="F2752" s="12" t="s">
        <v>8024</v>
      </c>
      <c r="G2752" t="s">
        <v>7987</v>
      </c>
      <c r="H2752" t="s">
        <v>8025</v>
      </c>
    </row>
    <row r="2753" spans="1:8" ht="15.75" customHeight="1">
      <c r="A2753" t="s">
        <v>6182</v>
      </c>
      <c r="B2753" t="s">
        <v>6183</v>
      </c>
      <c r="C2753" t="s">
        <v>8007</v>
      </c>
      <c r="E2753" s="12" t="s">
        <v>8008</v>
      </c>
      <c r="F2753" s="12" t="s">
        <v>8026</v>
      </c>
      <c r="G2753" t="s">
        <v>7990</v>
      </c>
      <c r="H2753" t="s">
        <v>8027</v>
      </c>
    </row>
    <row r="2754" spans="1:8" ht="15.75" customHeight="1">
      <c r="A2754" t="s">
        <v>6182</v>
      </c>
      <c r="B2754" t="s">
        <v>6183</v>
      </c>
      <c r="C2754" t="s">
        <v>8007</v>
      </c>
      <c r="E2754" s="12" t="s">
        <v>8008</v>
      </c>
      <c r="F2754" s="12" t="s">
        <v>8028</v>
      </c>
      <c r="G2754" t="s">
        <v>7996</v>
      </c>
      <c r="H2754" t="s">
        <v>8029</v>
      </c>
    </row>
    <row r="2755" spans="1:8" ht="15.75" customHeight="1">
      <c r="A2755" t="s">
        <v>6182</v>
      </c>
      <c r="B2755" t="s">
        <v>6183</v>
      </c>
      <c r="C2755" t="s">
        <v>8007</v>
      </c>
      <c r="E2755" s="12" t="s">
        <v>8008</v>
      </c>
      <c r="F2755" s="12" t="s">
        <v>8030</v>
      </c>
      <c r="G2755" t="s">
        <v>7972</v>
      </c>
      <c r="H2755" t="s">
        <v>8031</v>
      </c>
    </row>
    <row r="2756" spans="1:8" ht="15.75" customHeight="1">
      <c r="A2756" t="s">
        <v>6182</v>
      </c>
      <c r="B2756" t="s">
        <v>6183</v>
      </c>
      <c r="C2756" t="s">
        <v>8007</v>
      </c>
      <c r="E2756" s="12" t="s">
        <v>8008</v>
      </c>
      <c r="F2756" s="12" t="s">
        <v>8032</v>
      </c>
      <c r="G2756" t="s">
        <v>7978</v>
      </c>
      <c r="H2756" t="s">
        <v>8033</v>
      </c>
    </row>
    <row r="2757" spans="1:8" ht="15.75" customHeight="1">
      <c r="A2757" t="s">
        <v>6185</v>
      </c>
      <c r="B2757" t="s">
        <v>6186</v>
      </c>
      <c r="C2757" t="s">
        <v>10330</v>
      </c>
      <c r="E2757" s="12" t="s">
        <v>10331</v>
      </c>
      <c r="F2757" s="12" t="s">
        <v>9435</v>
      </c>
      <c r="G2757" t="s">
        <v>9436</v>
      </c>
      <c r="H2757" t="s">
        <v>9437</v>
      </c>
    </row>
    <row r="2758" spans="1:8" ht="15.75" customHeight="1">
      <c r="A2758" t="s">
        <v>6185</v>
      </c>
      <c r="B2758" t="s">
        <v>6186</v>
      </c>
      <c r="C2758" t="s">
        <v>10330</v>
      </c>
      <c r="E2758" s="12" t="s">
        <v>10331</v>
      </c>
      <c r="F2758" s="12" t="s">
        <v>10332</v>
      </c>
      <c r="G2758" t="s">
        <v>10333</v>
      </c>
      <c r="H2758" t="s">
        <v>10302</v>
      </c>
    </row>
    <row r="2759" spans="1:8" ht="15.75" customHeight="1">
      <c r="A2759" t="s">
        <v>6188</v>
      </c>
      <c r="B2759" t="s">
        <v>6189</v>
      </c>
      <c r="C2759" t="s">
        <v>10330</v>
      </c>
      <c r="E2759" s="12" t="s">
        <v>10331</v>
      </c>
      <c r="F2759" s="12" t="s">
        <v>9435</v>
      </c>
      <c r="G2759" t="s">
        <v>9436</v>
      </c>
      <c r="H2759" t="s">
        <v>9437</v>
      </c>
    </row>
    <row r="2760" spans="1:8" ht="15.75" customHeight="1">
      <c r="A2760" t="s">
        <v>6188</v>
      </c>
      <c r="B2760" t="s">
        <v>6189</v>
      </c>
      <c r="C2760" t="s">
        <v>10330</v>
      </c>
      <c r="E2760" s="12" t="s">
        <v>10331</v>
      </c>
      <c r="F2760" s="12" t="s">
        <v>10332</v>
      </c>
      <c r="G2760" t="s">
        <v>10333</v>
      </c>
      <c r="H2760" t="s">
        <v>10302</v>
      </c>
    </row>
    <row r="2761" spans="1:8" ht="15.75" customHeight="1">
      <c r="A2761" t="s">
        <v>6192</v>
      </c>
      <c r="B2761" t="s">
        <v>6193</v>
      </c>
      <c r="C2761" t="s">
        <v>10334</v>
      </c>
      <c r="E2761" s="12" t="s">
        <v>10335</v>
      </c>
      <c r="F2761" s="12" t="s">
        <v>10336</v>
      </c>
      <c r="G2761" t="s">
        <v>9437</v>
      </c>
      <c r="H2761" t="s">
        <v>8688</v>
      </c>
    </row>
    <row r="2762" spans="1:8" ht="15.75" customHeight="1">
      <c r="A2762" t="s">
        <v>6192</v>
      </c>
      <c r="B2762" t="s">
        <v>6193</v>
      </c>
      <c r="C2762" t="s">
        <v>10334</v>
      </c>
      <c r="E2762" s="12" t="s">
        <v>10335</v>
      </c>
      <c r="F2762" s="12" t="s">
        <v>10337</v>
      </c>
      <c r="G2762" t="s">
        <v>10338</v>
      </c>
      <c r="H2762" t="s">
        <v>10339</v>
      </c>
    </row>
    <row r="2763" spans="1:8" ht="15.75" customHeight="1">
      <c r="A2763" t="s">
        <v>6196</v>
      </c>
      <c r="B2763" t="s">
        <v>6197</v>
      </c>
      <c r="C2763" t="s">
        <v>7291</v>
      </c>
    </row>
    <row r="2764" spans="1:8" ht="15.75" customHeight="1">
      <c r="A2764" t="s">
        <v>6200</v>
      </c>
      <c r="B2764" t="s">
        <v>6201</v>
      </c>
      <c r="C2764" t="s">
        <v>10340</v>
      </c>
      <c r="E2764" s="12" t="s">
        <v>10341</v>
      </c>
      <c r="F2764" s="12" t="s">
        <v>10342</v>
      </c>
      <c r="G2764" t="s">
        <v>10343</v>
      </c>
      <c r="H2764" t="s">
        <v>10344</v>
      </c>
    </row>
    <row r="2765" spans="1:8" ht="15.75" customHeight="1">
      <c r="A2765" t="s">
        <v>6203</v>
      </c>
      <c r="B2765" t="s">
        <v>6204</v>
      </c>
    </row>
    <row r="2766" spans="1:8" ht="15.75" customHeight="1">
      <c r="A2766" t="s">
        <v>6206</v>
      </c>
      <c r="B2766" t="s">
        <v>6207</v>
      </c>
    </row>
    <row r="2767" spans="1:8" ht="15.75" customHeight="1">
      <c r="A2767" t="s">
        <v>6210</v>
      </c>
      <c r="B2767" t="s">
        <v>6211</v>
      </c>
    </row>
    <row r="2768" spans="1:8" ht="15.75" customHeight="1">
      <c r="A2768" t="s">
        <v>6213</v>
      </c>
      <c r="B2768" t="s">
        <v>6214</v>
      </c>
    </row>
    <row r="2769" spans="1:8" ht="15.75" customHeight="1">
      <c r="A2769" t="s">
        <v>6215</v>
      </c>
      <c r="B2769" t="s">
        <v>6216</v>
      </c>
    </row>
    <row r="2770" spans="1:8" ht="15.75" customHeight="1">
      <c r="A2770" t="s">
        <v>6218</v>
      </c>
      <c r="B2770" t="s">
        <v>6219</v>
      </c>
    </row>
    <row r="2771" spans="1:8" ht="15.75" customHeight="1">
      <c r="A2771" t="s">
        <v>6221</v>
      </c>
      <c r="B2771" t="s">
        <v>6222</v>
      </c>
    </row>
    <row r="2772" spans="1:8" ht="15.75" customHeight="1">
      <c r="A2772" t="s">
        <v>6223</v>
      </c>
      <c r="B2772" t="s">
        <v>6224</v>
      </c>
    </row>
    <row r="2773" spans="1:8" ht="15.75" customHeight="1">
      <c r="A2773" t="s">
        <v>6225</v>
      </c>
      <c r="B2773" t="s">
        <v>6226</v>
      </c>
    </row>
    <row r="2774" spans="1:8" ht="15.75" customHeight="1">
      <c r="A2774" t="s">
        <v>6227</v>
      </c>
      <c r="B2774" t="s">
        <v>6228</v>
      </c>
    </row>
    <row r="2775" spans="1:8" ht="15.75" customHeight="1">
      <c r="A2775" t="s">
        <v>6229</v>
      </c>
      <c r="B2775" t="s">
        <v>6230</v>
      </c>
    </row>
    <row r="2776" spans="1:8" ht="15.75" customHeight="1">
      <c r="A2776" t="s">
        <v>6232</v>
      </c>
      <c r="B2776" t="s">
        <v>6233</v>
      </c>
    </row>
    <row r="2777" spans="1:8" ht="15.75" customHeight="1">
      <c r="A2777" t="s">
        <v>6234</v>
      </c>
      <c r="B2777" t="s">
        <v>6235</v>
      </c>
    </row>
    <row r="2778" spans="1:8" ht="15.75" customHeight="1">
      <c r="A2778" t="s">
        <v>6236</v>
      </c>
      <c r="B2778" t="s">
        <v>6237</v>
      </c>
    </row>
    <row r="2779" spans="1:8" ht="15.75" customHeight="1">
      <c r="A2779" t="s">
        <v>6238</v>
      </c>
      <c r="B2779" t="s">
        <v>6239</v>
      </c>
    </row>
    <row r="2780" spans="1:8" ht="15.75" customHeight="1">
      <c r="A2780" t="s">
        <v>6242</v>
      </c>
      <c r="B2780" t="s">
        <v>6243</v>
      </c>
    </row>
    <row r="2781" spans="1:8" ht="15.75" customHeight="1">
      <c r="A2781" t="s">
        <v>6246</v>
      </c>
      <c r="B2781" t="s">
        <v>6247</v>
      </c>
      <c r="C2781" t="s">
        <v>9783</v>
      </c>
      <c r="E2781" s="12" t="s">
        <v>9784</v>
      </c>
    </row>
    <row r="2782" spans="1:8" ht="15.75" customHeight="1">
      <c r="A2782" t="s">
        <v>6249</v>
      </c>
      <c r="B2782" t="s">
        <v>6250</v>
      </c>
      <c r="C2782" t="s">
        <v>10345</v>
      </c>
      <c r="E2782" s="12" t="s">
        <v>10346</v>
      </c>
      <c r="F2782" s="12" t="s">
        <v>10347</v>
      </c>
      <c r="G2782" t="s">
        <v>10348</v>
      </c>
      <c r="H2782" t="s">
        <v>10349</v>
      </c>
    </row>
    <row r="2783" spans="1:8" ht="15.75" customHeight="1">
      <c r="A2783" t="s">
        <v>6253</v>
      </c>
      <c r="B2783" t="s">
        <v>6254</v>
      </c>
    </row>
    <row r="2784" spans="1:8" ht="15.75" customHeight="1">
      <c r="A2784" t="s">
        <v>6257</v>
      </c>
      <c r="B2784" t="s">
        <v>6258</v>
      </c>
    </row>
    <row r="2785" spans="1:8" ht="15.75" customHeight="1">
      <c r="A2785" t="s">
        <v>6261</v>
      </c>
      <c r="B2785" t="s">
        <v>6262</v>
      </c>
      <c r="C2785" t="s">
        <v>7834</v>
      </c>
      <c r="E2785" s="12" t="s">
        <v>7835</v>
      </c>
    </row>
    <row r="2786" spans="1:8" ht="15.75" customHeight="1">
      <c r="A2786" t="s">
        <v>6264</v>
      </c>
      <c r="B2786" t="s">
        <v>6265</v>
      </c>
      <c r="C2786" t="s">
        <v>7912</v>
      </c>
    </row>
    <row r="2787" spans="1:8" ht="15.75" customHeight="1">
      <c r="A2787" t="s">
        <v>6266</v>
      </c>
      <c r="B2787" t="s">
        <v>6267</v>
      </c>
    </row>
    <row r="2788" spans="1:8" ht="15.75" customHeight="1">
      <c r="A2788" t="s">
        <v>6269</v>
      </c>
      <c r="B2788" t="s">
        <v>6270</v>
      </c>
      <c r="C2788" t="s">
        <v>7474</v>
      </c>
      <c r="E2788" s="12" t="s">
        <v>7475</v>
      </c>
    </row>
    <row r="2789" spans="1:8" ht="15.75" customHeight="1">
      <c r="A2789" t="s">
        <v>6273</v>
      </c>
      <c r="B2789" t="s">
        <v>6274</v>
      </c>
    </row>
    <row r="2790" spans="1:8" ht="15.75" customHeight="1">
      <c r="A2790" t="s">
        <v>6277</v>
      </c>
      <c r="B2790" t="s">
        <v>6278</v>
      </c>
      <c r="C2790" t="s">
        <v>10350</v>
      </c>
      <c r="E2790" s="12" t="s">
        <v>10351</v>
      </c>
      <c r="F2790" s="12" t="s">
        <v>10352</v>
      </c>
      <c r="G2790" t="s">
        <v>10353</v>
      </c>
      <c r="H2790" t="s">
        <v>10354</v>
      </c>
    </row>
    <row r="2791" spans="1:8" ht="15.75" customHeight="1">
      <c r="A2791" t="s">
        <v>6277</v>
      </c>
      <c r="B2791" t="s">
        <v>6278</v>
      </c>
      <c r="C2791" t="s">
        <v>10350</v>
      </c>
      <c r="E2791" s="12" t="s">
        <v>10351</v>
      </c>
      <c r="F2791" s="12" t="s">
        <v>10355</v>
      </c>
      <c r="G2791" t="s">
        <v>10356</v>
      </c>
      <c r="H2791" t="s">
        <v>10357</v>
      </c>
    </row>
    <row r="2792" spans="1:8" ht="15.75" customHeight="1">
      <c r="A2792" t="s">
        <v>6279</v>
      </c>
      <c r="B2792" t="s">
        <v>6280</v>
      </c>
      <c r="C2792" t="s">
        <v>7545</v>
      </c>
    </row>
    <row r="2793" spans="1:8" ht="15.75" customHeight="1">
      <c r="A2793" t="s">
        <v>6283</v>
      </c>
      <c r="B2793" t="s">
        <v>6284</v>
      </c>
      <c r="C2793" t="s">
        <v>9971</v>
      </c>
      <c r="E2793" s="12" t="s">
        <v>9972</v>
      </c>
      <c r="F2793" s="12" t="s">
        <v>9973</v>
      </c>
      <c r="G2793" t="s">
        <v>9974</v>
      </c>
      <c r="H2793" t="s">
        <v>9975</v>
      </c>
    </row>
    <row r="2794" spans="1:8" ht="15.75" customHeight="1">
      <c r="A2794" t="s">
        <v>6285</v>
      </c>
      <c r="B2794" t="s">
        <v>6286</v>
      </c>
    </row>
    <row r="2795" spans="1:8" ht="15.75" customHeight="1">
      <c r="A2795" t="s">
        <v>6289</v>
      </c>
      <c r="B2795" t="s">
        <v>6290</v>
      </c>
      <c r="C2795" t="s">
        <v>10358</v>
      </c>
      <c r="E2795" s="12" t="s">
        <v>10359</v>
      </c>
      <c r="F2795" s="12" t="s">
        <v>10360</v>
      </c>
      <c r="G2795" t="s">
        <v>10361</v>
      </c>
      <c r="H2795" t="s">
        <v>10362</v>
      </c>
    </row>
    <row r="2796" spans="1:8" ht="15.75" customHeight="1">
      <c r="A2796" t="s">
        <v>6289</v>
      </c>
      <c r="B2796" t="s">
        <v>6290</v>
      </c>
      <c r="C2796" t="s">
        <v>10358</v>
      </c>
      <c r="E2796" s="12" t="s">
        <v>10359</v>
      </c>
      <c r="F2796" s="12" t="s">
        <v>10363</v>
      </c>
      <c r="G2796" t="s">
        <v>10364</v>
      </c>
      <c r="H2796" t="s">
        <v>10365</v>
      </c>
    </row>
    <row r="2797" spans="1:8" ht="15.75" customHeight="1">
      <c r="A2797" t="s">
        <v>6293</v>
      </c>
      <c r="B2797" t="s">
        <v>6294</v>
      </c>
      <c r="C2797" t="s">
        <v>10366</v>
      </c>
      <c r="E2797" s="12" t="s">
        <v>10367</v>
      </c>
      <c r="F2797" s="12" t="s">
        <v>10368</v>
      </c>
      <c r="G2797" t="s">
        <v>10369</v>
      </c>
      <c r="H2797" t="s">
        <v>10370</v>
      </c>
    </row>
    <row r="2798" spans="1:8" ht="15.75" customHeight="1">
      <c r="A2798" t="s">
        <v>6293</v>
      </c>
      <c r="B2798" t="s">
        <v>6294</v>
      </c>
      <c r="C2798" t="s">
        <v>10366</v>
      </c>
      <c r="E2798" s="12" t="s">
        <v>10367</v>
      </c>
      <c r="F2798" s="12" t="s">
        <v>10371</v>
      </c>
      <c r="G2798" t="s">
        <v>10372</v>
      </c>
      <c r="H2798" t="s">
        <v>10373</v>
      </c>
    </row>
    <row r="2799" spans="1:8" ht="15.75" customHeight="1">
      <c r="A2799" t="s">
        <v>6297</v>
      </c>
      <c r="B2799" t="s">
        <v>6298</v>
      </c>
      <c r="C2799" t="s">
        <v>8287</v>
      </c>
    </row>
    <row r="2800" spans="1:8" ht="15.75" customHeight="1">
      <c r="A2800" t="s">
        <v>6299</v>
      </c>
      <c r="B2800" t="s">
        <v>6300</v>
      </c>
    </row>
    <row r="2801" spans="1:8" ht="15.75" customHeight="1">
      <c r="A2801" t="s">
        <v>6302</v>
      </c>
      <c r="B2801" t="s">
        <v>6303</v>
      </c>
    </row>
    <row r="2802" spans="1:8" ht="15.75" customHeight="1">
      <c r="A2802" t="s">
        <v>6306</v>
      </c>
      <c r="B2802" t="s">
        <v>6307</v>
      </c>
      <c r="C2802" t="s">
        <v>10366</v>
      </c>
      <c r="E2802" s="12" t="s">
        <v>10367</v>
      </c>
      <c r="F2802" s="12" t="s">
        <v>10368</v>
      </c>
      <c r="G2802" t="s">
        <v>10369</v>
      </c>
      <c r="H2802" t="s">
        <v>10370</v>
      </c>
    </row>
    <row r="2803" spans="1:8" ht="15.75" customHeight="1">
      <c r="A2803" t="s">
        <v>6306</v>
      </c>
      <c r="B2803" t="s">
        <v>6307</v>
      </c>
      <c r="C2803" t="s">
        <v>10366</v>
      </c>
      <c r="E2803" s="12" t="s">
        <v>10367</v>
      </c>
      <c r="F2803" s="12" t="s">
        <v>10371</v>
      </c>
      <c r="G2803" t="s">
        <v>10372</v>
      </c>
      <c r="H2803" t="s">
        <v>10373</v>
      </c>
    </row>
    <row r="2804" spans="1:8" ht="15.75" customHeight="1">
      <c r="A2804" t="s">
        <v>6309</v>
      </c>
      <c r="B2804" t="s">
        <v>6310</v>
      </c>
      <c r="C2804" t="s">
        <v>7175</v>
      </c>
    </row>
    <row r="2805" spans="1:8" ht="15.75" customHeight="1">
      <c r="A2805" t="s">
        <v>6312</v>
      </c>
      <c r="B2805" t="s">
        <v>6313</v>
      </c>
      <c r="C2805" t="s">
        <v>7175</v>
      </c>
    </row>
    <row r="2806" spans="1:8" ht="15.75" customHeight="1">
      <c r="A2806" t="s">
        <v>6315</v>
      </c>
      <c r="B2806" t="s">
        <v>6316</v>
      </c>
    </row>
    <row r="2807" spans="1:8" ht="15.75" customHeight="1">
      <c r="A2807" t="s">
        <v>6319</v>
      </c>
      <c r="B2807" t="s">
        <v>6320</v>
      </c>
      <c r="C2807" t="s">
        <v>10374</v>
      </c>
      <c r="E2807" s="12" t="s">
        <v>10375</v>
      </c>
      <c r="F2807" s="12" t="s">
        <v>10376</v>
      </c>
      <c r="G2807" t="s">
        <v>10377</v>
      </c>
      <c r="H2807" t="s">
        <v>10378</v>
      </c>
    </row>
    <row r="2808" spans="1:8" ht="15.75" customHeight="1">
      <c r="A2808" t="s">
        <v>6319</v>
      </c>
      <c r="B2808" t="s">
        <v>6320</v>
      </c>
      <c r="C2808" t="s">
        <v>10374</v>
      </c>
      <c r="E2808" s="12" t="s">
        <v>10375</v>
      </c>
      <c r="F2808" s="12" t="s">
        <v>10379</v>
      </c>
      <c r="G2808" t="s">
        <v>10380</v>
      </c>
      <c r="H2808" t="s">
        <v>10381</v>
      </c>
    </row>
    <row r="2809" spans="1:8" ht="15.75" customHeight="1">
      <c r="A2809" t="s">
        <v>6323</v>
      </c>
      <c r="B2809" t="s">
        <v>6324</v>
      </c>
    </row>
    <row r="2810" spans="1:8" ht="15.75" customHeight="1">
      <c r="A2810" t="s">
        <v>6326</v>
      </c>
      <c r="B2810" t="s">
        <v>6327</v>
      </c>
      <c r="C2810" t="s">
        <v>7452</v>
      </c>
      <c r="E2810" s="12" t="s">
        <v>7453</v>
      </c>
      <c r="F2810" s="12" t="s">
        <v>7454</v>
      </c>
      <c r="G2810" t="s">
        <v>7455</v>
      </c>
      <c r="H2810" t="s">
        <v>7456</v>
      </c>
    </row>
    <row r="2811" spans="1:8" ht="15.75" customHeight="1">
      <c r="A2811" t="s">
        <v>6326</v>
      </c>
      <c r="B2811" t="s">
        <v>6327</v>
      </c>
      <c r="C2811" t="s">
        <v>7452</v>
      </c>
      <c r="E2811" s="12" t="s">
        <v>7453</v>
      </c>
      <c r="F2811" s="12" t="s">
        <v>7457</v>
      </c>
      <c r="G2811" t="s">
        <v>7458</v>
      </c>
      <c r="H2811" t="s">
        <v>7459</v>
      </c>
    </row>
    <row r="2812" spans="1:8" ht="15.75" customHeight="1">
      <c r="A2812" t="s">
        <v>6328</v>
      </c>
      <c r="B2812" t="s">
        <v>6329</v>
      </c>
    </row>
    <row r="2813" spans="1:8" ht="15.75" customHeight="1">
      <c r="A2813" t="s">
        <v>6332</v>
      </c>
      <c r="B2813" t="s">
        <v>6333</v>
      </c>
      <c r="C2813" t="s">
        <v>7894</v>
      </c>
      <c r="E2813" s="12" t="s">
        <v>7895</v>
      </c>
      <c r="F2813" s="12" t="s">
        <v>7896</v>
      </c>
      <c r="G2813" t="s">
        <v>7897</v>
      </c>
      <c r="H2813" t="s">
        <v>7898</v>
      </c>
    </row>
    <row r="2814" spans="1:8" ht="15.75" customHeight="1">
      <c r="A2814" t="s">
        <v>6332</v>
      </c>
      <c r="B2814" t="s">
        <v>6333</v>
      </c>
      <c r="C2814" t="s">
        <v>7894</v>
      </c>
      <c r="E2814" s="12" t="s">
        <v>7895</v>
      </c>
      <c r="F2814" s="12" t="s">
        <v>7899</v>
      </c>
      <c r="G2814" t="s">
        <v>7900</v>
      </c>
      <c r="H2814" t="s">
        <v>7901</v>
      </c>
    </row>
    <row r="2815" spans="1:8" ht="15.75" customHeight="1">
      <c r="A2815" t="s">
        <v>6332</v>
      </c>
      <c r="B2815" t="s">
        <v>6333</v>
      </c>
      <c r="C2815" t="s">
        <v>7894</v>
      </c>
      <c r="E2815" s="12" t="s">
        <v>7895</v>
      </c>
      <c r="F2815" s="12" t="s">
        <v>7902</v>
      </c>
      <c r="G2815" t="s">
        <v>7903</v>
      </c>
      <c r="H2815" t="s">
        <v>7904</v>
      </c>
    </row>
    <row r="2816" spans="1:8" ht="15.75" customHeight="1">
      <c r="A2816" t="s">
        <v>6332</v>
      </c>
      <c r="B2816" t="s">
        <v>6333</v>
      </c>
      <c r="C2816" t="s">
        <v>7894</v>
      </c>
      <c r="E2816" s="12" t="s">
        <v>7895</v>
      </c>
      <c r="F2816" s="12" t="s">
        <v>7905</v>
      </c>
      <c r="G2816" t="s">
        <v>7906</v>
      </c>
      <c r="H2816" t="s">
        <v>7907</v>
      </c>
    </row>
    <row r="2817" spans="1:8" ht="15.75" customHeight="1">
      <c r="A2817" t="s">
        <v>6332</v>
      </c>
      <c r="B2817" t="s">
        <v>6333</v>
      </c>
      <c r="C2817" t="s">
        <v>7894</v>
      </c>
      <c r="E2817" s="12" t="s">
        <v>7895</v>
      </c>
      <c r="F2817" s="12" t="s">
        <v>7908</v>
      </c>
      <c r="G2817" t="s">
        <v>7909</v>
      </c>
      <c r="H2817" t="s">
        <v>7910</v>
      </c>
    </row>
    <row r="2818" spans="1:8" ht="15.75" customHeight="1">
      <c r="A2818" t="s">
        <v>6336</v>
      </c>
      <c r="B2818" t="s">
        <v>6337</v>
      </c>
      <c r="C2818" t="s">
        <v>10382</v>
      </c>
      <c r="E2818" s="12" t="s">
        <v>10383</v>
      </c>
      <c r="F2818" s="12" t="s">
        <v>10384</v>
      </c>
      <c r="G2818" t="s">
        <v>10385</v>
      </c>
      <c r="H2818" t="s">
        <v>10386</v>
      </c>
    </row>
    <row r="2819" spans="1:8" ht="15.75" customHeight="1">
      <c r="A2819" t="s">
        <v>6336</v>
      </c>
      <c r="B2819" t="s">
        <v>6337</v>
      </c>
      <c r="C2819" t="s">
        <v>8684</v>
      </c>
    </row>
    <row r="2820" spans="1:8" ht="15.75" customHeight="1">
      <c r="A2820" t="s">
        <v>6340</v>
      </c>
      <c r="B2820" t="s">
        <v>6341</v>
      </c>
    </row>
    <row r="2821" spans="1:8" ht="15.75" customHeight="1">
      <c r="A2821" t="s">
        <v>6343</v>
      </c>
      <c r="B2821" t="s">
        <v>6344</v>
      </c>
    </row>
    <row r="2822" spans="1:8" ht="15.75" customHeight="1">
      <c r="A2822" t="s">
        <v>6346</v>
      </c>
      <c r="B2822" t="s">
        <v>6347</v>
      </c>
    </row>
    <row r="2823" spans="1:8" ht="15.75" customHeight="1">
      <c r="A2823" t="s">
        <v>6349</v>
      </c>
      <c r="B2823" t="s">
        <v>6350</v>
      </c>
    </row>
    <row r="2824" spans="1:8" ht="15.75" customHeight="1">
      <c r="A2824" t="s">
        <v>6351</v>
      </c>
      <c r="B2824" t="s">
        <v>6352</v>
      </c>
    </row>
    <row r="2825" spans="1:8" ht="15.75" customHeight="1">
      <c r="A2825" t="s">
        <v>6354</v>
      </c>
      <c r="B2825" t="s">
        <v>6355</v>
      </c>
      <c r="C2825" t="s">
        <v>7466</v>
      </c>
      <c r="E2825" s="12" t="s">
        <v>7467</v>
      </c>
      <c r="F2825" s="12" t="s">
        <v>7468</v>
      </c>
      <c r="G2825" t="s">
        <v>7469</v>
      </c>
      <c r="H2825" t="s">
        <v>7470</v>
      </c>
    </row>
    <row r="2826" spans="1:8" ht="15.75" customHeight="1">
      <c r="A2826" t="s">
        <v>6356</v>
      </c>
      <c r="B2826" t="s">
        <v>6357</v>
      </c>
    </row>
    <row r="2827" spans="1:8" ht="15.75" customHeight="1">
      <c r="A2827" t="s">
        <v>6359</v>
      </c>
      <c r="B2827" t="s">
        <v>6360</v>
      </c>
    </row>
    <row r="2828" spans="1:8" ht="15.75" customHeight="1">
      <c r="A2828" t="s">
        <v>6363</v>
      </c>
      <c r="B2828" t="s">
        <v>6364</v>
      </c>
      <c r="C2828" t="s">
        <v>10387</v>
      </c>
      <c r="E2828" s="12" t="s">
        <v>10388</v>
      </c>
    </row>
    <row r="2829" spans="1:8" ht="15.75" customHeight="1">
      <c r="A2829" t="s">
        <v>6366</v>
      </c>
      <c r="B2829" t="s">
        <v>6367</v>
      </c>
    </row>
    <row r="2830" spans="1:8" ht="15.75" customHeight="1">
      <c r="A2830" t="s">
        <v>6370</v>
      </c>
      <c r="B2830" t="s">
        <v>6371</v>
      </c>
      <c r="C2830" t="s">
        <v>10389</v>
      </c>
      <c r="E2830" s="12" t="s">
        <v>10390</v>
      </c>
      <c r="F2830" s="12" t="s">
        <v>10391</v>
      </c>
      <c r="G2830" t="s">
        <v>10392</v>
      </c>
      <c r="H2830" t="s">
        <v>10393</v>
      </c>
    </row>
    <row r="2831" spans="1:8" ht="15.75" customHeight="1">
      <c r="A2831" t="s">
        <v>6374</v>
      </c>
      <c r="B2831" t="s">
        <v>6375</v>
      </c>
    </row>
    <row r="2832" spans="1:8" ht="15.75" customHeight="1">
      <c r="A2832" t="s">
        <v>6378</v>
      </c>
      <c r="B2832" t="s">
        <v>6379</v>
      </c>
      <c r="C2832" t="s">
        <v>10394</v>
      </c>
      <c r="E2832" s="12" t="s">
        <v>10395</v>
      </c>
      <c r="F2832" s="12" t="s">
        <v>10396</v>
      </c>
      <c r="G2832" t="s">
        <v>10397</v>
      </c>
      <c r="H2832" t="s">
        <v>10398</v>
      </c>
    </row>
    <row r="2833" spans="1:3" ht="15.75" customHeight="1">
      <c r="A2833" t="s">
        <v>6382</v>
      </c>
      <c r="B2833" t="s">
        <v>6383</v>
      </c>
      <c r="C2833" t="s">
        <v>10399</v>
      </c>
    </row>
    <row r="2834" spans="1:3" ht="15.75" customHeight="1">
      <c r="A2834" t="s">
        <v>6385</v>
      </c>
      <c r="B2834" t="s">
        <v>6386</v>
      </c>
      <c r="C2834" t="s">
        <v>9271</v>
      </c>
    </row>
    <row r="2835" spans="1:3" ht="15.75" customHeight="1">
      <c r="A2835" t="s">
        <v>6388</v>
      </c>
      <c r="B2835" t="s">
        <v>6389</v>
      </c>
    </row>
    <row r="2836" spans="1:3" ht="15.75" customHeight="1">
      <c r="A2836" t="s">
        <v>6392</v>
      </c>
      <c r="B2836" t="s">
        <v>6393</v>
      </c>
    </row>
    <row r="2837" spans="1:3" ht="15.75" customHeight="1">
      <c r="A2837" t="s">
        <v>6396</v>
      </c>
      <c r="B2837" t="s">
        <v>6397</v>
      </c>
    </row>
    <row r="2838" spans="1:3" ht="15.75" customHeight="1">
      <c r="A2838" t="s">
        <v>6400</v>
      </c>
      <c r="B2838" t="s">
        <v>6401</v>
      </c>
      <c r="C2838" t="s">
        <v>7175</v>
      </c>
    </row>
    <row r="2839" spans="1:3" ht="15.75" customHeight="1">
      <c r="A2839" t="s">
        <v>6404</v>
      </c>
      <c r="B2839" t="s">
        <v>6405</v>
      </c>
    </row>
    <row r="2840" spans="1:3" ht="15.75" customHeight="1">
      <c r="A2840" t="s">
        <v>6407</v>
      </c>
      <c r="B2840" t="s">
        <v>6408</v>
      </c>
    </row>
    <row r="2841" spans="1:3" ht="15.75" customHeight="1">
      <c r="A2841" t="s">
        <v>6411</v>
      </c>
      <c r="B2841" t="s">
        <v>6412</v>
      </c>
      <c r="C2841" t="s">
        <v>8536</v>
      </c>
    </row>
    <row r="2842" spans="1:3" ht="15.75" customHeight="1">
      <c r="A2842" t="s">
        <v>6415</v>
      </c>
      <c r="B2842" t="s">
        <v>6416</v>
      </c>
      <c r="C2842" t="s">
        <v>7175</v>
      </c>
    </row>
    <row r="2843" spans="1:3" ht="15.75" customHeight="1">
      <c r="A2843" t="s">
        <v>6415</v>
      </c>
      <c r="B2843" t="s">
        <v>6416</v>
      </c>
      <c r="C2843" t="s">
        <v>8285</v>
      </c>
    </row>
    <row r="2844" spans="1:3" ht="15.75" customHeight="1">
      <c r="A2844" t="s">
        <v>6419</v>
      </c>
      <c r="B2844" t="s">
        <v>6420</v>
      </c>
    </row>
    <row r="2845" spans="1:3" ht="15.75" customHeight="1">
      <c r="A2845" t="s">
        <v>6422</v>
      </c>
      <c r="B2845" t="s">
        <v>6423</v>
      </c>
    </row>
    <row r="2846" spans="1:3" ht="15.75" customHeight="1">
      <c r="A2846" t="s">
        <v>6426</v>
      </c>
      <c r="B2846" t="s">
        <v>6427</v>
      </c>
    </row>
    <row r="2847" spans="1:3" ht="15.75" customHeight="1">
      <c r="A2847" t="s">
        <v>6429</v>
      </c>
      <c r="B2847" t="s">
        <v>6430</v>
      </c>
    </row>
    <row r="2848" spans="1:3" ht="15.75" customHeight="1">
      <c r="A2848" t="s">
        <v>6433</v>
      </c>
      <c r="B2848" t="s">
        <v>6434</v>
      </c>
      <c r="C2848" t="s">
        <v>10400</v>
      </c>
    </row>
    <row r="2849" spans="1:3" ht="15.75" customHeight="1">
      <c r="A2849" t="s">
        <v>6437</v>
      </c>
      <c r="B2849" t="s">
        <v>6438</v>
      </c>
      <c r="C2849" t="s">
        <v>10401</v>
      </c>
    </row>
    <row r="2850" spans="1:3" ht="15.75" customHeight="1">
      <c r="A2850" t="s">
        <v>6441</v>
      </c>
      <c r="B2850" t="s">
        <v>6442</v>
      </c>
      <c r="C2850" t="s">
        <v>8574</v>
      </c>
    </row>
    <row r="2851" spans="1:3" ht="15.75" customHeight="1">
      <c r="A2851" t="s">
        <v>6444</v>
      </c>
      <c r="B2851" t="s">
        <v>6445</v>
      </c>
    </row>
    <row r="2852" spans="1:3" ht="15.75" customHeight="1">
      <c r="A2852" t="s">
        <v>6447</v>
      </c>
      <c r="B2852" t="s">
        <v>6448</v>
      </c>
    </row>
    <row r="2853" spans="1:3" ht="15.75" customHeight="1">
      <c r="A2853" t="s">
        <v>6450</v>
      </c>
      <c r="B2853" t="s">
        <v>6451</v>
      </c>
    </row>
    <row r="2854" spans="1:3" ht="15.75" customHeight="1">
      <c r="A2854" t="s">
        <v>6454</v>
      </c>
      <c r="B2854" t="s">
        <v>6455</v>
      </c>
      <c r="C2854" t="s">
        <v>9761</v>
      </c>
    </row>
    <row r="2855" spans="1:3" ht="15.75" customHeight="1">
      <c r="A2855" t="s">
        <v>6457</v>
      </c>
      <c r="B2855" t="s">
        <v>6458</v>
      </c>
    </row>
    <row r="2856" spans="1:3" ht="15.75" customHeight="1">
      <c r="A2856" t="s">
        <v>6460</v>
      </c>
      <c r="B2856" t="s">
        <v>6461</v>
      </c>
    </row>
    <row r="2857" spans="1:3" ht="15.75" customHeight="1">
      <c r="A2857" t="s">
        <v>6464</v>
      </c>
      <c r="B2857" t="s">
        <v>6465</v>
      </c>
      <c r="C2857" t="s">
        <v>10402</v>
      </c>
    </row>
    <row r="2858" spans="1:3" ht="15.75" customHeight="1">
      <c r="A2858" t="s">
        <v>6468</v>
      </c>
      <c r="B2858" t="s">
        <v>6469</v>
      </c>
      <c r="C2858" t="s">
        <v>7608</v>
      </c>
    </row>
    <row r="2859" spans="1:3" ht="15.75" customHeight="1">
      <c r="A2859" t="s">
        <v>6471</v>
      </c>
      <c r="B2859" t="s">
        <v>6472</v>
      </c>
    </row>
    <row r="2860" spans="1:3" ht="15.75" customHeight="1">
      <c r="A2860" t="s">
        <v>6473</v>
      </c>
      <c r="B2860" t="s">
        <v>6474</v>
      </c>
    </row>
    <row r="2861" spans="1:3" ht="15.75" customHeight="1">
      <c r="A2861" t="s">
        <v>6477</v>
      </c>
      <c r="B2861" t="s">
        <v>6478</v>
      </c>
      <c r="C2861" t="s">
        <v>10403</v>
      </c>
    </row>
    <row r="2862" spans="1:3" ht="15.75" customHeight="1">
      <c r="A2862" t="s">
        <v>6480</v>
      </c>
      <c r="B2862" t="s">
        <v>6481</v>
      </c>
      <c r="C2862" t="s">
        <v>7175</v>
      </c>
    </row>
    <row r="2863" spans="1:3" ht="15.75" customHeight="1">
      <c r="A2863" t="s">
        <v>6483</v>
      </c>
      <c r="B2863" t="s">
        <v>6484</v>
      </c>
    </row>
    <row r="2864" spans="1:3" ht="15.75" customHeight="1">
      <c r="A2864" t="s">
        <v>6486</v>
      </c>
      <c r="B2864" t="s">
        <v>6487</v>
      </c>
    </row>
    <row r="2865" spans="1:3" ht="15.75" customHeight="1">
      <c r="A2865" t="s">
        <v>6489</v>
      </c>
      <c r="B2865" t="s">
        <v>6490</v>
      </c>
      <c r="C2865" t="s">
        <v>9228</v>
      </c>
    </row>
    <row r="2866" spans="1:3" ht="15.75" customHeight="1">
      <c r="A2866" t="s">
        <v>6489</v>
      </c>
      <c r="B2866" t="s">
        <v>6490</v>
      </c>
      <c r="C2866" t="s">
        <v>10404</v>
      </c>
    </row>
    <row r="2867" spans="1:3" ht="15.75" customHeight="1">
      <c r="A2867" t="s">
        <v>6493</v>
      </c>
      <c r="B2867" t="s">
        <v>6494</v>
      </c>
      <c r="C2867" t="s">
        <v>10405</v>
      </c>
    </row>
    <row r="2868" spans="1:3" ht="15.75" customHeight="1">
      <c r="A2868" t="s">
        <v>6497</v>
      </c>
      <c r="B2868" t="s">
        <v>6498</v>
      </c>
      <c r="C2868" t="s">
        <v>10406</v>
      </c>
    </row>
    <row r="2869" spans="1:3" ht="15.75" customHeight="1">
      <c r="A2869" t="s">
        <v>6501</v>
      </c>
      <c r="B2869" t="s">
        <v>6502</v>
      </c>
    </row>
    <row r="2870" spans="1:3" ht="15.75" customHeight="1">
      <c r="A2870" t="s">
        <v>6505</v>
      </c>
      <c r="B2870" t="s">
        <v>6506</v>
      </c>
      <c r="C2870" t="s">
        <v>10407</v>
      </c>
    </row>
    <row r="2871" spans="1:3" ht="15.75" customHeight="1">
      <c r="A2871" t="s">
        <v>6508</v>
      </c>
      <c r="B2871" t="s">
        <v>6509</v>
      </c>
    </row>
    <row r="2872" spans="1:3" ht="15.75" customHeight="1">
      <c r="A2872" t="s">
        <v>6512</v>
      </c>
      <c r="B2872" t="s">
        <v>6513</v>
      </c>
      <c r="C2872" t="s">
        <v>7175</v>
      </c>
    </row>
    <row r="2873" spans="1:3" ht="15.75" customHeight="1">
      <c r="A2873" t="s">
        <v>6516</v>
      </c>
      <c r="B2873" t="s">
        <v>6517</v>
      </c>
    </row>
    <row r="2874" spans="1:3" ht="15.75" customHeight="1">
      <c r="A2874" t="s">
        <v>6519</v>
      </c>
      <c r="B2874" t="s">
        <v>6520</v>
      </c>
      <c r="C2874" t="s">
        <v>10405</v>
      </c>
    </row>
    <row r="2875" spans="1:3" ht="15.75" customHeight="1">
      <c r="A2875" t="s">
        <v>6522</v>
      </c>
      <c r="B2875" t="s">
        <v>6523</v>
      </c>
      <c r="C2875" t="s">
        <v>10406</v>
      </c>
    </row>
    <row r="2876" spans="1:3" ht="15.75" customHeight="1">
      <c r="A2876" t="s">
        <v>6526</v>
      </c>
      <c r="B2876" t="s">
        <v>6527</v>
      </c>
      <c r="C2876" t="s">
        <v>10407</v>
      </c>
    </row>
    <row r="2877" spans="1:3" ht="15.75" customHeight="1">
      <c r="A2877" t="s">
        <v>6530</v>
      </c>
      <c r="B2877" t="s">
        <v>6531</v>
      </c>
      <c r="C2877" t="s">
        <v>10408</v>
      </c>
    </row>
    <row r="2878" spans="1:3" ht="15.75" customHeight="1">
      <c r="A2878" t="s">
        <v>6533</v>
      </c>
      <c r="B2878" t="s">
        <v>6534</v>
      </c>
    </row>
    <row r="2879" spans="1:3" ht="15.75" customHeight="1">
      <c r="A2879" t="s">
        <v>6536</v>
      </c>
      <c r="B2879" t="s">
        <v>6537</v>
      </c>
    </row>
    <row r="2880" spans="1:3" ht="15.75" customHeight="1">
      <c r="A2880" t="s">
        <v>6539</v>
      </c>
      <c r="B2880" t="s">
        <v>6540</v>
      </c>
    </row>
    <row r="2881" spans="1:3" ht="15.75" customHeight="1">
      <c r="A2881" t="s">
        <v>6542</v>
      </c>
      <c r="B2881" t="s">
        <v>6543</v>
      </c>
    </row>
    <row r="2882" spans="1:3" ht="15.75" customHeight="1">
      <c r="A2882" t="s">
        <v>6545</v>
      </c>
      <c r="B2882" t="s">
        <v>6546</v>
      </c>
    </row>
    <row r="2883" spans="1:3" ht="15.75" customHeight="1">
      <c r="A2883" t="s">
        <v>6549</v>
      </c>
      <c r="B2883" t="s">
        <v>6550</v>
      </c>
    </row>
    <row r="2884" spans="1:3" ht="15.75" customHeight="1">
      <c r="A2884" t="s">
        <v>6552</v>
      </c>
      <c r="B2884" t="s">
        <v>6553</v>
      </c>
      <c r="C2884" t="s">
        <v>10409</v>
      </c>
    </row>
    <row r="2885" spans="1:3" ht="15.75" customHeight="1">
      <c r="A2885" t="s">
        <v>6554</v>
      </c>
      <c r="B2885" t="s">
        <v>6555</v>
      </c>
    </row>
    <row r="2886" spans="1:3" ht="15.75" customHeight="1">
      <c r="A2886" t="s">
        <v>6556</v>
      </c>
      <c r="B2886" t="s">
        <v>6557</v>
      </c>
    </row>
    <row r="2887" spans="1:3" ht="15.75" customHeight="1">
      <c r="A2887" t="s">
        <v>6558</v>
      </c>
      <c r="B2887" t="s">
        <v>6559</v>
      </c>
    </row>
    <row r="2888" spans="1:3" ht="15.75" customHeight="1">
      <c r="A2888" t="s">
        <v>6560</v>
      </c>
      <c r="B2888" t="s">
        <v>6561</v>
      </c>
    </row>
    <row r="2889" spans="1:3" ht="15.75" customHeight="1">
      <c r="A2889" t="s">
        <v>6564</v>
      </c>
      <c r="B2889" t="s">
        <v>6565</v>
      </c>
      <c r="C2889" t="s">
        <v>10410</v>
      </c>
    </row>
    <row r="2890" spans="1:3" ht="15.75" customHeight="1">
      <c r="A2890" t="s">
        <v>6568</v>
      </c>
      <c r="B2890" t="s">
        <v>6569</v>
      </c>
      <c r="C2890" t="s">
        <v>10411</v>
      </c>
    </row>
    <row r="2891" spans="1:3" ht="15.75" customHeight="1">
      <c r="A2891" t="s">
        <v>6572</v>
      </c>
      <c r="B2891" t="s">
        <v>6573</v>
      </c>
    </row>
    <row r="2892" spans="1:3" ht="15.75" customHeight="1">
      <c r="A2892" t="s">
        <v>6576</v>
      </c>
      <c r="B2892" t="s">
        <v>6577</v>
      </c>
      <c r="C2892" t="s">
        <v>10412</v>
      </c>
    </row>
    <row r="2893" spans="1:3" ht="15.75" customHeight="1">
      <c r="A2893" t="s">
        <v>6580</v>
      </c>
      <c r="B2893" t="s">
        <v>6581</v>
      </c>
      <c r="C2893" t="s">
        <v>10413</v>
      </c>
    </row>
    <row r="2894" spans="1:3" ht="15.75" customHeight="1">
      <c r="A2894" t="s">
        <v>6583</v>
      </c>
      <c r="B2894" t="s">
        <v>6584</v>
      </c>
    </row>
    <row r="2895" spans="1:3" ht="15.75" customHeight="1">
      <c r="A2895" t="s">
        <v>6585</v>
      </c>
      <c r="B2895" t="s">
        <v>6586</v>
      </c>
    </row>
    <row r="2896" spans="1:3" ht="15.75" customHeight="1">
      <c r="A2896" t="s">
        <v>6588</v>
      </c>
      <c r="B2896" t="s">
        <v>6589</v>
      </c>
    </row>
    <row r="2897" spans="1:3" ht="15.75" customHeight="1">
      <c r="A2897" t="s">
        <v>6590</v>
      </c>
      <c r="B2897" t="s">
        <v>6591</v>
      </c>
    </row>
    <row r="2898" spans="1:3" ht="15.75" customHeight="1">
      <c r="A2898" t="s">
        <v>6594</v>
      </c>
      <c r="B2898" t="s">
        <v>6595</v>
      </c>
    </row>
    <row r="2899" spans="1:3" ht="15.75" customHeight="1">
      <c r="A2899" t="s">
        <v>6597</v>
      </c>
      <c r="B2899" t="s">
        <v>6598</v>
      </c>
      <c r="C2899" t="s">
        <v>7736</v>
      </c>
    </row>
    <row r="2900" spans="1:3" ht="15.75" customHeight="1">
      <c r="A2900" t="s">
        <v>6599</v>
      </c>
      <c r="B2900" t="s">
        <v>6600</v>
      </c>
    </row>
    <row r="2901" spans="1:3" ht="15.75" customHeight="1">
      <c r="A2901" t="s">
        <v>6603</v>
      </c>
      <c r="B2901" t="s">
        <v>6604</v>
      </c>
    </row>
    <row r="2902" spans="1:3" ht="15.75" customHeight="1">
      <c r="A2902" t="s">
        <v>6606</v>
      </c>
      <c r="B2902" t="s">
        <v>6607</v>
      </c>
    </row>
    <row r="2903" spans="1:3" ht="15.75" customHeight="1">
      <c r="A2903" t="s">
        <v>6609</v>
      </c>
      <c r="B2903" t="s">
        <v>6610</v>
      </c>
    </row>
    <row r="2904" spans="1:3" ht="15.75" customHeight="1">
      <c r="A2904" t="s">
        <v>6612</v>
      </c>
      <c r="B2904" t="s">
        <v>6613</v>
      </c>
      <c r="C2904" t="s">
        <v>8287</v>
      </c>
    </row>
    <row r="2905" spans="1:3" ht="15.75" customHeight="1">
      <c r="A2905" t="s">
        <v>6615</v>
      </c>
      <c r="B2905" t="s">
        <v>6616</v>
      </c>
      <c r="C2905" t="s">
        <v>10414</v>
      </c>
    </row>
    <row r="2906" spans="1:3" ht="15.75" customHeight="1">
      <c r="A2906" t="s">
        <v>6618</v>
      </c>
      <c r="B2906" t="s">
        <v>6619</v>
      </c>
    </row>
    <row r="2907" spans="1:3" ht="15.75" customHeight="1">
      <c r="A2907" t="s">
        <v>6622</v>
      </c>
      <c r="B2907" t="s">
        <v>6623</v>
      </c>
    </row>
    <row r="2908" spans="1:3" ht="15.75" customHeight="1">
      <c r="A2908" t="s">
        <v>6626</v>
      </c>
      <c r="B2908" t="s">
        <v>6627</v>
      </c>
      <c r="C2908" t="s">
        <v>10415</v>
      </c>
    </row>
    <row r="2909" spans="1:3" ht="15.75" customHeight="1">
      <c r="A2909" t="s">
        <v>6629</v>
      </c>
      <c r="B2909" t="s">
        <v>6630</v>
      </c>
    </row>
    <row r="2910" spans="1:3" ht="15.75" customHeight="1">
      <c r="A2910" t="s">
        <v>6633</v>
      </c>
      <c r="B2910" t="s">
        <v>6634</v>
      </c>
      <c r="C2910" t="s">
        <v>10416</v>
      </c>
    </row>
    <row r="2911" spans="1:3" ht="15.75" customHeight="1">
      <c r="A2911" t="s">
        <v>6636</v>
      </c>
      <c r="B2911" t="s">
        <v>6637</v>
      </c>
      <c r="C2911" t="s">
        <v>10417</v>
      </c>
    </row>
    <row r="2912" spans="1:3" ht="15.75" customHeight="1">
      <c r="A2912" t="s">
        <v>6639</v>
      </c>
      <c r="B2912" t="s">
        <v>6640</v>
      </c>
      <c r="C2912" t="s">
        <v>7934</v>
      </c>
    </row>
    <row r="2913" spans="1:3" ht="15.75" customHeight="1">
      <c r="A2913" t="s">
        <v>6641</v>
      </c>
      <c r="B2913" t="s">
        <v>6642</v>
      </c>
    </row>
    <row r="2914" spans="1:3" ht="15.75" customHeight="1">
      <c r="A2914" t="s">
        <v>6644</v>
      </c>
      <c r="B2914" t="s">
        <v>6645</v>
      </c>
    </row>
    <row r="2915" spans="1:3" ht="15.75" customHeight="1">
      <c r="A2915" t="s">
        <v>6648</v>
      </c>
      <c r="B2915" t="s">
        <v>6649</v>
      </c>
      <c r="C2915" t="s">
        <v>10418</v>
      </c>
    </row>
    <row r="2916" spans="1:3" ht="15.75" customHeight="1">
      <c r="A2916" t="s">
        <v>6652</v>
      </c>
      <c r="B2916" t="s">
        <v>6653</v>
      </c>
      <c r="C2916" t="s">
        <v>9910</v>
      </c>
    </row>
    <row r="2917" spans="1:3" ht="15.75" customHeight="1">
      <c r="A2917" t="s">
        <v>6655</v>
      </c>
      <c r="B2917" t="s">
        <v>6656</v>
      </c>
    </row>
    <row r="2918" spans="1:3" ht="15.75" customHeight="1">
      <c r="A2918" t="s">
        <v>6658</v>
      </c>
      <c r="B2918" t="s">
        <v>6659</v>
      </c>
      <c r="C2918" t="s">
        <v>7474</v>
      </c>
    </row>
    <row r="2919" spans="1:3" ht="15.75" customHeight="1">
      <c r="A2919" t="s">
        <v>6660</v>
      </c>
      <c r="B2919" t="s">
        <v>6661</v>
      </c>
    </row>
    <row r="2920" spans="1:3" ht="15.75" customHeight="1">
      <c r="A2920" t="s">
        <v>6664</v>
      </c>
      <c r="B2920" t="s">
        <v>6665</v>
      </c>
      <c r="C2920" t="s">
        <v>10419</v>
      </c>
    </row>
    <row r="2921" spans="1:3" ht="15.75" customHeight="1">
      <c r="A2921" t="s">
        <v>6666</v>
      </c>
      <c r="B2921" t="s">
        <v>6667</v>
      </c>
    </row>
    <row r="2922" spans="1:3" ht="15.75" customHeight="1">
      <c r="A2922" t="s">
        <v>6670</v>
      </c>
      <c r="B2922" t="s">
        <v>6671</v>
      </c>
      <c r="C2922" t="s">
        <v>10065</v>
      </c>
    </row>
    <row r="2923" spans="1:3" ht="15.75" customHeight="1">
      <c r="A2923" t="s">
        <v>6673</v>
      </c>
      <c r="B2923" t="s">
        <v>6674</v>
      </c>
    </row>
    <row r="2924" spans="1:3" ht="15.75" customHeight="1">
      <c r="A2924" t="s">
        <v>6677</v>
      </c>
      <c r="B2924" t="s">
        <v>6678</v>
      </c>
    </row>
    <row r="2925" spans="1:3" ht="15.75" customHeight="1">
      <c r="A2925" t="s">
        <v>6679</v>
      </c>
      <c r="B2925" t="s">
        <v>6680</v>
      </c>
    </row>
    <row r="2926" spans="1:3" ht="15.75" customHeight="1">
      <c r="A2926" t="s">
        <v>6681</v>
      </c>
      <c r="B2926" t="s">
        <v>6682</v>
      </c>
    </row>
    <row r="2927" spans="1:3" ht="15.75" customHeight="1">
      <c r="A2927" t="s">
        <v>6684</v>
      </c>
      <c r="B2927" t="s">
        <v>6685</v>
      </c>
    </row>
    <row r="2928" spans="1:3" ht="15.75" customHeight="1">
      <c r="A2928" t="s">
        <v>6687</v>
      </c>
      <c r="B2928" t="s">
        <v>6688</v>
      </c>
    </row>
    <row r="2929" spans="1:3" ht="15.75" customHeight="1">
      <c r="A2929" t="s">
        <v>6689</v>
      </c>
      <c r="B2929" t="s">
        <v>6690</v>
      </c>
    </row>
    <row r="2930" spans="1:3" ht="15.75" customHeight="1">
      <c r="A2930" t="s">
        <v>6691</v>
      </c>
      <c r="B2930" t="s">
        <v>6692</v>
      </c>
    </row>
    <row r="2931" spans="1:3" ht="15.75" customHeight="1">
      <c r="A2931" t="s">
        <v>6693</v>
      </c>
      <c r="B2931" t="s">
        <v>6694</v>
      </c>
    </row>
    <row r="2932" spans="1:3" ht="15.75" customHeight="1">
      <c r="A2932" t="s">
        <v>6697</v>
      </c>
      <c r="B2932" t="s">
        <v>6698</v>
      </c>
      <c r="C2932" t="s">
        <v>8067</v>
      </c>
    </row>
    <row r="2933" spans="1:3" ht="15.75" customHeight="1">
      <c r="A2933" t="s">
        <v>6701</v>
      </c>
      <c r="B2933" t="s">
        <v>6702</v>
      </c>
    </row>
    <row r="2934" spans="1:3" ht="15.75" customHeight="1">
      <c r="A2934" t="s">
        <v>6704</v>
      </c>
      <c r="B2934" t="s">
        <v>6705</v>
      </c>
      <c r="C2934" t="s">
        <v>7176</v>
      </c>
    </row>
    <row r="2935" spans="1:3" ht="15.75" customHeight="1">
      <c r="A2935" t="s">
        <v>6706</v>
      </c>
      <c r="B2935" t="s">
        <v>6707</v>
      </c>
    </row>
    <row r="2936" spans="1:3" ht="15.75" customHeight="1">
      <c r="A2936" t="s">
        <v>6710</v>
      </c>
      <c r="B2936" t="s">
        <v>6711</v>
      </c>
      <c r="C2936" t="s">
        <v>10420</v>
      </c>
    </row>
    <row r="2937" spans="1:3" ht="15.75" customHeight="1">
      <c r="A2937" t="s">
        <v>6712</v>
      </c>
      <c r="B2937" t="s">
        <v>6713</v>
      </c>
    </row>
    <row r="2938" spans="1:3" ht="15.75" customHeight="1">
      <c r="A2938" t="s">
        <v>6714</v>
      </c>
      <c r="B2938" t="s">
        <v>6715</v>
      </c>
    </row>
    <row r="2939" spans="1:3" ht="15.75" customHeight="1">
      <c r="A2939" t="s">
        <v>6716</v>
      </c>
      <c r="B2939" t="s">
        <v>6717</v>
      </c>
    </row>
    <row r="2940" spans="1:3" ht="15.75" customHeight="1">
      <c r="A2940" t="s">
        <v>6718</v>
      </c>
      <c r="B2940" t="s">
        <v>6719</v>
      </c>
    </row>
    <row r="2941" spans="1:3" ht="15.75" customHeight="1">
      <c r="A2941" t="s">
        <v>6722</v>
      </c>
      <c r="B2941" t="s">
        <v>6723</v>
      </c>
      <c r="C2941" t="s">
        <v>7175</v>
      </c>
    </row>
    <row r="2942" spans="1:3" ht="15.75" customHeight="1">
      <c r="A2942" t="s">
        <v>6726</v>
      </c>
      <c r="B2942" t="s">
        <v>6727</v>
      </c>
    </row>
    <row r="2943" spans="1:3" ht="15.75" customHeight="1">
      <c r="A2943" t="s">
        <v>6730</v>
      </c>
      <c r="B2943" t="s">
        <v>6731</v>
      </c>
    </row>
    <row r="2944" spans="1:3" ht="15.75" customHeight="1">
      <c r="A2944" t="s">
        <v>6734</v>
      </c>
      <c r="B2944" t="s">
        <v>6735</v>
      </c>
    </row>
    <row r="2945" spans="1:3" ht="15.75" customHeight="1">
      <c r="A2945" t="s">
        <v>6737</v>
      </c>
      <c r="B2945" t="s">
        <v>6738</v>
      </c>
    </row>
    <row r="2946" spans="1:3" ht="15.75" customHeight="1">
      <c r="A2946" t="s">
        <v>6739</v>
      </c>
      <c r="B2946" t="s">
        <v>6740</v>
      </c>
    </row>
    <row r="2947" spans="1:3" ht="15.75" customHeight="1">
      <c r="A2947" t="s">
        <v>6742</v>
      </c>
      <c r="B2947" t="s">
        <v>6743</v>
      </c>
    </row>
    <row r="2948" spans="1:3" ht="15.75" customHeight="1">
      <c r="A2948" t="s">
        <v>6746</v>
      </c>
      <c r="B2948" t="s">
        <v>6747</v>
      </c>
      <c r="C2948" t="s">
        <v>8826</v>
      </c>
    </row>
    <row r="2949" spans="1:3" ht="15.75" customHeight="1">
      <c r="A2949" t="s">
        <v>6750</v>
      </c>
      <c r="B2949" t="s">
        <v>6751</v>
      </c>
    </row>
    <row r="2950" spans="1:3" ht="15.75" customHeight="1">
      <c r="A2950" t="s">
        <v>6752</v>
      </c>
      <c r="B2950" t="s">
        <v>6753</v>
      </c>
    </row>
    <row r="2951" spans="1:3" ht="15.75" customHeight="1">
      <c r="A2951" t="s">
        <v>6755</v>
      </c>
      <c r="B2951" t="s">
        <v>6756</v>
      </c>
    </row>
    <row r="2952" spans="1:3" ht="15.75" customHeight="1">
      <c r="A2952" t="s">
        <v>6759</v>
      </c>
      <c r="B2952" t="s">
        <v>6760</v>
      </c>
      <c r="C2952" t="s">
        <v>8401</v>
      </c>
    </row>
    <row r="2953" spans="1:3" ht="15.75" customHeight="1">
      <c r="A2953" t="s">
        <v>6762</v>
      </c>
      <c r="B2953" t="s">
        <v>6763</v>
      </c>
      <c r="C2953" t="s">
        <v>8287</v>
      </c>
    </row>
    <row r="2954" spans="1:3" ht="15.75" customHeight="1">
      <c r="A2954" t="s">
        <v>6766</v>
      </c>
      <c r="B2954" t="s">
        <v>6767</v>
      </c>
    </row>
    <row r="2955" spans="1:3" ht="15.75" customHeight="1">
      <c r="A2955" t="s">
        <v>6769</v>
      </c>
      <c r="B2955" t="s">
        <v>6770</v>
      </c>
    </row>
    <row r="2956" spans="1:3" ht="15.75" customHeight="1">
      <c r="A2956" t="s">
        <v>6773</v>
      </c>
      <c r="B2956" t="s">
        <v>6774</v>
      </c>
    </row>
    <row r="2957" spans="1:3" ht="15.75" customHeight="1">
      <c r="A2957" t="s">
        <v>6776</v>
      </c>
      <c r="B2957" t="s">
        <v>6777</v>
      </c>
    </row>
    <row r="2958" spans="1:3" ht="15.75" customHeight="1">
      <c r="A2958" t="s">
        <v>6780</v>
      </c>
      <c r="B2958" t="s">
        <v>6781</v>
      </c>
      <c r="C2958" t="s">
        <v>10421</v>
      </c>
    </row>
    <row r="2959" spans="1:3" ht="15.75" customHeight="1">
      <c r="A2959" t="s">
        <v>6784</v>
      </c>
      <c r="B2959" t="s">
        <v>6785</v>
      </c>
      <c r="C2959" t="s">
        <v>10422</v>
      </c>
    </row>
    <row r="2960" spans="1:3" ht="15.75" customHeight="1">
      <c r="A2960" t="s">
        <v>6787</v>
      </c>
      <c r="B2960" t="s">
        <v>6788</v>
      </c>
      <c r="C2960" t="s">
        <v>10423</v>
      </c>
    </row>
    <row r="2961" spans="1:3" ht="15.75" customHeight="1">
      <c r="A2961" t="s">
        <v>6790</v>
      </c>
      <c r="B2961" t="s">
        <v>6791</v>
      </c>
      <c r="C2961" t="s">
        <v>7739</v>
      </c>
    </row>
    <row r="2962" spans="1:3" ht="15.75" customHeight="1">
      <c r="A2962" t="s">
        <v>6794</v>
      </c>
      <c r="B2962" t="s">
        <v>6795</v>
      </c>
      <c r="C2962" t="s">
        <v>7739</v>
      </c>
    </row>
    <row r="2963" spans="1:3" ht="15.75" customHeight="1">
      <c r="A2963" t="s">
        <v>6797</v>
      </c>
      <c r="B2963" t="s">
        <v>6798</v>
      </c>
    </row>
    <row r="2964" spans="1:3" ht="15.75" customHeight="1">
      <c r="A2964" t="s">
        <v>6801</v>
      </c>
      <c r="B2964" t="s">
        <v>6802</v>
      </c>
    </row>
    <row r="2965" spans="1:3" ht="15.75" customHeight="1">
      <c r="A2965" t="s">
        <v>6805</v>
      </c>
      <c r="B2965" t="s">
        <v>6806</v>
      </c>
    </row>
    <row r="2966" spans="1:3" ht="15.75" customHeight="1">
      <c r="A2966" t="s">
        <v>6809</v>
      </c>
      <c r="B2966" t="s">
        <v>6810</v>
      </c>
    </row>
    <row r="2967" spans="1:3" ht="15.75" customHeight="1">
      <c r="A2967" t="s">
        <v>6813</v>
      </c>
      <c r="B2967" t="s">
        <v>6814</v>
      </c>
      <c r="C2967" t="s">
        <v>10424</v>
      </c>
    </row>
    <row r="2968" spans="1:3" ht="15.75" customHeight="1">
      <c r="A2968" t="s">
        <v>6817</v>
      </c>
      <c r="B2968" t="s">
        <v>6818</v>
      </c>
      <c r="C2968" t="s">
        <v>10425</v>
      </c>
    </row>
    <row r="2969" spans="1:3" ht="15.75" customHeight="1">
      <c r="A2969" t="s">
        <v>6821</v>
      </c>
      <c r="B2969" t="s">
        <v>6822</v>
      </c>
      <c r="C2969" t="s">
        <v>7474</v>
      </c>
    </row>
    <row r="2970" spans="1:3" ht="15.75" customHeight="1">
      <c r="A2970" t="s">
        <v>6825</v>
      </c>
      <c r="B2970" t="s">
        <v>6826</v>
      </c>
    </row>
    <row r="2971" spans="1:3" ht="15.75" customHeight="1">
      <c r="A2971" t="s">
        <v>6828</v>
      </c>
      <c r="B2971" t="s">
        <v>6829</v>
      </c>
    </row>
    <row r="2972" spans="1:3" ht="15.75" customHeight="1">
      <c r="A2972" t="s">
        <v>6832</v>
      </c>
      <c r="B2972" t="s">
        <v>6833</v>
      </c>
      <c r="C2972" t="s">
        <v>7175</v>
      </c>
    </row>
    <row r="2973" spans="1:3" ht="15.75" customHeight="1">
      <c r="A2973" t="s">
        <v>6835</v>
      </c>
      <c r="B2973" t="s">
        <v>6836</v>
      </c>
    </row>
    <row r="2974" spans="1:3" ht="15.75" customHeight="1">
      <c r="A2974" t="s">
        <v>6838</v>
      </c>
      <c r="B2974" t="s">
        <v>6839</v>
      </c>
    </row>
    <row r="2975" spans="1:3" ht="15.75" customHeight="1">
      <c r="A2975" t="s">
        <v>6842</v>
      </c>
      <c r="B2975" t="s">
        <v>6843</v>
      </c>
    </row>
    <row r="2976" spans="1:3" ht="15.75" customHeight="1">
      <c r="A2976" t="s">
        <v>6846</v>
      </c>
      <c r="B2976" t="s">
        <v>6847</v>
      </c>
      <c r="C2976" t="s">
        <v>10426</v>
      </c>
    </row>
    <row r="2977" spans="1:3" ht="15.75" customHeight="1">
      <c r="A2977" t="s">
        <v>6850</v>
      </c>
      <c r="B2977" t="s">
        <v>6851</v>
      </c>
      <c r="C2977" t="s">
        <v>10427</v>
      </c>
    </row>
    <row r="2978" spans="1:3" ht="15.75" customHeight="1">
      <c r="A2978" t="s">
        <v>6852</v>
      </c>
      <c r="B2978" t="s">
        <v>6853</v>
      </c>
    </row>
    <row r="2979" spans="1:3" ht="15.75" customHeight="1">
      <c r="A2979" t="s">
        <v>6856</v>
      </c>
      <c r="B2979" t="s">
        <v>6857</v>
      </c>
      <c r="C2979" t="s">
        <v>10428</v>
      </c>
    </row>
    <row r="2980" spans="1:3" ht="15.75" customHeight="1">
      <c r="A2980" t="s">
        <v>6860</v>
      </c>
      <c r="B2980" t="s">
        <v>6861</v>
      </c>
      <c r="C2980" t="s">
        <v>10429</v>
      </c>
    </row>
    <row r="2981" spans="1:3" ht="15.75" customHeight="1">
      <c r="A2981" t="s">
        <v>6864</v>
      </c>
      <c r="B2981" t="s">
        <v>6865</v>
      </c>
      <c r="C2981" t="s">
        <v>10430</v>
      </c>
    </row>
    <row r="2982" spans="1:3" ht="15.75" customHeight="1">
      <c r="A2982" t="s">
        <v>6868</v>
      </c>
      <c r="B2982" t="s">
        <v>6869</v>
      </c>
      <c r="C2982" t="s">
        <v>10431</v>
      </c>
    </row>
    <row r="2983" spans="1:3" ht="15.75" customHeight="1">
      <c r="A2983" t="s">
        <v>6871</v>
      </c>
      <c r="B2983" t="s">
        <v>6872</v>
      </c>
    </row>
    <row r="2984" spans="1:3" ht="15.75" customHeight="1">
      <c r="A2984" t="s">
        <v>6874</v>
      </c>
      <c r="B2984" t="s">
        <v>6875</v>
      </c>
    </row>
    <row r="2985" spans="1:3" ht="15.75" customHeight="1">
      <c r="A2985" t="s">
        <v>6877</v>
      </c>
      <c r="B2985" t="s">
        <v>6878</v>
      </c>
    </row>
    <row r="2986" spans="1:3" ht="15.75" customHeight="1">
      <c r="A2986" t="s">
        <v>6881</v>
      </c>
      <c r="B2986" t="s">
        <v>6882</v>
      </c>
      <c r="C2986" t="s">
        <v>8783</v>
      </c>
    </row>
    <row r="2987" spans="1:3" ht="15.75" customHeight="1">
      <c r="A2987" t="s">
        <v>6885</v>
      </c>
      <c r="B2987" t="s">
        <v>6886</v>
      </c>
      <c r="C2987" t="s">
        <v>7545</v>
      </c>
    </row>
    <row r="2988" spans="1:3" ht="15.75" customHeight="1">
      <c r="A2988" t="s">
        <v>6889</v>
      </c>
      <c r="B2988" t="s">
        <v>6890</v>
      </c>
      <c r="C2988" t="s">
        <v>8783</v>
      </c>
    </row>
    <row r="2989" spans="1:3" ht="15.75" customHeight="1">
      <c r="A2989" t="s">
        <v>6893</v>
      </c>
      <c r="B2989" t="s">
        <v>6894</v>
      </c>
      <c r="C2989" t="s">
        <v>7608</v>
      </c>
    </row>
    <row r="2990" spans="1:3" ht="15.75" customHeight="1">
      <c r="A2990" t="s">
        <v>6893</v>
      </c>
      <c r="B2990" t="s">
        <v>6894</v>
      </c>
      <c r="C2990" t="s">
        <v>7765</v>
      </c>
    </row>
    <row r="2991" spans="1:3" ht="15.75" customHeight="1">
      <c r="A2991" t="s">
        <v>6897</v>
      </c>
      <c r="B2991" t="s">
        <v>6898</v>
      </c>
      <c r="C2991" t="s">
        <v>7188</v>
      </c>
    </row>
    <row r="2992" spans="1:3" ht="15.75" customHeight="1">
      <c r="A2992" t="s">
        <v>6901</v>
      </c>
      <c r="B2992" t="s">
        <v>6902</v>
      </c>
    </row>
    <row r="2993" spans="1:3" ht="15.75" customHeight="1">
      <c r="A2993" t="s">
        <v>6904</v>
      </c>
      <c r="B2993" t="s">
        <v>6905</v>
      </c>
    </row>
    <row r="2994" spans="1:3" ht="15.75" customHeight="1">
      <c r="A2994" t="s">
        <v>6906</v>
      </c>
      <c r="B2994" t="s">
        <v>6907</v>
      </c>
    </row>
    <row r="2995" spans="1:3" ht="15.75" customHeight="1">
      <c r="A2995" t="s">
        <v>6909</v>
      </c>
      <c r="B2995" t="s">
        <v>6910</v>
      </c>
    </row>
    <row r="2996" spans="1:3" ht="15.75" customHeight="1">
      <c r="A2996" t="s">
        <v>6911</v>
      </c>
      <c r="B2996" t="s">
        <v>6912</v>
      </c>
    </row>
    <row r="2997" spans="1:3" ht="15.75" customHeight="1">
      <c r="A2997" t="s">
        <v>6914</v>
      </c>
      <c r="B2997" t="s">
        <v>6915</v>
      </c>
    </row>
    <row r="2998" spans="1:3" ht="15.75" customHeight="1">
      <c r="A2998" t="s">
        <v>6917</v>
      </c>
      <c r="B2998" t="s">
        <v>6918</v>
      </c>
    </row>
    <row r="2999" spans="1:3" ht="15.75" customHeight="1">
      <c r="A2999" t="s">
        <v>6921</v>
      </c>
      <c r="B2999" t="s">
        <v>6922</v>
      </c>
      <c r="C2999" t="s">
        <v>10432</v>
      </c>
    </row>
    <row r="3000" spans="1:3" ht="15.75" customHeight="1">
      <c r="A3000" t="s">
        <v>6923</v>
      </c>
      <c r="B3000" t="s">
        <v>6924</v>
      </c>
    </row>
    <row r="3001" spans="1:3" ht="15.75" customHeight="1">
      <c r="A3001" t="s">
        <v>6926</v>
      </c>
      <c r="B3001" t="s">
        <v>6927</v>
      </c>
      <c r="C3001" t="s">
        <v>7545</v>
      </c>
    </row>
    <row r="3002" spans="1:3" ht="15.75" customHeight="1">
      <c r="A3002" t="s">
        <v>6929</v>
      </c>
      <c r="B3002" t="s">
        <v>6930</v>
      </c>
    </row>
    <row r="3003" spans="1:3" ht="15.75" customHeight="1">
      <c r="A3003" t="s">
        <v>6932</v>
      </c>
      <c r="B3003" t="s">
        <v>6933</v>
      </c>
    </row>
    <row r="3004" spans="1:3" ht="15.75" customHeight="1">
      <c r="A3004" t="s">
        <v>6934</v>
      </c>
      <c r="B3004" t="s">
        <v>6935</v>
      </c>
    </row>
    <row r="3005" spans="1:3" ht="15.75" customHeight="1">
      <c r="A3005" t="s">
        <v>6937</v>
      </c>
      <c r="B3005" t="s">
        <v>6938</v>
      </c>
    </row>
    <row r="3006" spans="1:3" ht="15.75" customHeight="1">
      <c r="A3006" t="s">
        <v>6940</v>
      </c>
      <c r="B3006" t="s">
        <v>6941</v>
      </c>
    </row>
    <row r="3007" spans="1:3" ht="15.75" customHeight="1">
      <c r="A3007" t="s">
        <v>6942</v>
      </c>
      <c r="B3007" t="s">
        <v>6943</v>
      </c>
    </row>
    <row r="3008" spans="1:3" ht="15.75" customHeight="1">
      <c r="A3008" t="s">
        <v>6944</v>
      </c>
      <c r="B3008" t="s">
        <v>6945</v>
      </c>
    </row>
    <row r="3009" spans="1:3" ht="15.75" customHeight="1">
      <c r="A3009" t="s">
        <v>6946</v>
      </c>
      <c r="B3009" t="s">
        <v>6947</v>
      </c>
    </row>
    <row r="3010" spans="1:3" ht="15.75" customHeight="1">
      <c r="A3010" t="s">
        <v>6950</v>
      </c>
      <c r="B3010" t="s">
        <v>6951</v>
      </c>
    </row>
    <row r="3011" spans="1:3" ht="15.75" customHeight="1">
      <c r="A3011" t="s">
        <v>6954</v>
      </c>
      <c r="B3011" t="s">
        <v>6955</v>
      </c>
    </row>
    <row r="3012" spans="1:3" ht="15.75" customHeight="1">
      <c r="A3012" t="s">
        <v>6957</v>
      </c>
      <c r="B3012" t="s">
        <v>6958</v>
      </c>
    </row>
    <row r="3013" spans="1:3" ht="15.75" customHeight="1">
      <c r="A3013" t="s">
        <v>6961</v>
      </c>
      <c r="B3013" t="s">
        <v>6962</v>
      </c>
    </row>
    <row r="3014" spans="1:3" ht="15.75" customHeight="1">
      <c r="A3014" t="s">
        <v>6965</v>
      </c>
      <c r="B3014" t="s">
        <v>6966</v>
      </c>
    </row>
    <row r="3015" spans="1:3" ht="15.75" customHeight="1">
      <c r="A3015" t="s">
        <v>6969</v>
      </c>
      <c r="B3015" t="s">
        <v>6970</v>
      </c>
    </row>
    <row r="3016" spans="1:3" ht="15.75" customHeight="1">
      <c r="A3016" t="s">
        <v>6973</v>
      </c>
      <c r="B3016" t="s">
        <v>6974</v>
      </c>
      <c r="C3016" t="s">
        <v>10433</v>
      </c>
    </row>
    <row r="3017" spans="1:3" ht="15.75" customHeight="1">
      <c r="A3017" t="s">
        <v>6977</v>
      </c>
      <c r="B3017" t="s">
        <v>6978</v>
      </c>
    </row>
    <row r="3018" spans="1:3" ht="15.75" customHeight="1">
      <c r="A3018" t="s">
        <v>6980</v>
      </c>
      <c r="B3018" t="s">
        <v>6981</v>
      </c>
    </row>
    <row r="3019" spans="1:3" ht="15.75" customHeight="1">
      <c r="A3019" t="s">
        <v>6984</v>
      </c>
      <c r="B3019" t="s">
        <v>6985</v>
      </c>
    </row>
    <row r="3020" spans="1:3" ht="15.75" customHeight="1">
      <c r="A3020" t="s">
        <v>6988</v>
      </c>
      <c r="B3020" t="s">
        <v>6989</v>
      </c>
    </row>
    <row r="3021" spans="1:3" ht="15.75" customHeight="1">
      <c r="A3021" t="s">
        <v>6992</v>
      </c>
      <c r="B3021" t="s">
        <v>6993</v>
      </c>
    </row>
    <row r="3022" spans="1:3" ht="15.75" customHeight="1">
      <c r="A3022" t="s">
        <v>6995</v>
      </c>
      <c r="B3022" t="s">
        <v>6996</v>
      </c>
    </row>
    <row r="3023" spans="1:3" ht="15.75" customHeight="1">
      <c r="A3023" t="s">
        <v>6998</v>
      </c>
      <c r="B3023" t="s">
        <v>6999</v>
      </c>
    </row>
    <row r="3024" spans="1:3" ht="15.75" customHeight="1">
      <c r="A3024" t="s">
        <v>7002</v>
      </c>
      <c r="B3024" t="s">
        <v>7003</v>
      </c>
    </row>
    <row r="3025" spans="1:3" ht="15.75" customHeight="1">
      <c r="A3025" t="s">
        <v>7006</v>
      </c>
      <c r="B3025" t="s">
        <v>7007</v>
      </c>
    </row>
    <row r="3026" spans="1:3" ht="15.75" customHeight="1">
      <c r="A3026" t="s">
        <v>7009</v>
      </c>
      <c r="B3026" t="s">
        <v>7010</v>
      </c>
      <c r="C3026" t="s">
        <v>7730</v>
      </c>
    </row>
    <row r="3027" spans="1:3" ht="15.75" customHeight="1">
      <c r="A3027" t="s">
        <v>7013</v>
      </c>
      <c r="B3027" t="s">
        <v>7014</v>
      </c>
    </row>
    <row r="3028" spans="1:3" ht="15.75" customHeight="1">
      <c r="A3028" t="s">
        <v>7016</v>
      </c>
      <c r="B3028" t="s">
        <v>7017</v>
      </c>
    </row>
    <row r="3029" spans="1:3" ht="15.75" customHeight="1">
      <c r="A3029" t="s">
        <v>7019</v>
      </c>
      <c r="B3029" t="s">
        <v>7020</v>
      </c>
      <c r="C3029" t="s">
        <v>7474</v>
      </c>
    </row>
    <row r="3030" spans="1:3" ht="15.75" customHeight="1">
      <c r="A3030" t="s">
        <v>7022</v>
      </c>
      <c r="B3030" t="s">
        <v>7023</v>
      </c>
    </row>
    <row r="3031" spans="1:3" ht="15.75" customHeight="1">
      <c r="A3031" t="s">
        <v>7026</v>
      </c>
      <c r="B3031" t="s">
        <v>7027</v>
      </c>
    </row>
    <row r="3032" spans="1:3" ht="15.75" customHeight="1">
      <c r="A3032" t="s">
        <v>7029</v>
      </c>
      <c r="B3032" t="s">
        <v>7030</v>
      </c>
    </row>
    <row r="3033" spans="1:3" ht="15.75" customHeight="1">
      <c r="A3033" t="s">
        <v>7031</v>
      </c>
      <c r="B3033" t="s">
        <v>7032</v>
      </c>
    </row>
    <row r="3034" spans="1:3" ht="15.75" customHeight="1">
      <c r="A3034" t="s">
        <v>7034</v>
      </c>
      <c r="B3034" t="s">
        <v>7035</v>
      </c>
    </row>
    <row r="3035" spans="1:3" ht="15.75" customHeight="1">
      <c r="A3035" t="s">
        <v>7038</v>
      </c>
      <c r="B3035" t="s">
        <v>7039</v>
      </c>
    </row>
    <row r="3036" spans="1:3" ht="15.75" customHeight="1">
      <c r="A3036" t="s">
        <v>7041</v>
      </c>
      <c r="B3036" t="s">
        <v>7042</v>
      </c>
    </row>
    <row r="3037" spans="1:3" ht="15.75" customHeight="1">
      <c r="A3037" t="s">
        <v>7043</v>
      </c>
      <c r="B3037" t="s">
        <v>7044</v>
      </c>
    </row>
    <row r="3038" spans="1:3" ht="15.75" customHeight="1">
      <c r="A3038" t="s">
        <v>7047</v>
      </c>
      <c r="B3038" t="s">
        <v>7048</v>
      </c>
    </row>
    <row r="3039" spans="1:3" ht="15.75" customHeight="1">
      <c r="A3039" t="s">
        <v>7049</v>
      </c>
      <c r="B3039" t="s">
        <v>7050</v>
      </c>
    </row>
    <row r="3040" spans="1:3" ht="15.75" customHeight="1">
      <c r="A3040" t="s">
        <v>7053</v>
      </c>
      <c r="B3040" t="s">
        <v>7054</v>
      </c>
    </row>
    <row r="3041" spans="1:3" ht="15.75" customHeight="1">
      <c r="A3041" t="s">
        <v>7057</v>
      </c>
      <c r="B3041" t="s">
        <v>7058</v>
      </c>
    </row>
    <row r="3042" spans="1:3" ht="15.75" customHeight="1">
      <c r="A3042" t="s">
        <v>7061</v>
      </c>
      <c r="B3042" t="s">
        <v>7062</v>
      </c>
    </row>
    <row r="3043" spans="1:3" ht="15.75" customHeight="1">
      <c r="A3043" t="s">
        <v>7064</v>
      </c>
      <c r="B3043" t="s">
        <v>7065</v>
      </c>
    </row>
    <row r="3044" spans="1:3" ht="15.75" customHeight="1">
      <c r="A3044" t="s">
        <v>7068</v>
      </c>
      <c r="B3044" t="s">
        <v>7069</v>
      </c>
      <c r="C3044" t="s">
        <v>10258</v>
      </c>
    </row>
    <row r="3045" spans="1:3" ht="15.75" customHeight="1">
      <c r="A3045" t="s">
        <v>7071</v>
      </c>
      <c r="B3045" t="s">
        <v>7072</v>
      </c>
      <c r="C3045" t="s">
        <v>8862</v>
      </c>
    </row>
    <row r="3046" spans="1:3" ht="15.75" customHeight="1">
      <c r="A3046" t="s">
        <v>7074</v>
      </c>
      <c r="B3046" t="s">
        <v>7075</v>
      </c>
    </row>
    <row r="3047" spans="1:3" ht="15.75" customHeight="1">
      <c r="A3047" t="s">
        <v>7076</v>
      </c>
      <c r="B3047" t="s">
        <v>7077</v>
      </c>
    </row>
    <row r="3048" spans="1:3" ht="15.75" customHeight="1">
      <c r="A3048" t="s">
        <v>7079</v>
      </c>
      <c r="B3048" t="s">
        <v>7080</v>
      </c>
    </row>
    <row r="3049" spans="1:3" ht="15.75" customHeight="1">
      <c r="A3049" t="s">
        <v>7082</v>
      </c>
      <c r="B3049" t="s">
        <v>7083</v>
      </c>
    </row>
    <row r="3050" spans="1:3" ht="15.75" customHeight="1">
      <c r="A3050" t="s">
        <v>7085</v>
      </c>
      <c r="B3050" t="s">
        <v>7086</v>
      </c>
    </row>
    <row r="3051" spans="1:3" ht="15.75" customHeight="1">
      <c r="A3051" t="s">
        <v>7087</v>
      </c>
      <c r="B3051" t="s">
        <v>7088</v>
      </c>
    </row>
    <row r="3052" spans="1:3" ht="15.75" customHeight="1">
      <c r="A3052" t="s">
        <v>7090</v>
      </c>
      <c r="B3052" t="s">
        <v>7091</v>
      </c>
    </row>
    <row r="3053" spans="1:3" ht="15.75" customHeight="1">
      <c r="A3053" t="s">
        <v>7093</v>
      </c>
      <c r="B3053" t="s">
        <v>7094</v>
      </c>
      <c r="C3053" t="s">
        <v>7106</v>
      </c>
    </row>
  </sheetData>
  <hyperlinks>
    <hyperlink ref="E4" r:id="rId1" xr:uid="{00000000-0004-0000-0200-000000000000}"/>
    <hyperlink ref="F4" r:id="rId2" xr:uid="{00000000-0004-0000-0200-000001000000}"/>
    <hyperlink ref="E5" r:id="rId3" xr:uid="{00000000-0004-0000-0200-000002000000}"/>
    <hyperlink ref="F5" r:id="rId4" xr:uid="{00000000-0004-0000-0200-000003000000}"/>
    <hyperlink ref="E6" r:id="rId5" xr:uid="{00000000-0004-0000-0200-000004000000}"/>
    <hyperlink ref="F6" r:id="rId6" xr:uid="{00000000-0004-0000-0200-000005000000}"/>
    <hyperlink ref="E9" r:id="rId7" xr:uid="{00000000-0004-0000-0200-000006000000}"/>
    <hyperlink ref="F9" r:id="rId8" xr:uid="{00000000-0004-0000-0200-000007000000}"/>
    <hyperlink ref="E16" r:id="rId9" xr:uid="{00000000-0004-0000-0200-000008000000}"/>
    <hyperlink ref="F16" r:id="rId10" xr:uid="{00000000-0004-0000-0200-000009000000}"/>
    <hyperlink ref="E19" r:id="rId11" xr:uid="{00000000-0004-0000-0200-00000A000000}"/>
    <hyperlink ref="F19" r:id="rId12" xr:uid="{00000000-0004-0000-0200-00000B000000}"/>
    <hyperlink ref="E20" r:id="rId13" xr:uid="{00000000-0004-0000-0200-00000C000000}"/>
    <hyperlink ref="F20" r:id="rId14" xr:uid="{00000000-0004-0000-0200-00000D000000}"/>
    <hyperlink ref="E21" r:id="rId15" xr:uid="{00000000-0004-0000-0200-00000E000000}"/>
    <hyperlink ref="F21" r:id="rId16" xr:uid="{00000000-0004-0000-0200-00000F000000}"/>
    <hyperlink ref="E22" r:id="rId17" xr:uid="{00000000-0004-0000-0200-000010000000}"/>
    <hyperlink ref="F22" r:id="rId18" xr:uid="{00000000-0004-0000-0200-000011000000}"/>
    <hyperlink ref="E23" r:id="rId19" xr:uid="{00000000-0004-0000-0200-000012000000}"/>
    <hyperlink ref="F23" r:id="rId20" xr:uid="{00000000-0004-0000-0200-000013000000}"/>
    <hyperlink ref="E24" r:id="rId21" xr:uid="{00000000-0004-0000-0200-000014000000}"/>
    <hyperlink ref="F24" r:id="rId22" xr:uid="{00000000-0004-0000-0200-000015000000}"/>
    <hyperlink ref="E25" r:id="rId23" xr:uid="{00000000-0004-0000-0200-000016000000}"/>
    <hyperlink ref="F25" r:id="rId24" xr:uid="{00000000-0004-0000-0200-000017000000}"/>
    <hyperlink ref="E26" r:id="rId25" xr:uid="{00000000-0004-0000-0200-000018000000}"/>
    <hyperlink ref="F26" r:id="rId26" xr:uid="{00000000-0004-0000-0200-000019000000}"/>
    <hyperlink ref="E27" r:id="rId27" xr:uid="{00000000-0004-0000-0200-00001A000000}"/>
    <hyperlink ref="F27" r:id="rId28" xr:uid="{00000000-0004-0000-0200-00001B000000}"/>
    <hyperlink ref="E28" r:id="rId29" xr:uid="{00000000-0004-0000-0200-00001C000000}"/>
    <hyperlink ref="F28" r:id="rId30" xr:uid="{00000000-0004-0000-0200-00001D000000}"/>
    <hyperlink ref="E29" r:id="rId31" xr:uid="{00000000-0004-0000-0200-00001E000000}"/>
    <hyperlink ref="F29" r:id="rId32" xr:uid="{00000000-0004-0000-0200-00001F000000}"/>
    <hyperlink ref="E30" r:id="rId33" xr:uid="{00000000-0004-0000-0200-000020000000}"/>
    <hyperlink ref="F30" r:id="rId34" xr:uid="{00000000-0004-0000-0200-000021000000}"/>
    <hyperlink ref="E31" r:id="rId35" xr:uid="{00000000-0004-0000-0200-000022000000}"/>
    <hyperlink ref="F31" r:id="rId36" xr:uid="{00000000-0004-0000-0200-000023000000}"/>
    <hyperlink ref="E32" r:id="rId37" xr:uid="{00000000-0004-0000-0200-000024000000}"/>
    <hyperlink ref="F32" r:id="rId38" xr:uid="{00000000-0004-0000-0200-000025000000}"/>
    <hyperlink ref="E33" r:id="rId39" xr:uid="{00000000-0004-0000-0200-000026000000}"/>
    <hyperlink ref="F33" r:id="rId40" xr:uid="{00000000-0004-0000-0200-000027000000}"/>
    <hyperlink ref="E34" r:id="rId41" xr:uid="{00000000-0004-0000-0200-000028000000}"/>
    <hyperlink ref="F34" r:id="rId42" xr:uid="{00000000-0004-0000-0200-000029000000}"/>
    <hyperlink ref="E36" r:id="rId43" xr:uid="{00000000-0004-0000-0200-00002A000000}"/>
    <hyperlink ref="F36" r:id="rId44" xr:uid="{00000000-0004-0000-0200-00002B000000}"/>
    <hyperlink ref="E37" r:id="rId45" xr:uid="{00000000-0004-0000-0200-00002C000000}"/>
    <hyperlink ref="F37" r:id="rId46" xr:uid="{00000000-0004-0000-0200-00002D000000}"/>
    <hyperlink ref="E38" r:id="rId47" xr:uid="{00000000-0004-0000-0200-00002E000000}"/>
    <hyperlink ref="F38" r:id="rId48" xr:uid="{00000000-0004-0000-0200-00002F000000}"/>
    <hyperlink ref="E42" r:id="rId49" xr:uid="{00000000-0004-0000-0200-000030000000}"/>
    <hyperlink ref="F42" r:id="rId50" xr:uid="{00000000-0004-0000-0200-000031000000}"/>
    <hyperlink ref="E44" r:id="rId51" xr:uid="{00000000-0004-0000-0200-000032000000}"/>
    <hyperlink ref="E52" r:id="rId52" xr:uid="{00000000-0004-0000-0200-000033000000}"/>
    <hyperlink ref="E53" r:id="rId53" xr:uid="{00000000-0004-0000-0200-000034000000}"/>
    <hyperlink ref="F53" r:id="rId54" xr:uid="{00000000-0004-0000-0200-000035000000}"/>
    <hyperlink ref="E54" r:id="rId55" xr:uid="{00000000-0004-0000-0200-000036000000}"/>
    <hyperlink ref="F54" r:id="rId56" xr:uid="{00000000-0004-0000-0200-000037000000}"/>
    <hyperlink ref="E55" r:id="rId57" xr:uid="{00000000-0004-0000-0200-000038000000}"/>
    <hyperlink ref="F55" r:id="rId58" xr:uid="{00000000-0004-0000-0200-000039000000}"/>
    <hyperlink ref="E63" r:id="rId59" xr:uid="{00000000-0004-0000-0200-00003A000000}"/>
    <hyperlink ref="F63" r:id="rId60" xr:uid="{00000000-0004-0000-0200-00003B000000}"/>
    <hyperlink ref="E64" r:id="rId61" xr:uid="{00000000-0004-0000-0200-00003C000000}"/>
    <hyperlink ref="F64" r:id="rId62" xr:uid="{00000000-0004-0000-0200-00003D000000}"/>
    <hyperlink ref="E65" r:id="rId63" xr:uid="{00000000-0004-0000-0200-00003E000000}"/>
    <hyperlink ref="F65" r:id="rId64" xr:uid="{00000000-0004-0000-0200-00003F000000}"/>
    <hyperlink ref="E66" r:id="rId65" xr:uid="{00000000-0004-0000-0200-000040000000}"/>
    <hyperlink ref="F66" r:id="rId66" xr:uid="{00000000-0004-0000-0200-000041000000}"/>
    <hyperlink ref="E67" r:id="rId67" xr:uid="{00000000-0004-0000-0200-000042000000}"/>
    <hyperlink ref="F67" r:id="rId68" xr:uid="{00000000-0004-0000-0200-000043000000}"/>
    <hyperlink ref="E68" r:id="rId69" xr:uid="{00000000-0004-0000-0200-000044000000}"/>
    <hyperlink ref="F68" r:id="rId70" xr:uid="{00000000-0004-0000-0200-000045000000}"/>
    <hyperlink ref="E69" r:id="rId71" xr:uid="{00000000-0004-0000-0200-000046000000}"/>
    <hyperlink ref="F69" r:id="rId72" xr:uid="{00000000-0004-0000-0200-000047000000}"/>
    <hyperlink ref="E70" r:id="rId73" xr:uid="{00000000-0004-0000-0200-000048000000}"/>
    <hyperlink ref="F70" r:id="rId74" xr:uid="{00000000-0004-0000-0200-000049000000}"/>
    <hyperlink ref="E71" r:id="rId75" xr:uid="{00000000-0004-0000-0200-00004A000000}"/>
    <hyperlink ref="F71" r:id="rId76" xr:uid="{00000000-0004-0000-0200-00004B000000}"/>
    <hyperlink ref="E78" r:id="rId77" xr:uid="{00000000-0004-0000-0200-00004C000000}"/>
    <hyperlink ref="F78" r:id="rId78" xr:uid="{00000000-0004-0000-0200-00004D000000}"/>
    <hyperlink ref="E79" r:id="rId79" xr:uid="{00000000-0004-0000-0200-00004E000000}"/>
    <hyperlink ref="F79" r:id="rId80" xr:uid="{00000000-0004-0000-0200-00004F000000}"/>
    <hyperlink ref="E80" r:id="rId81" xr:uid="{00000000-0004-0000-0200-000050000000}"/>
    <hyperlink ref="F80" r:id="rId82" xr:uid="{00000000-0004-0000-0200-000051000000}"/>
    <hyperlink ref="E81" r:id="rId83" xr:uid="{00000000-0004-0000-0200-000052000000}"/>
    <hyperlink ref="F81" r:id="rId84" xr:uid="{00000000-0004-0000-0200-000053000000}"/>
    <hyperlink ref="E82" r:id="rId85" xr:uid="{00000000-0004-0000-0200-000054000000}"/>
    <hyperlink ref="F82" r:id="rId86" xr:uid="{00000000-0004-0000-0200-000055000000}"/>
    <hyperlink ref="E85" r:id="rId87" xr:uid="{00000000-0004-0000-0200-000056000000}"/>
    <hyperlink ref="F85" r:id="rId88" xr:uid="{00000000-0004-0000-0200-000057000000}"/>
    <hyperlink ref="E86" r:id="rId89" xr:uid="{00000000-0004-0000-0200-000058000000}"/>
    <hyperlink ref="F86" r:id="rId90" xr:uid="{00000000-0004-0000-0200-000059000000}"/>
    <hyperlink ref="E87" r:id="rId91" xr:uid="{00000000-0004-0000-0200-00005A000000}"/>
    <hyperlink ref="F87" r:id="rId92" xr:uid="{00000000-0004-0000-0200-00005B000000}"/>
    <hyperlink ref="E88" r:id="rId93" xr:uid="{00000000-0004-0000-0200-00005C000000}"/>
    <hyperlink ref="F88" r:id="rId94" xr:uid="{00000000-0004-0000-0200-00005D000000}"/>
    <hyperlink ref="E89" r:id="rId95" xr:uid="{00000000-0004-0000-0200-00005E000000}"/>
    <hyperlink ref="F89" r:id="rId96" xr:uid="{00000000-0004-0000-0200-00005F000000}"/>
    <hyperlink ref="E90" r:id="rId97" xr:uid="{00000000-0004-0000-0200-000060000000}"/>
    <hyperlink ref="F90" r:id="rId98" xr:uid="{00000000-0004-0000-0200-000061000000}"/>
    <hyperlink ref="E91" r:id="rId99" xr:uid="{00000000-0004-0000-0200-000062000000}"/>
    <hyperlink ref="F91" r:id="rId100" xr:uid="{00000000-0004-0000-0200-000063000000}"/>
    <hyperlink ref="E92" r:id="rId101" xr:uid="{00000000-0004-0000-0200-000064000000}"/>
    <hyperlink ref="F92" r:id="rId102" xr:uid="{00000000-0004-0000-0200-000065000000}"/>
    <hyperlink ref="E93" r:id="rId103" xr:uid="{00000000-0004-0000-0200-000066000000}"/>
    <hyperlink ref="F93" r:id="rId104" xr:uid="{00000000-0004-0000-0200-000067000000}"/>
    <hyperlink ref="E94" r:id="rId105" xr:uid="{00000000-0004-0000-0200-000068000000}"/>
    <hyperlink ref="F94" r:id="rId106" xr:uid="{00000000-0004-0000-0200-000069000000}"/>
    <hyperlink ref="E95" r:id="rId107" xr:uid="{00000000-0004-0000-0200-00006A000000}"/>
    <hyperlink ref="F95" r:id="rId108" xr:uid="{00000000-0004-0000-0200-00006B000000}"/>
    <hyperlink ref="E96" r:id="rId109" xr:uid="{00000000-0004-0000-0200-00006C000000}"/>
    <hyperlink ref="F96" r:id="rId110" xr:uid="{00000000-0004-0000-0200-00006D000000}"/>
    <hyperlink ref="E97" r:id="rId111" xr:uid="{00000000-0004-0000-0200-00006E000000}"/>
    <hyperlink ref="F97" r:id="rId112" xr:uid="{00000000-0004-0000-0200-00006F000000}"/>
    <hyperlink ref="E98" r:id="rId113" xr:uid="{00000000-0004-0000-0200-000070000000}"/>
    <hyperlink ref="F98" r:id="rId114" xr:uid="{00000000-0004-0000-0200-000071000000}"/>
    <hyperlink ref="E99" r:id="rId115" xr:uid="{00000000-0004-0000-0200-000072000000}"/>
    <hyperlink ref="F99" r:id="rId116" xr:uid="{00000000-0004-0000-0200-000073000000}"/>
    <hyperlink ref="E100" r:id="rId117" xr:uid="{00000000-0004-0000-0200-000074000000}"/>
    <hyperlink ref="F100" r:id="rId118" xr:uid="{00000000-0004-0000-0200-000075000000}"/>
    <hyperlink ref="E101" r:id="rId119" xr:uid="{00000000-0004-0000-0200-000076000000}"/>
    <hyperlink ref="F101" r:id="rId120" xr:uid="{00000000-0004-0000-0200-000077000000}"/>
    <hyperlink ref="E102" r:id="rId121" xr:uid="{00000000-0004-0000-0200-000078000000}"/>
    <hyperlink ref="F102" r:id="rId122" xr:uid="{00000000-0004-0000-0200-000079000000}"/>
    <hyperlink ref="E103" r:id="rId123" xr:uid="{00000000-0004-0000-0200-00007A000000}"/>
    <hyperlink ref="F103" r:id="rId124" xr:uid="{00000000-0004-0000-0200-00007B000000}"/>
    <hyperlink ref="E104" r:id="rId125" xr:uid="{00000000-0004-0000-0200-00007C000000}"/>
    <hyperlink ref="F104" r:id="rId126" xr:uid="{00000000-0004-0000-0200-00007D000000}"/>
    <hyperlink ref="E113" r:id="rId127" xr:uid="{00000000-0004-0000-0200-00007E000000}"/>
    <hyperlink ref="F113" r:id="rId128" xr:uid="{00000000-0004-0000-0200-00007F000000}"/>
    <hyperlink ref="E114" r:id="rId129" xr:uid="{00000000-0004-0000-0200-000080000000}"/>
    <hyperlink ref="F114" r:id="rId130" xr:uid="{00000000-0004-0000-0200-000081000000}"/>
    <hyperlink ref="E115" r:id="rId131" xr:uid="{00000000-0004-0000-0200-000082000000}"/>
    <hyperlink ref="F115" r:id="rId132" xr:uid="{00000000-0004-0000-0200-000083000000}"/>
    <hyperlink ref="E121" r:id="rId133" xr:uid="{00000000-0004-0000-0200-000084000000}"/>
    <hyperlink ref="F121" r:id="rId134" xr:uid="{00000000-0004-0000-0200-000085000000}"/>
    <hyperlink ref="E122" r:id="rId135" xr:uid="{00000000-0004-0000-0200-000086000000}"/>
    <hyperlink ref="F122" r:id="rId136" xr:uid="{00000000-0004-0000-0200-000087000000}"/>
    <hyperlink ref="E123" r:id="rId137" xr:uid="{00000000-0004-0000-0200-000088000000}"/>
    <hyperlink ref="F123" r:id="rId138" xr:uid="{00000000-0004-0000-0200-000089000000}"/>
    <hyperlink ref="E125" r:id="rId139" xr:uid="{00000000-0004-0000-0200-00008A000000}"/>
    <hyperlink ref="F125" r:id="rId140" xr:uid="{00000000-0004-0000-0200-00008B000000}"/>
    <hyperlink ref="E126" r:id="rId141" xr:uid="{00000000-0004-0000-0200-00008C000000}"/>
    <hyperlink ref="F126" r:id="rId142" xr:uid="{00000000-0004-0000-0200-00008D000000}"/>
    <hyperlink ref="E127" r:id="rId143" xr:uid="{00000000-0004-0000-0200-00008E000000}"/>
    <hyperlink ref="F127" r:id="rId144" xr:uid="{00000000-0004-0000-0200-00008F000000}"/>
    <hyperlink ref="E128" r:id="rId145" xr:uid="{00000000-0004-0000-0200-000090000000}"/>
    <hyperlink ref="F128" r:id="rId146" xr:uid="{00000000-0004-0000-0200-000091000000}"/>
    <hyperlink ref="E129" r:id="rId147" xr:uid="{00000000-0004-0000-0200-000092000000}"/>
    <hyperlink ref="F129" r:id="rId148" xr:uid="{00000000-0004-0000-0200-000093000000}"/>
    <hyperlink ref="E130" r:id="rId149" xr:uid="{00000000-0004-0000-0200-000094000000}"/>
    <hyperlink ref="F130" r:id="rId150" xr:uid="{00000000-0004-0000-0200-000095000000}"/>
    <hyperlink ref="E131" r:id="rId151" xr:uid="{00000000-0004-0000-0200-000096000000}"/>
    <hyperlink ref="F131" r:id="rId152" xr:uid="{00000000-0004-0000-0200-000097000000}"/>
    <hyperlink ref="E132" r:id="rId153" xr:uid="{00000000-0004-0000-0200-000098000000}"/>
    <hyperlink ref="F132" r:id="rId154" xr:uid="{00000000-0004-0000-0200-000099000000}"/>
    <hyperlink ref="E133" r:id="rId155" xr:uid="{00000000-0004-0000-0200-00009A000000}"/>
    <hyperlink ref="F133" r:id="rId156" xr:uid="{00000000-0004-0000-0200-00009B000000}"/>
    <hyperlink ref="E134" r:id="rId157" xr:uid="{00000000-0004-0000-0200-00009C000000}"/>
    <hyperlink ref="F134" r:id="rId158" xr:uid="{00000000-0004-0000-0200-00009D000000}"/>
    <hyperlink ref="E135" r:id="rId159" xr:uid="{00000000-0004-0000-0200-00009E000000}"/>
    <hyperlink ref="F135" r:id="rId160" xr:uid="{00000000-0004-0000-0200-00009F000000}"/>
    <hyperlink ref="E136" r:id="rId161" xr:uid="{00000000-0004-0000-0200-0000A0000000}"/>
    <hyperlink ref="F136" r:id="rId162" xr:uid="{00000000-0004-0000-0200-0000A1000000}"/>
    <hyperlink ref="E137" r:id="rId163" xr:uid="{00000000-0004-0000-0200-0000A2000000}"/>
    <hyperlink ref="F137" r:id="rId164" xr:uid="{00000000-0004-0000-0200-0000A3000000}"/>
    <hyperlink ref="E138" r:id="rId165" xr:uid="{00000000-0004-0000-0200-0000A4000000}"/>
    <hyperlink ref="F138" r:id="rId166" xr:uid="{00000000-0004-0000-0200-0000A5000000}"/>
    <hyperlink ref="E139" r:id="rId167" xr:uid="{00000000-0004-0000-0200-0000A6000000}"/>
    <hyperlink ref="F139" r:id="rId168" xr:uid="{00000000-0004-0000-0200-0000A7000000}"/>
    <hyperlink ref="E140" r:id="rId169" xr:uid="{00000000-0004-0000-0200-0000A8000000}"/>
    <hyperlink ref="F140" r:id="rId170" xr:uid="{00000000-0004-0000-0200-0000A9000000}"/>
    <hyperlink ref="E141" r:id="rId171" xr:uid="{00000000-0004-0000-0200-0000AA000000}"/>
    <hyperlink ref="F141" r:id="rId172" xr:uid="{00000000-0004-0000-0200-0000AB000000}"/>
    <hyperlink ref="E142" r:id="rId173" xr:uid="{00000000-0004-0000-0200-0000AC000000}"/>
    <hyperlink ref="F142" r:id="rId174" xr:uid="{00000000-0004-0000-0200-0000AD000000}"/>
    <hyperlink ref="E143" r:id="rId175" xr:uid="{00000000-0004-0000-0200-0000AE000000}"/>
    <hyperlink ref="F143" r:id="rId176" xr:uid="{00000000-0004-0000-0200-0000AF000000}"/>
    <hyperlink ref="E144" r:id="rId177" xr:uid="{00000000-0004-0000-0200-0000B0000000}"/>
    <hyperlink ref="F144" r:id="rId178" xr:uid="{00000000-0004-0000-0200-0000B1000000}"/>
    <hyperlink ref="E145" r:id="rId179" xr:uid="{00000000-0004-0000-0200-0000B2000000}"/>
    <hyperlink ref="F145" r:id="rId180" xr:uid="{00000000-0004-0000-0200-0000B3000000}"/>
    <hyperlink ref="E146" r:id="rId181" xr:uid="{00000000-0004-0000-0200-0000B4000000}"/>
    <hyperlink ref="F146" r:id="rId182" xr:uid="{00000000-0004-0000-0200-0000B5000000}"/>
    <hyperlink ref="E147" r:id="rId183" xr:uid="{00000000-0004-0000-0200-0000B6000000}"/>
    <hyperlink ref="F147" r:id="rId184" xr:uid="{00000000-0004-0000-0200-0000B7000000}"/>
    <hyperlink ref="E148" r:id="rId185" xr:uid="{00000000-0004-0000-0200-0000B8000000}"/>
    <hyperlink ref="F148" r:id="rId186" xr:uid="{00000000-0004-0000-0200-0000B9000000}"/>
    <hyperlink ref="E149" r:id="rId187" xr:uid="{00000000-0004-0000-0200-0000BA000000}"/>
    <hyperlink ref="F149" r:id="rId188" xr:uid="{00000000-0004-0000-0200-0000BB000000}"/>
    <hyperlink ref="E152" r:id="rId189" xr:uid="{00000000-0004-0000-0200-0000BC000000}"/>
    <hyperlink ref="F152" r:id="rId190" xr:uid="{00000000-0004-0000-0200-0000BD000000}"/>
    <hyperlink ref="E153" r:id="rId191" xr:uid="{00000000-0004-0000-0200-0000BE000000}"/>
    <hyperlink ref="F153" r:id="rId192" xr:uid="{00000000-0004-0000-0200-0000BF000000}"/>
    <hyperlink ref="E154" r:id="rId193" xr:uid="{00000000-0004-0000-0200-0000C0000000}"/>
    <hyperlink ref="F154" r:id="rId194" xr:uid="{00000000-0004-0000-0200-0000C1000000}"/>
    <hyperlink ref="E155" r:id="rId195" xr:uid="{00000000-0004-0000-0200-0000C2000000}"/>
    <hyperlink ref="F155" r:id="rId196" xr:uid="{00000000-0004-0000-0200-0000C3000000}"/>
    <hyperlink ref="E156" r:id="rId197" xr:uid="{00000000-0004-0000-0200-0000C4000000}"/>
    <hyperlink ref="F156" r:id="rId198" xr:uid="{00000000-0004-0000-0200-0000C5000000}"/>
    <hyperlink ref="E157" r:id="rId199" xr:uid="{00000000-0004-0000-0200-0000C6000000}"/>
    <hyperlink ref="F157" r:id="rId200" xr:uid="{00000000-0004-0000-0200-0000C7000000}"/>
    <hyperlink ref="E158" r:id="rId201" xr:uid="{00000000-0004-0000-0200-0000C8000000}"/>
    <hyperlink ref="F158" r:id="rId202" xr:uid="{00000000-0004-0000-0200-0000C9000000}"/>
    <hyperlink ref="E159" r:id="rId203" xr:uid="{00000000-0004-0000-0200-0000CA000000}"/>
    <hyperlink ref="F159" r:id="rId204" xr:uid="{00000000-0004-0000-0200-0000CB000000}"/>
    <hyperlink ref="E160" r:id="rId205" xr:uid="{00000000-0004-0000-0200-0000CC000000}"/>
    <hyperlink ref="F160" r:id="rId206" xr:uid="{00000000-0004-0000-0200-0000CD000000}"/>
    <hyperlink ref="E161" r:id="rId207" xr:uid="{00000000-0004-0000-0200-0000CE000000}"/>
    <hyperlink ref="F161" r:id="rId208" xr:uid="{00000000-0004-0000-0200-0000CF000000}"/>
    <hyperlink ref="E162" r:id="rId209" xr:uid="{00000000-0004-0000-0200-0000D0000000}"/>
    <hyperlink ref="F162" r:id="rId210" xr:uid="{00000000-0004-0000-0200-0000D1000000}"/>
    <hyperlink ref="E163" r:id="rId211" xr:uid="{00000000-0004-0000-0200-0000D2000000}"/>
    <hyperlink ref="F163" r:id="rId212" xr:uid="{00000000-0004-0000-0200-0000D3000000}"/>
    <hyperlink ref="E165" r:id="rId213" xr:uid="{00000000-0004-0000-0200-0000D4000000}"/>
    <hyperlink ref="F165" r:id="rId214" xr:uid="{00000000-0004-0000-0200-0000D5000000}"/>
    <hyperlink ref="E166" r:id="rId215" xr:uid="{00000000-0004-0000-0200-0000D6000000}"/>
    <hyperlink ref="F166" r:id="rId216" xr:uid="{00000000-0004-0000-0200-0000D7000000}"/>
    <hyperlink ref="E167" r:id="rId217" xr:uid="{00000000-0004-0000-0200-0000D8000000}"/>
    <hyperlink ref="F167" r:id="rId218" xr:uid="{00000000-0004-0000-0200-0000D9000000}"/>
    <hyperlink ref="E168" r:id="rId219" xr:uid="{00000000-0004-0000-0200-0000DA000000}"/>
    <hyperlink ref="F168" r:id="rId220" xr:uid="{00000000-0004-0000-0200-0000DB000000}"/>
    <hyperlink ref="E169" r:id="rId221" xr:uid="{00000000-0004-0000-0200-0000DC000000}"/>
    <hyperlink ref="F169" r:id="rId222" xr:uid="{00000000-0004-0000-0200-0000DD000000}"/>
    <hyperlink ref="E170" r:id="rId223" xr:uid="{00000000-0004-0000-0200-0000DE000000}"/>
    <hyperlink ref="E171" r:id="rId224" xr:uid="{00000000-0004-0000-0200-0000DF000000}"/>
    <hyperlink ref="F171" r:id="rId225" xr:uid="{00000000-0004-0000-0200-0000E0000000}"/>
    <hyperlink ref="E172" r:id="rId226" xr:uid="{00000000-0004-0000-0200-0000E1000000}"/>
    <hyperlink ref="F172" r:id="rId227" xr:uid="{00000000-0004-0000-0200-0000E2000000}"/>
    <hyperlink ref="E173" r:id="rId228" xr:uid="{00000000-0004-0000-0200-0000E3000000}"/>
    <hyperlink ref="F173" r:id="rId229" xr:uid="{00000000-0004-0000-0200-0000E4000000}"/>
    <hyperlink ref="E174" r:id="rId230" xr:uid="{00000000-0004-0000-0200-0000E5000000}"/>
    <hyperlink ref="F174" r:id="rId231" xr:uid="{00000000-0004-0000-0200-0000E6000000}"/>
    <hyperlink ref="E175" r:id="rId232" xr:uid="{00000000-0004-0000-0200-0000E7000000}"/>
    <hyperlink ref="F175" r:id="rId233" xr:uid="{00000000-0004-0000-0200-0000E8000000}"/>
    <hyperlink ref="E176" r:id="rId234" xr:uid="{00000000-0004-0000-0200-0000E9000000}"/>
    <hyperlink ref="F176" r:id="rId235" xr:uid="{00000000-0004-0000-0200-0000EA000000}"/>
    <hyperlink ref="E177" r:id="rId236" xr:uid="{00000000-0004-0000-0200-0000EB000000}"/>
    <hyperlink ref="F177" r:id="rId237" xr:uid="{00000000-0004-0000-0200-0000EC000000}"/>
    <hyperlink ref="E178" r:id="rId238" xr:uid="{00000000-0004-0000-0200-0000ED000000}"/>
    <hyperlink ref="F178" r:id="rId239" xr:uid="{00000000-0004-0000-0200-0000EE000000}"/>
    <hyperlink ref="E179" r:id="rId240" xr:uid="{00000000-0004-0000-0200-0000EF000000}"/>
    <hyperlink ref="F179" r:id="rId241" xr:uid="{00000000-0004-0000-0200-0000F0000000}"/>
    <hyperlink ref="E180" r:id="rId242" xr:uid="{00000000-0004-0000-0200-0000F1000000}"/>
    <hyperlink ref="F180" r:id="rId243" xr:uid="{00000000-0004-0000-0200-0000F2000000}"/>
    <hyperlink ref="E181" r:id="rId244" xr:uid="{00000000-0004-0000-0200-0000F3000000}"/>
    <hyperlink ref="F181" r:id="rId245" xr:uid="{00000000-0004-0000-0200-0000F4000000}"/>
    <hyperlink ref="E182" r:id="rId246" xr:uid="{00000000-0004-0000-0200-0000F5000000}"/>
    <hyperlink ref="F182" r:id="rId247" xr:uid="{00000000-0004-0000-0200-0000F6000000}"/>
    <hyperlink ref="E183" r:id="rId248" xr:uid="{00000000-0004-0000-0200-0000F7000000}"/>
    <hyperlink ref="F183" r:id="rId249" xr:uid="{00000000-0004-0000-0200-0000F8000000}"/>
    <hyperlink ref="E184" r:id="rId250" xr:uid="{00000000-0004-0000-0200-0000F9000000}"/>
    <hyperlink ref="F184" r:id="rId251" xr:uid="{00000000-0004-0000-0200-0000FA000000}"/>
    <hyperlink ref="E185" r:id="rId252" xr:uid="{00000000-0004-0000-0200-0000FB000000}"/>
    <hyperlink ref="F185" r:id="rId253" xr:uid="{00000000-0004-0000-0200-0000FC000000}"/>
    <hyperlink ref="E186" r:id="rId254" xr:uid="{00000000-0004-0000-0200-0000FD000000}"/>
    <hyperlink ref="F186" r:id="rId255" xr:uid="{00000000-0004-0000-0200-0000FE000000}"/>
    <hyperlink ref="E187" r:id="rId256" xr:uid="{00000000-0004-0000-0200-0000FF000000}"/>
    <hyperlink ref="F187" r:id="rId257" xr:uid="{00000000-0004-0000-0200-000000010000}"/>
    <hyperlink ref="E188" r:id="rId258" xr:uid="{00000000-0004-0000-0200-000001010000}"/>
    <hyperlink ref="F188" r:id="rId259" xr:uid="{00000000-0004-0000-0200-000002010000}"/>
    <hyperlink ref="E190" r:id="rId260" xr:uid="{00000000-0004-0000-0200-000003010000}"/>
    <hyperlink ref="F190" r:id="rId261" xr:uid="{00000000-0004-0000-0200-000004010000}"/>
    <hyperlink ref="E191" r:id="rId262" xr:uid="{00000000-0004-0000-0200-000005010000}"/>
    <hyperlink ref="F191" r:id="rId263" xr:uid="{00000000-0004-0000-0200-000006010000}"/>
    <hyperlink ref="E197" r:id="rId264" xr:uid="{00000000-0004-0000-0200-000007010000}"/>
    <hyperlink ref="F197" r:id="rId265" xr:uid="{00000000-0004-0000-0200-000008010000}"/>
    <hyperlink ref="E198" r:id="rId266" xr:uid="{00000000-0004-0000-0200-000009010000}"/>
    <hyperlink ref="F198" r:id="rId267" xr:uid="{00000000-0004-0000-0200-00000A010000}"/>
    <hyperlink ref="E199" r:id="rId268" xr:uid="{00000000-0004-0000-0200-00000B010000}"/>
    <hyperlink ref="E200" r:id="rId269" xr:uid="{00000000-0004-0000-0200-00000C010000}"/>
    <hyperlink ref="E201" r:id="rId270" xr:uid="{00000000-0004-0000-0200-00000D010000}"/>
    <hyperlink ref="E202" r:id="rId271" xr:uid="{00000000-0004-0000-0200-00000E010000}"/>
    <hyperlink ref="F202" r:id="rId272" xr:uid="{00000000-0004-0000-0200-00000F010000}"/>
    <hyperlink ref="E205" r:id="rId273" xr:uid="{00000000-0004-0000-0200-000010010000}"/>
    <hyperlink ref="E209" r:id="rId274" xr:uid="{00000000-0004-0000-0200-000011010000}"/>
    <hyperlink ref="E211" r:id="rId275" xr:uid="{00000000-0004-0000-0200-000012010000}"/>
    <hyperlink ref="F211" r:id="rId276" xr:uid="{00000000-0004-0000-0200-000013010000}"/>
    <hyperlink ref="E212" r:id="rId277" xr:uid="{00000000-0004-0000-0200-000014010000}"/>
    <hyperlink ref="F212" r:id="rId278" xr:uid="{00000000-0004-0000-0200-000015010000}"/>
    <hyperlink ref="E213" r:id="rId279" xr:uid="{00000000-0004-0000-0200-000016010000}"/>
    <hyperlink ref="F213" r:id="rId280" xr:uid="{00000000-0004-0000-0200-000017010000}"/>
    <hyperlink ref="E218" r:id="rId281" xr:uid="{00000000-0004-0000-0200-000018010000}"/>
    <hyperlink ref="F218" r:id="rId282" xr:uid="{00000000-0004-0000-0200-000019010000}"/>
    <hyperlink ref="E221" r:id="rId283" xr:uid="{00000000-0004-0000-0200-00001A010000}"/>
    <hyperlink ref="F221" r:id="rId284" xr:uid="{00000000-0004-0000-0200-00001B010000}"/>
    <hyperlink ref="E222" r:id="rId285" xr:uid="{00000000-0004-0000-0200-00001C010000}"/>
    <hyperlink ref="E223" r:id="rId286" xr:uid="{00000000-0004-0000-0200-00001D010000}"/>
    <hyperlink ref="F223" r:id="rId287" xr:uid="{00000000-0004-0000-0200-00001E010000}"/>
    <hyperlink ref="E228" r:id="rId288" xr:uid="{00000000-0004-0000-0200-00001F010000}"/>
    <hyperlink ref="F228" r:id="rId289" xr:uid="{00000000-0004-0000-0200-000020010000}"/>
    <hyperlink ref="E229" r:id="rId290" xr:uid="{00000000-0004-0000-0200-000021010000}"/>
    <hyperlink ref="F229" r:id="rId291" xr:uid="{00000000-0004-0000-0200-000022010000}"/>
    <hyperlink ref="E232" r:id="rId292" xr:uid="{00000000-0004-0000-0200-000023010000}"/>
    <hyperlink ref="F232" r:id="rId293" xr:uid="{00000000-0004-0000-0200-000024010000}"/>
    <hyperlink ref="E233" r:id="rId294" xr:uid="{00000000-0004-0000-0200-000025010000}"/>
    <hyperlink ref="F233" r:id="rId295" xr:uid="{00000000-0004-0000-0200-000026010000}"/>
    <hyperlink ref="E234" r:id="rId296" xr:uid="{00000000-0004-0000-0200-000027010000}"/>
    <hyperlink ref="F234" r:id="rId297" xr:uid="{00000000-0004-0000-0200-000028010000}"/>
    <hyperlink ref="E235" r:id="rId298" xr:uid="{00000000-0004-0000-0200-000029010000}"/>
    <hyperlink ref="F235" r:id="rId299" xr:uid="{00000000-0004-0000-0200-00002A010000}"/>
    <hyperlink ref="E236" r:id="rId300" xr:uid="{00000000-0004-0000-0200-00002B010000}"/>
    <hyperlink ref="F236" r:id="rId301" xr:uid="{00000000-0004-0000-0200-00002C010000}"/>
    <hyperlink ref="E241" r:id="rId302" xr:uid="{00000000-0004-0000-0200-00002D010000}"/>
    <hyperlink ref="F241" r:id="rId303" xr:uid="{00000000-0004-0000-0200-00002E010000}"/>
    <hyperlink ref="E242" r:id="rId304" xr:uid="{00000000-0004-0000-0200-00002F010000}"/>
    <hyperlink ref="F242" r:id="rId305" xr:uid="{00000000-0004-0000-0200-000030010000}"/>
    <hyperlink ref="E243" r:id="rId306" xr:uid="{00000000-0004-0000-0200-000031010000}"/>
    <hyperlink ref="E249" r:id="rId307" xr:uid="{00000000-0004-0000-0200-000032010000}"/>
    <hyperlink ref="F249" r:id="rId308" xr:uid="{00000000-0004-0000-0200-000033010000}"/>
    <hyperlink ref="E251" r:id="rId309" xr:uid="{00000000-0004-0000-0200-000034010000}"/>
    <hyperlink ref="F251" r:id="rId310" xr:uid="{00000000-0004-0000-0200-000035010000}"/>
    <hyperlink ref="E259" r:id="rId311" xr:uid="{00000000-0004-0000-0200-000036010000}"/>
    <hyperlink ref="E261" r:id="rId312" xr:uid="{00000000-0004-0000-0200-000037010000}"/>
    <hyperlink ref="F261" r:id="rId313" xr:uid="{00000000-0004-0000-0200-000038010000}"/>
    <hyperlink ref="E264" r:id="rId314" xr:uid="{00000000-0004-0000-0200-000039010000}"/>
    <hyperlink ref="F264" r:id="rId315" xr:uid="{00000000-0004-0000-0200-00003A010000}"/>
    <hyperlink ref="E265" r:id="rId316" xr:uid="{00000000-0004-0000-0200-00003B010000}"/>
    <hyperlink ref="F265" r:id="rId317" xr:uid="{00000000-0004-0000-0200-00003C010000}"/>
    <hyperlink ref="E268" r:id="rId318" xr:uid="{00000000-0004-0000-0200-00003D010000}"/>
    <hyperlink ref="E277" r:id="rId319" xr:uid="{00000000-0004-0000-0200-00003E010000}"/>
    <hyperlink ref="E278" r:id="rId320" xr:uid="{00000000-0004-0000-0200-00003F010000}"/>
    <hyperlink ref="E279" r:id="rId321" xr:uid="{00000000-0004-0000-0200-000040010000}"/>
    <hyperlink ref="F279" r:id="rId322" xr:uid="{00000000-0004-0000-0200-000041010000}"/>
    <hyperlink ref="E281" r:id="rId323" xr:uid="{00000000-0004-0000-0200-000042010000}"/>
    <hyperlink ref="F281" r:id="rId324" xr:uid="{00000000-0004-0000-0200-000043010000}"/>
    <hyperlink ref="E282" r:id="rId325" xr:uid="{00000000-0004-0000-0200-000044010000}"/>
    <hyperlink ref="F282" r:id="rId326" xr:uid="{00000000-0004-0000-0200-000045010000}"/>
    <hyperlink ref="E285" r:id="rId327" xr:uid="{00000000-0004-0000-0200-000046010000}"/>
    <hyperlink ref="F285" r:id="rId328" xr:uid="{00000000-0004-0000-0200-000047010000}"/>
    <hyperlink ref="E287" r:id="rId329" xr:uid="{00000000-0004-0000-0200-000048010000}"/>
    <hyperlink ref="F287" r:id="rId330" xr:uid="{00000000-0004-0000-0200-000049010000}"/>
    <hyperlink ref="E288" r:id="rId331" xr:uid="{00000000-0004-0000-0200-00004A010000}"/>
    <hyperlink ref="F288" r:id="rId332" xr:uid="{00000000-0004-0000-0200-00004B010000}"/>
    <hyperlink ref="E289" r:id="rId333" xr:uid="{00000000-0004-0000-0200-00004C010000}"/>
    <hyperlink ref="F289" r:id="rId334" xr:uid="{00000000-0004-0000-0200-00004D010000}"/>
    <hyperlink ref="E290" r:id="rId335" xr:uid="{00000000-0004-0000-0200-00004E010000}"/>
    <hyperlink ref="E297" r:id="rId336" xr:uid="{00000000-0004-0000-0200-00004F010000}"/>
    <hyperlink ref="E299" r:id="rId337" xr:uid="{00000000-0004-0000-0200-000050010000}"/>
    <hyperlink ref="F299" r:id="rId338" xr:uid="{00000000-0004-0000-0200-000051010000}"/>
    <hyperlink ref="E300" r:id="rId339" xr:uid="{00000000-0004-0000-0200-000052010000}"/>
    <hyperlink ref="F300" r:id="rId340" xr:uid="{00000000-0004-0000-0200-000053010000}"/>
    <hyperlink ref="E301" r:id="rId341" xr:uid="{00000000-0004-0000-0200-000054010000}"/>
    <hyperlink ref="F301" r:id="rId342" xr:uid="{00000000-0004-0000-0200-000055010000}"/>
    <hyperlink ref="E302" r:id="rId343" xr:uid="{00000000-0004-0000-0200-000056010000}"/>
    <hyperlink ref="F302" r:id="rId344" xr:uid="{00000000-0004-0000-0200-000057010000}"/>
    <hyperlink ref="E307" r:id="rId345" xr:uid="{00000000-0004-0000-0200-000058010000}"/>
    <hyperlink ref="F307" r:id="rId346" xr:uid="{00000000-0004-0000-0200-000059010000}"/>
    <hyperlink ref="E308" r:id="rId347" xr:uid="{00000000-0004-0000-0200-00005A010000}"/>
    <hyperlink ref="F308" r:id="rId348" xr:uid="{00000000-0004-0000-0200-00005B010000}"/>
    <hyperlink ref="E309" r:id="rId349" xr:uid="{00000000-0004-0000-0200-00005C010000}"/>
    <hyperlink ref="F309" r:id="rId350" xr:uid="{00000000-0004-0000-0200-00005D010000}"/>
    <hyperlink ref="E310" r:id="rId351" xr:uid="{00000000-0004-0000-0200-00005E010000}"/>
    <hyperlink ref="F310" r:id="rId352" xr:uid="{00000000-0004-0000-0200-00005F010000}"/>
    <hyperlink ref="E311" r:id="rId353" xr:uid="{00000000-0004-0000-0200-000060010000}"/>
    <hyperlink ref="F311" r:id="rId354" xr:uid="{00000000-0004-0000-0200-000061010000}"/>
    <hyperlink ref="E312" r:id="rId355" xr:uid="{00000000-0004-0000-0200-000062010000}"/>
    <hyperlink ref="F312" r:id="rId356" xr:uid="{00000000-0004-0000-0200-000063010000}"/>
    <hyperlink ref="E313" r:id="rId357" xr:uid="{00000000-0004-0000-0200-000064010000}"/>
    <hyperlink ref="F313" r:id="rId358" xr:uid="{00000000-0004-0000-0200-000065010000}"/>
    <hyperlink ref="E314" r:id="rId359" xr:uid="{00000000-0004-0000-0200-000066010000}"/>
    <hyperlink ref="F314" r:id="rId360" xr:uid="{00000000-0004-0000-0200-000067010000}"/>
    <hyperlink ref="E315" r:id="rId361" xr:uid="{00000000-0004-0000-0200-000068010000}"/>
    <hyperlink ref="F315" r:id="rId362" xr:uid="{00000000-0004-0000-0200-000069010000}"/>
    <hyperlink ref="E316" r:id="rId363" xr:uid="{00000000-0004-0000-0200-00006A010000}"/>
    <hyperlink ref="F316" r:id="rId364" xr:uid="{00000000-0004-0000-0200-00006B010000}"/>
    <hyperlink ref="E317" r:id="rId365" xr:uid="{00000000-0004-0000-0200-00006C010000}"/>
    <hyperlink ref="F317" r:id="rId366" xr:uid="{00000000-0004-0000-0200-00006D010000}"/>
    <hyperlink ref="E318" r:id="rId367" xr:uid="{00000000-0004-0000-0200-00006E010000}"/>
    <hyperlink ref="F318" r:id="rId368" xr:uid="{00000000-0004-0000-0200-00006F010000}"/>
    <hyperlink ref="E319" r:id="rId369" xr:uid="{00000000-0004-0000-0200-000070010000}"/>
    <hyperlink ref="F319" r:id="rId370" xr:uid="{00000000-0004-0000-0200-000071010000}"/>
    <hyperlink ref="E320" r:id="rId371" xr:uid="{00000000-0004-0000-0200-000072010000}"/>
    <hyperlink ref="F320" r:id="rId372" xr:uid="{00000000-0004-0000-0200-000073010000}"/>
    <hyperlink ref="E321" r:id="rId373" xr:uid="{00000000-0004-0000-0200-000074010000}"/>
    <hyperlink ref="F321" r:id="rId374" xr:uid="{00000000-0004-0000-0200-000075010000}"/>
    <hyperlink ref="E325" r:id="rId375" xr:uid="{00000000-0004-0000-0200-000076010000}"/>
    <hyperlink ref="F325" r:id="rId376" xr:uid="{00000000-0004-0000-0200-000077010000}"/>
    <hyperlink ref="E326" r:id="rId377" xr:uid="{00000000-0004-0000-0200-000078010000}"/>
    <hyperlink ref="F326" r:id="rId378" xr:uid="{00000000-0004-0000-0200-000079010000}"/>
    <hyperlink ref="E327" r:id="rId379" xr:uid="{00000000-0004-0000-0200-00007A010000}"/>
    <hyperlink ref="F327" r:id="rId380" xr:uid="{00000000-0004-0000-0200-00007B010000}"/>
    <hyperlink ref="E328" r:id="rId381" xr:uid="{00000000-0004-0000-0200-00007C010000}"/>
    <hyperlink ref="F328" r:id="rId382" xr:uid="{00000000-0004-0000-0200-00007D010000}"/>
    <hyperlink ref="E329" r:id="rId383" xr:uid="{00000000-0004-0000-0200-00007E010000}"/>
    <hyperlink ref="F329" r:id="rId384" xr:uid="{00000000-0004-0000-0200-00007F010000}"/>
    <hyperlink ref="E330" r:id="rId385" xr:uid="{00000000-0004-0000-0200-000080010000}"/>
    <hyperlink ref="F330" r:id="rId386" xr:uid="{00000000-0004-0000-0200-000081010000}"/>
    <hyperlink ref="E331" r:id="rId387" xr:uid="{00000000-0004-0000-0200-000082010000}"/>
    <hyperlink ref="F331" r:id="rId388" xr:uid="{00000000-0004-0000-0200-000083010000}"/>
    <hyperlink ref="E332" r:id="rId389" xr:uid="{00000000-0004-0000-0200-000084010000}"/>
    <hyperlink ref="F332" r:id="rId390" xr:uid="{00000000-0004-0000-0200-000085010000}"/>
    <hyperlink ref="E333" r:id="rId391" xr:uid="{00000000-0004-0000-0200-000086010000}"/>
    <hyperlink ref="F333" r:id="rId392" xr:uid="{00000000-0004-0000-0200-000087010000}"/>
    <hyperlink ref="E334" r:id="rId393" xr:uid="{00000000-0004-0000-0200-000088010000}"/>
    <hyperlink ref="F334" r:id="rId394" xr:uid="{00000000-0004-0000-0200-000089010000}"/>
    <hyperlink ref="E335" r:id="rId395" xr:uid="{00000000-0004-0000-0200-00008A010000}"/>
    <hyperlink ref="F335" r:id="rId396" xr:uid="{00000000-0004-0000-0200-00008B010000}"/>
    <hyperlink ref="E336" r:id="rId397" xr:uid="{00000000-0004-0000-0200-00008C010000}"/>
    <hyperlink ref="F336" r:id="rId398" xr:uid="{00000000-0004-0000-0200-00008D010000}"/>
    <hyperlink ref="E337" r:id="rId399" xr:uid="{00000000-0004-0000-0200-00008E010000}"/>
    <hyperlink ref="F337" r:id="rId400" xr:uid="{00000000-0004-0000-0200-00008F010000}"/>
    <hyperlink ref="E338" r:id="rId401" xr:uid="{00000000-0004-0000-0200-000090010000}"/>
    <hyperlink ref="F338" r:id="rId402" xr:uid="{00000000-0004-0000-0200-000091010000}"/>
    <hyperlink ref="E339" r:id="rId403" xr:uid="{00000000-0004-0000-0200-000092010000}"/>
    <hyperlink ref="F339" r:id="rId404" xr:uid="{00000000-0004-0000-0200-000093010000}"/>
    <hyperlink ref="E340" r:id="rId405" xr:uid="{00000000-0004-0000-0200-000094010000}"/>
    <hyperlink ref="F340" r:id="rId406" xr:uid="{00000000-0004-0000-0200-000095010000}"/>
    <hyperlink ref="E341" r:id="rId407" xr:uid="{00000000-0004-0000-0200-000096010000}"/>
    <hyperlink ref="F341" r:id="rId408" xr:uid="{00000000-0004-0000-0200-000097010000}"/>
    <hyperlink ref="E342" r:id="rId409" xr:uid="{00000000-0004-0000-0200-000098010000}"/>
    <hyperlink ref="F342" r:id="rId410" xr:uid="{00000000-0004-0000-0200-000099010000}"/>
    <hyperlink ref="E343" r:id="rId411" xr:uid="{00000000-0004-0000-0200-00009A010000}"/>
    <hyperlink ref="F343" r:id="rId412" xr:uid="{00000000-0004-0000-0200-00009B010000}"/>
    <hyperlink ref="E344" r:id="rId413" xr:uid="{00000000-0004-0000-0200-00009C010000}"/>
    <hyperlink ref="E347" r:id="rId414" xr:uid="{00000000-0004-0000-0200-00009D010000}"/>
    <hyperlink ref="E349" r:id="rId415" xr:uid="{00000000-0004-0000-0200-00009E010000}"/>
    <hyperlink ref="F349" r:id="rId416" xr:uid="{00000000-0004-0000-0200-00009F010000}"/>
    <hyperlink ref="E350" r:id="rId417" xr:uid="{00000000-0004-0000-0200-0000A0010000}"/>
    <hyperlink ref="E353" r:id="rId418" xr:uid="{00000000-0004-0000-0200-0000A1010000}"/>
    <hyperlink ref="F353" r:id="rId419" xr:uid="{00000000-0004-0000-0200-0000A2010000}"/>
    <hyperlink ref="E354" r:id="rId420" xr:uid="{00000000-0004-0000-0200-0000A3010000}"/>
    <hyperlink ref="F354" r:id="rId421" xr:uid="{00000000-0004-0000-0200-0000A4010000}"/>
    <hyperlink ref="E355" r:id="rId422" xr:uid="{00000000-0004-0000-0200-0000A5010000}"/>
    <hyperlink ref="F355" r:id="rId423" xr:uid="{00000000-0004-0000-0200-0000A6010000}"/>
    <hyperlink ref="E356" r:id="rId424" xr:uid="{00000000-0004-0000-0200-0000A7010000}"/>
    <hyperlink ref="F356" r:id="rId425" xr:uid="{00000000-0004-0000-0200-0000A8010000}"/>
    <hyperlink ref="E357" r:id="rId426" xr:uid="{00000000-0004-0000-0200-0000A9010000}"/>
    <hyperlink ref="F357" r:id="rId427" xr:uid="{00000000-0004-0000-0200-0000AA010000}"/>
    <hyperlink ref="E358" r:id="rId428" xr:uid="{00000000-0004-0000-0200-0000AB010000}"/>
    <hyperlink ref="F358" r:id="rId429" xr:uid="{00000000-0004-0000-0200-0000AC010000}"/>
    <hyperlink ref="E361" r:id="rId430" xr:uid="{00000000-0004-0000-0200-0000AD010000}"/>
    <hyperlink ref="F361" r:id="rId431" xr:uid="{00000000-0004-0000-0200-0000AE010000}"/>
    <hyperlink ref="E362" r:id="rId432" xr:uid="{00000000-0004-0000-0200-0000AF010000}"/>
    <hyperlink ref="F362" r:id="rId433" xr:uid="{00000000-0004-0000-0200-0000B0010000}"/>
    <hyperlink ref="E363" r:id="rId434" xr:uid="{00000000-0004-0000-0200-0000B1010000}"/>
    <hyperlink ref="F363" r:id="rId435" xr:uid="{00000000-0004-0000-0200-0000B2010000}"/>
    <hyperlink ref="E364" r:id="rId436" xr:uid="{00000000-0004-0000-0200-0000B3010000}"/>
    <hyperlink ref="F364" r:id="rId437" xr:uid="{00000000-0004-0000-0200-0000B4010000}"/>
    <hyperlink ref="E365" r:id="rId438" xr:uid="{00000000-0004-0000-0200-0000B5010000}"/>
    <hyperlink ref="F365" r:id="rId439" xr:uid="{00000000-0004-0000-0200-0000B6010000}"/>
    <hyperlink ref="E366" r:id="rId440" xr:uid="{00000000-0004-0000-0200-0000B7010000}"/>
    <hyperlink ref="F366" r:id="rId441" xr:uid="{00000000-0004-0000-0200-0000B8010000}"/>
    <hyperlink ref="E367" r:id="rId442" xr:uid="{00000000-0004-0000-0200-0000B9010000}"/>
    <hyperlink ref="F367" r:id="rId443" xr:uid="{00000000-0004-0000-0200-0000BA010000}"/>
    <hyperlink ref="E370" r:id="rId444" xr:uid="{00000000-0004-0000-0200-0000BB010000}"/>
    <hyperlink ref="E371" r:id="rId445" xr:uid="{00000000-0004-0000-0200-0000BC010000}"/>
    <hyperlink ref="F371" r:id="rId446" xr:uid="{00000000-0004-0000-0200-0000BD010000}"/>
    <hyperlink ref="E372" r:id="rId447" xr:uid="{00000000-0004-0000-0200-0000BE010000}"/>
    <hyperlink ref="F372" r:id="rId448" xr:uid="{00000000-0004-0000-0200-0000BF010000}"/>
    <hyperlink ref="E373" r:id="rId449" xr:uid="{00000000-0004-0000-0200-0000C0010000}"/>
    <hyperlink ref="F373" r:id="rId450" xr:uid="{00000000-0004-0000-0200-0000C1010000}"/>
    <hyperlink ref="E374" r:id="rId451" xr:uid="{00000000-0004-0000-0200-0000C2010000}"/>
    <hyperlink ref="F374" r:id="rId452" xr:uid="{00000000-0004-0000-0200-0000C3010000}"/>
    <hyperlink ref="E375" r:id="rId453" xr:uid="{00000000-0004-0000-0200-0000C4010000}"/>
    <hyperlink ref="F375" r:id="rId454" xr:uid="{00000000-0004-0000-0200-0000C5010000}"/>
    <hyperlink ref="E376" r:id="rId455" xr:uid="{00000000-0004-0000-0200-0000C6010000}"/>
    <hyperlink ref="F376" r:id="rId456" xr:uid="{00000000-0004-0000-0200-0000C7010000}"/>
    <hyperlink ref="E377" r:id="rId457" xr:uid="{00000000-0004-0000-0200-0000C8010000}"/>
    <hyperlink ref="F377" r:id="rId458" xr:uid="{00000000-0004-0000-0200-0000C9010000}"/>
    <hyperlink ref="E378" r:id="rId459" xr:uid="{00000000-0004-0000-0200-0000CA010000}"/>
    <hyperlink ref="F378" r:id="rId460" xr:uid="{00000000-0004-0000-0200-0000CB010000}"/>
    <hyperlink ref="E379" r:id="rId461" xr:uid="{00000000-0004-0000-0200-0000CC010000}"/>
    <hyperlink ref="F379" r:id="rId462" xr:uid="{00000000-0004-0000-0200-0000CD010000}"/>
    <hyperlink ref="E380" r:id="rId463" xr:uid="{00000000-0004-0000-0200-0000CE010000}"/>
    <hyperlink ref="F380" r:id="rId464" xr:uid="{00000000-0004-0000-0200-0000CF010000}"/>
    <hyperlink ref="E381" r:id="rId465" xr:uid="{00000000-0004-0000-0200-0000D0010000}"/>
    <hyperlink ref="F381" r:id="rId466" xr:uid="{00000000-0004-0000-0200-0000D1010000}"/>
    <hyperlink ref="E382" r:id="rId467" xr:uid="{00000000-0004-0000-0200-0000D2010000}"/>
    <hyperlink ref="F382" r:id="rId468" xr:uid="{00000000-0004-0000-0200-0000D3010000}"/>
    <hyperlink ref="E383" r:id="rId469" xr:uid="{00000000-0004-0000-0200-0000D4010000}"/>
    <hyperlink ref="F383" r:id="rId470" xr:uid="{00000000-0004-0000-0200-0000D5010000}"/>
    <hyperlink ref="E384" r:id="rId471" xr:uid="{00000000-0004-0000-0200-0000D6010000}"/>
    <hyperlink ref="F384" r:id="rId472" xr:uid="{00000000-0004-0000-0200-0000D7010000}"/>
    <hyperlink ref="E385" r:id="rId473" xr:uid="{00000000-0004-0000-0200-0000D8010000}"/>
    <hyperlink ref="F385" r:id="rId474" xr:uid="{00000000-0004-0000-0200-0000D9010000}"/>
    <hyperlink ref="E386" r:id="rId475" xr:uid="{00000000-0004-0000-0200-0000DA010000}"/>
    <hyperlink ref="F386" r:id="rId476" xr:uid="{00000000-0004-0000-0200-0000DB010000}"/>
    <hyperlink ref="E387" r:id="rId477" xr:uid="{00000000-0004-0000-0200-0000DC010000}"/>
    <hyperlink ref="F387" r:id="rId478" xr:uid="{00000000-0004-0000-0200-0000DD010000}"/>
    <hyperlink ref="E388" r:id="rId479" xr:uid="{00000000-0004-0000-0200-0000DE010000}"/>
    <hyperlink ref="F388" r:id="rId480" xr:uid="{00000000-0004-0000-0200-0000DF010000}"/>
    <hyperlink ref="E389" r:id="rId481" xr:uid="{00000000-0004-0000-0200-0000E0010000}"/>
    <hyperlink ref="F389" r:id="rId482" xr:uid="{00000000-0004-0000-0200-0000E1010000}"/>
    <hyperlink ref="E390" r:id="rId483" xr:uid="{00000000-0004-0000-0200-0000E2010000}"/>
    <hyperlink ref="F390" r:id="rId484" xr:uid="{00000000-0004-0000-0200-0000E3010000}"/>
    <hyperlink ref="E391" r:id="rId485" xr:uid="{00000000-0004-0000-0200-0000E4010000}"/>
    <hyperlink ref="F391" r:id="rId486" xr:uid="{00000000-0004-0000-0200-0000E5010000}"/>
    <hyperlink ref="E392" r:id="rId487" xr:uid="{00000000-0004-0000-0200-0000E6010000}"/>
    <hyperlink ref="F392" r:id="rId488" xr:uid="{00000000-0004-0000-0200-0000E7010000}"/>
    <hyperlink ref="E393" r:id="rId489" xr:uid="{00000000-0004-0000-0200-0000E8010000}"/>
    <hyperlink ref="F393" r:id="rId490" xr:uid="{00000000-0004-0000-0200-0000E9010000}"/>
    <hyperlink ref="E394" r:id="rId491" xr:uid="{00000000-0004-0000-0200-0000EA010000}"/>
    <hyperlink ref="F394" r:id="rId492" xr:uid="{00000000-0004-0000-0200-0000EB010000}"/>
    <hyperlink ref="E395" r:id="rId493" xr:uid="{00000000-0004-0000-0200-0000EC010000}"/>
    <hyperlink ref="F395" r:id="rId494" xr:uid="{00000000-0004-0000-0200-0000ED010000}"/>
    <hyperlink ref="E396" r:id="rId495" xr:uid="{00000000-0004-0000-0200-0000EE010000}"/>
    <hyperlink ref="F396" r:id="rId496" xr:uid="{00000000-0004-0000-0200-0000EF010000}"/>
    <hyperlink ref="E397" r:id="rId497" xr:uid="{00000000-0004-0000-0200-0000F0010000}"/>
    <hyperlink ref="F397" r:id="rId498" xr:uid="{00000000-0004-0000-0200-0000F1010000}"/>
    <hyperlink ref="E398" r:id="rId499" xr:uid="{00000000-0004-0000-0200-0000F2010000}"/>
    <hyperlink ref="F398" r:id="rId500" xr:uid="{00000000-0004-0000-0200-0000F3010000}"/>
    <hyperlink ref="E400" r:id="rId501" xr:uid="{00000000-0004-0000-0200-0000F4010000}"/>
    <hyperlink ref="F400" r:id="rId502" xr:uid="{00000000-0004-0000-0200-0000F5010000}"/>
    <hyperlink ref="E401" r:id="rId503" xr:uid="{00000000-0004-0000-0200-0000F6010000}"/>
    <hyperlink ref="F401" r:id="rId504" xr:uid="{00000000-0004-0000-0200-0000F7010000}"/>
    <hyperlink ref="E403" r:id="rId505" xr:uid="{00000000-0004-0000-0200-0000F8010000}"/>
    <hyperlink ref="E406" r:id="rId506" xr:uid="{00000000-0004-0000-0200-0000F9010000}"/>
    <hyperlink ref="F406" r:id="rId507" xr:uid="{00000000-0004-0000-0200-0000FA010000}"/>
    <hyperlink ref="E407" r:id="rId508" xr:uid="{00000000-0004-0000-0200-0000FB010000}"/>
    <hyperlink ref="F407" r:id="rId509" xr:uid="{00000000-0004-0000-0200-0000FC010000}"/>
    <hyperlink ref="E408" r:id="rId510" xr:uid="{00000000-0004-0000-0200-0000FD010000}"/>
    <hyperlink ref="F408" r:id="rId511" xr:uid="{00000000-0004-0000-0200-0000FE010000}"/>
    <hyperlink ref="E409" r:id="rId512" xr:uid="{00000000-0004-0000-0200-0000FF010000}"/>
    <hyperlink ref="F409" r:id="rId513" xr:uid="{00000000-0004-0000-0200-000000020000}"/>
    <hyperlink ref="E411" r:id="rId514" xr:uid="{00000000-0004-0000-0200-000001020000}"/>
    <hyperlink ref="F411" r:id="rId515" xr:uid="{00000000-0004-0000-0200-000002020000}"/>
    <hyperlink ref="E413" r:id="rId516" xr:uid="{00000000-0004-0000-0200-000003020000}"/>
    <hyperlink ref="E421" r:id="rId517" xr:uid="{00000000-0004-0000-0200-000004020000}"/>
    <hyperlink ref="E428" r:id="rId518" xr:uid="{00000000-0004-0000-0200-000005020000}"/>
    <hyperlink ref="F428" r:id="rId519" xr:uid="{00000000-0004-0000-0200-000006020000}"/>
    <hyperlink ref="E429" r:id="rId520" xr:uid="{00000000-0004-0000-0200-000007020000}"/>
    <hyperlink ref="F429" r:id="rId521" xr:uid="{00000000-0004-0000-0200-000008020000}"/>
    <hyperlink ref="E430" r:id="rId522" xr:uid="{00000000-0004-0000-0200-000009020000}"/>
    <hyperlink ref="F430" r:id="rId523" xr:uid="{00000000-0004-0000-0200-00000A020000}"/>
    <hyperlink ref="E431" r:id="rId524" xr:uid="{00000000-0004-0000-0200-00000B020000}"/>
    <hyperlink ref="F431" r:id="rId525" xr:uid="{00000000-0004-0000-0200-00000C020000}"/>
    <hyperlink ref="E432" r:id="rId526" xr:uid="{00000000-0004-0000-0200-00000D020000}"/>
    <hyperlink ref="F432" r:id="rId527" xr:uid="{00000000-0004-0000-0200-00000E020000}"/>
    <hyperlink ref="E433" r:id="rId528" xr:uid="{00000000-0004-0000-0200-00000F020000}"/>
    <hyperlink ref="F433" r:id="rId529" xr:uid="{00000000-0004-0000-0200-000010020000}"/>
    <hyperlink ref="E438" r:id="rId530" xr:uid="{00000000-0004-0000-0200-000011020000}"/>
    <hyperlink ref="F438" r:id="rId531" xr:uid="{00000000-0004-0000-0200-000012020000}"/>
    <hyperlink ref="E439" r:id="rId532" xr:uid="{00000000-0004-0000-0200-000013020000}"/>
    <hyperlink ref="F439" r:id="rId533" xr:uid="{00000000-0004-0000-0200-000014020000}"/>
    <hyperlink ref="E440" r:id="rId534" xr:uid="{00000000-0004-0000-0200-000015020000}"/>
    <hyperlink ref="F440" r:id="rId535" xr:uid="{00000000-0004-0000-0200-000016020000}"/>
    <hyperlink ref="E464" r:id="rId536" xr:uid="{00000000-0004-0000-0200-000017020000}"/>
    <hyperlink ref="F464" r:id="rId537" xr:uid="{00000000-0004-0000-0200-000018020000}"/>
    <hyperlink ref="E466" r:id="rId538" xr:uid="{00000000-0004-0000-0200-000019020000}"/>
    <hyperlink ref="F466" r:id="rId539" xr:uid="{00000000-0004-0000-0200-00001A020000}"/>
    <hyperlink ref="E467" r:id="rId540" xr:uid="{00000000-0004-0000-0200-00001B020000}"/>
    <hyperlink ref="F467" r:id="rId541" xr:uid="{00000000-0004-0000-0200-00001C020000}"/>
    <hyperlink ref="E468" r:id="rId542" xr:uid="{00000000-0004-0000-0200-00001D020000}"/>
    <hyperlink ref="F468" r:id="rId543" xr:uid="{00000000-0004-0000-0200-00001E020000}"/>
    <hyperlink ref="E469" r:id="rId544" xr:uid="{00000000-0004-0000-0200-00001F020000}"/>
    <hyperlink ref="F469" r:id="rId545" xr:uid="{00000000-0004-0000-0200-000020020000}"/>
    <hyperlink ref="E470" r:id="rId546" xr:uid="{00000000-0004-0000-0200-000021020000}"/>
    <hyperlink ref="F470" r:id="rId547" xr:uid="{00000000-0004-0000-0200-000022020000}"/>
    <hyperlink ref="E475" r:id="rId548" xr:uid="{00000000-0004-0000-0200-000023020000}"/>
    <hyperlink ref="F475" r:id="rId549" xr:uid="{00000000-0004-0000-0200-000024020000}"/>
    <hyperlink ref="E476" r:id="rId550" xr:uid="{00000000-0004-0000-0200-000025020000}"/>
    <hyperlink ref="F476" r:id="rId551" xr:uid="{00000000-0004-0000-0200-000026020000}"/>
    <hyperlink ref="E477" r:id="rId552" xr:uid="{00000000-0004-0000-0200-000027020000}"/>
    <hyperlink ref="F477" r:id="rId553" xr:uid="{00000000-0004-0000-0200-000028020000}"/>
    <hyperlink ref="E478" r:id="rId554" xr:uid="{00000000-0004-0000-0200-000029020000}"/>
    <hyperlink ref="F478" r:id="rId555" xr:uid="{00000000-0004-0000-0200-00002A020000}"/>
    <hyperlink ref="E479" r:id="rId556" xr:uid="{00000000-0004-0000-0200-00002B020000}"/>
    <hyperlink ref="F479" r:id="rId557" xr:uid="{00000000-0004-0000-0200-00002C020000}"/>
    <hyperlink ref="E486" r:id="rId558" xr:uid="{00000000-0004-0000-0200-00002D020000}"/>
    <hyperlink ref="E493" r:id="rId559" xr:uid="{00000000-0004-0000-0200-00002E020000}"/>
    <hyperlink ref="E494" r:id="rId560" xr:uid="{00000000-0004-0000-0200-00002F020000}"/>
    <hyperlink ref="E496" r:id="rId561" xr:uid="{00000000-0004-0000-0200-000030020000}"/>
    <hyperlink ref="F496" r:id="rId562" xr:uid="{00000000-0004-0000-0200-000031020000}"/>
    <hyperlink ref="E498" r:id="rId563" xr:uid="{00000000-0004-0000-0200-000032020000}"/>
    <hyperlink ref="F498" r:id="rId564" xr:uid="{00000000-0004-0000-0200-000033020000}"/>
    <hyperlink ref="E512" r:id="rId565" xr:uid="{00000000-0004-0000-0200-000034020000}"/>
    <hyperlink ref="F512" r:id="rId566" xr:uid="{00000000-0004-0000-0200-000035020000}"/>
    <hyperlink ref="E513" r:id="rId567" xr:uid="{00000000-0004-0000-0200-000036020000}"/>
    <hyperlink ref="F513" r:id="rId568" xr:uid="{00000000-0004-0000-0200-000037020000}"/>
    <hyperlink ref="E522" r:id="rId569" xr:uid="{00000000-0004-0000-0200-000038020000}"/>
    <hyperlink ref="F522" r:id="rId570" xr:uid="{00000000-0004-0000-0200-000039020000}"/>
    <hyperlink ref="E535" r:id="rId571" xr:uid="{00000000-0004-0000-0200-00003A020000}"/>
    <hyperlink ref="E546" r:id="rId572" xr:uid="{00000000-0004-0000-0200-00003B020000}"/>
    <hyperlink ref="E557" r:id="rId573" xr:uid="{00000000-0004-0000-0200-00003C020000}"/>
    <hyperlink ref="F557" r:id="rId574" xr:uid="{00000000-0004-0000-0200-00003D020000}"/>
    <hyperlink ref="E562" r:id="rId575" xr:uid="{00000000-0004-0000-0200-00003E020000}"/>
    <hyperlink ref="F562" r:id="rId576" xr:uid="{00000000-0004-0000-0200-00003F020000}"/>
    <hyperlink ref="E563" r:id="rId577" xr:uid="{00000000-0004-0000-0200-000040020000}"/>
    <hyperlink ref="F563" r:id="rId578" xr:uid="{00000000-0004-0000-0200-000041020000}"/>
    <hyperlink ref="E564" r:id="rId579" xr:uid="{00000000-0004-0000-0200-000042020000}"/>
    <hyperlink ref="F564" r:id="rId580" xr:uid="{00000000-0004-0000-0200-000043020000}"/>
    <hyperlink ref="E565" r:id="rId581" xr:uid="{00000000-0004-0000-0200-000044020000}"/>
    <hyperlink ref="F565" r:id="rId582" xr:uid="{00000000-0004-0000-0200-000045020000}"/>
    <hyperlink ref="E566" r:id="rId583" xr:uid="{00000000-0004-0000-0200-000046020000}"/>
    <hyperlink ref="F566" r:id="rId584" xr:uid="{00000000-0004-0000-0200-000047020000}"/>
    <hyperlink ref="E567" r:id="rId585" xr:uid="{00000000-0004-0000-0200-000048020000}"/>
    <hyperlink ref="F567" r:id="rId586" xr:uid="{00000000-0004-0000-0200-000049020000}"/>
    <hyperlink ref="E568" r:id="rId587" xr:uid="{00000000-0004-0000-0200-00004A020000}"/>
    <hyperlink ref="F568" r:id="rId588" xr:uid="{00000000-0004-0000-0200-00004B020000}"/>
    <hyperlink ref="E569" r:id="rId589" xr:uid="{00000000-0004-0000-0200-00004C020000}"/>
    <hyperlink ref="F569" r:id="rId590" xr:uid="{00000000-0004-0000-0200-00004D020000}"/>
    <hyperlink ref="E570" r:id="rId591" xr:uid="{00000000-0004-0000-0200-00004E020000}"/>
    <hyperlink ref="F570" r:id="rId592" xr:uid="{00000000-0004-0000-0200-00004F020000}"/>
    <hyperlink ref="E571" r:id="rId593" xr:uid="{00000000-0004-0000-0200-000050020000}"/>
    <hyperlink ref="F571" r:id="rId594" xr:uid="{00000000-0004-0000-0200-000051020000}"/>
    <hyperlink ref="E572" r:id="rId595" xr:uid="{00000000-0004-0000-0200-000052020000}"/>
    <hyperlink ref="F572" r:id="rId596" xr:uid="{00000000-0004-0000-0200-000053020000}"/>
    <hyperlink ref="E573" r:id="rId597" xr:uid="{00000000-0004-0000-0200-000054020000}"/>
    <hyperlink ref="F573" r:id="rId598" xr:uid="{00000000-0004-0000-0200-000055020000}"/>
    <hyperlink ref="E574" r:id="rId599" xr:uid="{00000000-0004-0000-0200-000056020000}"/>
    <hyperlink ref="F574" r:id="rId600" xr:uid="{00000000-0004-0000-0200-000057020000}"/>
    <hyperlink ref="E575" r:id="rId601" xr:uid="{00000000-0004-0000-0200-000058020000}"/>
    <hyperlink ref="F575" r:id="rId602" xr:uid="{00000000-0004-0000-0200-000059020000}"/>
    <hyperlink ref="E576" r:id="rId603" xr:uid="{00000000-0004-0000-0200-00005A020000}"/>
    <hyperlink ref="F576" r:id="rId604" xr:uid="{00000000-0004-0000-0200-00005B020000}"/>
    <hyperlink ref="E577" r:id="rId605" xr:uid="{00000000-0004-0000-0200-00005C020000}"/>
    <hyperlink ref="F577" r:id="rId606" xr:uid="{00000000-0004-0000-0200-00005D020000}"/>
    <hyperlink ref="E578" r:id="rId607" xr:uid="{00000000-0004-0000-0200-00005E020000}"/>
    <hyperlink ref="F578" r:id="rId608" xr:uid="{00000000-0004-0000-0200-00005F020000}"/>
    <hyperlink ref="E579" r:id="rId609" xr:uid="{00000000-0004-0000-0200-000060020000}"/>
    <hyperlink ref="F579" r:id="rId610" xr:uid="{00000000-0004-0000-0200-000061020000}"/>
    <hyperlink ref="E580" r:id="rId611" xr:uid="{00000000-0004-0000-0200-000062020000}"/>
    <hyperlink ref="F580" r:id="rId612" xr:uid="{00000000-0004-0000-0200-000063020000}"/>
    <hyperlink ref="E581" r:id="rId613" xr:uid="{00000000-0004-0000-0200-000064020000}"/>
    <hyperlink ref="F581" r:id="rId614" xr:uid="{00000000-0004-0000-0200-000065020000}"/>
    <hyperlink ref="E582" r:id="rId615" xr:uid="{00000000-0004-0000-0200-000066020000}"/>
    <hyperlink ref="F582" r:id="rId616" xr:uid="{00000000-0004-0000-0200-000067020000}"/>
    <hyperlink ref="E583" r:id="rId617" xr:uid="{00000000-0004-0000-0200-000068020000}"/>
    <hyperlink ref="F583" r:id="rId618" xr:uid="{00000000-0004-0000-0200-000069020000}"/>
    <hyperlink ref="E584" r:id="rId619" xr:uid="{00000000-0004-0000-0200-00006A020000}"/>
    <hyperlink ref="F584" r:id="rId620" xr:uid="{00000000-0004-0000-0200-00006B020000}"/>
    <hyperlink ref="E585" r:id="rId621" xr:uid="{00000000-0004-0000-0200-00006C020000}"/>
    <hyperlink ref="F585" r:id="rId622" xr:uid="{00000000-0004-0000-0200-00006D020000}"/>
    <hyperlink ref="E586" r:id="rId623" xr:uid="{00000000-0004-0000-0200-00006E020000}"/>
    <hyperlink ref="F586" r:id="rId624" xr:uid="{00000000-0004-0000-0200-00006F020000}"/>
    <hyperlink ref="E587" r:id="rId625" xr:uid="{00000000-0004-0000-0200-000070020000}"/>
    <hyperlink ref="F587" r:id="rId626" xr:uid="{00000000-0004-0000-0200-000071020000}"/>
    <hyperlink ref="E588" r:id="rId627" xr:uid="{00000000-0004-0000-0200-000072020000}"/>
    <hyperlink ref="F588" r:id="rId628" xr:uid="{00000000-0004-0000-0200-000073020000}"/>
    <hyperlink ref="E589" r:id="rId629" xr:uid="{00000000-0004-0000-0200-000074020000}"/>
    <hyperlink ref="F589" r:id="rId630" xr:uid="{00000000-0004-0000-0200-000075020000}"/>
    <hyperlink ref="E590" r:id="rId631" xr:uid="{00000000-0004-0000-0200-000076020000}"/>
    <hyperlink ref="F590" r:id="rId632" xr:uid="{00000000-0004-0000-0200-000077020000}"/>
    <hyperlink ref="E605" r:id="rId633" xr:uid="{00000000-0004-0000-0200-000078020000}"/>
    <hyperlink ref="E613" r:id="rId634" xr:uid="{00000000-0004-0000-0200-000079020000}"/>
    <hyperlink ref="F613" r:id="rId635" xr:uid="{00000000-0004-0000-0200-00007A020000}"/>
    <hyperlink ref="E614" r:id="rId636" xr:uid="{00000000-0004-0000-0200-00007B020000}"/>
    <hyperlink ref="F614" r:id="rId637" xr:uid="{00000000-0004-0000-0200-00007C020000}"/>
    <hyperlink ref="E615" r:id="rId638" xr:uid="{00000000-0004-0000-0200-00007D020000}"/>
    <hyperlink ref="F615" r:id="rId639" xr:uid="{00000000-0004-0000-0200-00007E020000}"/>
    <hyperlink ref="E616" r:id="rId640" xr:uid="{00000000-0004-0000-0200-00007F020000}"/>
    <hyperlink ref="F616" r:id="rId641" xr:uid="{00000000-0004-0000-0200-000080020000}"/>
    <hyperlink ref="E617" r:id="rId642" xr:uid="{00000000-0004-0000-0200-000081020000}"/>
    <hyperlink ref="F617" r:id="rId643" xr:uid="{00000000-0004-0000-0200-000082020000}"/>
    <hyperlink ref="E618" r:id="rId644" xr:uid="{00000000-0004-0000-0200-000083020000}"/>
    <hyperlink ref="F618" r:id="rId645" xr:uid="{00000000-0004-0000-0200-000084020000}"/>
    <hyperlink ref="E619" r:id="rId646" xr:uid="{00000000-0004-0000-0200-000085020000}"/>
    <hyperlink ref="F619" r:id="rId647" xr:uid="{00000000-0004-0000-0200-000086020000}"/>
    <hyperlink ref="E620" r:id="rId648" xr:uid="{00000000-0004-0000-0200-000087020000}"/>
    <hyperlink ref="F620" r:id="rId649" xr:uid="{00000000-0004-0000-0200-000088020000}"/>
    <hyperlink ref="E621" r:id="rId650" xr:uid="{00000000-0004-0000-0200-000089020000}"/>
    <hyperlink ref="F621" r:id="rId651" xr:uid="{00000000-0004-0000-0200-00008A020000}"/>
    <hyperlink ref="E622" r:id="rId652" xr:uid="{00000000-0004-0000-0200-00008B020000}"/>
    <hyperlink ref="F622" r:id="rId653" xr:uid="{00000000-0004-0000-0200-00008C020000}"/>
    <hyperlink ref="E623" r:id="rId654" xr:uid="{00000000-0004-0000-0200-00008D020000}"/>
    <hyperlink ref="F623" r:id="rId655" xr:uid="{00000000-0004-0000-0200-00008E020000}"/>
    <hyperlink ref="E624" r:id="rId656" xr:uid="{00000000-0004-0000-0200-00008F020000}"/>
    <hyperlink ref="F624" r:id="rId657" xr:uid="{00000000-0004-0000-0200-000090020000}"/>
    <hyperlink ref="E627" r:id="rId658" xr:uid="{00000000-0004-0000-0200-000091020000}"/>
    <hyperlink ref="F627" r:id="rId659" xr:uid="{00000000-0004-0000-0200-000092020000}"/>
    <hyperlink ref="E628" r:id="rId660" xr:uid="{00000000-0004-0000-0200-000093020000}"/>
    <hyperlink ref="F628" r:id="rId661" xr:uid="{00000000-0004-0000-0200-000094020000}"/>
    <hyperlink ref="E629" r:id="rId662" xr:uid="{00000000-0004-0000-0200-000095020000}"/>
    <hyperlink ref="F629" r:id="rId663" xr:uid="{00000000-0004-0000-0200-000096020000}"/>
    <hyperlink ref="E630" r:id="rId664" xr:uid="{00000000-0004-0000-0200-000097020000}"/>
    <hyperlink ref="F630" r:id="rId665" xr:uid="{00000000-0004-0000-0200-000098020000}"/>
    <hyperlink ref="E631" r:id="rId666" xr:uid="{00000000-0004-0000-0200-000099020000}"/>
    <hyperlink ref="F631" r:id="rId667" xr:uid="{00000000-0004-0000-0200-00009A020000}"/>
    <hyperlink ref="E632" r:id="rId668" xr:uid="{00000000-0004-0000-0200-00009B020000}"/>
    <hyperlink ref="F632" r:id="rId669" xr:uid="{00000000-0004-0000-0200-00009C020000}"/>
    <hyperlink ref="E633" r:id="rId670" xr:uid="{00000000-0004-0000-0200-00009D020000}"/>
    <hyperlink ref="F633" r:id="rId671" xr:uid="{00000000-0004-0000-0200-00009E020000}"/>
    <hyperlink ref="E634" r:id="rId672" xr:uid="{00000000-0004-0000-0200-00009F020000}"/>
    <hyperlink ref="F634" r:id="rId673" xr:uid="{00000000-0004-0000-0200-0000A0020000}"/>
    <hyperlink ref="E639" r:id="rId674" xr:uid="{00000000-0004-0000-0200-0000A1020000}"/>
    <hyperlink ref="E640" r:id="rId675" xr:uid="{00000000-0004-0000-0200-0000A2020000}"/>
    <hyperlink ref="F640" r:id="rId676" xr:uid="{00000000-0004-0000-0200-0000A3020000}"/>
    <hyperlink ref="E641" r:id="rId677" xr:uid="{00000000-0004-0000-0200-0000A4020000}"/>
    <hyperlink ref="F641" r:id="rId678" xr:uid="{00000000-0004-0000-0200-0000A5020000}"/>
    <hyperlink ref="E642" r:id="rId679" xr:uid="{00000000-0004-0000-0200-0000A6020000}"/>
    <hyperlink ref="F642" r:id="rId680" xr:uid="{00000000-0004-0000-0200-0000A7020000}"/>
    <hyperlink ref="E643" r:id="rId681" xr:uid="{00000000-0004-0000-0200-0000A8020000}"/>
    <hyperlink ref="F643" r:id="rId682" xr:uid="{00000000-0004-0000-0200-0000A9020000}"/>
    <hyperlink ref="E644" r:id="rId683" xr:uid="{00000000-0004-0000-0200-0000AA020000}"/>
    <hyperlink ref="F644" r:id="rId684" xr:uid="{00000000-0004-0000-0200-0000AB020000}"/>
    <hyperlink ref="E645" r:id="rId685" xr:uid="{00000000-0004-0000-0200-0000AC020000}"/>
    <hyperlink ref="F645" r:id="rId686" xr:uid="{00000000-0004-0000-0200-0000AD020000}"/>
    <hyperlink ref="E646" r:id="rId687" xr:uid="{00000000-0004-0000-0200-0000AE020000}"/>
    <hyperlink ref="F646" r:id="rId688" xr:uid="{00000000-0004-0000-0200-0000AF020000}"/>
    <hyperlink ref="E647" r:id="rId689" xr:uid="{00000000-0004-0000-0200-0000B0020000}"/>
    <hyperlink ref="F647" r:id="rId690" xr:uid="{00000000-0004-0000-0200-0000B1020000}"/>
    <hyperlink ref="E648" r:id="rId691" xr:uid="{00000000-0004-0000-0200-0000B2020000}"/>
    <hyperlink ref="F648" r:id="rId692" xr:uid="{00000000-0004-0000-0200-0000B3020000}"/>
    <hyperlink ref="E649" r:id="rId693" xr:uid="{00000000-0004-0000-0200-0000B4020000}"/>
    <hyperlink ref="F649" r:id="rId694" xr:uid="{00000000-0004-0000-0200-0000B5020000}"/>
    <hyperlink ref="E650" r:id="rId695" xr:uid="{00000000-0004-0000-0200-0000B6020000}"/>
    <hyperlink ref="F650" r:id="rId696" xr:uid="{00000000-0004-0000-0200-0000B7020000}"/>
    <hyperlink ref="E651" r:id="rId697" xr:uid="{00000000-0004-0000-0200-0000B8020000}"/>
    <hyperlink ref="F651" r:id="rId698" xr:uid="{00000000-0004-0000-0200-0000B9020000}"/>
    <hyperlink ref="E652" r:id="rId699" xr:uid="{00000000-0004-0000-0200-0000BA020000}"/>
    <hyperlink ref="F652" r:id="rId700" xr:uid="{00000000-0004-0000-0200-0000BB020000}"/>
    <hyperlink ref="E653" r:id="rId701" xr:uid="{00000000-0004-0000-0200-0000BC020000}"/>
    <hyperlink ref="F653" r:id="rId702" xr:uid="{00000000-0004-0000-0200-0000BD020000}"/>
    <hyperlink ref="E654" r:id="rId703" xr:uid="{00000000-0004-0000-0200-0000BE020000}"/>
    <hyperlink ref="F654" r:id="rId704" xr:uid="{00000000-0004-0000-0200-0000BF020000}"/>
    <hyperlink ref="E656" r:id="rId705" xr:uid="{00000000-0004-0000-0200-0000C0020000}"/>
    <hyperlink ref="F656" r:id="rId706" xr:uid="{00000000-0004-0000-0200-0000C1020000}"/>
    <hyperlink ref="E657" r:id="rId707" xr:uid="{00000000-0004-0000-0200-0000C2020000}"/>
    <hyperlink ref="F657" r:id="rId708" xr:uid="{00000000-0004-0000-0200-0000C3020000}"/>
    <hyperlink ref="E658" r:id="rId709" xr:uid="{00000000-0004-0000-0200-0000C4020000}"/>
    <hyperlink ref="F658" r:id="rId710" xr:uid="{00000000-0004-0000-0200-0000C5020000}"/>
    <hyperlink ref="E659" r:id="rId711" xr:uid="{00000000-0004-0000-0200-0000C6020000}"/>
    <hyperlink ref="F659" r:id="rId712" xr:uid="{00000000-0004-0000-0200-0000C7020000}"/>
    <hyperlink ref="E660" r:id="rId713" xr:uid="{00000000-0004-0000-0200-0000C8020000}"/>
    <hyperlink ref="F660" r:id="rId714" xr:uid="{00000000-0004-0000-0200-0000C9020000}"/>
    <hyperlink ref="E661" r:id="rId715" xr:uid="{00000000-0004-0000-0200-0000CA020000}"/>
    <hyperlink ref="F661" r:id="rId716" xr:uid="{00000000-0004-0000-0200-0000CB020000}"/>
    <hyperlink ref="E662" r:id="rId717" xr:uid="{00000000-0004-0000-0200-0000CC020000}"/>
    <hyperlink ref="F662" r:id="rId718" xr:uid="{00000000-0004-0000-0200-0000CD020000}"/>
    <hyperlink ref="E663" r:id="rId719" xr:uid="{00000000-0004-0000-0200-0000CE020000}"/>
    <hyperlink ref="F663" r:id="rId720" xr:uid="{00000000-0004-0000-0200-0000CF020000}"/>
    <hyperlink ref="E664" r:id="rId721" xr:uid="{00000000-0004-0000-0200-0000D0020000}"/>
    <hyperlink ref="F664" r:id="rId722" xr:uid="{00000000-0004-0000-0200-0000D1020000}"/>
    <hyperlink ref="E665" r:id="rId723" xr:uid="{00000000-0004-0000-0200-0000D2020000}"/>
    <hyperlink ref="F665" r:id="rId724" xr:uid="{00000000-0004-0000-0200-0000D3020000}"/>
    <hyperlink ref="E666" r:id="rId725" xr:uid="{00000000-0004-0000-0200-0000D4020000}"/>
    <hyperlink ref="F666" r:id="rId726" xr:uid="{00000000-0004-0000-0200-0000D5020000}"/>
    <hyperlink ref="E667" r:id="rId727" xr:uid="{00000000-0004-0000-0200-0000D6020000}"/>
    <hyperlink ref="F667" r:id="rId728" xr:uid="{00000000-0004-0000-0200-0000D7020000}"/>
    <hyperlink ref="E668" r:id="rId729" xr:uid="{00000000-0004-0000-0200-0000D8020000}"/>
    <hyperlink ref="F668" r:id="rId730" xr:uid="{00000000-0004-0000-0200-0000D9020000}"/>
    <hyperlink ref="E669" r:id="rId731" xr:uid="{00000000-0004-0000-0200-0000DA020000}"/>
    <hyperlink ref="F669" r:id="rId732" xr:uid="{00000000-0004-0000-0200-0000DB020000}"/>
    <hyperlink ref="E670" r:id="rId733" xr:uid="{00000000-0004-0000-0200-0000DC020000}"/>
    <hyperlink ref="F670" r:id="rId734" xr:uid="{00000000-0004-0000-0200-0000DD020000}"/>
    <hyperlink ref="E671" r:id="rId735" xr:uid="{00000000-0004-0000-0200-0000DE020000}"/>
    <hyperlink ref="F671" r:id="rId736" xr:uid="{00000000-0004-0000-0200-0000DF020000}"/>
    <hyperlink ref="E672" r:id="rId737" xr:uid="{00000000-0004-0000-0200-0000E0020000}"/>
    <hyperlink ref="F672" r:id="rId738" xr:uid="{00000000-0004-0000-0200-0000E1020000}"/>
    <hyperlink ref="E673" r:id="rId739" xr:uid="{00000000-0004-0000-0200-0000E2020000}"/>
    <hyperlink ref="F673" r:id="rId740" xr:uid="{00000000-0004-0000-0200-0000E3020000}"/>
    <hyperlink ref="E675" r:id="rId741" xr:uid="{00000000-0004-0000-0200-0000E4020000}"/>
    <hyperlink ref="F675" r:id="rId742" xr:uid="{00000000-0004-0000-0200-0000E5020000}"/>
    <hyperlink ref="E676" r:id="rId743" xr:uid="{00000000-0004-0000-0200-0000E6020000}"/>
    <hyperlink ref="F676" r:id="rId744" xr:uid="{00000000-0004-0000-0200-0000E7020000}"/>
    <hyperlink ref="E677" r:id="rId745" xr:uid="{00000000-0004-0000-0200-0000E8020000}"/>
    <hyperlink ref="F677" r:id="rId746" xr:uid="{00000000-0004-0000-0200-0000E9020000}"/>
    <hyperlink ref="E678" r:id="rId747" xr:uid="{00000000-0004-0000-0200-0000EA020000}"/>
    <hyperlink ref="F678" r:id="rId748" xr:uid="{00000000-0004-0000-0200-0000EB020000}"/>
    <hyperlink ref="E679" r:id="rId749" xr:uid="{00000000-0004-0000-0200-0000EC020000}"/>
    <hyperlink ref="F679" r:id="rId750" xr:uid="{00000000-0004-0000-0200-0000ED020000}"/>
    <hyperlink ref="E681" r:id="rId751" xr:uid="{00000000-0004-0000-0200-0000EE020000}"/>
    <hyperlink ref="F681" r:id="rId752" xr:uid="{00000000-0004-0000-0200-0000EF020000}"/>
    <hyperlink ref="E682" r:id="rId753" xr:uid="{00000000-0004-0000-0200-0000F0020000}"/>
    <hyperlink ref="F682" r:id="rId754" xr:uid="{00000000-0004-0000-0200-0000F1020000}"/>
    <hyperlink ref="E683" r:id="rId755" xr:uid="{00000000-0004-0000-0200-0000F2020000}"/>
    <hyperlink ref="F683" r:id="rId756" xr:uid="{00000000-0004-0000-0200-0000F3020000}"/>
    <hyperlink ref="E684" r:id="rId757" xr:uid="{00000000-0004-0000-0200-0000F4020000}"/>
    <hyperlink ref="F684" r:id="rId758" xr:uid="{00000000-0004-0000-0200-0000F5020000}"/>
    <hyperlink ref="E685" r:id="rId759" xr:uid="{00000000-0004-0000-0200-0000F6020000}"/>
    <hyperlink ref="F685" r:id="rId760" xr:uid="{00000000-0004-0000-0200-0000F7020000}"/>
    <hyperlink ref="E686" r:id="rId761" xr:uid="{00000000-0004-0000-0200-0000F8020000}"/>
    <hyperlink ref="F686" r:id="rId762" xr:uid="{00000000-0004-0000-0200-0000F9020000}"/>
    <hyperlink ref="E695" r:id="rId763" xr:uid="{00000000-0004-0000-0200-0000FA020000}"/>
    <hyperlink ref="F695" r:id="rId764" xr:uid="{00000000-0004-0000-0200-0000FB020000}"/>
    <hyperlink ref="E696" r:id="rId765" xr:uid="{00000000-0004-0000-0200-0000FC020000}"/>
    <hyperlink ref="F696" r:id="rId766" xr:uid="{00000000-0004-0000-0200-0000FD020000}"/>
    <hyperlink ref="E697" r:id="rId767" xr:uid="{00000000-0004-0000-0200-0000FE020000}"/>
    <hyperlink ref="F697" r:id="rId768" xr:uid="{00000000-0004-0000-0200-0000FF020000}"/>
    <hyperlink ref="E698" r:id="rId769" xr:uid="{00000000-0004-0000-0200-000000030000}"/>
    <hyperlink ref="F698" r:id="rId770" xr:uid="{00000000-0004-0000-0200-000001030000}"/>
    <hyperlink ref="E699" r:id="rId771" xr:uid="{00000000-0004-0000-0200-000002030000}"/>
    <hyperlink ref="F699" r:id="rId772" xr:uid="{00000000-0004-0000-0200-000003030000}"/>
    <hyperlink ref="E700" r:id="rId773" xr:uid="{00000000-0004-0000-0200-000004030000}"/>
    <hyperlink ref="F700" r:id="rId774" xr:uid="{00000000-0004-0000-0200-000005030000}"/>
    <hyperlink ref="E701" r:id="rId775" xr:uid="{00000000-0004-0000-0200-000006030000}"/>
    <hyperlink ref="F701" r:id="rId776" xr:uid="{00000000-0004-0000-0200-000007030000}"/>
    <hyperlink ref="E702" r:id="rId777" xr:uid="{00000000-0004-0000-0200-000008030000}"/>
    <hyperlink ref="F702" r:id="rId778" xr:uid="{00000000-0004-0000-0200-000009030000}"/>
    <hyperlink ref="E706" r:id="rId779" xr:uid="{00000000-0004-0000-0200-00000A030000}"/>
    <hyperlink ref="F706" r:id="rId780" xr:uid="{00000000-0004-0000-0200-00000B030000}"/>
    <hyperlink ref="E707" r:id="rId781" xr:uid="{00000000-0004-0000-0200-00000C030000}"/>
    <hyperlink ref="F707" r:id="rId782" xr:uid="{00000000-0004-0000-0200-00000D030000}"/>
    <hyperlink ref="E708" r:id="rId783" xr:uid="{00000000-0004-0000-0200-00000E030000}"/>
    <hyperlink ref="F708" r:id="rId784" xr:uid="{00000000-0004-0000-0200-00000F030000}"/>
    <hyperlink ref="E709" r:id="rId785" xr:uid="{00000000-0004-0000-0200-000010030000}"/>
    <hyperlink ref="F709" r:id="rId786" xr:uid="{00000000-0004-0000-0200-000011030000}"/>
    <hyperlink ref="E710" r:id="rId787" xr:uid="{00000000-0004-0000-0200-000012030000}"/>
    <hyperlink ref="F710" r:id="rId788" xr:uid="{00000000-0004-0000-0200-000013030000}"/>
    <hyperlink ref="E711" r:id="rId789" xr:uid="{00000000-0004-0000-0200-000014030000}"/>
    <hyperlink ref="F711" r:id="rId790" xr:uid="{00000000-0004-0000-0200-000015030000}"/>
    <hyperlink ref="E713" r:id="rId791" xr:uid="{00000000-0004-0000-0200-000016030000}"/>
    <hyperlink ref="F713" r:id="rId792" xr:uid="{00000000-0004-0000-0200-000017030000}"/>
    <hyperlink ref="E714" r:id="rId793" xr:uid="{00000000-0004-0000-0200-000018030000}"/>
    <hyperlink ref="F714" r:id="rId794" xr:uid="{00000000-0004-0000-0200-000019030000}"/>
    <hyperlink ref="E715" r:id="rId795" xr:uid="{00000000-0004-0000-0200-00001A030000}"/>
    <hyperlink ref="F715" r:id="rId796" xr:uid="{00000000-0004-0000-0200-00001B030000}"/>
    <hyperlink ref="E717" r:id="rId797" xr:uid="{00000000-0004-0000-0200-00001C030000}"/>
    <hyperlink ref="F717" r:id="rId798" xr:uid="{00000000-0004-0000-0200-00001D030000}"/>
    <hyperlink ref="E722" r:id="rId799" xr:uid="{00000000-0004-0000-0200-00001E030000}"/>
    <hyperlink ref="F722" r:id="rId800" xr:uid="{00000000-0004-0000-0200-00001F030000}"/>
    <hyperlink ref="E723" r:id="rId801" xr:uid="{00000000-0004-0000-0200-000020030000}"/>
    <hyperlink ref="F723" r:id="rId802" xr:uid="{00000000-0004-0000-0200-000021030000}"/>
    <hyperlink ref="E727" r:id="rId803" xr:uid="{00000000-0004-0000-0200-000022030000}"/>
    <hyperlink ref="F727" r:id="rId804" xr:uid="{00000000-0004-0000-0200-000023030000}"/>
    <hyperlink ref="E784" r:id="rId805" xr:uid="{00000000-0004-0000-0200-000024030000}"/>
    <hyperlink ref="F784" r:id="rId806" xr:uid="{00000000-0004-0000-0200-000025030000}"/>
    <hyperlink ref="E792" r:id="rId807" xr:uid="{00000000-0004-0000-0200-000026030000}"/>
    <hyperlink ref="F792" r:id="rId808" xr:uid="{00000000-0004-0000-0200-000027030000}"/>
    <hyperlink ref="E793" r:id="rId809" xr:uid="{00000000-0004-0000-0200-000028030000}"/>
    <hyperlink ref="F793" r:id="rId810" xr:uid="{00000000-0004-0000-0200-000029030000}"/>
    <hyperlink ref="E794" r:id="rId811" xr:uid="{00000000-0004-0000-0200-00002A030000}"/>
    <hyperlink ref="F794" r:id="rId812" xr:uid="{00000000-0004-0000-0200-00002B030000}"/>
    <hyperlink ref="E795" r:id="rId813" xr:uid="{00000000-0004-0000-0200-00002C030000}"/>
    <hyperlink ref="F795" r:id="rId814" xr:uid="{00000000-0004-0000-0200-00002D030000}"/>
    <hyperlink ref="E796" r:id="rId815" xr:uid="{00000000-0004-0000-0200-00002E030000}"/>
    <hyperlink ref="F796" r:id="rId816" xr:uid="{00000000-0004-0000-0200-00002F030000}"/>
    <hyperlink ref="E797" r:id="rId817" xr:uid="{00000000-0004-0000-0200-000030030000}"/>
    <hyperlink ref="F797" r:id="rId818" xr:uid="{00000000-0004-0000-0200-000031030000}"/>
    <hyperlink ref="E798" r:id="rId819" xr:uid="{00000000-0004-0000-0200-000032030000}"/>
    <hyperlink ref="F798" r:id="rId820" xr:uid="{00000000-0004-0000-0200-000033030000}"/>
    <hyperlink ref="E804" r:id="rId821" xr:uid="{00000000-0004-0000-0200-000034030000}"/>
    <hyperlink ref="F804" r:id="rId822" xr:uid="{00000000-0004-0000-0200-000035030000}"/>
    <hyperlink ref="E807" r:id="rId823" xr:uid="{00000000-0004-0000-0200-000036030000}"/>
    <hyperlink ref="F807" r:id="rId824" xr:uid="{00000000-0004-0000-0200-000037030000}"/>
    <hyperlink ref="E808" r:id="rId825" xr:uid="{00000000-0004-0000-0200-000038030000}"/>
    <hyperlink ref="F808" r:id="rId826" xr:uid="{00000000-0004-0000-0200-000039030000}"/>
    <hyperlink ref="E809" r:id="rId827" xr:uid="{00000000-0004-0000-0200-00003A030000}"/>
    <hyperlink ref="F809" r:id="rId828" xr:uid="{00000000-0004-0000-0200-00003B030000}"/>
    <hyperlink ref="E810" r:id="rId829" xr:uid="{00000000-0004-0000-0200-00003C030000}"/>
    <hyperlink ref="F810" r:id="rId830" xr:uid="{00000000-0004-0000-0200-00003D030000}"/>
    <hyperlink ref="E811" r:id="rId831" xr:uid="{00000000-0004-0000-0200-00003E030000}"/>
    <hyperlink ref="F811" r:id="rId832" xr:uid="{00000000-0004-0000-0200-00003F030000}"/>
    <hyperlink ref="E812" r:id="rId833" xr:uid="{00000000-0004-0000-0200-000040030000}"/>
    <hyperlink ref="F812" r:id="rId834" xr:uid="{00000000-0004-0000-0200-000041030000}"/>
    <hyperlink ref="E815" r:id="rId835" xr:uid="{00000000-0004-0000-0200-000042030000}"/>
    <hyperlink ref="E816" r:id="rId836" xr:uid="{00000000-0004-0000-0200-000043030000}"/>
    <hyperlink ref="E828" r:id="rId837" xr:uid="{00000000-0004-0000-0200-000044030000}"/>
    <hyperlink ref="F828" r:id="rId838" xr:uid="{00000000-0004-0000-0200-000045030000}"/>
    <hyperlink ref="E829" r:id="rId839" xr:uid="{00000000-0004-0000-0200-000046030000}"/>
    <hyperlink ref="F829" r:id="rId840" xr:uid="{00000000-0004-0000-0200-000047030000}"/>
    <hyperlink ref="E830" r:id="rId841" xr:uid="{00000000-0004-0000-0200-000048030000}"/>
    <hyperlink ref="F830" r:id="rId842" xr:uid="{00000000-0004-0000-0200-000049030000}"/>
    <hyperlink ref="E836" r:id="rId843" xr:uid="{00000000-0004-0000-0200-00004A030000}"/>
    <hyperlink ref="F836" r:id="rId844" xr:uid="{00000000-0004-0000-0200-00004B030000}"/>
    <hyperlink ref="E847" r:id="rId845" xr:uid="{00000000-0004-0000-0200-00004C030000}"/>
    <hyperlink ref="F847" r:id="rId846" xr:uid="{00000000-0004-0000-0200-00004D030000}"/>
    <hyperlink ref="E848" r:id="rId847" xr:uid="{00000000-0004-0000-0200-00004E030000}"/>
    <hyperlink ref="F848" r:id="rId848" xr:uid="{00000000-0004-0000-0200-00004F030000}"/>
    <hyperlink ref="E849" r:id="rId849" xr:uid="{00000000-0004-0000-0200-000050030000}"/>
    <hyperlink ref="F849" r:id="rId850" xr:uid="{00000000-0004-0000-0200-000051030000}"/>
    <hyperlink ref="E850" r:id="rId851" xr:uid="{00000000-0004-0000-0200-000052030000}"/>
    <hyperlink ref="F850" r:id="rId852" xr:uid="{00000000-0004-0000-0200-000053030000}"/>
    <hyperlink ref="E857" r:id="rId853" xr:uid="{00000000-0004-0000-0200-000054030000}"/>
    <hyperlink ref="E860" r:id="rId854" xr:uid="{00000000-0004-0000-0200-000055030000}"/>
    <hyperlink ref="F860" r:id="rId855" xr:uid="{00000000-0004-0000-0200-000056030000}"/>
    <hyperlink ref="E864" r:id="rId856" xr:uid="{00000000-0004-0000-0200-000057030000}"/>
    <hyperlink ref="E868" r:id="rId857" xr:uid="{00000000-0004-0000-0200-000058030000}"/>
    <hyperlink ref="E870" r:id="rId858" xr:uid="{00000000-0004-0000-0200-000059030000}"/>
    <hyperlink ref="E874" r:id="rId859" xr:uid="{00000000-0004-0000-0200-00005A030000}"/>
    <hyperlink ref="F874" r:id="rId860" xr:uid="{00000000-0004-0000-0200-00005B030000}"/>
    <hyperlink ref="E875" r:id="rId861" xr:uid="{00000000-0004-0000-0200-00005C030000}"/>
    <hyperlink ref="F875" r:id="rId862" xr:uid="{00000000-0004-0000-0200-00005D030000}"/>
    <hyperlink ref="E880" r:id="rId863" xr:uid="{00000000-0004-0000-0200-00005E030000}"/>
    <hyperlink ref="F880" r:id="rId864" xr:uid="{00000000-0004-0000-0200-00005F030000}"/>
    <hyperlink ref="E881" r:id="rId865" xr:uid="{00000000-0004-0000-0200-000060030000}"/>
    <hyperlink ref="F881" r:id="rId866" xr:uid="{00000000-0004-0000-0200-000061030000}"/>
    <hyperlink ref="E882" r:id="rId867" xr:uid="{00000000-0004-0000-0200-000062030000}"/>
    <hyperlink ref="F882" r:id="rId868" xr:uid="{00000000-0004-0000-0200-000063030000}"/>
    <hyperlink ref="E883" r:id="rId869" xr:uid="{00000000-0004-0000-0200-000064030000}"/>
    <hyperlink ref="F883" r:id="rId870" xr:uid="{00000000-0004-0000-0200-000065030000}"/>
    <hyperlink ref="E884" r:id="rId871" xr:uid="{00000000-0004-0000-0200-000066030000}"/>
    <hyperlink ref="F884" r:id="rId872" xr:uid="{00000000-0004-0000-0200-000067030000}"/>
    <hyperlink ref="E885" r:id="rId873" xr:uid="{00000000-0004-0000-0200-000068030000}"/>
    <hyperlink ref="F885" r:id="rId874" xr:uid="{00000000-0004-0000-0200-000069030000}"/>
    <hyperlink ref="E886" r:id="rId875" xr:uid="{00000000-0004-0000-0200-00006A030000}"/>
    <hyperlink ref="F886" r:id="rId876" xr:uid="{00000000-0004-0000-0200-00006B030000}"/>
    <hyperlink ref="E887" r:id="rId877" xr:uid="{00000000-0004-0000-0200-00006C030000}"/>
    <hyperlink ref="F887" r:id="rId878" xr:uid="{00000000-0004-0000-0200-00006D030000}"/>
    <hyperlink ref="E889" r:id="rId879" xr:uid="{00000000-0004-0000-0200-00006E030000}"/>
    <hyperlink ref="F889" r:id="rId880" xr:uid="{00000000-0004-0000-0200-00006F030000}"/>
    <hyperlink ref="E890" r:id="rId881" xr:uid="{00000000-0004-0000-0200-000070030000}"/>
    <hyperlink ref="F890" r:id="rId882" xr:uid="{00000000-0004-0000-0200-000071030000}"/>
    <hyperlink ref="E891" r:id="rId883" xr:uid="{00000000-0004-0000-0200-000072030000}"/>
    <hyperlink ref="F891" r:id="rId884" xr:uid="{00000000-0004-0000-0200-000073030000}"/>
    <hyperlink ref="E892" r:id="rId885" xr:uid="{00000000-0004-0000-0200-000074030000}"/>
    <hyperlink ref="F892" r:id="rId886" xr:uid="{00000000-0004-0000-0200-000075030000}"/>
    <hyperlink ref="E893" r:id="rId887" xr:uid="{00000000-0004-0000-0200-000076030000}"/>
    <hyperlink ref="F893" r:id="rId888" xr:uid="{00000000-0004-0000-0200-000077030000}"/>
    <hyperlink ref="E894" r:id="rId889" xr:uid="{00000000-0004-0000-0200-000078030000}"/>
    <hyperlink ref="F894" r:id="rId890" xr:uid="{00000000-0004-0000-0200-000079030000}"/>
    <hyperlink ref="E895" r:id="rId891" xr:uid="{00000000-0004-0000-0200-00007A030000}"/>
    <hyperlink ref="F895" r:id="rId892" xr:uid="{00000000-0004-0000-0200-00007B030000}"/>
    <hyperlink ref="E896" r:id="rId893" xr:uid="{00000000-0004-0000-0200-00007C030000}"/>
    <hyperlink ref="F896" r:id="rId894" xr:uid="{00000000-0004-0000-0200-00007D030000}"/>
    <hyperlink ref="E903" r:id="rId895" xr:uid="{00000000-0004-0000-0200-00007E030000}"/>
    <hyperlink ref="F903" r:id="rId896" xr:uid="{00000000-0004-0000-0200-00007F030000}"/>
    <hyperlink ref="E904" r:id="rId897" xr:uid="{00000000-0004-0000-0200-000080030000}"/>
    <hyperlink ref="F904" r:id="rId898" xr:uid="{00000000-0004-0000-0200-000081030000}"/>
    <hyperlink ref="E910" r:id="rId899" xr:uid="{00000000-0004-0000-0200-000082030000}"/>
    <hyperlink ref="F910" r:id="rId900" xr:uid="{00000000-0004-0000-0200-000083030000}"/>
    <hyperlink ref="E911" r:id="rId901" xr:uid="{00000000-0004-0000-0200-000084030000}"/>
    <hyperlink ref="F911" r:id="rId902" xr:uid="{00000000-0004-0000-0200-000085030000}"/>
    <hyperlink ref="E912" r:id="rId903" xr:uid="{00000000-0004-0000-0200-000086030000}"/>
    <hyperlink ref="F912" r:id="rId904" xr:uid="{00000000-0004-0000-0200-000087030000}"/>
    <hyperlink ref="E913" r:id="rId905" xr:uid="{00000000-0004-0000-0200-000088030000}"/>
    <hyperlink ref="F913" r:id="rId906" xr:uid="{00000000-0004-0000-0200-000089030000}"/>
    <hyperlink ref="E914" r:id="rId907" xr:uid="{00000000-0004-0000-0200-00008A030000}"/>
    <hyperlink ref="F914" r:id="rId908" xr:uid="{00000000-0004-0000-0200-00008B030000}"/>
    <hyperlink ref="E915" r:id="rId909" xr:uid="{00000000-0004-0000-0200-00008C030000}"/>
    <hyperlink ref="F915" r:id="rId910" xr:uid="{00000000-0004-0000-0200-00008D030000}"/>
    <hyperlink ref="E916" r:id="rId911" xr:uid="{00000000-0004-0000-0200-00008E030000}"/>
    <hyperlink ref="F916" r:id="rId912" xr:uid="{00000000-0004-0000-0200-00008F030000}"/>
    <hyperlink ref="E917" r:id="rId913" xr:uid="{00000000-0004-0000-0200-000090030000}"/>
    <hyperlink ref="F917" r:id="rId914" xr:uid="{00000000-0004-0000-0200-000091030000}"/>
    <hyperlink ref="E918" r:id="rId915" xr:uid="{00000000-0004-0000-0200-000092030000}"/>
    <hyperlink ref="F918" r:id="rId916" xr:uid="{00000000-0004-0000-0200-000093030000}"/>
    <hyperlink ref="E919" r:id="rId917" xr:uid="{00000000-0004-0000-0200-000094030000}"/>
    <hyperlink ref="F919" r:id="rId918" xr:uid="{00000000-0004-0000-0200-000095030000}"/>
    <hyperlink ref="E920" r:id="rId919" xr:uid="{00000000-0004-0000-0200-000096030000}"/>
    <hyperlink ref="F920" r:id="rId920" xr:uid="{00000000-0004-0000-0200-000097030000}"/>
    <hyperlink ref="E921" r:id="rId921" xr:uid="{00000000-0004-0000-0200-000098030000}"/>
    <hyperlink ref="F921" r:id="rId922" xr:uid="{00000000-0004-0000-0200-000099030000}"/>
    <hyperlink ref="E922" r:id="rId923" xr:uid="{00000000-0004-0000-0200-00009A030000}"/>
    <hyperlink ref="F922" r:id="rId924" xr:uid="{00000000-0004-0000-0200-00009B030000}"/>
    <hyperlink ref="E923" r:id="rId925" xr:uid="{00000000-0004-0000-0200-00009C030000}"/>
    <hyperlink ref="F923" r:id="rId926" xr:uid="{00000000-0004-0000-0200-00009D030000}"/>
    <hyperlink ref="E924" r:id="rId927" xr:uid="{00000000-0004-0000-0200-00009E030000}"/>
    <hyperlink ref="F924" r:id="rId928" xr:uid="{00000000-0004-0000-0200-00009F030000}"/>
    <hyperlink ref="E925" r:id="rId929" xr:uid="{00000000-0004-0000-0200-0000A0030000}"/>
    <hyperlink ref="F925" r:id="rId930" xr:uid="{00000000-0004-0000-0200-0000A1030000}"/>
    <hyperlink ref="E926" r:id="rId931" xr:uid="{00000000-0004-0000-0200-0000A2030000}"/>
    <hyperlink ref="F926" r:id="rId932" xr:uid="{00000000-0004-0000-0200-0000A3030000}"/>
    <hyperlink ref="E927" r:id="rId933" xr:uid="{00000000-0004-0000-0200-0000A4030000}"/>
    <hyperlink ref="F927" r:id="rId934" xr:uid="{00000000-0004-0000-0200-0000A5030000}"/>
    <hyperlink ref="E928" r:id="rId935" xr:uid="{00000000-0004-0000-0200-0000A6030000}"/>
    <hyperlink ref="F928" r:id="rId936" xr:uid="{00000000-0004-0000-0200-0000A7030000}"/>
    <hyperlink ref="E930" r:id="rId937" xr:uid="{00000000-0004-0000-0200-0000A8030000}"/>
    <hyperlink ref="F930" r:id="rId938" xr:uid="{00000000-0004-0000-0200-0000A9030000}"/>
    <hyperlink ref="E931" r:id="rId939" xr:uid="{00000000-0004-0000-0200-0000AA030000}"/>
    <hyperlink ref="F931" r:id="rId940" xr:uid="{00000000-0004-0000-0200-0000AB030000}"/>
    <hyperlink ref="E932" r:id="rId941" xr:uid="{00000000-0004-0000-0200-0000AC030000}"/>
    <hyperlink ref="F932" r:id="rId942" xr:uid="{00000000-0004-0000-0200-0000AD030000}"/>
    <hyperlink ref="E933" r:id="rId943" xr:uid="{00000000-0004-0000-0200-0000AE030000}"/>
    <hyperlink ref="F933" r:id="rId944" xr:uid="{00000000-0004-0000-0200-0000AF030000}"/>
    <hyperlink ref="E934" r:id="rId945" xr:uid="{00000000-0004-0000-0200-0000B0030000}"/>
    <hyperlink ref="F934" r:id="rId946" xr:uid="{00000000-0004-0000-0200-0000B1030000}"/>
    <hyperlink ref="E935" r:id="rId947" xr:uid="{00000000-0004-0000-0200-0000B2030000}"/>
    <hyperlink ref="F935" r:id="rId948" xr:uid="{00000000-0004-0000-0200-0000B3030000}"/>
    <hyperlink ref="E936" r:id="rId949" xr:uid="{00000000-0004-0000-0200-0000B4030000}"/>
    <hyperlink ref="F936" r:id="rId950" xr:uid="{00000000-0004-0000-0200-0000B5030000}"/>
    <hyperlink ref="E937" r:id="rId951" xr:uid="{00000000-0004-0000-0200-0000B6030000}"/>
    <hyperlink ref="F937" r:id="rId952" xr:uid="{00000000-0004-0000-0200-0000B7030000}"/>
    <hyperlink ref="E938" r:id="rId953" xr:uid="{00000000-0004-0000-0200-0000B8030000}"/>
    <hyperlink ref="F938" r:id="rId954" xr:uid="{00000000-0004-0000-0200-0000B9030000}"/>
    <hyperlink ref="E939" r:id="rId955" xr:uid="{00000000-0004-0000-0200-0000BA030000}"/>
    <hyperlink ref="F939" r:id="rId956" xr:uid="{00000000-0004-0000-0200-0000BB030000}"/>
    <hyperlink ref="E940" r:id="rId957" xr:uid="{00000000-0004-0000-0200-0000BC030000}"/>
    <hyperlink ref="F940" r:id="rId958" xr:uid="{00000000-0004-0000-0200-0000BD030000}"/>
    <hyperlink ref="E941" r:id="rId959" xr:uid="{00000000-0004-0000-0200-0000BE030000}"/>
    <hyperlink ref="F941" r:id="rId960" xr:uid="{00000000-0004-0000-0200-0000BF030000}"/>
    <hyperlink ref="E942" r:id="rId961" xr:uid="{00000000-0004-0000-0200-0000C0030000}"/>
    <hyperlink ref="F942" r:id="rId962" xr:uid="{00000000-0004-0000-0200-0000C1030000}"/>
    <hyperlink ref="E943" r:id="rId963" xr:uid="{00000000-0004-0000-0200-0000C2030000}"/>
    <hyperlink ref="F943" r:id="rId964" xr:uid="{00000000-0004-0000-0200-0000C3030000}"/>
    <hyperlink ref="E944" r:id="rId965" xr:uid="{00000000-0004-0000-0200-0000C4030000}"/>
    <hyperlink ref="F944" r:id="rId966" xr:uid="{00000000-0004-0000-0200-0000C5030000}"/>
    <hyperlink ref="E945" r:id="rId967" xr:uid="{00000000-0004-0000-0200-0000C6030000}"/>
    <hyperlink ref="F945" r:id="rId968" xr:uid="{00000000-0004-0000-0200-0000C7030000}"/>
    <hyperlink ref="E946" r:id="rId969" xr:uid="{00000000-0004-0000-0200-0000C8030000}"/>
    <hyperlink ref="F946" r:id="rId970" xr:uid="{00000000-0004-0000-0200-0000C9030000}"/>
    <hyperlink ref="E947" r:id="rId971" xr:uid="{00000000-0004-0000-0200-0000CA030000}"/>
    <hyperlink ref="F947" r:id="rId972" xr:uid="{00000000-0004-0000-0200-0000CB030000}"/>
    <hyperlink ref="E948" r:id="rId973" xr:uid="{00000000-0004-0000-0200-0000CC030000}"/>
    <hyperlink ref="F948" r:id="rId974" xr:uid="{00000000-0004-0000-0200-0000CD030000}"/>
    <hyperlink ref="E949" r:id="rId975" xr:uid="{00000000-0004-0000-0200-0000CE030000}"/>
    <hyperlink ref="F949" r:id="rId976" xr:uid="{00000000-0004-0000-0200-0000CF030000}"/>
    <hyperlink ref="E950" r:id="rId977" xr:uid="{00000000-0004-0000-0200-0000D0030000}"/>
    <hyperlink ref="F950" r:id="rId978" xr:uid="{00000000-0004-0000-0200-0000D1030000}"/>
    <hyperlink ref="E951" r:id="rId979" xr:uid="{00000000-0004-0000-0200-0000D2030000}"/>
    <hyperlink ref="F951" r:id="rId980" xr:uid="{00000000-0004-0000-0200-0000D3030000}"/>
    <hyperlink ref="E955" r:id="rId981" xr:uid="{00000000-0004-0000-0200-0000D4030000}"/>
    <hyperlink ref="F955" r:id="rId982" xr:uid="{00000000-0004-0000-0200-0000D5030000}"/>
    <hyperlink ref="E958" r:id="rId983" xr:uid="{00000000-0004-0000-0200-0000D6030000}"/>
    <hyperlink ref="F958" r:id="rId984" xr:uid="{00000000-0004-0000-0200-0000D7030000}"/>
    <hyperlink ref="E959" r:id="rId985" xr:uid="{00000000-0004-0000-0200-0000D8030000}"/>
    <hyperlink ref="F959" r:id="rId986" xr:uid="{00000000-0004-0000-0200-0000D9030000}"/>
    <hyperlink ref="E960" r:id="rId987" xr:uid="{00000000-0004-0000-0200-0000DA030000}"/>
    <hyperlink ref="F960" r:id="rId988" xr:uid="{00000000-0004-0000-0200-0000DB030000}"/>
    <hyperlink ref="E961" r:id="rId989" xr:uid="{00000000-0004-0000-0200-0000DC030000}"/>
    <hyperlink ref="F961" r:id="rId990" xr:uid="{00000000-0004-0000-0200-0000DD030000}"/>
    <hyperlink ref="E962" r:id="rId991" xr:uid="{00000000-0004-0000-0200-0000DE030000}"/>
    <hyperlink ref="F962" r:id="rId992" xr:uid="{00000000-0004-0000-0200-0000DF030000}"/>
    <hyperlink ref="E963" r:id="rId993" xr:uid="{00000000-0004-0000-0200-0000E0030000}"/>
    <hyperlink ref="F963" r:id="rId994" xr:uid="{00000000-0004-0000-0200-0000E1030000}"/>
    <hyperlink ref="E967" r:id="rId995" xr:uid="{00000000-0004-0000-0200-0000E2030000}"/>
    <hyperlink ref="F967" r:id="rId996" xr:uid="{00000000-0004-0000-0200-0000E3030000}"/>
    <hyperlink ref="E968" r:id="rId997" xr:uid="{00000000-0004-0000-0200-0000E4030000}"/>
    <hyperlink ref="F968" r:id="rId998" xr:uid="{00000000-0004-0000-0200-0000E5030000}"/>
    <hyperlink ref="E969" r:id="rId999" xr:uid="{00000000-0004-0000-0200-0000E6030000}"/>
    <hyperlink ref="F969" r:id="rId1000" xr:uid="{00000000-0004-0000-0200-0000E7030000}"/>
    <hyperlink ref="E970" r:id="rId1001" xr:uid="{00000000-0004-0000-0200-0000E8030000}"/>
    <hyperlink ref="F970" r:id="rId1002" xr:uid="{00000000-0004-0000-0200-0000E9030000}"/>
    <hyperlink ref="E971" r:id="rId1003" xr:uid="{00000000-0004-0000-0200-0000EA030000}"/>
    <hyperlink ref="F971" r:id="rId1004" xr:uid="{00000000-0004-0000-0200-0000EB030000}"/>
    <hyperlink ref="E980" r:id="rId1005" xr:uid="{00000000-0004-0000-0200-0000EC030000}"/>
    <hyperlink ref="F980" r:id="rId1006" xr:uid="{00000000-0004-0000-0200-0000ED030000}"/>
    <hyperlink ref="E981" r:id="rId1007" xr:uid="{00000000-0004-0000-0200-0000EE030000}"/>
    <hyperlink ref="F981" r:id="rId1008" xr:uid="{00000000-0004-0000-0200-0000EF030000}"/>
    <hyperlink ref="E982" r:id="rId1009" xr:uid="{00000000-0004-0000-0200-0000F0030000}"/>
    <hyperlink ref="F982" r:id="rId1010" xr:uid="{00000000-0004-0000-0200-0000F1030000}"/>
    <hyperlink ref="E983" r:id="rId1011" xr:uid="{00000000-0004-0000-0200-0000F2030000}"/>
    <hyperlink ref="F983" r:id="rId1012" xr:uid="{00000000-0004-0000-0200-0000F3030000}"/>
    <hyperlink ref="E984" r:id="rId1013" xr:uid="{00000000-0004-0000-0200-0000F4030000}"/>
    <hyperlink ref="F984" r:id="rId1014" xr:uid="{00000000-0004-0000-0200-0000F5030000}"/>
    <hyperlink ref="E985" r:id="rId1015" xr:uid="{00000000-0004-0000-0200-0000F6030000}"/>
    <hyperlink ref="F985" r:id="rId1016" xr:uid="{00000000-0004-0000-0200-0000F7030000}"/>
    <hyperlink ref="E986" r:id="rId1017" xr:uid="{00000000-0004-0000-0200-0000F8030000}"/>
    <hyperlink ref="F986" r:id="rId1018" xr:uid="{00000000-0004-0000-0200-0000F9030000}"/>
    <hyperlink ref="E987" r:id="rId1019" xr:uid="{00000000-0004-0000-0200-0000FA030000}"/>
    <hyperlink ref="F987" r:id="rId1020" xr:uid="{00000000-0004-0000-0200-0000FB030000}"/>
    <hyperlink ref="E988" r:id="rId1021" xr:uid="{00000000-0004-0000-0200-0000FC030000}"/>
    <hyperlink ref="F988" r:id="rId1022" xr:uid="{00000000-0004-0000-0200-0000FD030000}"/>
    <hyperlink ref="E989" r:id="rId1023" xr:uid="{00000000-0004-0000-0200-0000FE030000}"/>
    <hyperlink ref="F989" r:id="rId1024" xr:uid="{00000000-0004-0000-0200-0000FF030000}"/>
    <hyperlink ref="E994" r:id="rId1025" xr:uid="{00000000-0004-0000-0200-000000040000}"/>
    <hyperlink ref="F994" r:id="rId1026" xr:uid="{00000000-0004-0000-0200-000001040000}"/>
    <hyperlink ref="E998" r:id="rId1027" xr:uid="{00000000-0004-0000-0200-000002040000}"/>
    <hyperlink ref="E1002" r:id="rId1028" xr:uid="{00000000-0004-0000-0200-000003040000}"/>
    <hyperlink ref="F1002" r:id="rId1029" xr:uid="{00000000-0004-0000-0200-000004040000}"/>
    <hyperlink ref="E1010" r:id="rId1030" xr:uid="{00000000-0004-0000-0200-000005040000}"/>
    <hyperlink ref="F1010" r:id="rId1031" xr:uid="{00000000-0004-0000-0200-000006040000}"/>
    <hyperlink ref="E1011" r:id="rId1032" xr:uid="{00000000-0004-0000-0200-000007040000}"/>
    <hyperlink ref="F1011" r:id="rId1033" xr:uid="{00000000-0004-0000-0200-000008040000}"/>
    <hyperlink ref="E1015" r:id="rId1034" xr:uid="{00000000-0004-0000-0200-000009040000}"/>
    <hyperlink ref="F1015" r:id="rId1035" xr:uid="{00000000-0004-0000-0200-00000A040000}"/>
    <hyperlink ref="E1018" r:id="rId1036" xr:uid="{00000000-0004-0000-0200-00000B040000}"/>
    <hyperlink ref="F1018" r:id="rId1037" xr:uid="{00000000-0004-0000-0200-00000C040000}"/>
    <hyperlink ref="E1021" r:id="rId1038" xr:uid="{00000000-0004-0000-0200-00000D040000}"/>
    <hyperlink ref="F1021" r:id="rId1039" xr:uid="{00000000-0004-0000-0200-00000E040000}"/>
    <hyperlink ref="E1022" r:id="rId1040" xr:uid="{00000000-0004-0000-0200-00000F040000}"/>
    <hyperlink ref="F1022" r:id="rId1041" xr:uid="{00000000-0004-0000-0200-000010040000}"/>
    <hyperlink ref="E1025" r:id="rId1042" xr:uid="{00000000-0004-0000-0200-000011040000}"/>
    <hyperlink ref="E1028" r:id="rId1043" xr:uid="{00000000-0004-0000-0200-000012040000}"/>
    <hyperlink ref="F1028" r:id="rId1044" xr:uid="{00000000-0004-0000-0200-000013040000}"/>
    <hyperlink ref="E1029" r:id="rId1045" xr:uid="{00000000-0004-0000-0200-000014040000}"/>
    <hyperlink ref="F1029" r:id="rId1046" xr:uid="{00000000-0004-0000-0200-000015040000}"/>
    <hyperlink ref="E1030" r:id="rId1047" xr:uid="{00000000-0004-0000-0200-000016040000}"/>
    <hyperlink ref="F1030" r:id="rId1048" xr:uid="{00000000-0004-0000-0200-000017040000}"/>
    <hyperlink ref="E1034" r:id="rId1049" xr:uid="{00000000-0004-0000-0200-000018040000}"/>
    <hyperlink ref="E1038" r:id="rId1050" xr:uid="{00000000-0004-0000-0200-000019040000}"/>
    <hyperlink ref="E1042" r:id="rId1051" xr:uid="{00000000-0004-0000-0200-00001A040000}"/>
    <hyperlink ref="F1042" r:id="rId1052" xr:uid="{00000000-0004-0000-0200-00001B040000}"/>
    <hyperlink ref="E1048" r:id="rId1053" xr:uid="{00000000-0004-0000-0200-00001C040000}"/>
    <hyperlink ref="F1048" r:id="rId1054" xr:uid="{00000000-0004-0000-0200-00001D040000}"/>
    <hyperlink ref="E1049" r:id="rId1055" xr:uid="{00000000-0004-0000-0200-00001E040000}"/>
    <hyperlink ref="F1049" r:id="rId1056" xr:uid="{00000000-0004-0000-0200-00001F040000}"/>
    <hyperlink ref="E1050" r:id="rId1057" xr:uid="{00000000-0004-0000-0200-000020040000}"/>
    <hyperlink ref="F1050" r:id="rId1058" xr:uid="{00000000-0004-0000-0200-000021040000}"/>
    <hyperlink ref="E1051" r:id="rId1059" xr:uid="{00000000-0004-0000-0200-000022040000}"/>
    <hyperlink ref="F1051" r:id="rId1060" xr:uid="{00000000-0004-0000-0200-000023040000}"/>
    <hyperlink ref="E1052" r:id="rId1061" xr:uid="{00000000-0004-0000-0200-000024040000}"/>
    <hyperlink ref="F1052" r:id="rId1062" xr:uid="{00000000-0004-0000-0200-000025040000}"/>
    <hyperlink ref="E1053" r:id="rId1063" xr:uid="{00000000-0004-0000-0200-000026040000}"/>
    <hyperlink ref="F1053" r:id="rId1064" xr:uid="{00000000-0004-0000-0200-000027040000}"/>
    <hyperlink ref="E1054" r:id="rId1065" xr:uid="{00000000-0004-0000-0200-000028040000}"/>
    <hyperlink ref="F1054" r:id="rId1066" xr:uid="{00000000-0004-0000-0200-000029040000}"/>
    <hyperlink ref="E1055" r:id="rId1067" xr:uid="{00000000-0004-0000-0200-00002A040000}"/>
    <hyperlink ref="F1055" r:id="rId1068" xr:uid="{00000000-0004-0000-0200-00002B040000}"/>
    <hyperlink ref="E1056" r:id="rId1069" xr:uid="{00000000-0004-0000-0200-00002C040000}"/>
    <hyperlink ref="F1056" r:id="rId1070" xr:uid="{00000000-0004-0000-0200-00002D040000}"/>
    <hyperlink ref="E1057" r:id="rId1071" xr:uid="{00000000-0004-0000-0200-00002E040000}"/>
    <hyperlink ref="F1057" r:id="rId1072" xr:uid="{00000000-0004-0000-0200-00002F040000}"/>
    <hyperlink ref="E1058" r:id="rId1073" xr:uid="{00000000-0004-0000-0200-000030040000}"/>
    <hyperlink ref="F1058" r:id="rId1074" xr:uid="{00000000-0004-0000-0200-000031040000}"/>
    <hyperlink ref="E1059" r:id="rId1075" xr:uid="{00000000-0004-0000-0200-000032040000}"/>
    <hyperlink ref="F1059" r:id="rId1076" xr:uid="{00000000-0004-0000-0200-000033040000}"/>
    <hyperlink ref="E1060" r:id="rId1077" xr:uid="{00000000-0004-0000-0200-000034040000}"/>
    <hyperlink ref="F1060" r:id="rId1078" xr:uid="{00000000-0004-0000-0200-000035040000}"/>
    <hyperlink ref="E1075" r:id="rId1079" xr:uid="{00000000-0004-0000-0200-000036040000}"/>
    <hyperlink ref="F1075" r:id="rId1080" xr:uid="{00000000-0004-0000-0200-000037040000}"/>
    <hyperlink ref="E1076" r:id="rId1081" xr:uid="{00000000-0004-0000-0200-000038040000}"/>
    <hyperlink ref="F1076" r:id="rId1082" xr:uid="{00000000-0004-0000-0200-000039040000}"/>
    <hyperlink ref="E1078" r:id="rId1083" xr:uid="{00000000-0004-0000-0200-00003A040000}"/>
    <hyperlink ref="F1078" r:id="rId1084" xr:uid="{00000000-0004-0000-0200-00003B040000}"/>
    <hyperlink ref="E1079" r:id="rId1085" xr:uid="{00000000-0004-0000-0200-00003C040000}"/>
    <hyperlink ref="F1079" r:id="rId1086" xr:uid="{00000000-0004-0000-0200-00003D040000}"/>
    <hyperlink ref="E1080" r:id="rId1087" xr:uid="{00000000-0004-0000-0200-00003E040000}"/>
    <hyperlink ref="F1080" r:id="rId1088" xr:uid="{00000000-0004-0000-0200-00003F040000}"/>
    <hyperlink ref="E1081" r:id="rId1089" xr:uid="{00000000-0004-0000-0200-000040040000}"/>
    <hyperlink ref="F1081" r:id="rId1090" xr:uid="{00000000-0004-0000-0200-000041040000}"/>
    <hyperlink ref="E1082" r:id="rId1091" xr:uid="{00000000-0004-0000-0200-000042040000}"/>
    <hyperlink ref="F1082" r:id="rId1092" xr:uid="{00000000-0004-0000-0200-000043040000}"/>
    <hyperlink ref="E1083" r:id="rId1093" xr:uid="{00000000-0004-0000-0200-000044040000}"/>
    <hyperlink ref="F1083" r:id="rId1094" xr:uid="{00000000-0004-0000-0200-000045040000}"/>
    <hyperlink ref="E1084" r:id="rId1095" xr:uid="{00000000-0004-0000-0200-000046040000}"/>
    <hyperlink ref="F1084" r:id="rId1096" xr:uid="{00000000-0004-0000-0200-000047040000}"/>
    <hyperlink ref="E1085" r:id="rId1097" xr:uid="{00000000-0004-0000-0200-000048040000}"/>
    <hyperlink ref="F1085" r:id="rId1098" xr:uid="{00000000-0004-0000-0200-000049040000}"/>
    <hyperlink ref="E1086" r:id="rId1099" xr:uid="{00000000-0004-0000-0200-00004A040000}"/>
    <hyperlink ref="F1086" r:id="rId1100" xr:uid="{00000000-0004-0000-0200-00004B040000}"/>
    <hyperlink ref="E1087" r:id="rId1101" xr:uid="{00000000-0004-0000-0200-00004C040000}"/>
    <hyperlink ref="F1087" r:id="rId1102" xr:uid="{00000000-0004-0000-0200-00004D040000}"/>
    <hyperlink ref="E1088" r:id="rId1103" xr:uid="{00000000-0004-0000-0200-00004E040000}"/>
    <hyperlink ref="F1088" r:id="rId1104" xr:uid="{00000000-0004-0000-0200-00004F040000}"/>
    <hyperlink ref="E1089" r:id="rId1105" xr:uid="{00000000-0004-0000-0200-000050040000}"/>
    <hyperlink ref="F1089" r:id="rId1106" xr:uid="{00000000-0004-0000-0200-000051040000}"/>
    <hyperlink ref="E1090" r:id="rId1107" xr:uid="{00000000-0004-0000-0200-000052040000}"/>
    <hyperlink ref="F1090" r:id="rId1108" xr:uid="{00000000-0004-0000-0200-000053040000}"/>
    <hyperlink ref="E1091" r:id="rId1109" xr:uid="{00000000-0004-0000-0200-000054040000}"/>
    <hyperlink ref="F1091" r:id="rId1110" xr:uid="{00000000-0004-0000-0200-000055040000}"/>
    <hyperlink ref="E1092" r:id="rId1111" xr:uid="{00000000-0004-0000-0200-000056040000}"/>
    <hyperlink ref="F1092" r:id="rId1112" xr:uid="{00000000-0004-0000-0200-000057040000}"/>
    <hyperlink ref="E1096" r:id="rId1113" xr:uid="{00000000-0004-0000-0200-000058040000}"/>
    <hyperlink ref="E1098" r:id="rId1114" xr:uid="{00000000-0004-0000-0200-000059040000}"/>
    <hyperlink ref="F1098" r:id="rId1115" xr:uid="{00000000-0004-0000-0200-00005A040000}"/>
    <hyperlink ref="E1100" r:id="rId1116" xr:uid="{00000000-0004-0000-0200-00005B040000}"/>
    <hyperlink ref="F1100" r:id="rId1117" xr:uid="{00000000-0004-0000-0200-00005C040000}"/>
    <hyperlink ref="E1101" r:id="rId1118" xr:uid="{00000000-0004-0000-0200-00005D040000}"/>
    <hyperlink ref="F1101" r:id="rId1119" xr:uid="{00000000-0004-0000-0200-00005E040000}"/>
    <hyperlink ref="E1102" r:id="rId1120" xr:uid="{00000000-0004-0000-0200-00005F040000}"/>
    <hyperlink ref="F1102" r:id="rId1121" xr:uid="{00000000-0004-0000-0200-000060040000}"/>
    <hyperlink ref="E1103" r:id="rId1122" xr:uid="{00000000-0004-0000-0200-000061040000}"/>
    <hyperlink ref="F1103" r:id="rId1123" xr:uid="{00000000-0004-0000-0200-000062040000}"/>
    <hyperlink ref="E1104" r:id="rId1124" xr:uid="{00000000-0004-0000-0200-000063040000}"/>
    <hyperlink ref="F1104" r:id="rId1125" xr:uid="{00000000-0004-0000-0200-000064040000}"/>
    <hyperlink ref="E1105" r:id="rId1126" xr:uid="{00000000-0004-0000-0200-000065040000}"/>
    <hyperlink ref="F1105" r:id="rId1127" xr:uid="{00000000-0004-0000-0200-000066040000}"/>
    <hyperlink ref="E1106" r:id="rId1128" xr:uid="{00000000-0004-0000-0200-000067040000}"/>
    <hyperlink ref="F1106" r:id="rId1129" xr:uid="{00000000-0004-0000-0200-000068040000}"/>
    <hyperlink ref="E1107" r:id="rId1130" xr:uid="{00000000-0004-0000-0200-000069040000}"/>
    <hyperlink ref="F1107" r:id="rId1131" xr:uid="{00000000-0004-0000-0200-00006A040000}"/>
    <hyperlink ref="E1108" r:id="rId1132" xr:uid="{00000000-0004-0000-0200-00006B040000}"/>
    <hyperlink ref="F1108" r:id="rId1133" xr:uid="{00000000-0004-0000-0200-00006C040000}"/>
    <hyperlink ref="E1109" r:id="rId1134" xr:uid="{00000000-0004-0000-0200-00006D040000}"/>
    <hyperlink ref="F1109" r:id="rId1135" xr:uid="{00000000-0004-0000-0200-00006E040000}"/>
    <hyperlink ref="E1110" r:id="rId1136" xr:uid="{00000000-0004-0000-0200-00006F040000}"/>
    <hyperlink ref="F1110" r:id="rId1137" xr:uid="{00000000-0004-0000-0200-000070040000}"/>
    <hyperlink ref="E1111" r:id="rId1138" xr:uid="{00000000-0004-0000-0200-000071040000}"/>
    <hyperlink ref="F1111" r:id="rId1139" xr:uid="{00000000-0004-0000-0200-000072040000}"/>
    <hyperlink ref="E1112" r:id="rId1140" xr:uid="{00000000-0004-0000-0200-000073040000}"/>
    <hyperlink ref="F1112" r:id="rId1141" xr:uid="{00000000-0004-0000-0200-000074040000}"/>
    <hyperlink ref="E1113" r:id="rId1142" xr:uid="{00000000-0004-0000-0200-000075040000}"/>
    <hyperlink ref="F1113" r:id="rId1143" xr:uid="{00000000-0004-0000-0200-000076040000}"/>
    <hyperlink ref="E1114" r:id="rId1144" xr:uid="{00000000-0004-0000-0200-000077040000}"/>
    <hyperlink ref="F1114" r:id="rId1145" xr:uid="{00000000-0004-0000-0200-000078040000}"/>
    <hyperlink ref="E1115" r:id="rId1146" xr:uid="{00000000-0004-0000-0200-000079040000}"/>
    <hyperlink ref="F1115" r:id="rId1147" xr:uid="{00000000-0004-0000-0200-00007A040000}"/>
    <hyperlink ref="E1116" r:id="rId1148" xr:uid="{00000000-0004-0000-0200-00007B040000}"/>
    <hyperlink ref="F1116" r:id="rId1149" xr:uid="{00000000-0004-0000-0200-00007C040000}"/>
    <hyperlink ref="E1117" r:id="rId1150" xr:uid="{00000000-0004-0000-0200-00007D040000}"/>
    <hyperlink ref="F1117" r:id="rId1151" xr:uid="{00000000-0004-0000-0200-00007E040000}"/>
    <hyperlink ref="E1118" r:id="rId1152" xr:uid="{00000000-0004-0000-0200-00007F040000}"/>
    <hyperlink ref="F1118" r:id="rId1153" xr:uid="{00000000-0004-0000-0200-000080040000}"/>
    <hyperlink ref="E1119" r:id="rId1154" xr:uid="{00000000-0004-0000-0200-000081040000}"/>
    <hyperlink ref="F1119" r:id="rId1155" xr:uid="{00000000-0004-0000-0200-000082040000}"/>
    <hyperlink ref="E1120" r:id="rId1156" xr:uid="{00000000-0004-0000-0200-000083040000}"/>
    <hyperlink ref="F1120" r:id="rId1157" xr:uid="{00000000-0004-0000-0200-000084040000}"/>
    <hyperlink ref="E1121" r:id="rId1158" xr:uid="{00000000-0004-0000-0200-000085040000}"/>
    <hyperlink ref="F1121" r:id="rId1159" xr:uid="{00000000-0004-0000-0200-000086040000}"/>
    <hyperlink ref="E1122" r:id="rId1160" xr:uid="{00000000-0004-0000-0200-000087040000}"/>
    <hyperlink ref="F1122" r:id="rId1161" xr:uid="{00000000-0004-0000-0200-000088040000}"/>
    <hyperlink ref="E1123" r:id="rId1162" xr:uid="{00000000-0004-0000-0200-000089040000}"/>
    <hyperlink ref="F1123" r:id="rId1163" xr:uid="{00000000-0004-0000-0200-00008A040000}"/>
    <hyperlink ref="E1124" r:id="rId1164" xr:uid="{00000000-0004-0000-0200-00008B040000}"/>
    <hyperlink ref="F1124" r:id="rId1165" xr:uid="{00000000-0004-0000-0200-00008C040000}"/>
    <hyperlink ref="E1125" r:id="rId1166" xr:uid="{00000000-0004-0000-0200-00008D040000}"/>
    <hyperlink ref="F1125" r:id="rId1167" xr:uid="{00000000-0004-0000-0200-00008E040000}"/>
    <hyperlink ref="E1126" r:id="rId1168" xr:uid="{00000000-0004-0000-0200-00008F040000}"/>
    <hyperlink ref="F1126" r:id="rId1169" xr:uid="{00000000-0004-0000-0200-000090040000}"/>
    <hyperlink ref="E1137" r:id="rId1170" xr:uid="{00000000-0004-0000-0200-000091040000}"/>
    <hyperlink ref="F1137" r:id="rId1171" xr:uid="{00000000-0004-0000-0200-000092040000}"/>
    <hyperlink ref="E1138" r:id="rId1172" xr:uid="{00000000-0004-0000-0200-000093040000}"/>
    <hyperlink ref="F1138" r:id="rId1173" xr:uid="{00000000-0004-0000-0200-000094040000}"/>
    <hyperlink ref="E1139" r:id="rId1174" xr:uid="{00000000-0004-0000-0200-000095040000}"/>
    <hyperlink ref="E1144" r:id="rId1175" xr:uid="{00000000-0004-0000-0200-000096040000}"/>
    <hyperlink ref="E1146" r:id="rId1176" xr:uid="{00000000-0004-0000-0200-000097040000}"/>
    <hyperlink ref="F1146" r:id="rId1177" xr:uid="{00000000-0004-0000-0200-000098040000}"/>
    <hyperlink ref="E1148" r:id="rId1178" xr:uid="{00000000-0004-0000-0200-000099040000}"/>
    <hyperlink ref="F1148" r:id="rId1179" xr:uid="{00000000-0004-0000-0200-00009A040000}"/>
    <hyperlink ref="E1149" r:id="rId1180" xr:uid="{00000000-0004-0000-0200-00009B040000}"/>
    <hyperlink ref="F1149" r:id="rId1181" xr:uid="{00000000-0004-0000-0200-00009C040000}"/>
    <hyperlink ref="E1152" r:id="rId1182" xr:uid="{00000000-0004-0000-0200-00009D040000}"/>
    <hyperlink ref="F1152" r:id="rId1183" xr:uid="{00000000-0004-0000-0200-00009E040000}"/>
    <hyperlink ref="E1153" r:id="rId1184" xr:uid="{00000000-0004-0000-0200-00009F040000}"/>
    <hyperlink ref="F1153" r:id="rId1185" xr:uid="{00000000-0004-0000-0200-0000A0040000}"/>
    <hyperlink ref="E1154" r:id="rId1186" xr:uid="{00000000-0004-0000-0200-0000A1040000}"/>
    <hyperlink ref="F1154" r:id="rId1187" xr:uid="{00000000-0004-0000-0200-0000A2040000}"/>
    <hyperlink ref="E1155" r:id="rId1188" xr:uid="{00000000-0004-0000-0200-0000A3040000}"/>
    <hyperlink ref="F1155" r:id="rId1189" xr:uid="{00000000-0004-0000-0200-0000A4040000}"/>
    <hyperlink ref="E1156" r:id="rId1190" xr:uid="{00000000-0004-0000-0200-0000A5040000}"/>
    <hyperlink ref="F1156" r:id="rId1191" xr:uid="{00000000-0004-0000-0200-0000A6040000}"/>
    <hyperlink ref="E1157" r:id="rId1192" xr:uid="{00000000-0004-0000-0200-0000A7040000}"/>
    <hyperlink ref="F1157" r:id="rId1193" xr:uid="{00000000-0004-0000-0200-0000A8040000}"/>
    <hyperlink ref="E1159" r:id="rId1194" xr:uid="{00000000-0004-0000-0200-0000A9040000}"/>
    <hyperlink ref="F1159" r:id="rId1195" xr:uid="{00000000-0004-0000-0200-0000AA040000}"/>
    <hyperlink ref="E1163" r:id="rId1196" xr:uid="{00000000-0004-0000-0200-0000AB040000}"/>
    <hyperlink ref="E1165" r:id="rId1197" xr:uid="{00000000-0004-0000-0200-0000AC040000}"/>
    <hyperlink ref="F1165" r:id="rId1198" xr:uid="{00000000-0004-0000-0200-0000AD040000}"/>
    <hyperlink ref="E1166" r:id="rId1199" xr:uid="{00000000-0004-0000-0200-0000AE040000}"/>
    <hyperlink ref="F1166" r:id="rId1200" xr:uid="{00000000-0004-0000-0200-0000AF040000}"/>
    <hyperlink ref="E1167" r:id="rId1201" xr:uid="{00000000-0004-0000-0200-0000B0040000}"/>
    <hyperlink ref="F1167" r:id="rId1202" xr:uid="{00000000-0004-0000-0200-0000B1040000}"/>
    <hyperlink ref="E1168" r:id="rId1203" xr:uid="{00000000-0004-0000-0200-0000B2040000}"/>
    <hyperlink ref="F1168" r:id="rId1204" xr:uid="{00000000-0004-0000-0200-0000B3040000}"/>
    <hyperlink ref="E1172" r:id="rId1205" xr:uid="{00000000-0004-0000-0200-0000B4040000}"/>
    <hyperlink ref="F1172" r:id="rId1206" xr:uid="{00000000-0004-0000-0200-0000B5040000}"/>
    <hyperlink ref="E1175" r:id="rId1207" xr:uid="{00000000-0004-0000-0200-0000B6040000}"/>
    <hyperlink ref="F1175" r:id="rId1208" xr:uid="{00000000-0004-0000-0200-0000B7040000}"/>
    <hyperlink ref="E1176" r:id="rId1209" xr:uid="{00000000-0004-0000-0200-0000B8040000}"/>
    <hyperlink ref="E1196" r:id="rId1210" xr:uid="{00000000-0004-0000-0200-0000B9040000}"/>
    <hyperlink ref="E1200" r:id="rId1211" xr:uid="{00000000-0004-0000-0200-0000BA040000}"/>
    <hyperlink ref="F1200" r:id="rId1212" xr:uid="{00000000-0004-0000-0200-0000BB040000}"/>
    <hyperlink ref="E1201" r:id="rId1213" xr:uid="{00000000-0004-0000-0200-0000BC040000}"/>
    <hyperlink ref="F1201" r:id="rId1214" xr:uid="{00000000-0004-0000-0200-0000BD040000}"/>
    <hyperlink ref="E1205" r:id="rId1215" xr:uid="{00000000-0004-0000-0200-0000BE040000}"/>
    <hyperlink ref="F1205" r:id="rId1216" xr:uid="{00000000-0004-0000-0200-0000BF040000}"/>
    <hyperlink ref="E1206" r:id="rId1217" xr:uid="{00000000-0004-0000-0200-0000C0040000}"/>
    <hyperlink ref="F1206" r:id="rId1218" xr:uid="{00000000-0004-0000-0200-0000C1040000}"/>
    <hyperlink ref="E1207" r:id="rId1219" xr:uid="{00000000-0004-0000-0200-0000C2040000}"/>
    <hyperlink ref="F1207" r:id="rId1220" xr:uid="{00000000-0004-0000-0200-0000C3040000}"/>
    <hyperlink ref="E1208" r:id="rId1221" xr:uid="{00000000-0004-0000-0200-0000C4040000}"/>
    <hyperlink ref="F1208" r:id="rId1222" xr:uid="{00000000-0004-0000-0200-0000C5040000}"/>
    <hyperlink ref="E1209" r:id="rId1223" xr:uid="{00000000-0004-0000-0200-0000C6040000}"/>
    <hyperlink ref="F1209" r:id="rId1224" xr:uid="{00000000-0004-0000-0200-0000C7040000}"/>
    <hyperlink ref="E1210" r:id="rId1225" xr:uid="{00000000-0004-0000-0200-0000C8040000}"/>
    <hyperlink ref="F1210" r:id="rId1226" xr:uid="{00000000-0004-0000-0200-0000C9040000}"/>
    <hyperlink ref="E1211" r:id="rId1227" xr:uid="{00000000-0004-0000-0200-0000CA040000}"/>
    <hyperlink ref="F1211" r:id="rId1228" xr:uid="{00000000-0004-0000-0200-0000CB040000}"/>
    <hyperlink ref="E1212" r:id="rId1229" xr:uid="{00000000-0004-0000-0200-0000CC040000}"/>
    <hyperlink ref="F1212" r:id="rId1230" xr:uid="{00000000-0004-0000-0200-0000CD040000}"/>
    <hyperlink ref="E1213" r:id="rId1231" xr:uid="{00000000-0004-0000-0200-0000CE040000}"/>
    <hyperlink ref="F1213" r:id="rId1232" xr:uid="{00000000-0004-0000-0200-0000CF040000}"/>
    <hyperlink ref="E1223" r:id="rId1233" xr:uid="{00000000-0004-0000-0200-0000D0040000}"/>
    <hyperlink ref="F1223" r:id="rId1234" xr:uid="{00000000-0004-0000-0200-0000D1040000}"/>
    <hyperlink ref="E1228" r:id="rId1235" xr:uid="{00000000-0004-0000-0200-0000D2040000}"/>
    <hyperlink ref="F1228" r:id="rId1236" xr:uid="{00000000-0004-0000-0200-0000D3040000}"/>
    <hyperlink ref="E1229" r:id="rId1237" xr:uid="{00000000-0004-0000-0200-0000D4040000}"/>
    <hyperlink ref="F1229" r:id="rId1238" xr:uid="{00000000-0004-0000-0200-0000D5040000}"/>
    <hyperlink ref="E1232" r:id="rId1239" xr:uid="{00000000-0004-0000-0200-0000D6040000}"/>
    <hyperlink ref="F1232" r:id="rId1240" xr:uid="{00000000-0004-0000-0200-0000D7040000}"/>
    <hyperlink ref="E1233" r:id="rId1241" xr:uid="{00000000-0004-0000-0200-0000D8040000}"/>
    <hyperlink ref="F1233" r:id="rId1242" xr:uid="{00000000-0004-0000-0200-0000D9040000}"/>
    <hyperlink ref="E1235" r:id="rId1243" xr:uid="{00000000-0004-0000-0200-0000DA040000}"/>
    <hyperlink ref="F1235" r:id="rId1244" xr:uid="{00000000-0004-0000-0200-0000DB040000}"/>
    <hyperlink ref="E1236" r:id="rId1245" xr:uid="{00000000-0004-0000-0200-0000DC040000}"/>
    <hyperlink ref="F1236" r:id="rId1246" xr:uid="{00000000-0004-0000-0200-0000DD040000}"/>
    <hyperlink ref="E1237" r:id="rId1247" xr:uid="{00000000-0004-0000-0200-0000DE040000}"/>
    <hyperlink ref="F1237" r:id="rId1248" xr:uid="{00000000-0004-0000-0200-0000DF040000}"/>
    <hyperlink ref="E1238" r:id="rId1249" xr:uid="{00000000-0004-0000-0200-0000E0040000}"/>
    <hyperlink ref="F1238" r:id="rId1250" xr:uid="{00000000-0004-0000-0200-0000E1040000}"/>
    <hyperlink ref="E1241" r:id="rId1251" xr:uid="{00000000-0004-0000-0200-0000E2040000}"/>
    <hyperlink ref="F1241" r:id="rId1252" xr:uid="{00000000-0004-0000-0200-0000E3040000}"/>
    <hyperlink ref="E1242" r:id="rId1253" xr:uid="{00000000-0004-0000-0200-0000E4040000}"/>
    <hyperlink ref="F1242" r:id="rId1254" xr:uid="{00000000-0004-0000-0200-0000E5040000}"/>
    <hyperlink ref="E1245" r:id="rId1255" xr:uid="{00000000-0004-0000-0200-0000E6040000}"/>
    <hyperlink ref="F1245" r:id="rId1256" xr:uid="{00000000-0004-0000-0200-0000E7040000}"/>
    <hyperlink ref="E1250" r:id="rId1257" xr:uid="{00000000-0004-0000-0200-0000E8040000}"/>
    <hyperlink ref="F1250" r:id="rId1258" xr:uid="{00000000-0004-0000-0200-0000E9040000}"/>
    <hyperlink ref="E1251" r:id="rId1259" xr:uid="{00000000-0004-0000-0200-0000EA040000}"/>
    <hyperlink ref="F1251" r:id="rId1260" xr:uid="{00000000-0004-0000-0200-0000EB040000}"/>
    <hyperlink ref="E1252" r:id="rId1261" xr:uid="{00000000-0004-0000-0200-0000EC040000}"/>
    <hyperlink ref="F1252" r:id="rId1262" xr:uid="{00000000-0004-0000-0200-0000ED040000}"/>
    <hyperlink ref="E1253" r:id="rId1263" xr:uid="{00000000-0004-0000-0200-0000EE040000}"/>
    <hyperlink ref="F1253" r:id="rId1264" xr:uid="{00000000-0004-0000-0200-0000EF040000}"/>
    <hyperlink ref="E1254" r:id="rId1265" xr:uid="{00000000-0004-0000-0200-0000F0040000}"/>
    <hyperlink ref="F1254" r:id="rId1266" xr:uid="{00000000-0004-0000-0200-0000F1040000}"/>
    <hyperlink ref="E1255" r:id="rId1267" xr:uid="{00000000-0004-0000-0200-0000F2040000}"/>
    <hyperlink ref="F1255" r:id="rId1268" xr:uid="{00000000-0004-0000-0200-0000F3040000}"/>
    <hyperlink ref="E1256" r:id="rId1269" xr:uid="{00000000-0004-0000-0200-0000F4040000}"/>
    <hyperlink ref="F1256" r:id="rId1270" xr:uid="{00000000-0004-0000-0200-0000F5040000}"/>
    <hyperlink ref="E1257" r:id="rId1271" xr:uid="{00000000-0004-0000-0200-0000F6040000}"/>
    <hyperlink ref="F1257" r:id="rId1272" xr:uid="{00000000-0004-0000-0200-0000F7040000}"/>
    <hyperlink ref="E1258" r:id="rId1273" xr:uid="{00000000-0004-0000-0200-0000F8040000}"/>
    <hyperlink ref="F1258" r:id="rId1274" xr:uid="{00000000-0004-0000-0200-0000F9040000}"/>
    <hyperlink ref="E1259" r:id="rId1275" xr:uid="{00000000-0004-0000-0200-0000FA040000}"/>
    <hyperlink ref="F1259" r:id="rId1276" xr:uid="{00000000-0004-0000-0200-0000FB040000}"/>
    <hyperlink ref="E1260" r:id="rId1277" xr:uid="{00000000-0004-0000-0200-0000FC040000}"/>
    <hyperlink ref="F1260" r:id="rId1278" xr:uid="{00000000-0004-0000-0200-0000FD040000}"/>
    <hyperlink ref="E1261" r:id="rId1279" xr:uid="{00000000-0004-0000-0200-0000FE040000}"/>
    <hyperlink ref="F1261" r:id="rId1280" xr:uid="{00000000-0004-0000-0200-0000FF040000}"/>
    <hyperlink ref="E1262" r:id="rId1281" xr:uid="{00000000-0004-0000-0200-000000050000}"/>
    <hyperlink ref="F1262" r:id="rId1282" xr:uid="{00000000-0004-0000-0200-000001050000}"/>
    <hyperlink ref="E1263" r:id="rId1283" xr:uid="{00000000-0004-0000-0200-000002050000}"/>
    <hyperlink ref="F1263" r:id="rId1284" xr:uid="{00000000-0004-0000-0200-000003050000}"/>
    <hyperlink ref="E1264" r:id="rId1285" xr:uid="{00000000-0004-0000-0200-000004050000}"/>
    <hyperlink ref="F1264" r:id="rId1286" xr:uid="{00000000-0004-0000-0200-000005050000}"/>
    <hyperlink ref="E1265" r:id="rId1287" xr:uid="{00000000-0004-0000-0200-000006050000}"/>
    <hyperlink ref="F1265" r:id="rId1288" xr:uid="{00000000-0004-0000-0200-000007050000}"/>
    <hyperlink ref="E1266" r:id="rId1289" xr:uid="{00000000-0004-0000-0200-000008050000}"/>
    <hyperlink ref="F1266" r:id="rId1290" xr:uid="{00000000-0004-0000-0200-000009050000}"/>
    <hyperlink ref="E1267" r:id="rId1291" xr:uid="{00000000-0004-0000-0200-00000A050000}"/>
    <hyperlink ref="F1267" r:id="rId1292" xr:uid="{00000000-0004-0000-0200-00000B050000}"/>
    <hyperlink ref="E1268" r:id="rId1293" xr:uid="{00000000-0004-0000-0200-00000C050000}"/>
    <hyperlink ref="F1268" r:id="rId1294" xr:uid="{00000000-0004-0000-0200-00000D050000}"/>
    <hyperlink ref="E1269" r:id="rId1295" xr:uid="{00000000-0004-0000-0200-00000E050000}"/>
    <hyperlink ref="F1269" r:id="rId1296" xr:uid="{00000000-0004-0000-0200-00000F050000}"/>
    <hyperlink ref="E1270" r:id="rId1297" xr:uid="{00000000-0004-0000-0200-000010050000}"/>
    <hyperlink ref="F1270" r:id="rId1298" xr:uid="{00000000-0004-0000-0200-000011050000}"/>
    <hyperlink ref="E1271" r:id="rId1299" xr:uid="{00000000-0004-0000-0200-000012050000}"/>
    <hyperlink ref="F1271" r:id="rId1300" xr:uid="{00000000-0004-0000-0200-000013050000}"/>
    <hyperlink ref="E1272" r:id="rId1301" xr:uid="{00000000-0004-0000-0200-000014050000}"/>
    <hyperlink ref="F1272" r:id="rId1302" xr:uid="{00000000-0004-0000-0200-000015050000}"/>
    <hyperlink ref="E1273" r:id="rId1303" xr:uid="{00000000-0004-0000-0200-000016050000}"/>
    <hyperlink ref="F1273" r:id="rId1304" xr:uid="{00000000-0004-0000-0200-000017050000}"/>
    <hyperlink ref="E1274" r:id="rId1305" xr:uid="{00000000-0004-0000-0200-000018050000}"/>
    <hyperlink ref="F1274" r:id="rId1306" xr:uid="{00000000-0004-0000-0200-000019050000}"/>
    <hyperlink ref="E1275" r:id="rId1307" xr:uid="{00000000-0004-0000-0200-00001A050000}"/>
    <hyperlink ref="F1275" r:id="rId1308" xr:uid="{00000000-0004-0000-0200-00001B050000}"/>
    <hyperlink ref="E1276" r:id="rId1309" xr:uid="{00000000-0004-0000-0200-00001C050000}"/>
    <hyperlink ref="F1276" r:id="rId1310" xr:uid="{00000000-0004-0000-0200-00001D050000}"/>
    <hyperlink ref="E1277" r:id="rId1311" xr:uid="{00000000-0004-0000-0200-00001E050000}"/>
    <hyperlink ref="F1277" r:id="rId1312" xr:uid="{00000000-0004-0000-0200-00001F050000}"/>
    <hyperlink ref="E1293" r:id="rId1313" xr:uid="{00000000-0004-0000-0200-000020050000}"/>
    <hyperlink ref="F1293" r:id="rId1314" xr:uid="{00000000-0004-0000-0200-000021050000}"/>
    <hyperlink ref="E1307" r:id="rId1315" xr:uid="{00000000-0004-0000-0200-000022050000}"/>
    <hyperlink ref="F1307" r:id="rId1316" xr:uid="{00000000-0004-0000-0200-000023050000}"/>
    <hyperlink ref="E1311" r:id="rId1317" xr:uid="{00000000-0004-0000-0200-000024050000}"/>
    <hyperlink ref="E1314" r:id="rId1318" xr:uid="{00000000-0004-0000-0200-000025050000}"/>
    <hyperlink ref="F1314" r:id="rId1319" xr:uid="{00000000-0004-0000-0200-000026050000}"/>
    <hyperlink ref="E1319" r:id="rId1320" xr:uid="{00000000-0004-0000-0200-000027050000}"/>
    <hyperlink ref="F1319" r:id="rId1321" xr:uid="{00000000-0004-0000-0200-000028050000}"/>
    <hyperlink ref="E1321" r:id="rId1322" xr:uid="{00000000-0004-0000-0200-000029050000}"/>
    <hyperlink ref="F1321" r:id="rId1323" xr:uid="{00000000-0004-0000-0200-00002A050000}"/>
    <hyperlink ref="E1322" r:id="rId1324" xr:uid="{00000000-0004-0000-0200-00002B050000}"/>
    <hyperlink ref="F1322" r:id="rId1325" xr:uid="{00000000-0004-0000-0200-00002C050000}"/>
    <hyperlink ref="E1323" r:id="rId1326" xr:uid="{00000000-0004-0000-0200-00002D050000}"/>
    <hyperlink ref="F1323" r:id="rId1327" xr:uid="{00000000-0004-0000-0200-00002E050000}"/>
    <hyperlink ref="E1324" r:id="rId1328" xr:uid="{00000000-0004-0000-0200-00002F050000}"/>
    <hyperlink ref="F1324" r:id="rId1329" xr:uid="{00000000-0004-0000-0200-000030050000}"/>
    <hyperlink ref="E1325" r:id="rId1330" xr:uid="{00000000-0004-0000-0200-000031050000}"/>
    <hyperlink ref="F1325" r:id="rId1331" xr:uid="{00000000-0004-0000-0200-000032050000}"/>
    <hyperlink ref="E1326" r:id="rId1332" xr:uid="{00000000-0004-0000-0200-000033050000}"/>
    <hyperlink ref="F1326" r:id="rId1333" xr:uid="{00000000-0004-0000-0200-000034050000}"/>
    <hyperlink ref="E1327" r:id="rId1334" xr:uid="{00000000-0004-0000-0200-000035050000}"/>
    <hyperlink ref="F1327" r:id="rId1335" xr:uid="{00000000-0004-0000-0200-000036050000}"/>
    <hyperlink ref="E1328" r:id="rId1336" xr:uid="{00000000-0004-0000-0200-000037050000}"/>
    <hyperlink ref="F1328" r:id="rId1337" xr:uid="{00000000-0004-0000-0200-000038050000}"/>
    <hyperlink ref="E1329" r:id="rId1338" xr:uid="{00000000-0004-0000-0200-000039050000}"/>
    <hyperlink ref="F1329" r:id="rId1339" xr:uid="{00000000-0004-0000-0200-00003A050000}"/>
    <hyperlink ref="E1330" r:id="rId1340" xr:uid="{00000000-0004-0000-0200-00003B050000}"/>
    <hyperlink ref="F1330" r:id="rId1341" xr:uid="{00000000-0004-0000-0200-00003C050000}"/>
    <hyperlink ref="E1331" r:id="rId1342" xr:uid="{00000000-0004-0000-0200-00003D050000}"/>
    <hyperlink ref="F1331" r:id="rId1343" xr:uid="{00000000-0004-0000-0200-00003E050000}"/>
    <hyperlink ref="E1339" r:id="rId1344" xr:uid="{00000000-0004-0000-0200-00003F050000}"/>
    <hyperlink ref="E1360" r:id="rId1345" xr:uid="{00000000-0004-0000-0200-000040050000}"/>
    <hyperlink ref="F1360" r:id="rId1346" xr:uid="{00000000-0004-0000-0200-000041050000}"/>
    <hyperlink ref="E1361" r:id="rId1347" xr:uid="{00000000-0004-0000-0200-000042050000}"/>
    <hyperlink ref="F1361" r:id="rId1348" xr:uid="{00000000-0004-0000-0200-000043050000}"/>
    <hyperlink ref="E1362" r:id="rId1349" xr:uid="{00000000-0004-0000-0200-000044050000}"/>
    <hyperlink ref="F1362" r:id="rId1350" xr:uid="{00000000-0004-0000-0200-000045050000}"/>
    <hyperlink ref="E1364" r:id="rId1351" xr:uid="{00000000-0004-0000-0200-000046050000}"/>
    <hyperlink ref="F1364" r:id="rId1352" xr:uid="{00000000-0004-0000-0200-000047050000}"/>
    <hyperlink ref="E1365" r:id="rId1353" xr:uid="{00000000-0004-0000-0200-000048050000}"/>
    <hyperlink ref="F1365" r:id="rId1354" xr:uid="{00000000-0004-0000-0200-000049050000}"/>
    <hyperlink ref="E1366" r:id="rId1355" xr:uid="{00000000-0004-0000-0200-00004A050000}"/>
    <hyperlink ref="F1366" r:id="rId1356" xr:uid="{00000000-0004-0000-0200-00004B050000}"/>
    <hyperlink ref="E1367" r:id="rId1357" xr:uid="{00000000-0004-0000-0200-00004C050000}"/>
    <hyperlink ref="F1367" r:id="rId1358" xr:uid="{00000000-0004-0000-0200-00004D050000}"/>
    <hyperlink ref="E1368" r:id="rId1359" xr:uid="{00000000-0004-0000-0200-00004E050000}"/>
    <hyperlink ref="F1368" r:id="rId1360" xr:uid="{00000000-0004-0000-0200-00004F050000}"/>
    <hyperlink ref="E1369" r:id="rId1361" xr:uid="{00000000-0004-0000-0200-000050050000}"/>
    <hyperlink ref="F1369" r:id="rId1362" xr:uid="{00000000-0004-0000-0200-000051050000}"/>
    <hyperlink ref="E1370" r:id="rId1363" xr:uid="{00000000-0004-0000-0200-000052050000}"/>
    <hyperlink ref="F1370" r:id="rId1364" xr:uid="{00000000-0004-0000-0200-000053050000}"/>
    <hyperlink ref="E1371" r:id="rId1365" xr:uid="{00000000-0004-0000-0200-000054050000}"/>
    <hyperlink ref="F1371" r:id="rId1366" xr:uid="{00000000-0004-0000-0200-000055050000}"/>
    <hyperlink ref="E1372" r:id="rId1367" xr:uid="{00000000-0004-0000-0200-000056050000}"/>
    <hyperlink ref="F1372" r:id="rId1368" xr:uid="{00000000-0004-0000-0200-000057050000}"/>
    <hyperlink ref="E1373" r:id="rId1369" xr:uid="{00000000-0004-0000-0200-000058050000}"/>
    <hyperlink ref="F1373" r:id="rId1370" xr:uid="{00000000-0004-0000-0200-000059050000}"/>
    <hyperlink ref="E1374" r:id="rId1371" xr:uid="{00000000-0004-0000-0200-00005A050000}"/>
    <hyperlink ref="F1374" r:id="rId1372" xr:uid="{00000000-0004-0000-0200-00005B050000}"/>
    <hyperlink ref="E1375" r:id="rId1373" xr:uid="{00000000-0004-0000-0200-00005C050000}"/>
    <hyperlink ref="F1375" r:id="rId1374" xr:uid="{00000000-0004-0000-0200-00005D050000}"/>
    <hyperlink ref="E1376" r:id="rId1375" xr:uid="{00000000-0004-0000-0200-00005E050000}"/>
    <hyperlink ref="F1376" r:id="rId1376" xr:uid="{00000000-0004-0000-0200-00005F050000}"/>
    <hyperlink ref="E1377" r:id="rId1377" xr:uid="{00000000-0004-0000-0200-000060050000}"/>
    <hyperlink ref="F1377" r:id="rId1378" xr:uid="{00000000-0004-0000-0200-000061050000}"/>
    <hyperlink ref="E1378" r:id="rId1379" xr:uid="{00000000-0004-0000-0200-000062050000}"/>
    <hyperlink ref="F1378" r:id="rId1380" xr:uid="{00000000-0004-0000-0200-000063050000}"/>
    <hyperlink ref="E1379" r:id="rId1381" xr:uid="{00000000-0004-0000-0200-000064050000}"/>
    <hyperlink ref="F1379" r:id="rId1382" xr:uid="{00000000-0004-0000-0200-000065050000}"/>
    <hyperlink ref="E1380" r:id="rId1383" xr:uid="{00000000-0004-0000-0200-000066050000}"/>
    <hyperlink ref="F1380" r:id="rId1384" xr:uid="{00000000-0004-0000-0200-000067050000}"/>
    <hyperlink ref="E1381" r:id="rId1385" xr:uid="{00000000-0004-0000-0200-000068050000}"/>
    <hyperlink ref="F1381" r:id="rId1386" xr:uid="{00000000-0004-0000-0200-000069050000}"/>
    <hyperlink ref="E1382" r:id="rId1387" xr:uid="{00000000-0004-0000-0200-00006A050000}"/>
    <hyperlink ref="F1382" r:id="rId1388" xr:uid="{00000000-0004-0000-0200-00006B050000}"/>
    <hyperlink ref="E1386" r:id="rId1389" xr:uid="{00000000-0004-0000-0200-00006C050000}"/>
    <hyperlink ref="F1386" r:id="rId1390" xr:uid="{00000000-0004-0000-0200-00006D050000}"/>
    <hyperlink ref="E1387" r:id="rId1391" xr:uid="{00000000-0004-0000-0200-00006E050000}"/>
    <hyperlink ref="F1387" r:id="rId1392" xr:uid="{00000000-0004-0000-0200-00006F050000}"/>
    <hyperlink ref="E1401" r:id="rId1393" xr:uid="{00000000-0004-0000-0200-000070050000}"/>
    <hyperlink ref="F1401" r:id="rId1394" xr:uid="{00000000-0004-0000-0200-000071050000}"/>
    <hyperlink ref="E1402" r:id="rId1395" xr:uid="{00000000-0004-0000-0200-000072050000}"/>
    <hyperlink ref="F1402" r:id="rId1396" xr:uid="{00000000-0004-0000-0200-000073050000}"/>
    <hyperlink ref="E1404" r:id="rId1397" xr:uid="{00000000-0004-0000-0200-000074050000}"/>
    <hyperlink ref="F1404" r:id="rId1398" xr:uid="{00000000-0004-0000-0200-000075050000}"/>
    <hyperlink ref="E1405" r:id="rId1399" xr:uid="{00000000-0004-0000-0200-000076050000}"/>
    <hyperlink ref="E1411" r:id="rId1400" xr:uid="{00000000-0004-0000-0200-000077050000}"/>
    <hyperlink ref="E1414" r:id="rId1401" xr:uid="{00000000-0004-0000-0200-000078050000}"/>
    <hyperlink ref="E1417" r:id="rId1402" xr:uid="{00000000-0004-0000-0200-000079050000}"/>
    <hyperlink ref="F1417" r:id="rId1403" xr:uid="{00000000-0004-0000-0200-00007A050000}"/>
    <hyperlink ref="E1418" r:id="rId1404" xr:uid="{00000000-0004-0000-0200-00007B050000}"/>
    <hyperlink ref="F1418" r:id="rId1405" xr:uid="{00000000-0004-0000-0200-00007C050000}"/>
    <hyperlink ref="E1419" r:id="rId1406" xr:uid="{00000000-0004-0000-0200-00007D050000}"/>
    <hyperlink ref="F1419" r:id="rId1407" xr:uid="{00000000-0004-0000-0200-00007E050000}"/>
    <hyperlink ref="E1420" r:id="rId1408" xr:uid="{00000000-0004-0000-0200-00007F050000}"/>
    <hyperlink ref="E1430" r:id="rId1409" xr:uid="{00000000-0004-0000-0200-000080050000}"/>
    <hyperlink ref="F1430" r:id="rId1410" xr:uid="{00000000-0004-0000-0200-000081050000}"/>
    <hyperlink ref="E1431" r:id="rId1411" xr:uid="{00000000-0004-0000-0200-000082050000}"/>
    <hyperlink ref="F1431" r:id="rId1412" xr:uid="{00000000-0004-0000-0200-000083050000}"/>
    <hyperlink ref="E1432" r:id="rId1413" xr:uid="{00000000-0004-0000-0200-000084050000}"/>
    <hyperlink ref="F1432" r:id="rId1414" xr:uid="{00000000-0004-0000-0200-000085050000}"/>
    <hyperlink ref="E1433" r:id="rId1415" xr:uid="{00000000-0004-0000-0200-000086050000}"/>
    <hyperlink ref="F1433" r:id="rId1416" xr:uid="{00000000-0004-0000-0200-000087050000}"/>
    <hyperlink ref="E1434" r:id="rId1417" xr:uid="{00000000-0004-0000-0200-000088050000}"/>
    <hyperlink ref="F1434" r:id="rId1418" xr:uid="{00000000-0004-0000-0200-000089050000}"/>
    <hyperlink ref="E1435" r:id="rId1419" xr:uid="{00000000-0004-0000-0200-00008A050000}"/>
    <hyperlink ref="F1435" r:id="rId1420" xr:uid="{00000000-0004-0000-0200-00008B050000}"/>
    <hyperlink ref="E1436" r:id="rId1421" xr:uid="{00000000-0004-0000-0200-00008C050000}"/>
    <hyperlink ref="F1436" r:id="rId1422" xr:uid="{00000000-0004-0000-0200-00008D050000}"/>
    <hyperlink ref="E1438" r:id="rId1423" xr:uid="{00000000-0004-0000-0200-00008E050000}"/>
    <hyperlink ref="F1438" r:id="rId1424" xr:uid="{00000000-0004-0000-0200-00008F050000}"/>
    <hyperlink ref="E1439" r:id="rId1425" xr:uid="{00000000-0004-0000-0200-000090050000}"/>
    <hyperlink ref="F1439" r:id="rId1426" xr:uid="{00000000-0004-0000-0200-000091050000}"/>
    <hyperlink ref="E1441" r:id="rId1427" xr:uid="{00000000-0004-0000-0200-000092050000}"/>
    <hyperlink ref="F1441" r:id="rId1428" xr:uid="{00000000-0004-0000-0200-000093050000}"/>
    <hyperlink ref="E1442" r:id="rId1429" xr:uid="{00000000-0004-0000-0200-000094050000}"/>
    <hyperlink ref="F1442" r:id="rId1430" xr:uid="{00000000-0004-0000-0200-000095050000}"/>
    <hyperlink ref="E1443" r:id="rId1431" xr:uid="{00000000-0004-0000-0200-000096050000}"/>
    <hyperlink ref="E1446" r:id="rId1432" xr:uid="{00000000-0004-0000-0200-000097050000}"/>
    <hyperlink ref="F1446" r:id="rId1433" xr:uid="{00000000-0004-0000-0200-000098050000}"/>
    <hyperlink ref="E1447" r:id="rId1434" xr:uid="{00000000-0004-0000-0200-000099050000}"/>
    <hyperlink ref="F1447" r:id="rId1435" xr:uid="{00000000-0004-0000-0200-00009A050000}"/>
    <hyperlink ref="E1450" r:id="rId1436" xr:uid="{00000000-0004-0000-0200-00009B050000}"/>
    <hyperlink ref="E1457" r:id="rId1437" xr:uid="{00000000-0004-0000-0200-00009C050000}"/>
    <hyperlink ref="F1457" r:id="rId1438" xr:uid="{00000000-0004-0000-0200-00009D050000}"/>
    <hyperlink ref="E1462" r:id="rId1439" xr:uid="{00000000-0004-0000-0200-00009E050000}"/>
    <hyperlink ref="E1463" r:id="rId1440" xr:uid="{00000000-0004-0000-0200-00009F050000}"/>
    <hyperlink ref="E1468" r:id="rId1441" xr:uid="{00000000-0004-0000-0200-0000A0050000}"/>
    <hyperlink ref="F1468" r:id="rId1442" xr:uid="{00000000-0004-0000-0200-0000A1050000}"/>
    <hyperlink ref="E1469" r:id="rId1443" xr:uid="{00000000-0004-0000-0200-0000A2050000}"/>
    <hyperlink ref="F1469" r:id="rId1444" xr:uid="{00000000-0004-0000-0200-0000A3050000}"/>
    <hyperlink ref="E1470" r:id="rId1445" xr:uid="{00000000-0004-0000-0200-0000A4050000}"/>
    <hyperlink ref="F1470" r:id="rId1446" xr:uid="{00000000-0004-0000-0200-0000A5050000}"/>
    <hyperlink ref="E1471" r:id="rId1447" xr:uid="{00000000-0004-0000-0200-0000A6050000}"/>
    <hyperlink ref="F1471" r:id="rId1448" xr:uid="{00000000-0004-0000-0200-0000A7050000}"/>
    <hyperlink ref="E1472" r:id="rId1449" xr:uid="{00000000-0004-0000-0200-0000A8050000}"/>
    <hyperlink ref="F1472" r:id="rId1450" xr:uid="{00000000-0004-0000-0200-0000A9050000}"/>
    <hyperlink ref="E1473" r:id="rId1451" xr:uid="{00000000-0004-0000-0200-0000AA050000}"/>
    <hyperlink ref="F1473" r:id="rId1452" xr:uid="{00000000-0004-0000-0200-0000AB050000}"/>
    <hyperlink ref="E1474" r:id="rId1453" xr:uid="{00000000-0004-0000-0200-0000AC050000}"/>
    <hyperlink ref="F1474" r:id="rId1454" xr:uid="{00000000-0004-0000-0200-0000AD050000}"/>
    <hyperlink ref="E1475" r:id="rId1455" xr:uid="{00000000-0004-0000-0200-0000AE050000}"/>
    <hyperlink ref="F1475" r:id="rId1456" xr:uid="{00000000-0004-0000-0200-0000AF050000}"/>
    <hyperlink ref="E1476" r:id="rId1457" xr:uid="{00000000-0004-0000-0200-0000B0050000}"/>
    <hyperlink ref="F1476" r:id="rId1458" xr:uid="{00000000-0004-0000-0200-0000B1050000}"/>
    <hyperlink ref="E1477" r:id="rId1459" xr:uid="{00000000-0004-0000-0200-0000B2050000}"/>
    <hyperlink ref="F1477" r:id="rId1460" xr:uid="{00000000-0004-0000-0200-0000B3050000}"/>
    <hyperlink ref="E1478" r:id="rId1461" xr:uid="{00000000-0004-0000-0200-0000B4050000}"/>
    <hyperlink ref="F1478" r:id="rId1462" xr:uid="{00000000-0004-0000-0200-0000B5050000}"/>
    <hyperlink ref="E1479" r:id="rId1463" xr:uid="{00000000-0004-0000-0200-0000B6050000}"/>
    <hyperlink ref="F1479" r:id="rId1464" xr:uid="{00000000-0004-0000-0200-0000B7050000}"/>
    <hyperlink ref="E1480" r:id="rId1465" xr:uid="{00000000-0004-0000-0200-0000B8050000}"/>
    <hyperlink ref="F1480" r:id="rId1466" xr:uid="{00000000-0004-0000-0200-0000B9050000}"/>
    <hyperlink ref="E1485" r:id="rId1467" xr:uid="{00000000-0004-0000-0200-0000BA050000}"/>
    <hyperlink ref="F1485" r:id="rId1468" xr:uid="{00000000-0004-0000-0200-0000BB050000}"/>
    <hyperlink ref="E1486" r:id="rId1469" xr:uid="{00000000-0004-0000-0200-0000BC050000}"/>
    <hyperlink ref="F1486" r:id="rId1470" xr:uid="{00000000-0004-0000-0200-0000BD050000}"/>
    <hyperlink ref="E1490" r:id="rId1471" xr:uid="{00000000-0004-0000-0200-0000BE050000}"/>
    <hyperlink ref="F1490" r:id="rId1472" xr:uid="{00000000-0004-0000-0200-0000BF050000}"/>
    <hyperlink ref="E1491" r:id="rId1473" xr:uid="{00000000-0004-0000-0200-0000C0050000}"/>
    <hyperlink ref="F1491" r:id="rId1474" xr:uid="{00000000-0004-0000-0200-0000C1050000}"/>
    <hyperlink ref="E1492" r:id="rId1475" xr:uid="{00000000-0004-0000-0200-0000C2050000}"/>
    <hyperlink ref="E1496" r:id="rId1476" xr:uid="{00000000-0004-0000-0200-0000C3050000}"/>
    <hyperlink ref="F1496" r:id="rId1477" xr:uid="{00000000-0004-0000-0200-0000C4050000}"/>
    <hyperlink ref="E1497" r:id="rId1478" xr:uid="{00000000-0004-0000-0200-0000C5050000}"/>
    <hyperlink ref="F1497" r:id="rId1479" xr:uid="{00000000-0004-0000-0200-0000C6050000}"/>
    <hyperlink ref="E1498" r:id="rId1480" xr:uid="{00000000-0004-0000-0200-0000C7050000}"/>
    <hyperlink ref="E1499" r:id="rId1481" xr:uid="{00000000-0004-0000-0200-0000C8050000}"/>
    <hyperlink ref="E1500" r:id="rId1482" xr:uid="{00000000-0004-0000-0200-0000C9050000}"/>
    <hyperlink ref="F1500" r:id="rId1483" xr:uid="{00000000-0004-0000-0200-0000CA050000}"/>
    <hyperlink ref="E1501" r:id="rId1484" xr:uid="{00000000-0004-0000-0200-0000CB050000}"/>
    <hyperlink ref="F1501" r:id="rId1485" xr:uid="{00000000-0004-0000-0200-0000CC050000}"/>
    <hyperlink ref="E1513" r:id="rId1486" xr:uid="{00000000-0004-0000-0200-0000CD050000}"/>
    <hyperlink ref="F1513" r:id="rId1487" xr:uid="{00000000-0004-0000-0200-0000CE050000}"/>
    <hyperlink ref="E1514" r:id="rId1488" xr:uid="{00000000-0004-0000-0200-0000CF050000}"/>
    <hyperlink ref="F1514" r:id="rId1489" xr:uid="{00000000-0004-0000-0200-0000D0050000}"/>
    <hyperlink ref="E1515" r:id="rId1490" xr:uid="{00000000-0004-0000-0200-0000D1050000}"/>
    <hyperlink ref="F1515" r:id="rId1491" xr:uid="{00000000-0004-0000-0200-0000D2050000}"/>
    <hyperlink ref="E1516" r:id="rId1492" xr:uid="{00000000-0004-0000-0200-0000D3050000}"/>
    <hyperlink ref="F1516" r:id="rId1493" xr:uid="{00000000-0004-0000-0200-0000D4050000}"/>
    <hyperlink ref="E1517" r:id="rId1494" xr:uid="{00000000-0004-0000-0200-0000D5050000}"/>
    <hyperlink ref="F1517" r:id="rId1495" xr:uid="{00000000-0004-0000-0200-0000D6050000}"/>
    <hyperlink ref="E1518" r:id="rId1496" xr:uid="{00000000-0004-0000-0200-0000D7050000}"/>
    <hyperlink ref="F1518" r:id="rId1497" xr:uid="{00000000-0004-0000-0200-0000D8050000}"/>
    <hyperlink ref="E1519" r:id="rId1498" xr:uid="{00000000-0004-0000-0200-0000D9050000}"/>
    <hyperlink ref="F1519" r:id="rId1499" xr:uid="{00000000-0004-0000-0200-0000DA050000}"/>
    <hyperlink ref="E1520" r:id="rId1500" xr:uid="{00000000-0004-0000-0200-0000DB050000}"/>
    <hyperlink ref="F1520" r:id="rId1501" xr:uid="{00000000-0004-0000-0200-0000DC050000}"/>
    <hyperlink ref="E1521" r:id="rId1502" xr:uid="{00000000-0004-0000-0200-0000DD050000}"/>
    <hyperlink ref="F1521" r:id="rId1503" xr:uid="{00000000-0004-0000-0200-0000DE050000}"/>
    <hyperlink ref="E1522" r:id="rId1504" xr:uid="{00000000-0004-0000-0200-0000DF050000}"/>
    <hyperlink ref="F1522" r:id="rId1505" xr:uid="{00000000-0004-0000-0200-0000E0050000}"/>
    <hyperlink ref="E1532" r:id="rId1506" xr:uid="{00000000-0004-0000-0200-0000E1050000}"/>
    <hyperlink ref="E1537" r:id="rId1507" xr:uid="{00000000-0004-0000-0200-0000E2050000}"/>
    <hyperlink ref="E1538" r:id="rId1508" xr:uid="{00000000-0004-0000-0200-0000E3050000}"/>
    <hyperlink ref="E1546" r:id="rId1509" xr:uid="{00000000-0004-0000-0200-0000E4050000}"/>
    <hyperlink ref="F1546" r:id="rId1510" xr:uid="{00000000-0004-0000-0200-0000E5050000}"/>
    <hyperlink ref="E1547" r:id="rId1511" xr:uid="{00000000-0004-0000-0200-0000E6050000}"/>
    <hyperlink ref="F1547" r:id="rId1512" xr:uid="{00000000-0004-0000-0200-0000E7050000}"/>
    <hyperlink ref="E1548" r:id="rId1513" xr:uid="{00000000-0004-0000-0200-0000E8050000}"/>
    <hyperlink ref="F1548" r:id="rId1514" xr:uid="{00000000-0004-0000-0200-0000E9050000}"/>
    <hyperlink ref="E1549" r:id="rId1515" xr:uid="{00000000-0004-0000-0200-0000EA050000}"/>
    <hyperlink ref="F1549" r:id="rId1516" xr:uid="{00000000-0004-0000-0200-0000EB050000}"/>
    <hyperlink ref="E1550" r:id="rId1517" xr:uid="{00000000-0004-0000-0200-0000EC050000}"/>
    <hyperlink ref="F1550" r:id="rId1518" xr:uid="{00000000-0004-0000-0200-0000ED050000}"/>
    <hyperlink ref="E1557" r:id="rId1519" xr:uid="{00000000-0004-0000-0200-0000EE050000}"/>
    <hyperlink ref="E1573" r:id="rId1520" xr:uid="{00000000-0004-0000-0200-0000EF050000}"/>
    <hyperlink ref="F1573" r:id="rId1521" xr:uid="{00000000-0004-0000-0200-0000F0050000}"/>
    <hyperlink ref="E1584" r:id="rId1522" xr:uid="{00000000-0004-0000-0200-0000F1050000}"/>
    <hyperlink ref="F1584" r:id="rId1523" xr:uid="{00000000-0004-0000-0200-0000F2050000}"/>
    <hyperlink ref="E1585" r:id="rId1524" xr:uid="{00000000-0004-0000-0200-0000F3050000}"/>
    <hyperlink ref="F1585" r:id="rId1525" xr:uid="{00000000-0004-0000-0200-0000F4050000}"/>
    <hyperlink ref="E1589" r:id="rId1526" xr:uid="{00000000-0004-0000-0200-0000F5050000}"/>
    <hyperlink ref="F1589" r:id="rId1527" xr:uid="{00000000-0004-0000-0200-0000F6050000}"/>
    <hyperlink ref="E1590" r:id="rId1528" xr:uid="{00000000-0004-0000-0200-0000F7050000}"/>
    <hyperlink ref="F1590" r:id="rId1529" xr:uid="{00000000-0004-0000-0200-0000F8050000}"/>
    <hyperlink ref="E1591" r:id="rId1530" xr:uid="{00000000-0004-0000-0200-0000F9050000}"/>
    <hyperlink ref="F1591" r:id="rId1531" xr:uid="{00000000-0004-0000-0200-0000FA050000}"/>
    <hyperlink ref="E1594" r:id="rId1532" xr:uid="{00000000-0004-0000-0200-0000FB050000}"/>
    <hyperlink ref="F1594" r:id="rId1533" xr:uid="{00000000-0004-0000-0200-0000FC050000}"/>
    <hyperlink ref="E1595" r:id="rId1534" xr:uid="{00000000-0004-0000-0200-0000FD050000}"/>
    <hyperlink ref="F1595" r:id="rId1535" xr:uid="{00000000-0004-0000-0200-0000FE050000}"/>
    <hyperlink ref="E1596" r:id="rId1536" xr:uid="{00000000-0004-0000-0200-0000FF050000}"/>
    <hyperlink ref="F1596" r:id="rId1537" xr:uid="{00000000-0004-0000-0200-000000060000}"/>
    <hyperlink ref="E1597" r:id="rId1538" xr:uid="{00000000-0004-0000-0200-000001060000}"/>
    <hyperlink ref="F1597" r:id="rId1539" xr:uid="{00000000-0004-0000-0200-000002060000}"/>
    <hyperlink ref="E1598" r:id="rId1540" xr:uid="{00000000-0004-0000-0200-000003060000}"/>
    <hyperlink ref="F1598" r:id="rId1541" xr:uid="{00000000-0004-0000-0200-000004060000}"/>
    <hyperlink ref="E1599" r:id="rId1542" xr:uid="{00000000-0004-0000-0200-000005060000}"/>
    <hyperlink ref="F1599" r:id="rId1543" xr:uid="{00000000-0004-0000-0200-000006060000}"/>
    <hyperlink ref="E1600" r:id="rId1544" xr:uid="{00000000-0004-0000-0200-000007060000}"/>
    <hyperlink ref="F1600" r:id="rId1545" xr:uid="{00000000-0004-0000-0200-000008060000}"/>
    <hyperlink ref="E1601" r:id="rId1546" xr:uid="{00000000-0004-0000-0200-000009060000}"/>
    <hyperlink ref="F1601" r:id="rId1547" xr:uid="{00000000-0004-0000-0200-00000A060000}"/>
    <hyperlink ref="E1602" r:id="rId1548" xr:uid="{00000000-0004-0000-0200-00000B060000}"/>
    <hyperlink ref="F1602" r:id="rId1549" xr:uid="{00000000-0004-0000-0200-00000C060000}"/>
    <hyperlink ref="E1604" r:id="rId1550" xr:uid="{00000000-0004-0000-0200-00000D060000}"/>
    <hyperlink ref="F1604" r:id="rId1551" xr:uid="{00000000-0004-0000-0200-00000E060000}"/>
    <hyperlink ref="E1606" r:id="rId1552" xr:uid="{00000000-0004-0000-0200-00000F060000}"/>
    <hyperlink ref="E1607" r:id="rId1553" xr:uid="{00000000-0004-0000-0200-000010060000}"/>
    <hyperlink ref="F1607" r:id="rId1554" xr:uid="{00000000-0004-0000-0200-000011060000}"/>
    <hyperlink ref="E1609" r:id="rId1555" xr:uid="{00000000-0004-0000-0200-000012060000}"/>
    <hyperlink ref="F1609" r:id="rId1556" xr:uid="{00000000-0004-0000-0200-000013060000}"/>
    <hyperlink ref="E1610" r:id="rId1557" xr:uid="{00000000-0004-0000-0200-000014060000}"/>
    <hyperlink ref="F1610" r:id="rId1558" xr:uid="{00000000-0004-0000-0200-000015060000}"/>
    <hyperlink ref="E1616" r:id="rId1559" xr:uid="{00000000-0004-0000-0200-000016060000}"/>
    <hyperlink ref="F1616" r:id="rId1560" xr:uid="{00000000-0004-0000-0200-000017060000}"/>
    <hyperlink ref="E1617" r:id="rId1561" xr:uid="{00000000-0004-0000-0200-000018060000}"/>
    <hyperlink ref="F1617" r:id="rId1562" xr:uid="{00000000-0004-0000-0200-000019060000}"/>
    <hyperlink ref="E1619" r:id="rId1563" xr:uid="{00000000-0004-0000-0200-00001A060000}"/>
    <hyperlink ref="F1619" r:id="rId1564" xr:uid="{00000000-0004-0000-0200-00001B060000}"/>
    <hyperlink ref="E1620" r:id="rId1565" xr:uid="{00000000-0004-0000-0200-00001C060000}"/>
    <hyperlink ref="F1620" r:id="rId1566" xr:uid="{00000000-0004-0000-0200-00001D060000}"/>
    <hyperlink ref="E1621" r:id="rId1567" xr:uid="{00000000-0004-0000-0200-00001E060000}"/>
    <hyperlink ref="F1621" r:id="rId1568" xr:uid="{00000000-0004-0000-0200-00001F060000}"/>
    <hyperlink ref="E1622" r:id="rId1569" xr:uid="{00000000-0004-0000-0200-000020060000}"/>
    <hyperlink ref="F1622" r:id="rId1570" xr:uid="{00000000-0004-0000-0200-000021060000}"/>
    <hyperlink ref="E1623" r:id="rId1571" xr:uid="{00000000-0004-0000-0200-000022060000}"/>
    <hyperlink ref="F1623" r:id="rId1572" xr:uid="{00000000-0004-0000-0200-000023060000}"/>
    <hyperlink ref="E1624" r:id="rId1573" xr:uid="{00000000-0004-0000-0200-000024060000}"/>
    <hyperlink ref="F1624" r:id="rId1574" xr:uid="{00000000-0004-0000-0200-000025060000}"/>
    <hyperlink ref="E1625" r:id="rId1575" xr:uid="{00000000-0004-0000-0200-000026060000}"/>
    <hyperlink ref="F1625" r:id="rId1576" xr:uid="{00000000-0004-0000-0200-000027060000}"/>
    <hyperlink ref="E1626" r:id="rId1577" xr:uid="{00000000-0004-0000-0200-000028060000}"/>
    <hyperlink ref="F1626" r:id="rId1578" xr:uid="{00000000-0004-0000-0200-000029060000}"/>
    <hyperlink ref="E1627" r:id="rId1579" xr:uid="{00000000-0004-0000-0200-00002A060000}"/>
    <hyperlink ref="F1627" r:id="rId1580" xr:uid="{00000000-0004-0000-0200-00002B060000}"/>
    <hyperlink ref="E1628" r:id="rId1581" xr:uid="{00000000-0004-0000-0200-00002C060000}"/>
    <hyperlink ref="F1628" r:id="rId1582" xr:uid="{00000000-0004-0000-0200-00002D060000}"/>
    <hyperlink ref="E1630" r:id="rId1583" xr:uid="{00000000-0004-0000-0200-00002E060000}"/>
    <hyperlink ref="F1630" r:id="rId1584" xr:uid="{00000000-0004-0000-0200-00002F060000}"/>
    <hyperlink ref="E1631" r:id="rId1585" xr:uid="{00000000-0004-0000-0200-000030060000}"/>
    <hyperlink ref="F1631" r:id="rId1586" xr:uid="{00000000-0004-0000-0200-000031060000}"/>
    <hyperlink ref="E1632" r:id="rId1587" xr:uid="{00000000-0004-0000-0200-000032060000}"/>
    <hyperlink ref="F1632" r:id="rId1588" xr:uid="{00000000-0004-0000-0200-000033060000}"/>
    <hyperlink ref="E1644" r:id="rId1589" xr:uid="{00000000-0004-0000-0200-000034060000}"/>
    <hyperlink ref="F1644" r:id="rId1590" xr:uid="{00000000-0004-0000-0200-000035060000}"/>
    <hyperlink ref="E1645" r:id="rId1591" xr:uid="{00000000-0004-0000-0200-000036060000}"/>
    <hyperlink ref="F1645" r:id="rId1592" xr:uid="{00000000-0004-0000-0200-000037060000}"/>
    <hyperlink ref="E1656" r:id="rId1593" xr:uid="{00000000-0004-0000-0200-000038060000}"/>
    <hyperlink ref="F1656" r:id="rId1594" xr:uid="{00000000-0004-0000-0200-000039060000}"/>
    <hyperlink ref="E1657" r:id="rId1595" xr:uid="{00000000-0004-0000-0200-00003A060000}"/>
    <hyperlink ref="F1657" r:id="rId1596" xr:uid="{00000000-0004-0000-0200-00003B060000}"/>
    <hyperlink ref="E1658" r:id="rId1597" xr:uid="{00000000-0004-0000-0200-00003C060000}"/>
    <hyperlink ref="F1658" r:id="rId1598" xr:uid="{00000000-0004-0000-0200-00003D060000}"/>
    <hyperlink ref="E1659" r:id="rId1599" xr:uid="{00000000-0004-0000-0200-00003E060000}"/>
    <hyperlink ref="F1659" r:id="rId1600" xr:uid="{00000000-0004-0000-0200-00003F060000}"/>
    <hyperlink ref="E1660" r:id="rId1601" xr:uid="{00000000-0004-0000-0200-000040060000}"/>
    <hyperlink ref="E1663" r:id="rId1602" xr:uid="{00000000-0004-0000-0200-000041060000}"/>
    <hyperlink ref="F1663" r:id="rId1603" xr:uid="{00000000-0004-0000-0200-000042060000}"/>
    <hyperlink ref="E1665" r:id="rId1604" xr:uid="{00000000-0004-0000-0200-000043060000}"/>
    <hyperlink ref="F1665" r:id="rId1605" xr:uid="{00000000-0004-0000-0200-000044060000}"/>
    <hyperlink ref="E1666" r:id="rId1606" xr:uid="{00000000-0004-0000-0200-000045060000}"/>
    <hyperlink ref="F1666" r:id="rId1607" xr:uid="{00000000-0004-0000-0200-000046060000}"/>
    <hyperlink ref="E1667" r:id="rId1608" xr:uid="{00000000-0004-0000-0200-000047060000}"/>
    <hyperlink ref="F1667" r:id="rId1609" xr:uid="{00000000-0004-0000-0200-000048060000}"/>
    <hyperlink ref="E1668" r:id="rId1610" xr:uid="{00000000-0004-0000-0200-000049060000}"/>
    <hyperlink ref="F1668" r:id="rId1611" xr:uid="{00000000-0004-0000-0200-00004A060000}"/>
    <hyperlink ref="E1669" r:id="rId1612" xr:uid="{00000000-0004-0000-0200-00004B060000}"/>
    <hyperlink ref="F1669" r:id="rId1613" xr:uid="{00000000-0004-0000-0200-00004C060000}"/>
    <hyperlink ref="E1670" r:id="rId1614" xr:uid="{00000000-0004-0000-0200-00004D060000}"/>
    <hyperlink ref="F1670" r:id="rId1615" xr:uid="{00000000-0004-0000-0200-00004E060000}"/>
    <hyperlink ref="E1671" r:id="rId1616" xr:uid="{00000000-0004-0000-0200-00004F060000}"/>
    <hyperlink ref="F1671" r:id="rId1617" xr:uid="{00000000-0004-0000-0200-000050060000}"/>
    <hyperlink ref="E1672" r:id="rId1618" xr:uid="{00000000-0004-0000-0200-000051060000}"/>
    <hyperlink ref="F1672" r:id="rId1619" xr:uid="{00000000-0004-0000-0200-000052060000}"/>
    <hyperlink ref="E1673" r:id="rId1620" xr:uid="{00000000-0004-0000-0200-000053060000}"/>
    <hyperlink ref="F1673" r:id="rId1621" xr:uid="{00000000-0004-0000-0200-000054060000}"/>
    <hyperlink ref="E1674" r:id="rId1622" xr:uid="{00000000-0004-0000-0200-000055060000}"/>
    <hyperlink ref="F1674" r:id="rId1623" xr:uid="{00000000-0004-0000-0200-000056060000}"/>
    <hyperlink ref="E1675" r:id="rId1624" xr:uid="{00000000-0004-0000-0200-000057060000}"/>
    <hyperlink ref="F1675" r:id="rId1625" xr:uid="{00000000-0004-0000-0200-000058060000}"/>
    <hyperlink ref="E1676" r:id="rId1626" xr:uid="{00000000-0004-0000-0200-000059060000}"/>
    <hyperlink ref="F1676" r:id="rId1627" xr:uid="{00000000-0004-0000-0200-00005A060000}"/>
    <hyperlink ref="E1682" r:id="rId1628" xr:uid="{00000000-0004-0000-0200-00005B060000}"/>
    <hyperlink ref="F1682" r:id="rId1629" xr:uid="{00000000-0004-0000-0200-00005C060000}"/>
    <hyperlink ref="E1683" r:id="rId1630" xr:uid="{00000000-0004-0000-0200-00005D060000}"/>
    <hyperlink ref="F1683" r:id="rId1631" xr:uid="{00000000-0004-0000-0200-00005E060000}"/>
    <hyperlink ref="E1684" r:id="rId1632" xr:uid="{00000000-0004-0000-0200-00005F060000}"/>
    <hyperlink ref="F1684" r:id="rId1633" xr:uid="{00000000-0004-0000-0200-000060060000}"/>
    <hyperlink ref="E1685" r:id="rId1634" xr:uid="{00000000-0004-0000-0200-000061060000}"/>
    <hyperlink ref="F1685" r:id="rId1635" xr:uid="{00000000-0004-0000-0200-000062060000}"/>
    <hyperlink ref="E1686" r:id="rId1636" xr:uid="{00000000-0004-0000-0200-000063060000}"/>
    <hyperlink ref="F1686" r:id="rId1637" xr:uid="{00000000-0004-0000-0200-000064060000}"/>
    <hyperlink ref="E1687" r:id="rId1638" xr:uid="{00000000-0004-0000-0200-000065060000}"/>
    <hyperlink ref="F1687" r:id="rId1639" xr:uid="{00000000-0004-0000-0200-000066060000}"/>
    <hyperlink ref="E1688" r:id="rId1640" xr:uid="{00000000-0004-0000-0200-000067060000}"/>
    <hyperlink ref="F1688" r:id="rId1641" xr:uid="{00000000-0004-0000-0200-000068060000}"/>
    <hyperlink ref="E1689" r:id="rId1642" xr:uid="{00000000-0004-0000-0200-000069060000}"/>
    <hyperlink ref="F1689" r:id="rId1643" xr:uid="{00000000-0004-0000-0200-00006A060000}"/>
    <hyperlink ref="E1690" r:id="rId1644" xr:uid="{00000000-0004-0000-0200-00006B060000}"/>
    <hyperlink ref="F1690" r:id="rId1645" xr:uid="{00000000-0004-0000-0200-00006C060000}"/>
    <hyperlink ref="E1691" r:id="rId1646" xr:uid="{00000000-0004-0000-0200-00006D060000}"/>
    <hyperlink ref="F1691" r:id="rId1647" xr:uid="{00000000-0004-0000-0200-00006E060000}"/>
    <hyperlink ref="E1692" r:id="rId1648" xr:uid="{00000000-0004-0000-0200-00006F060000}"/>
    <hyperlink ref="F1692" r:id="rId1649" xr:uid="{00000000-0004-0000-0200-000070060000}"/>
    <hyperlink ref="E1693" r:id="rId1650" xr:uid="{00000000-0004-0000-0200-000071060000}"/>
    <hyperlink ref="F1693" r:id="rId1651" xr:uid="{00000000-0004-0000-0200-000072060000}"/>
    <hyperlink ref="E1694" r:id="rId1652" xr:uid="{00000000-0004-0000-0200-000073060000}"/>
    <hyperlink ref="F1694" r:id="rId1653" xr:uid="{00000000-0004-0000-0200-000074060000}"/>
    <hyperlink ref="E1695" r:id="rId1654" xr:uid="{00000000-0004-0000-0200-000075060000}"/>
    <hyperlink ref="F1695" r:id="rId1655" xr:uid="{00000000-0004-0000-0200-000076060000}"/>
    <hyperlink ref="E1696" r:id="rId1656" xr:uid="{00000000-0004-0000-0200-000077060000}"/>
    <hyperlink ref="F1696" r:id="rId1657" xr:uid="{00000000-0004-0000-0200-000078060000}"/>
    <hyperlink ref="E1704" r:id="rId1658" xr:uid="{00000000-0004-0000-0200-000079060000}"/>
    <hyperlink ref="F1704" r:id="rId1659" xr:uid="{00000000-0004-0000-0200-00007A060000}"/>
    <hyperlink ref="E1705" r:id="rId1660" xr:uid="{00000000-0004-0000-0200-00007B060000}"/>
    <hyperlink ref="F1705" r:id="rId1661" xr:uid="{00000000-0004-0000-0200-00007C060000}"/>
    <hyperlink ref="E1706" r:id="rId1662" xr:uid="{00000000-0004-0000-0200-00007D060000}"/>
    <hyperlink ref="F1706" r:id="rId1663" xr:uid="{00000000-0004-0000-0200-00007E060000}"/>
    <hyperlink ref="E1707" r:id="rId1664" xr:uid="{00000000-0004-0000-0200-00007F060000}"/>
    <hyperlink ref="F1707" r:id="rId1665" xr:uid="{00000000-0004-0000-0200-000080060000}"/>
    <hyperlink ref="E1710" r:id="rId1666" xr:uid="{00000000-0004-0000-0200-000081060000}"/>
    <hyperlink ref="E1712" r:id="rId1667" xr:uid="{00000000-0004-0000-0200-000082060000}"/>
    <hyperlink ref="F1712" r:id="rId1668" xr:uid="{00000000-0004-0000-0200-000083060000}"/>
    <hyperlink ref="E1713" r:id="rId1669" xr:uid="{00000000-0004-0000-0200-000084060000}"/>
    <hyperlink ref="F1713" r:id="rId1670" xr:uid="{00000000-0004-0000-0200-000085060000}"/>
    <hyperlink ref="E1714" r:id="rId1671" xr:uid="{00000000-0004-0000-0200-000086060000}"/>
    <hyperlink ref="F1714" r:id="rId1672" xr:uid="{00000000-0004-0000-0200-000087060000}"/>
    <hyperlink ref="E1723" r:id="rId1673" xr:uid="{00000000-0004-0000-0200-000088060000}"/>
    <hyperlink ref="F1723" r:id="rId1674" xr:uid="{00000000-0004-0000-0200-000089060000}"/>
    <hyperlink ref="E1735" r:id="rId1675" xr:uid="{00000000-0004-0000-0200-00008A060000}"/>
    <hyperlink ref="F1735" r:id="rId1676" xr:uid="{00000000-0004-0000-0200-00008B060000}"/>
    <hyperlink ref="E1747" r:id="rId1677" xr:uid="{00000000-0004-0000-0200-00008C060000}"/>
    <hyperlink ref="E1748" r:id="rId1678" xr:uid="{00000000-0004-0000-0200-00008D060000}"/>
    <hyperlink ref="F1748" r:id="rId1679" xr:uid="{00000000-0004-0000-0200-00008E060000}"/>
    <hyperlink ref="E1755" r:id="rId1680" xr:uid="{00000000-0004-0000-0200-00008F060000}"/>
    <hyperlink ref="E1757" r:id="rId1681" xr:uid="{00000000-0004-0000-0200-000090060000}"/>
    <hyperlink ref="E1759" r:id="rId1682" xr:uid="{00000000-0004-0000-0200-000091060000}"/>
    <hyperlink ref="F1759" r:id="rId1683" xr:uid="{00000000-0004-0000-0200-000092060000}"/>
    <hyperlink ref="E1760" r:id="rId1684" xr:uid="{00000000-0004-0000-0200-000093060000}"/>
    <hyperlink ref="F1760" r:id="rId1685" xr:uid="{00000000-0004-0000-0200-000094060000}"/>
    <hyperlink ref="E1761" r:id="rId1686" xr:uid="{00000000-0004-0000-0200-000095060000}"/>
    <hyperlink ref="F1761" r:id="rId1687" xr:uid="{00000000-0004-0000-0200-000096060000}"/>
    <hyperlink ref="E1762" r:id="rId1688" xr:uid="{00000000-0004-0000-0200-000097060000}"/>
    <hyperlink ref="F1762" r:id="rId1689" xr:uid="{00000000-0004-0000-0200-000098060000}"/>
    <hyperlink ref="E1763" r:id="rId1690" xr:uid="{00000000-0004-0000-0200-000099060000}"/>
    <hyperlink ref="F1763" r:id="rId1691" xr:uid="{00000000-0004-0000-0200-00009A060000}"/>
    <hyperlink ref="E1764" r:id="rId1692" xr:uid="{00000000-0004-0000-0200-00009B060000}"/>
    <hyperlink ref="F1764" r:id="rId1693" xr:uid="{00000000-0004-0000-0200-00009C060000}"/>
    <hyperlink ref="E1765" r:id="rId1694" xr:uid="{00000000-0004-0000-0200-00009D060000}"/>
    <hyperlink ref="F1765" r:id="rId1695" xr:uid="{00000000-0004-0000-0200-00009E060000}"/>
    <hyperlink ref="E1766" r:id="rId1696" xr:uid="{00000000-0004-0000-0200-00009F060000}"/>
    <hyperlink ref="F1766" r:id="rId1697" xr:uid="{00000000-0004-0000-0200-0000A0060000}"/>
    <hyperlink ref="E1767" r:id="rId1698" xr:uid="{00000000-0004-0000-0200-0000A1060000}"/>
    <hyperlink ref="F1767" r:id="rId1699" xr:uid="{00000000-0004-0000-0200-0000A2060000}"/>
    <hyperlink ref="E1771" r:id="rId1700" xr:uid="{00000000-0004-0000-0200-0000A3060000}"/>
    <hyperlink ref="F1771" r:id="rId1701" xr:uid="{00000000-0004-0000-0200-0000A4060000}"/>
    <hyperlink ref="E1772" r:id="rId1702" xr:uid="{00000000-0004-0000-0200-0000A5060000}"/>
    <hyperlink ref="F1772" r:id="rId1703" xr:uid="{00000000-0004-0000-0200-0000A6060000}"/>
    <hyperlink ref="E1773" r:id="rId1704" xr:uid="{00000000-0004-0000-0200-0000A7060000}"/>
    <hyperlink ref="F1773" r:id="rId1705" xr:uid="{00000000-0004-0000-0200-0000A8060000}"/>
    <hyperlink ref="E1774" r:id="rId1706" xr:uid="{00000000-0004-0000-0200-0000A9060000}"/>
    <hyperlink ref="F1774" r:id="rId1707" xr:uid="{00000000-0004-0000-0200-0000AA060000}"/>
    <hyperlink ref="E1775" r:id="rId1708" xr:uid="{00000000-0004-0000-0200-0000AB060000}"/>
    <hyperlink ref="F1775" r:id="rId1709" xr:uid="{00000000-0004-0000-0200-0000AC060000}"/>
    <hyperlink ref="E1780" r:id="rId1710" xr:uid="{00000000-0004-0000-0200-0000AD060000}"/>
    <hyperlink ref="F1780" r:id="rId1711" xr:uid="{00000000-0004-0000-0200-0000AE060000}"/>
    <hyperlink ref="E1781" r:id="rId1712" xr:uid="{00000000-0004-0000-0200-0000AF060000}"/>
    <hyperlink ref="F1781" r:id="rId1713" xr:uid="{00000000-0004-0000-0200-0000B0060000}"/>
    <hyperlink ref="E1782" r:id="rId1714" xr:uid="{00000000-0004-0000-0200-0000B1060000}"/>
    <hyperlink ref="F1782" r:id="rId1715" xr:uid="{00000000-0004-0000-0200-0000B2060000}"/>
    <hyperlink ref="E1783" r:id="rId1716" xr:uid="{00000000-0004-0000-0200-0000B3060000}"/>
    <hyperlink ref="F1783" r:id="rId1717" xr:uid="{00000000-0004-0000-0200-0000B4060000}"/>
    <hyperlink ref="E1784" r:id="rId1718" xr:uid="{00000000-0004-0000-0200-0000B5060000}"/>
    <hyperlink ref="F1784" r:id="rId1719" xr:uid="{00000000-0004-0000-0200-0000B6060000}"/>
    <hyperlink ref="E1788" r:id="rId1720" xr:uid="{00000000-0004-0000-0200-0000B7060000}"/>
    <hyperlink ref="E1789" r:id="rId1721" xr:uid="{00000000-0004-0000-0200-0000B8060000}"/>
    <hyperlink ref="F1789" r:id="rId1722" xr:uid="{00000000-0004-0000-0200-0000B9060000}"/>
    <hyperlink ref="E1791" r:id="rId1723" xr:uid="{00000000-0004-0000-0200-0000BA060000}"/>
    <hyperlink ref="F1791" r:id="rId1724" xr:uid="{00000000-0004-0000-0200-0000BB060000}"/>
    <hyperlink ref="E1792" r:id="rId1725" xr:uid="{00000000-0004-0000-0200-0000BC060000}"/>
    <hyperlink ref="F1792" r:id="rId1726" xr:uid="{00000000-0004-0000-0200-0000BD060000}"/>
    <hyperlink ref="E1793" r:id="rId1727" xr:uid="{00000000-0004-0000-0200-0000BE060000}"/>
    <hyperlink ref="F1793" r:id="rId1728" xr:uid="{00000000-0004-0000-0200-0000BF060000}"/>
    <hyperlink ref="E1794" r:id="rId1729" xr:uid="{00000000-0004-0000-0200-0000C0060000}"/>
    <hyperlink ref="F1794" r:id="rId1730" xr:uid="{00000000-0004-0000-0200-0000C1060000}"/>
    <hyperlink ref="E1795" r:id="rId1731" xr:uid="{00000000-0004-0000-0200-0000C2060000}"/>
    <hyperlink ref="F1795" r:id="rId1732" xr:uid="{00000000-0004-0000-0200-0000C3060000}"/>
    <hyperlink ref="E1797" r:id="rId1733" xr:uid="{00000000-0004-0000-0200-0000C4060000}"/>
    <hyperlink ref="E1801" r:id="rId1734" xr:uid="{00000000-0004-0000-0200-0000C5060000}"/>
    <hyperlink ref="E1803" r:id="rId1735" xr:uid="{00000000-0004-0000-0200-0000C6060000}"/>
    <hyperlink ref="F1803" r:id="rId1736" xr:uid="{00000000-0004-0000-0200-0000C7060000}"/>
    <hyperlink ref="E1804" r:id="rId1737" xr:uid="{00000000-0004-0000-0200-0000C8060000}"/>
    <hyperlink ref="F1804" r:id="rId1738" xr:uid="{00000000-0004-0000-0200-0000C9060000}"/>
    <hyperlink ref="E1805" r:id="rId1739" xr:uid="{00000000-0004-0000-0200-0000CA060000}"/>
    <hyperlink ref="F1805" r:id="rId1740" xr:uid="{00000000-0004-0000-0200-0000CB060000}"/>
    <hyperlink ref="E1807" r:id="rId1741" xr:uid="{00000000-0004-0000-0200-0000CC060000}"/>
    <hyperlink ref="F1807" r:id="rId1742" xr:uid="{00000000-0004-0000-0200-0000CD060000}"/>
    <hyperlink ref="E1808" r:id="rId1743" xr:uid="{00000000-0004-0000-0200-0000CE060000}"/>
    <hyperlink ref="E1809" r:id="rId1744" xr:uid="{00000000-0004-0000-0200-0000CF060000}"/>
    <hyperlink ref="E1811" r:id="rId1745" xr:uid="{00000000-0004-0000-0200-0000D0060000}"/>
    <hyperlink ref="F1811" r:id="rId1746" xr:uid="{00000000-0004-0000-0200-0000D1060000}"/>
    <hyperlink ref="E1812" r:id="rId1747" xr:uid="{00000000-0004-0000-0200-0000D2060000}"/>
    <hyperlink ref="F1812" r:id="rId1748" xr:uid="{00000000-0004-0000-0200-0000D3060000}"/>
    <hyperlink ref="E1813" r:id="rId1749" xr:uid="{00000000-0004-0000-0200-0000D4060000}"/>
    <hyperlink ref="F1813" r:id="rId1750" xr:uid="{00000000-0004-0000-0200-0000D5060000}"/>
    <hyperlink ref="E1814" r:id="rId1751" xr:uid="{00000000-0004-0000-0200-0000D6060000}"/>
    <hyperlink ref="F1814" r:id="rId1752" xr:uid="{00000000-0004-0000-0200-0000D7060000}"/>
    <hyperlink ref="E1815" r:id="rId1753" xr:uid="{00000000-0004-0000-0200-0000D8060000}"/>
    <hyperlink ref="F1815" r:id="rId1754" xr:uid="{00000000-0004-0000-0200-0000D9060000}"/>
    <hyperlink ref="E1816" r:id="rId1755" xr:uid="{00000000-0004-0000-0200-0000DA060000}"/>
    <hyperlink ref="F1816" r:id="rId1756" xr:uid="{00000000-0004-0000-0200-0000DB060000}"/>
    <hyperlink ref="E1817" r:id="rId1757" xr:uid="{00000000-0004-0000-0200-0000DC060000}"/>
    <hyperlink ref="F1817" r:id="rId1758" xr:uid="{00000000-0004-0000-0200-0000DD060000}"/>
    <hyperlink ref="E1825" r:id="rId1759" xr:uid="{00000000-0004-0000-0200-0000DE060000}"/>
    <hyperlink ref="F1825" r:id="rId1760" xr:uid="{00000000-0004-0000-0200-0000DF060000}"/>
    <hyperlink ref="E1826" r:id="rId1761" xr:uid="{00000000-0004-0000-0200-0000E0060000}"/>
    <hyperlink ref="F1826" r:id="rId1762" xr:uid="{00000000-0004-0000-0200-0000E1060000}"/>
    <hyperlink ref="E1827" r:id="rId1763" xr:uid="{00000000-0004-0000-0200-0000E2060000}"/>
    <hyperlink ref="F1827" r:id="rId1764" xr:uid="{00000000-0004-0000-0200-0000E3060000}"/>
    <hyperlink ref="E1828" r:id="rId1765" xr:uid="{00000000-0004-0000-0200-0000E4060000}"/>
    <hyperlink ref="F1828" r:id="rId1766" xr:uid="{00000000-0004-0000-0200-0000E5060000}"/>
    <hyperlink ref="E1829" r:id="rId1767" xr:uid="{00000000-0004-0000-0200-0000E6060000}"/>
    <hyperlink ref="F1829" r:id="rId1768" xr:uid="{00000000-0004-0000-0200-0000E7060000}"/>
    <hyperlink ref="E1830" r:id="rId1769" xr:uid="{00000000-0004-0000-0200-0000E8060000}"/>
    <hyperlink ref="F1830" r:id="rId1770" xr:uid="{00000000-0004-0000-0200-0000E9060000}"/>
    <hyperlink ref="E1833" r:id="rId1771" xr:uid="{00000000-0004-0000-0200-0000EA060000}"/>
    <hyperlink ref="F1833" r:id="rId1772" xr:uid="{00000000-0004-0000-0200-0000EB060000}"/>
    <hyperlink ref="E1834" r:id="rId1773" xr:uid="{00000000-0004-0000-0200-0000EC060000}"/>
    <hyperlink ref="F1834" r:id="rId1774" xr:uid="{00000000-0004-0000-0200-0000ED060000}"/>
    <hyperlink ref="E1837" r:id="rId1775" xr:uid="{00000000-0004-0000-0200-0000EE060000}"/>
    <hyperlink ref="F1837" r:id="rId1776" xr:uid="{00000000-0004-0000-0200-0000EF060000}"/>
    <hyperlink ref="E1838" r:id="rId1777" xr:uid="{00000000-0004-0000-0200-0000F0060000}"/>
    <hyperlink ref="F1838" r:id="rId1778" xr:uid="{00000000-0004-0000-0200-0000F1060000}"/>
    <hyperlink ref="E1839" r:id="rId1779" xr:uid="{00000000-0004-0000-0200-0000F2060000}"/>
    <hyperlink ref="F1839" r:id="rId1780" xr:uid="{00000000-0004-0000-0200-0000F3060000}"/>
    <hyperlink ref="E1840" r:id="rId1781" xr:uid="{00000000-0004-0000-0200-0000F4060000}"/>
    <hyperlink ref="F1840" r:id="rId1782" xr:uid="{00000000-0004-0000-0200-0000F5060000}"/>
    <hyperlink ref="E1841" r:id="rId1783" xr:uid="{00000000-0004-0000-0200-0000F6060000}"/>
    <hyperlink ref="F1841" r:id="rId1784" xr:uid="{00000000-0004-0000-0200-0000F7060000}"/>
    <hyperlink ref="E1842" r:id="rId1785" xr:uid="{00000000-0004-0000-0200-0000F8060000}"/>
    <hyperlink ref="F1842" r:id="rId1786" xr:uid="{00000000-0004-0000-0200-0000F9060000}"/>
    <hyperlink ref="E1843" r:id="rId1787" xr:uid="{00000000-0004-0000-0200-0000FA060000}"/>
    <hyperlink ref="F1843" r:id="rId1788" xr:uid="{00000000-0004-0000-0200-0000FB060000}"/>
    <hyperlink ref="E1846" r:id="rId1789" xr:uid="{00000000-0004-0000-0200-0000FC060000}"/>
    <hyperlink ref="E1848" r:id="rId1790" xr:uid="{00000000-0004-0000-0200-0000FD060000}"/>
    <hyperlink ref="F1848" r:id="rId1791" xr:uid="{00000000-0004-0000-0200-0000FE060000}"/>
    <hyperlink ref="E1849" r:id="rId1792" xr:uid="{00000000-0004-0000-0200-0000FF060000}"/>
    <hyperlink ref="F1849" r:id="rId1793" xr:uid="{00000000-0004-0000-0200-000000070000}"/>
    <hyperlink ref="E1855" r:id="rId1794" xr:uid="{00000000-0004-0000-0200-000001070000}"/>
    <hyperlink ref="F1855" r:id="rId1795" xr:uid="{00000000-0004-0000-0200-000002070000}"/>
    <hyperlink ref="E1856" r:id="rId1796" xr:uid="{00000000-0004-0000-0200-000003070000}"/>
    <hyperlink ref="F1856" r:id="rId1797" xr:uid="{00000000-0004-0000-0200-000004070000}"/>
    <hyperlink ref="E1857" r:id="rId1798" xr:uid="{00000000-0004-0000-0200-000005070000}"/>
    <hyperlink ref="F1857" r:id="rId1799" xr:uid="{00000000-0004-0000-0200-000006070000}"/>
    <hyperlink ref="E1858" r:id="rId1800" xr:uid="{00000000-0004-0000-0200-000007070000}"/>
    <hyperlink ref="F1858" r:id="rId1801" xr:uid="{00000000-0004-0000-0200-000008070000}"/>
    <hyperlink ref="E1859" r:id="rId1802" xr:uid="{00000000-0004-0000-0200-000009070000}"/>
    <hyperlink ref="F1859" r:id="rId1803" xr:uid="{00000000-0004-0000-0200-00000A070000}"/>
    <hyperlink ref="E1860" r:id="rId1804" xr:uid="{00000000-0004-0000-0200-00000B070000}"/>
    <hyperlink ref="F1860" r:id="rId1805" xr:uid="{00000000-0004-0000-0200-00000C070000}"/>
    <hyperlink ref="E1861" r:id="rId1806" xr:uid="{00000000-0004-0000-0200-00000D070000}"/>
    <hyperlink ref="F1861" r:id="rId1807" xr:uid="{00000000-0004-0000-0200-00000E070000}"/>
    <hyperlink ref="E1862" r:id="rId1808" xr:uid="{00000000-0004-0000-0200-00000F070000}"/>
    <hyperlink ref="F1862" r:id="rId1809" xr:uid="{00000000-0004-0000-0200-000010070000}"/>
    <hyperlink ref="E1863" r:id="rId1810" xr:uid="{00000000-0004-0000-0200-000011070000}"/>
    <hyperlink ref="F1863" r:id="rId1811" xr:uid="{00000000-0004-0000-0200-000012070000}"/>
    <hyperlink ref="E1864" r:id="rId1812" xr:uid="{00000000-0004-0000-0200-000013070000}"/>
    <hyperlink ref="F1864" r:id="rId1813" xr:uid="{00000000-0004-0000-0200-000014070000}"/>
    <hyperlink ref="E1872" r:id="rId1814" xr:uid="{00000000-0004-0000-0200-000015070000}"/>
    <hyperlink ref="E1873" r:id="rId1815" xr:uid="{00000000-0004-0000-0200-000016070000}"/>
    <hyperlink ref="F1873" r:id="rId1816" xr:uid="{00000000-0004-0000-0200-000017070000}"/>
    <hyperlink ref="E1877" r:id="rId1817" xr:uid="{00000000-0004-0000-0200-000018070000}"/>
    <hyperlink ref="F1877" r:id="rId1818" xr:uid="{00000000-0004-0000-0200-000019070000}"/>
    <hyperlink ref="E1882" r:id="rId1819" xr:uid="{00000000-0004-0000-0200-00001A070000}"/>
    <hyperlink ref="E1884" r:id="rId1820" xr:uid="{00000000-0004-0000-0200-00001B070000}"/>
    <hyperlink ref="F1884" r:id="rId1821" xr:uid="{00000000-0004-0000-0200-00001C070000}"/>
    <hyperlink ref="E1885" r:id="rId1822" xr:uid="{00000000-0004-0000-0200-00001D070000}"/>
    <hyperlink ref="F1885" r:id="rId1823" xr:uid="{00000000-0004-0000-0200-00001E070000}"/>
    <hyperlink ref="E1886" r:id="rId1824" xr:uid="{00000000-0004-0000-0200-00001F070000}"/>
    <hyperlink ref="F1886" r:id="rId1825" xr:uid="{00000000-0004-0000-0200-000020070000}"/>
    <hyperlink ref="E1887" r:id="rId1826" xr:uid="{00000000-0004-0000-0200-000021070000}"/>
    <hyperlink ref="F1887" r:id="rId1827" xr:uid="{00000000-0004-0000-0200-000022070000}"/>
    <hyperlink ref="E1888" r:id="rId1828" xr:uid="{00000000-0004-0000-0200-000023070000}"/>
    <hyperlink ref="F1888" r:id="rId1829" xr:uid="{00000000-0004-0000-0200-000024070000}"/>
    <hyperlink ref="E1889" r:id="rId1830" xr:uid="{00000000-0004-0000-0200-000025070000}"/>
    <hyperlink ref="F1889" r:id="rId1831" xr:uid="{00000000-0004-0000-0200-000026070000}"/>
    <hyperlink ref="E1890" r:id="rId1832" xr:uid="{00000000-0004-0000-0200-000027070000}"/>
    <hyperlink ref="F1890" r:id="rId1833" xr:uid="{00000000-0004-0000-0200-000028070000}"/>
    <hyperlink ref="E1891" r:id="rId1834" xr:uid="{00000000-0004-0000-0200-000029070000}"/>
    <hyperlink ref="F1891" r:id="rId1835" xr:uid="{00000000-0004-0000-0200-00002A070000}"/>
    <hyperlink ref="E1892" r:id="rId1836" xr:uid="{00000000-0004-0000-0200-00002B070000}"/>
    <hyperlink ref="E1895" r:id="rId1837" xr:uid="{00000000-0004-0000-0200-00002C070000}"/>
    <hyperlink ref="F1895" r:id="rId1838" xr:uid="{00000000-0004-0000-0200-00002D070000}"/>
    <hyperlink ref="E1903" r:id="rId1839" xr:uid="{00000000-0004-0000-0200-00002E070000}"/>
    <hyperlink ref="E1904" r:id="rId1840" xr:uid="{00000000-0004-0000-0200-00002F070000}"/>
    <hyperlink ref="E1905" r:id="rId1841" xr:uid="{00000000-0004-0000-0200-000030070000}"/>
    <hyperlink ref="E1906" r:id="rId1842" xr:uid="{00000000-0004-0000-0200-000031070000}"/>
    <hyperlink ref="E1907" r:id="rId1843" xr:uid="{00000000-0004-0000-0200-000032070000}"/>
    <hyperlink ref="E1908" r:id="rId1844" xr:uid="{00000000-0004-0000-0200-000033070000}"/>
    <hyperlink ref="E1909" r:id="rId1845" xr:uid="{00000000-0004-0000-0200-000034070000}"/>
    <hyperlink ref="E1910" r:id="rId1846" xr:uid="{00000000-0004-0000-0200-000035070000}"/>
    <hyperlink ref="E1911" r:id="rId1847" xr:uid="{00000000-0004-0000-0200-000036070000}"/>
    <hyperlink ref="F1911" r:id="rId1848" xr:uid="{00000000-0004-0000-0200-000037070000}"/>
    <hyperlink ref="E1918" r:id="rId1849" xr:uid="{00000000-0004-0000-0200-000038070000}"/>
    <hyperlink ref="F1918" r:id="rId1850" xr:uid="{00000000-0004-0000-0200-000039070000}"/>
    <hyperlink ref="E1919" r:id="rId1851" xr:uid="{00000000-0004-0000-0200-00003A070000}"/>
    <hyperlink ref="F1919" r:id="rId1852" xr:uid="{00000000-0004-0000-0200-00003B070000}"/>
    <hyperlink ref="E1920" r:id="rId1853" xr:uid="{00000000-0004-0000-0200-00003C070000}"/>
    <hyperlink ref="F1920" r:id="rId1854" xr:uid="{00000000-0004-0000-0200-00003D070000}"/>
    <hyperlink ref="E1921" r:id="rId1855" xr:uid="{00000000-0004-0000-0200-00003E070000}"/>
    <hyperlink ref="F1921" r:id="rId1856" xr:uid="{00000000-0004-0000-0200-00003F070000}"/>
    <hyperlink ref="E1922" r:id="rId1857" xr:uid="{00000000-0004-0000-0200-000040070000}"/>
    <hyperlink ref="F1922" r:id="rId1858" xr:uid="{00000000-0004-0000-0200-000041070000}"/>
    <hyperlink ref="E1928" r:id="rId1859" xr:uid="{00000000-0004-0000-0200-000042070000}"/>
    <hyperlink ref="F1928" r:id="rId1860" xr:uid="{00000000-0004-0000-0200-000043070000}"/>
    <hyperlink ref="E1931" r:id="rId1861" xr:uid="{00000000-0004-0000-0200-000044070000}"/>
    <hyperlink ref="E1935" r:id="rId1862" xr:uid="{00000000-0004-0000-0200-000045070000}"/>
    <hyperlink ref="F1935" r:id="rId1863" xr:uid="{00000000-0004-0000-0200-000046070000}"/>
    <hyperlink ref="E1936" r:id="rId1864" xr:uid="{00000000-0004-0000-0200-000047070000}"/>
    <hyperlink ref="F1936" r:id="rId1865" xr:uid="{00000000-0004-0000-0200-000048070000}"/>
    <hyperlink ref="E1940" r:id="rId1866" xr:uid="{00000000-0004-0000-0200-000049070000}"/>
    <hyperlink ref="F1940" r:id="rId1867" xr:uid="{00000000-0004-0000-0200-00004A070000}"/>
    <hyperlink ref="E1941" r:id="rId1868" xr:uid="{00000000-0004-0000-0200-00004B070000}"/>
    <hyperlink ref="F1941" r:id="rId1869" xr:uid="{00000000-0004-0000-0200-00004C070000}"/>
    <hyperlink ref="E1943" r:id="rId1870" xr:uid="{00000000-0004-0000-0200-00004D070000}"/>
    <hyperlink ref="F1943" r:id="rId1871" xr:uid="{00000000-0004-0000-0200-00004E070000}"/>
    <hyperlink ref="E1944" r:id="rId1872" xr:uid="{00000000-0004-0000-0200-00004F070000}"/>
    <hyperlink ref="F1944" r:id="rId1873" xr:uid="{00000000-0004-0000-0200-000050070000}"/>
    <hyperlink ref="E1946" r:id="rId1874" xr:uid="{00000000-0004-0000-0200-000051070000}"/>
    <hyperlink ref="E1952" r:id="rId1875" xr:uid="{00000000-0004-0000-0200-000052070000}"/>
    <hyperlink ref="F1952" r:id="rId1876" xr:uid="{00000000-0004-0000-0200-000053070000}"/>
    <hyperlink ref="E1957" r:id="rId1877" xr:uid="{00000000-0004-0000-0200-000054070000}"/>
    <hyperlink ref="F1957" r:id="rId1878" xr:uid="{00000000-0004-0000-0200-000055070000}"/>
    <hyperlink ref="E1958" r:id="rId1879" xr:uid="{00000000-0004-0000-0200-000056070000}"/>
    <hyperlink ref="F1958" r:id="rId1880" xr:uid="{00000000-0004-0000-0200-000057070000}"/>
    <hyperlink ref="E1959" r:id="rId1881" xr:uid="{00000000-0004-0000-0200-000058070000}"/>
    <hyperlink ref="F1959" r:id="rId1882" xr:uid="{00000000-0004-0000-0200-000059070000}"/>
    <hyperlink ref="E1960" r:id="rId1883" xr:uid="{00000000-0004-0000-0200-00005A070000}"/>
    <hyperlink ref="F1960" r:id="rId1884" xr:uid="{00000000-0004-0000-0200-00005B070000}"/>
    <hyperlink ref="E1962" r:id="rId1885" xr:uid="{00000000-0004-0000-0200-00005C070000}"/>
    <hyperlink ref="F1962" r:id="rId1886" xr:uid="{00000000-0004-0000-0200-00005D070000}"/>
    <hyperlink ref="E1963" r:id="rId1887" xr:uid="{00000000-0004-0000-0200-00005E070000}"/>
    <hyperlink ref="F1963" r:id="rId1888" xr:uid="{00000000-0004-0000-0200-00005F070000}"/>
    <hyperlink ref="E1966" r:id="rId1889" xr:uid="{00000000-0004-0000-0200-000060070000}"/>
    <hyperlink ref="F1966" r:id="rId1890" xr:uid="{00000000-0004-0000-0200-000061070000}"/>
    <hyperlink ref="E1972" r:id="rId1891" xr:uid="{00000000-0004-0000-0200-000062070000}"/>
    <hyperlink ref="F1972" r:id="rId1892" xr:uid="{00000000-0004-0000-0200-000063070000}"/>
    <hyperlink ref="E1973" r:id="rId1893" xr:uid="{00000000-0004-0000-0200-000064070000}"/>
    <hyperlink ref="F1973" r:id="rId1894" xr:uid="{00000000-0004-0000-0200-000065070000}"/>
    <hyperlink ref="E1974" r:id="rId1895" xr:uid="{00000000-0004-0000-0200-000066070000}"/>
    <hyperlink ref="F1974" r:id="rId1896" xr:uid="{00000000-0004-0000-0200-000067070000}"/>
    <hyperlink ref="E1975" r:id="rId1897" xr:uid="{00000000-0004-0000-0200-000068070000}"/>
    <hyperlink ref="F1975" r:id="rId1898" xr:uid="{00000000-0004-0000-0200-000069070000}"/>
    <hyperlink ref="E1983" r:id="rId1899" xr:uid="{00000000-0004-0000-0200-00006A070000}"/>
    <hyperlink ref="E1986" r:id="rId1900" xr:uid="{00000000-0004-0000-0200-00006B070000}"/>
    <hyperlink ref="F1986" r:id="rId1901" xr:uid="{00000000-0004-0000-0200-00006C070000}"/>
    <hyperlink ref="E1996" r:id="rId1902" xr:uid="{00000000-0004-0000-0200-00006D070000}"/>
    <hyperlink ref="F1996" r:id="rId1903" xr:uid="{00000000-0004-0000-0200-00006E070000}"/>
    <hyperlink ref="E1999" r:id="rId1904" xr:uid="{00000000-0004-0000-0200-00006F070000}"/>
    <hyperlink ref="F1999" r:id="rId1905" xr:uid="{00000000-0004-0000-0200-000070070000}"/>
    <hyperlink ref="E2000" r:id="rId1906" xr:uid="{00000000-0004-0000-0200-000071070000}"/>
    <hyperlink ref="F2000" r:id="rId1907" xr:uid="{00000000-0004-0000-0200-000072070000}"/>
    <hyperlink ref="E2002" r:id="rId1908" xr:uid="{00000000-0004-0000-0200-000073070000}"/>
    <hyperlink ref="F2002" r:id="rId1909" xr:uid="{00000000-0004-0000-0200-000074070000}"/>
    <hyperlink ref="E2008" r:id="rId1910" xr:uid="{00000000-0004-0000-0200-000075070000}"/>
    <hyperlink ref="E2009" r:id="rId1911" xr:uid="{00000000-0004-0000-0200-000076070000}"/>
    <hyperlink ref="F2009" r:id="rId1912" xr:uid="{00000000-0004-0000-0200-000077070000}"/>
    <hyperlink ref="E2010" r:id="rId1913" xr:uid="{00000000-0004-0000-0200-000078070000}"/>
    <hyperlink ref="F2010" r:id="rId1914" xr:uid="{00000000-0004-0000-0200-000079070000}"/>
    <hyperlink ref="E2011" r:id="rId1915" xr:uid="{00000000-0004-0000-0200-00007A070000}"/>
    <hyperlink ref="F2011" r:id="rId1916" xr:uid="{00000000-0004-0000-0200-00007B070000}"/>
    <hyperlink ref="E2012" r:id="rId1917" xr:uid="{00000000-0004-0000-0200-00007C070000}"/>
    <hyperlink ref="F2012" r:id="rId1918" xr:uid="{00000000-0004-0000-0200-00007D070000}"/>
    <hyperlink ref="E2013" r:id="rId1919" xr:uid="{00000000-0004-0000-0200-00007E070000}"/>
    <hyperlink ref="F2013" r:id="rId1920" xr:uid="{00000000-0004-0000-0200-00007F070000}"/>
    <hyperlink ref="E2014" r:id="rId1921" xr:uid="{00000000-0004-0000-0200-000080070000}"/>
    <hyperlink ref="F2014" r:id="rId1922" xr:uid="{00000000-0004-0000-0200-000081070000}"/>
    <hyperlink ref="E2015" r:id="rId1923" xr:uid="{00000000-0004-0000-0200-000082070000}"/>
    <hyperlink ref="F2015" r:id="rId1924" xr:uid="{00000000-0004-0000-0200-000083070000}"/>
    <hyperlink ref="E2016" r:id="rId1925" xr:uid="{00000000-0004-0000-0200-000084070000}"/>
    <hyperlink ref="F2016" r:id="rId1926" xr:uid="{00000000-0004-0000-0200-000085070000}"/>
    <hyperlink ref="E2021" r:id="rId1927" xr:uid="{00000000-0004-0000-0200-000086070000}"/>
    <hyperlink ref="F2021" r:id="rId1928" xr:uid="{00000000-0004-0000-0200-000087070000}"/>
    <hyperlink ref="E2022" r:id="rId1929" xr:uid="{00000000-0004-0000-0200-000088070000}"/>
    <hyperlink ref="F2022" r:id="rId1930" xr:uid="{00000000-0004-0000-0200-000089070000}"/>
    <hyperlink ref="E2023" r:id="rId1931" xr:uid="{00000000-0004-0000-0200-00008A070000}"/>
    <hyperlink ref="F2023" r:id="rId1932" xr:uid="{00000000-0004-0000-0200-00008B070000}"/>
    <hyperlink ref="E2024" r:id="rId1933" xr:uid="{00000000-0004-0000-0200-00008C070000}"/>
    <hyperlink ref="F2024" r:id="rId1934" xr:uid="{00000000-0004-0000-0200-00008D070000}"/>
    <hyperlink ref="E2025" r:id="rId1935" xr:uid="{00000000-0004-0000-0200-00008E070000}"/>
    <hyperlink ref="E2029" r:id="rId1936" xr:uid="{00000000-0004-0000-0200-00008F070000}"/>
    <hyperlink ref="E2030" r:id="rId1937" xr:uid="{00000000-0004-0000-0200-000090070000}"/>
    <hyperlink ref="E2034" r:id="rId1938" xr:uid="{00000000-0004-0000-0200-000091070000}"/>
    <hyperlink ref="F2034" r:id="rId1939" xr:uid="{00000000-0004-0000-0200-000092070000}"/>
    <hyperlink ref="E2036" r:id="rId1940" xr:uid="{00000000-0004-0000-0200-000093070000}"/>
    <hyperlink ref="F2036" r:id="rId1941" xr:uid="{00000000-0004-0000-0200-000094070000}"/>
    <hyperlink ref="E2037" r:id="rId1942" xr:uid="{00000000-0004-0000-0200-000095070000}"/>
    <hyperlink ref="F2037" r:id="rId1943" xr:uid="{00000000-0004-0000-0200-000096070000}"/>
    <hyperlink ref="E2038" r:id="rId1944" xr:uid="{00000000-0004-0000-0200-000097070000}"/>
    <hyperlink ref="E2043" r:id="rId1945" xr:uid="{00000000-0004-0000-0200-000098070000}"/>
    <hyperlink ref="F2043" r:id="rId1946" xr:uid="{00000000-0004-0000-0200-000099070000}"/>
    <hyperlink ref="E2044" r:id="rId1947" xr:uid="{00000000-0004-0000-0200-00009A070000}"/>
    <hyperlink ref="F2044" r:id="rId1948" xr:uid="{00000000-0004-0000-0200-00009B070000}"/>
    <hyperlink ref="E2045" r:id="rId1949" xr:uid="{00000000-0004-0000-0200-00009C070000}"/>
    <hyperlink ref="F2045" r:id="rId1950" xr:uid="{00000000-0004-0000-0200-00009D070000}"/>
    <hyperlink ref="E2046" r:id="rId1951" xr:uid="{00000000-0004-0000-0200-00009E070000}"/>
    <hyperlink ref="F2046" r:id="rId1952" xr:uid="{00000000-0004-0000-0200-00009F070000}"/>
    <hyperlink ref="E2047" r:id="rId1953" xr:uid="{00000000-0004-0000-0200-0000A0070000}"/>
    <hyperlink ref="F2047" r:id="rId1954" xr:uid="{00000000-0004-0000-0200-0000A1070000}"/>
    <hyperlink ref="E2050" r:id="rId1955" xr:uid="{00000000-0004-0000-0200-0000A2070000}"/>
    <hyperlink ref="E2051" r:id="rId1956" xr:uid="{00000000-0004-0000-0200-0000A3070000}"/>
    <hyperlink ref="F2051" r:id="rId1957" xr:uid="{00000000-0004-0000-0200-0000A4070000}"/>
    <hyperlink ref="E2052" r:id="rId1958" xr:uid="{00000000-0004-0000-0200-0000A5070000}"/>
    <hyperlink ref="F2052" r:id="rId1959" xr:uid="{00000000-0004-0000-0200-0000A6070000}"/>
    <hyperlink ref="E2053" r:id="rId1960" xr:uid="{00000000-0004-0000-0200-0000A7070000}"/>
    <hyperlink ref="F2053" r:id="rId1961" xr:uid="{00000000-0004-0000-0200-0000A8070000}"/>
    <hyperlink ref="E2054" r:id="rId1962" xr:uid="{00000000-0004-0000-0200-0000A9070000}"/>
    <hyperlink ref="F2054" r:id="rId1963" xr:uid="{00000000-0004-0000-0200-0000AA070000}"/>
    <hyperlink ref="E2055" r:id="rId1964" xr:uid="{00000000-0004-0000-0200-0000AB070000}"/>
    <hyperlink ref="F2055" r:id="rId1965" xr:uid="{00000000-0004-0000-0200-0000AC070000}"/>
    <hyperlink ref="E2056" r:id="rId1966" xr:uid="{00000000-0004-0000-0200-0000AD070000}"/>
    <hyperlink ref="F2056" r:id="rId1967" xr:uid="{00000000-0004-0000-0200-0000AE070000}"/>
    <hyperlink ref="E2057" r:id="rId1968" xr:uid="{00000000-0004-0000-0200-0000AF070000}"/>
    <hyperlink ref="F2057" r:id="rId1969" xr:uid="{00000000-0004-0000-0200-0000B0070000}"/>
    <hyperlink ref="E2059" r:id="rId1970" xr:uid="{00000000-0004-0000-0200-0000B1070000}"/>
    <hyperlink ref="F2059" r:id="rId1971" xr:uid="{00000000-0004-0000-0200-0000B2070000}"/>
    <hyperlink ref="E2060" r:id="rId1972" xr:uid="{00000000-0004-0000-0200-0000B3070000}"/>
    <hyperlink ref="F2060" r:id="rId1973" xr:uid="{00000000-0004-0000-0200-0000B4070000}"/>
    <hyperlink ref="E2061" r:id="rId1974" xr:uid="{00000000-0004-0000-0200-0000B5070000}"/>
    <hyperlink ref="F2061" r:id="rId1975" xr:uid="{00000000-0004-0000-0200-0000B6070000}"/>
    <hyperlink ref="E2062" r:id="rId1976" xr:uid="{00000000-0004-0000-0200-0000B7070000}"/>
    <hyperlink ref="F2062" r:id="rId1977" xr:uid="{00000000-0004-0000-0200-0000B8070000}"/>
    <hyperlink ref="E2067" r:id="rId1978" xr:uid="{00000000-0004-0000-0200-0000B9070000}"/>
    <hyperlink ref="F2067" r:id="rId1979" xr:uid="{00000000-0004-0000-0200-0000BA070000}"/>
    <hyperlink ref="E2068" r:id="rId1980" xr:uid="{00000000-0004-0000-0200-0000BB070000}"/>
    <hyperlink ref="F2068" r:id="rId1981" xr:uid="{00000000-0004-0000-0200-0000BC070000}"/>
    <hyperlink ref="E2072" r:id="rId1982" xr:uid="{00000000-0004-0000-0200-0000BD070000}"/>
    <hyperlink ref="F2072" r:id="rId1983" xr:uid="{00000000-0004-0000-0200-0000BE070000}"/>
    <hyperlink ref="E2073" r:id="rId1984" xr:uid="{00000000-0004-0000-0200-0000BF070000}"/>
    <hyperlink ref="F2073" r:id="rId1985" xr:uid="{00000000-0004-0000-0200-0000C0070000}"/>
    <hyperlink ref="E2074" r:id="rId1986" xr:uid="{00000000-0004-0000-0200-0000C1070000}"/>
    <hyperlink ref="F2074" r:id="rId1987" xr:uid="{00000000-0004-0000-0200-0000C2070000}"/>
    <hyperlink ref="E2079" r:id="rId1988" xr:uid="{00000000-0004-0000-0200-0000C3070000}"/>
    <hyperlink ref="F2079" r:id="rId1989" xr:uid="{00000000-0004-0000-0200-0000C4070000}"/>
    <hyperlink ref="E2085" r:id="rId1990" xr:uid="{00000000-0004-0000-0200-0000C5070000}"/>
    <hyperlink ref="F2085" r:id="rId1991" xr:uid="{00000000-0004-0000-0200-0000C6070000}"/>
    <hyperlink ref="E2086" r:id="rId1992" xr:uid="{00000000-0004-0000-0200-0000C7070000}"/>
    <hyperlink ref="E2087" r:id="rId1993" xr:uid="{00000000-0004-0000-0200-0000C8070000}"/>
    <hyperlink ref="F2087" r:id="rId1994" xr:uid="{00000000-0004-0000-0200-0000C9070000}"/>
    <hyperlink ref="E2088" r:id="rId1995" xr:uid="{00000000-0004-0000-0200-0000CA070000}"/>
    <hyperlink ref="E2097" r:id="rId1996" xr:uid="{00000000-0004-0000-0200-0000CB070000}"/>
    <hyperlink ref="F2097" r:id="rId1997" xr:uid="{00000000-0004-0000-0200-0000CC070000}"/>
    <hyperlink ref="E2098" r:id="rId1998" xr:uid="{00000000-0004-0000-0200-0000CD070000}"/>
    <hyperlink ref="F2098" r:id="rId1999" xr:uid="{00000000-0004-0000-0200-0000CE070000}"/>
    <hyperlink ref="E2099" r:id="rId2000" xr:uid="{00000000-0004-0000-0200-0000CF070000}"/>
    <hyperlink ref="F2099" r:id="rId2001" xr:uid="{00000000-0004-0000-0200-0000D0070000}"/>
    <hyperlink ref="E2100" r:id="rId2002" xr:uid="{00000000-0004-0000-0200-0000D1070000}"/>
    <hyperlink ref="F2100" r:id="rId2003" xr:uid="{00000000-0004-0000-0200-0000D2070000}"/>
    <hyperlink ref="E2101" r:id="rId2004" xr:uid="{00000000-0004-0000-0200-0000D3070000}"/>
    <hyperlink ref="F2101" r:id="rId2005" xr:uid="{00000000-0004-0000-0200-0000D4070000}"/>
    <hyperlink ref="E2107" r:id="rId2006" xr:uid="{00000000-0004-0000-0200-0000D5070000}"/>
    <hyperlink ref="F2107" r:id="rId2007" xr:uid="{00000000-0004-0000-0200-0000D6070000}"/>
    <hyperlink ref="E2108" r:id="rId2008" xr:uid="{00000000-0004-0000-0200-0000D7070000}"/>
    <hyperlink ref="F2108" r:id="rId2009" xr:uid="{00000000-0004-0000-0200-0000D8070000}"/>
    <hyperlink ref="E2109" r:id="rId2010" xr:uid="{00000000-0004-0000-0200-0000D9070000}"/>
    <hyperlink ref="F2109" r:id="rId2011" xr:uid="{00000000-0004-0000-0200-0000DA070000}"/>
    <hyperlink ref="E2110" r:id="rId2012" xr:uid="{00000000-0004-0000-0200-0000DB070000}"/>
    <hyperlink ref="F2110" r:id="rId2013" xr:uid="{00000000-0004-0000-0200-0000DC070000}"/>
    <hyperlink ref="E2111" r:id="rId2014" xr:uid="{00000000-0004-0000-0200-0000DD070000}"/>
    <hyperlink ref="F2111" r:id="rId2015" xr:uid="{00000000-0004-0000-0200-0000DE070000}"/>
    <hyperlink ref="E2112" r:id="rId2016" xr:uid="{00000000-0004-0000-0200-0000DF070000}"/>
    <hyperlink ref="F2112" r:id="rId2017" xr:uid="{00000000-0004-0000-0200-0000E0070000}"/>
    <hyperlink ref="E2117" r:id="rId2018" xr:uid="{00000000-0004-0000-0200-0000E1070000}"/>
    <hyperlink ref="E2120" r:id="rId2019" xr:uid="{00000000-0004-0000-0200-0000E2070000}"/>
    <hyperlink ref="F2120" r:id="rId2020" xr:uid="{00000000-0004-0000-0200-0000E3070000}"/>
    <hyperlink ref="E2121" r:id="rId2021" xr:uid="{00000000-0004-0000-0200-0000E4070000}"/>
    <hyperlink ref="F2121" r:id="rId2022" xr:uid="{00000000-0004-0000-0200-0000E5070000}"/>
    <hyperlink ref="E2122" r:id="rId2023" xr:uid="{00000000-0004-0000-0200-0000E6070000}"/>
    <hyperlink ref="F2122" r:id="rId2024" xr:uid="{00000000-0004-0000-0200-0000E7070000}"/>
    <hyperlink ref="E2130" r:id="rId2025" xr:uid="{00000000-0004-0000-0200-0000E8070000}"/>
    <hyperlink ref="F2130" r:id="rId2026" xr:uid="{00000000-0004-0000-0200-0000E9070000}"/>
    <hyperlink ref="E2131" r:id="rId2027" xr:uid="{00000000-0004-0000-0200-0000EA070000}"/>
    <hyperlink ref="F2131" r:id="rId2028" xr:uid="{00000000-0004-0000-0200-0000EB070000}"/>
    <hyperlink ref="E2148" r:id="rId2029" xr:uid="{00000000-0004-0000-0200-0000EC070000}"/>
    <hyperlink ref="E2150" r:id="rId2030" xr:uid="{00000000-0004-0000-0200-0000ED070000}"/>
    <hyperlink ref="F2150" r:id="rId2031" xr:uid="{00000000-0004-0000-0200-0000EE070000}"/>
    <hyperlink ref="E2151" r:id="rId2032" xr:uid="{00000000-0004-0000-0200-0000EF070000}"/>
    <hyperlink ref="F2151" r:id="rId2033" xr:uid="{00000000-0004-0000-0200-0000F0070000}"/>
    <hyperlink ref="E2152" r:id="rId2034" xr:uid="{00000000-0004-0000-0200-0000F1070000}"/>
    <hyperlink ref="F2152" r:id="rId2035" xr:uid="{00000000-0004-0000-0200-0000F2070000}"/>
    <hyperlink ref="E2153" r:id="rId2036" xr:uid="{00000000-0004-0000-0200-0000F3070000}"/>
    <hyperlink ref="F2153" r:id="rId2037" xr:uid="{00000000-0004-0000-0200-0000F4070000}"/>
    <hyperlink ref="E2154" r:id="rId2038" xr:uid="{00000000-0004-0000-0200-0000F5070000}"/>
    <hyperlink ref="F2154" r:id="rId2039" xr:uid="{00000000-0004-0000-0200-0000F6070000}"/>
    <hyperlink ref="E2155" r:id="rId2040" xr:uid="{00000000-0004-0000-0200-0000F7070000}"/>
    <hyperlink ref="F2155" r:id="rId2041" xr:uid="{00000000-0004-0000-0200-0000F8070000}"/>
    <hyperlink ref="E2156" r:id="rId2042" xr:uid="{00000000-0004-0000-0200-0000F9070000}"/>
    <hyperlink ref="F2156" r:id="rId2043" xr:uid="{00000000-0004-0000-0200-0000FA070000}"/>
    <hyperlink ref="E2157" r:id="rId2044" xr:uid="{00000000-0004-0000-0200-0000FB070000}"/>
    <hyperlink ref="F2157" r:id="rId2045" xr:uid="{00000000-0004-0000-0200-0000FC070000}"/>
    <hyperlink ref="E2158" r:id="rId2046" xr:uid="{00000000-0004-0000-0200-0000FD070000}"/>
    <hyperlink ref="F2158" r:id="rId2047" xr:uid="{00000000-0004-0000-0200-0000FE070000}"/>
    <hyperlink ref="E2159" r:id="rId2048" xr:uid="{00000000-0004-0000-0200-0000FF070000}"/>
    <hyperlink ref="F2159" r:id="rId2049" xr:uid="{00000000-0004-0000-0200-000000080000}"/>
    <hyperlink ref="E2160" r:id="rId2050" xr:uid="{00000000-0004-0000-0200-000001080000}"/>
    <hyperlink ref="F2160" r:id="rId2051" xr:uid="{00000000-0004-0000-0200-000002080000}"/>
    <hyperlink ref="E2161" r:id="rId2052" xr:uid="{00000000-0004-0000-0200-000003080000}"/>
    <hyperlink ref="F2161" r:id="rId2053" xr:uid="{00000000-0004-0000-0200-000004080000}"/>
    <hyperlink ref="E2162" r:id="rId2054" xr:uid="{00000000-0004-0000-0200-000005080000}"/>
    <hyperlink ref="F2162" r:id="rId2055" xr:uid="{00000000-0004-0000-0200-000006080000}"/>
    <hyperlink ref="E2167" r:id="rId2056" xr:uid="{00000000-0004-0000-0200-000007080000}"/>
    <hyperlink ref="F2167" r:id="rId2057" xr:uid="{00000000-0004-0000-0200-000008080000}"/>
    <hyperlink ref="E2168" r:id="rId2058" xr:uid="{00000000-0004-0000-0200-000009080000}"/>
    <hyperlink ref="F2168" r:id="rId2059" xr:uid="{00000000-0004-0000-0200-00000A080000}"/>
    <hyperlink ref="E2169" r:id="rId2060" xr:uid="{00000000-0004-0000-0200-00000B080000}"/>
    <hyperlink ref="F2169" r:id="rId2061" xr:uid="{00000000-0004-0000-0200-00000C080000}"/>
    <hyperlink ref="E2172" r:id="rId2062" xr:uid="{00000000-0004-0000-0200-00000D080000}"/>
    <hyperlink ref="F2172" r:id="rId2063" xr:uid="{00000000-0004-0000-0200-00000E080000}"/>
    <hyperlink ref="E2173" r:id="rId2064" xr:uid="{00000000-0004-0000-0200-00000F080000}"/>
    <hyperlink ref="F2173" r:id="rId2065" xr:uid="{00000000-0004-0000-0200-000010080000}"/>
    <hyperlink ref="E2177" r:id="rId2066" xr:uid="{00000000-0004-0000-0200-000011080000}"/>
    <hyperlink ref="E2178" r:id="rId2067" xr:uid="{00000000-0004-0000-0200-000012080000}"/>
    <hyperlink ref="F2178" r:id="rId2068" xr:uid="{00000000-0004-0000-0200-000013080000}"/>
    <hyperlink ref="E2179" r:id="rId2069" xr:uid="{00000000-0004-0000-0200-000014080000}"/>
    <hyperlink ref="F2179" r:id="rId2070" xr:uid="{00000000-0004-0000-0200-000015080000}"/>
    <hyperlink ref="E2180" r:id="rId2071" xr:uid="{00000000-0004-0000-0200-000016080000}"/>
    <hyperlink ref="F2180" r:id="rId2072" xr:uid="{00000000-0004-0000-0200-000017080000}"/>
    <hyperlink ref="E2181" r:id="rId2073" xr:uid="{00000000-0004-0000-0200-000018080000}"/>
    <hyperlink ref="F2181" r:id="rId2074" xr:uid="{00000000-0004-0000-0200-000019080000}"/>
    <hyperlink ref="E2185" r:id="rId2075" xr:uid="{00000000-0004-0000-0200-00001A080000}"/>
    <hyperlink ref="F2185" r:id="rId2076" xr:uid="{00000000-0004-0000-0200-00001B080000}"/>
    <hyperlink ref="E2186" r:id="rId2077" xr:uid="{00000000-0004-0000-0200-00001C080000}"/>
    <hyperlink ref="F2186" r:id="rId2078" xr:uid="{00000000-0004-0000-0200-00001D080000}"/>
    <hyperlink ref="E2187" r:id="rId2079" xr:uid="{00000000-0004-0000-0200-00001E080000}"/>
    <hyperlink ref="F2187" r:id="rId2080" xr:uid="{00000000-0004-0000-0200-00001F080000}"/>
    <hyperlink ref="E2188" r:id="rId2081" xr:uid="{00000000-0004-0000-0200-000020080000}"/>
    <hyperlink ref="F2188" r:id="rId2082" xr:uid="{00000000-0004-0000-0200-000021080000}"/>
    <hyperlink ref="E2189" r:id="rId2083" xr:uid="{00000000-0004-0000-0200-000022080000}"/>
    <hyperlink ref="F2189" r:id="rId2084" xr:uid="{00000000-0004-0000-0200-000023080000}"/>
    <hyperlink ref="E2190" r:id="rId2085" xr:uid="{00000000-0004-0000-0200-000024080000}"/>
    <hyperlink ref="F2190" r:id="rId2086" xr:uid="{00000000-0004-0000-0200-000025080000}"/>
    <hyperlink ref="E2192" r:id="rId2087" xr:uid="{00000000-0004-0000-0200-000026080000}"/>
    <hyperlink ref="F2192" r:id="rId2088" xr:uid="{00000000-0004-0000-0200-000027080000}"/>
    <hyperlink ref="E2193" r:id="rId2089" xr:uid="{00000000-0004-0000-0200-000028080000}"/>
    <hyperlink ref="F2193" r:id="rId2090" xr:uid="{00000000-0004-0000-0200-000029080000}"/>
    <hyperlink ref="E2194" r:id="rId2091" xr:uid="{00000000-0004-0000-0200-00002A080000}"/>
    <hyperlink ref="F2194" r:id="rId2092" xr:uid="{00000000-0004-0000-0200-00002B080000}"/>
    <hyperlink ref="E2198" r:id="rId2093" xr:uid="{00000000-0004-0000-0200-00002C080000}"/>
    <hyperlink ref="F2198" r:id="rId2094" xr:uid="{00000000-0004-0000-0200-00002D080000}"/>
    <hyperlink ref="E2200" r:id="rId2095" xr:uid="{00000000-0004-0000-0200-00002E080000}"/>
    <hyperlink ref="E2205" r:id="rId2096" xr:uid="{00000000-0004-0000-0200-00002F080000}"/>
    <hyperlink ref="F2205" r:id="rId2097" xr:uid="{00000000-0004-0000-0200-000030080000}"/>
    <hyperlink ref="E2206" r:id="rId2098" xr:uid="{00000000-0004-0000-0200-000031080000}"/>
    <hyperlink ref="F2206" r:id="rId2099" xr:uid="{00000000-0004-0000-0200-000032080000}"/>
    <hyperlink ref="E2213" r:id="rId2100" xr:uid="{00000000-0004-0000-0200-000033080000}"/>
    <hyperlink ref="F2213" r:id="rId2101" xr:uid="{00000000-0004-0000-0200-000034080000}"/>
    <hyperlink ref="E2214" r:id="rId2102" xr:uid="{00000000-0004-0000-0200-000035080000}"/>
    <hyperlink ref="F2214" r:id="rId2103" xr:uid="{00000000-0004-0000-0200-000036080000}"/>
    <hyperlink ref="E2215" r:id="rId2104" xr:uid="{00000000-0004-0000-0200-000037080000}"/>
    <hyperlink ref="F2215" r:id="rId2105" xr:uid="{00000000-0004-0000-0200-000038080000}"/>
    <hyperlink ref="E2221" r:id="rId2106" xr:uid="{00000000-0004-0000-0200-000039080000}"/>
    <hyperlink ref="F2221" r:id="rId2107" xr:uid="{00000000-0004-0000-0200-00003A080000}"/>
    <hyperlink ref="E2224" r:id="rId2108" xr:uid="{00000000-0004-0000-0200-00003B080000}"/>
    <hyperlink ref="E2229" r:id="rId2109" xr:uid="{00000000-0004-0000-0200-00003C080000}"/>
    <hyperlink ref="F2229" r:id="rId2110" xr:uid="{00000000-0004-0000-0200-00003D080000}"/>
    <hyperlink ref="E2230" r:id="rId2111" xr:uid="{00000000-0004-0000-0200-00003E080000}"/>
    <hyperlink ref="F2230" r:id="rId2112" xr:uid="{00000000-0004-0000-0200-00003F080000}"/>
    <hyperlink ref="E2231" r:id="rId2113" xr:uid="{00000000-0004-0000-0200-000040080000}"/>
    <hyperlink ref="F2231" r:id="rId2114" xr:uid="{00000000-0004-0000-0200-000041080000}"/>
    <hyperlink ref="E2232" r:id="rId2115" xr:uid="{00000000-0004-0000-0200-000042080000}"/>
    <hyperlink ref="E2236" r:id="rId2116" xr:uid="{00000000-0004-0000-0200-000043080000}"/>
    <hyperlink ref="F2236" r:id="rId2117" xr:uid="{00000000-0004-0000-0200-000044080000}"/>
    <hyperlink ref="E2237" r:id="rId2118" xr:uid="{00000000-0004-0000-0200-000045080000}"/>
    <hyperlink ref="F2237" r:id="rId2119" xr:uid="{00000000-0004-0000-0200-000046080000}"/>
    <hyperlink ref="E2238" r:id="rId2120" xr:uid="{00000000-0004-0000-0200-000047080000}"/>
    <hyperlink ref="F2238" r:id="rId2121" xr:uid="{00000000-0004-0000-0200-000048080000}"/>
    <hyperlink ref="E2239" r:id="rId2122" xr:uid="{00000000-0004-0000-0200-000049080000}"/>
    <hyperlink ref="F2239" r:id="rId2123" xr:uid="{00000000-0004-0000-0200-00004A080000}"/>
    <hyperlink ref="E2240" r:id="rId2124" xr:uid="{00000000-0004-0000-0200-00004B080000}"/>
    <hyperlink ref="F2240" r:id="rId2125" xr:uid="{00000000-0004-0000-0200-00004C080000}"/>
    <hyperlink ref="E2241" r:id="rId2126" xr:uid="{00000000-0004-0000-0200-00004D080000}"/>
    <hyperlink ref="F2241" r:id="rId2127" xr:uid="{00000000-0004-0000-0200-00004E080000}"/>
    <hyperlink ref="E2243" r:id="rId2128" xr:uid="{00000000-0004-0000-0200-00004F080000}"/>
    <hyperlink ref="F2243" r:id="rId2129" xr:uid="{00000000-0004-0000-0200-000050080000}"/>
    <hyperlink ref="E2244" r:id="rId2130" xr:uid="{00000000-0004-0000-0200-000051080000}"/>
    <hyperlink ref="E2247" r:id="rId2131" xr:uid="{00000000-0004-0000-0200-000052080000}"/>
    <hyperlink ref="F2247" r:id="rId2132" xr:uid="{00000000-0004-0000-0200-000053080000}"/>
    <hyperlink ref="E2248" r:id="rId2133" xr:uid="{00000000-0004-0000-0200-000054080000}"/>
    <hyperlink ref="F2248" r:id="rId2134" xr:uid="{00000000-0004-0000-0200-000055080000}"/>
    <hyperlink ref="E2249" r:id="rId2135" xr:uid="{00000000-0004-0000-0200-000056080000}"/>
    <hyperlink ref="F2249" r:id="rId2136" xr:uid="{00000000-0004-0000-0200-000057080000}"/>
    <hyperlink ref="E2250" r:id="rId2137" xr:uid="{00000000-0004-0000-0200-000058080000}"/>
    <hyperlink ref="F2250" r:id="rId2138" xr:uid="{00000000-0004-0000-0200-000059080000}"/>
    <hyperlink ref="E2251" r:id="rId2139" xr:uid="{00000000-0004-0000-0200-00005A080000}"/>
    <hyperlink ref="F2251" r:id="rId2140" xr:uid="{00000000-0004-0000-0200-00005B080000}"/>
    <hyperlink ref="E2252" r:id="rId2141" xr:uid="{00000000-0004-0000-0200-00005C080000}"/>
    <hyperlink ref="E2253" r:id="rId2142" xr:uid="{00000000-0004-0000-0200-00005D080000}"/>
    <hyperlink ref="E2254" r:id="rId2143" xr:uid="{00000000-0004-0000-0200-00005E080000}"/>
    <hyperlink ref="F2254" r:id="rId2144" xr:uid="{00000000-0004-0000-0200-00005F080000}"/>
    <hyperlink ref="E2255" r:id="rId2145" xr:uid="{00000000-0004-0000-0200-000060080000}"/>
    <hyperlink ref="E2258" r:id="rId2146" xr:uid="{00000000-0004-0000-0200-000061080000}"/>
    <hyperlink ref="F2258" r:id="rId2147" xr:uid="{00000000-0004-0000-0200-000062080000}"/>
    <hyperlink ref="E2265" r:id="rId2148" xr:uid="{00000000-0004-0000-0200-000063080000}"/>
    <hyperlink ref="E2272" r:id="rId2149" xr:uid="{00000000-0004-0000-0200-000064080000}"/>
    <hyperlink ref="F2272" r:id="rId2150" xr:uid="{00000000-0004-0000-0200-000065080000}"/>
    <hyperlink ref="E2273" r:id="rId2151" xr:uid="{00000000-0004-0000-0200-000066080000}"/>
    <hyperlink ref="F2273" r:id="rId2152" xr:uid="{00000000-0004-0000-0200-000067080000}"/>
    <hyperlink ref="E2274" r:id="rId2153" xr:uid="{00000000-0004-0000-0200-000068080000}"/>
    <hyperlink ref="F2274" r:id="rId2154" xr:uid="{00000000-0004-0000-0200-000069080000}"/>
    <hyperlink ref="E2275" r:id="rId2155" xr:uid="{00000000-0004-0000-0200-00006A080000}"/>
    <hyperlink ref="F2275" r:id="rId2156" xr:uid="{00000000-0004-0000-0200-00006B080000}"/>
    <hyperlink ref="E2277" r:id="rId2157" xr:uid="{00000000-0004-0000-0200-00006C080000}"/>
    <hyperlink ref="F2277" r:id="rId2158" xr:uid="{00000000-0004-0000-0200-00006D080000}"/>
    <hyperlink ref="E2278" r:id="rId2159" xr:uid="{00000000-0004-0000-0200-00006E080000}"/>
    <hyperlink ref="F2278" r:id="rId2160" xr:uid="{00000000-0004-0000-0200-00006F080000}"/>
    <hyperlink ref="E2279" r:id="rId2161" xr:uid="{00000000-0004-0000-0200-000070080000}"/>
    <hyperlink ref="E2280" r:id="rId2162" xr:uid="{00000000-0004-0000-0200-000071080000}"/>
    <hyperlink ref="F2280" r:id="rId2163" xr:uid="{00000000-0004-0000-0200-000072080000}"/>
    <hyperlink ref="E2281" r:id="rId2164" xr:uid="{00000000-0004-0000-0200-000073080000}"/>
    <hyperlink ref="F2281" r:id="rId2165" xr:uid="{00000000-0004-0000-0200-000074080000}"/>
    <hyperlink ref="E2289" r:id="rId2166" xr:uid="{00000000-0004-0000-0200-000075080000}"/>
    <hyperlink ref="F2289" r:id="rId2167" xr:uid="{00000000-0004-0000-0200-000076080000}"/>
    <hyperlink ref="E2296" r:id="rId2168" xr:uid="{00000000-0004-0000-0200-000077080000}"/>
    <hyperlink ref="F2296" r:id="rId2169" xr:uid="{00000000-0004-0000-0200-000078080000}"/>
    <hyperlink ref="E2297" r:id="rId2170" xr:uid="{00000000-0004-0000-0200-000079080000}"/>
    <hyperlink ref="E2298" r:id="rId2171" xr:uid="{00000000-0004-0000-0200-00007A080000}"/>
    <hyperlink ref="F2298" r:id="rId2172" xr:uid="{00000000-0004-0000-0200-00007B080000}"/>
    <hyperlink ref="E2299" r:id="rId2173" xr:uid="{00000000-0004-0000-0200-00007C080000}"/>
    <hyperlink ref="F2299" r:id="rId2174" xr:uid="{00000000-0004-0000-0200-00007D080000}"/>
    <hyperlink ref="E2300" r:id="rId2175" xr:uid="{00000000-0004-0000-0200-00007E080000}"/>
    <hyperlink ref="F2300" r:id="rId2176" xr:uid="{00000000-0004-0000-0200-00007F080000}"/>
    <hyperlink ref="E2301" r:id="rId2177" xr:uid="{00000000-0004-0000-0200-000080080000}"/>
    <hyperlink ref="F2301" r:id="rId2178" xr:uid="{00000000-0004-0000-0200-000081080000}"/>
    <hyperlink ref="E2303" r:id="rId2179" xr:uid="{00000000-0004-0000-0200-000082080000}"/>
    <hyperlink ref="F2303" r:id="rId2180" xr:uid="{00000000-0004-0000-0200-000083080000}"/>
    <hyperlink ref="E2304" r:id="rId2181" xr:uid="{00000000-0004-0000-0200-000084080000}"/>
    <hyperlink ref="F2304" r:id="rId2182" xr:uid="{00000000-0004-0000-0200-000085080000}"/>
    <hyperlink ref="E2305" r:id="rId2183" xr:uid="{00000000-0004-0000-0200-000086080000}"/>
    <hyperlink ref="F2305" r:id="rId2184" xr:uid="{00000000-0004-0000-0200-000087080000}"/>
    <hyperlink ref="E2306" r:id="rId2185" xr:uid="{00000000-0004-0000-0200-000088080000}"/>
    <hyperlink ref="F2306" r:id="rId2186" xr:uid="{00000000-0004-0000-0200-000089080000}"/>
    <hyperlink ref="E2307" r:id="rId2187" xr:uid="{00000000-0004-0000-0200-00008A080000}"/>
    <hyperlink ref="F2307" r:id="rId2188" xr:uid="{00000000-0004-0000-0200-00008B080000}"/>
    <hyperlink ref="E2308" r:id="rId2189" xr:uid="{00000000-0004-0000-0200-00008C080000}"/>
    <hyperlink ref="F2308" r:id="rId2190" xr:uid="{00000000-0004-0000-0200-00008D080000}"/>
    <hyperlink ref="E2310" r:id="rId2191" xr:uid="{00000000-0004-0000-0200-00008E080000}"/>
    <hyperlink ref="F2310" r:id="rId2192" xr:uid="{00000000-0004-0000-0200-00008F080000}"/>
    <hyperlink ref="E2311" r:id="rId2193" xr:uid="{00000000-0004-0000-0200-000090080000}"/>
    <hyperlink ref="F2311" r:id="rId2194" xr:uid="{00000000-0004-0000-0200-000091080000}"/>
    <hyperlink ref="E2317" r:id="rId2195" xr:uid="{00000000-0004-0000-0200-000092080000}"/>
    <hyperlink ref="E2318" r:id="rId2196" xr:uid="{00000000-0004-0000-0200-000093080000}"/>
    <hyperlink ref="E2320" r:id="rId2197" xr:uid="{00000000-0004-0000-0200-000094080000}"/>
    <hyperlink ref="E2325" r:id="rId2198" xr:uid="{00000000-0004-0000-0200-000095080000}"/>
    <hyperlink ref="F2325" r:id="rId2199" xr:uid="{00000000-0004-0000-0200-000096080000}"/>
    <hyperlink ref="E2326" r:id="rId2200" xr:uid="{00000000-0004-0000-0200-000097080000}"/>
    <hyperlink ref="F2326" r:id="rId2201" xr:uid="{00000000-0004-0000-0200-000098080000}"/>
    <hyperlink ref="E2330" r:id="rId2202" xr:uid="{00000000-0004-0000-0200-000099080000}"/>
    <hyperlink ref="E2331" r:id="rId2203" xr:uid="{00000000-0004-0000-0200-00009A080000}"/>
    <hyperlink ref="F2331" r:id="rId2204" xr:uid="{00000000-0004-0000-0200-00009B080000}"/>
    <hyperlink ref="E2332" r:id="rId2205" xr:uid="{00000000-0004-0000-0200-00009C080000}"/>
    <hyperlink ref="F2332" r:id="rId2206" xr:uid="{00000000-0004-0000-0200-00009D080000}"/>
    <hyperlink ref="E2333" r:id="rId2207" xr:uid="{00000000-0004-0000-0200-00009E080000}"/>
    <hyperlink ref="F2333" r:id="rId2208" xr:uid="{00000000-0004-0000-0200-00009F080000}"/>
    <hyperlink ref="E2334" r:id="rId2209" xr:uid="{00000000-0004-0000-0200-0000A0080000}"/>
    <hyperlink ref="F2334" r:id="rId2210" xr:uid="{00000000-0004-0000-0200-0000A1080000}"/>
    <hyperlink ref="E2335" r:id="rId2211" xr:uid="{00000000-0004-0000-0200-0000A2080000}"/>
    <hyperlink ref="F2335" r:id="rId2212" xr:uid="{00000000-0004-0000-0200-0000A3080000}"/>
    <hyperlink ref="E2336" r:id="rId2213" xr:uid="{00000000-0004-0000-0200-0000A4080000}"/>
    <hyperlink ref="F2336" r:id="rId2214" xr:uid="{00000000-0004-0000-0200-0000A5080000}"/>
    <hyperlink ref="E2337" r:id="rId2215" xr:uid="{00000000-0004-0000-0200-0000A6080000}"/>
    <hyperlink ref="F2337" r:id="rId2216" xr:uid="{00000000-0004-0000-0200-0000A7080000}"/>
    <hyperlink ref="E2338" r:id="rId2217" xr:uid="{00000000-0004-0000-0200-0000A8080000}"/>
    <hyperlink ref="F2338" r:id="rId2218" xr:uid="{00000000-0004-0000-0200-0000A9080000}"/>
    <hyperlink ref="E2339" r:id="rId2219" xr:uid="{00000000-0004-0000-0200-0000AA080000}"/>
    <hyperlink ref="F2339" r:id="rId2220" xr:uid="{00000000-0004-0000-0200-0000AB080000}"/>
    <hyperlink ref="E2340" r:id="rId2221" xr:uid="{00000000-0004-0000-0200-0000AC080000}"/>
    <hyperlink ref="F2340" r:id="rId2222" xr:uid="{00000000-0004-0000-0200-0000AD080000}"/>
    <hyperlink ref="E2341" r:id="rId2223" xr:uid="{00000000-0004-0000-0200-0000AE080000}"/>
    <hyperlink ref="F2341" r:id="rId2224" xr:uid="{00000000-0004-0000-0200-0000AF080000}"/>
    <hyperlink ref="E2342" r:id="rId2225" xr:uid="{00000000-0004-0000-0200-0000B0080000}"/>
    <hyperlink ref="F2342" r:id="rId2226" xr:uid="{00000000-0004-0000-0200-0000B1080000}"/>
    <hyperlink ref="E2343" r:id="rId2227" xr:uid="{00000000-0004-0000-0200-0000B2080000}"/>
    <hyperlink ref="F2343" r:id="rId2228" xr:uid="{00000000-0004-0000-0200-0000B3080000}"/>
    <hyperlink ref="E2344" r:id="rId2229" xr:uid="{00000000-0004-0000-0200-0000B4080000}"/>
    <hyperlink ref="F2344" r:id="rId2230" xr:uid="{00000000-0004-0000-0200-0000B5080000}"/>
    <hyperlink ref="E2345" r:id="rId2231" xr:uid="{00000000-0004-0000-0200-0000B6080000}"/>
    <hyperlink ref="F2345" r:id="rId2232" xr:uid="{00000000-0004-0000-0200-0000B7080000}"/>
    <hyperlink ref="E2346" r:id="rId2233" xr:uid="{00000000-0004-0000-0200-0000B8080000}"/>
    <hyperlink ref="F2346" r:id="rId2234" xr:uid="{00000000-0004-0000-0200-0000B9080000}"/>
    <hyperlink ref="E2347" r:id="rId2235" xr:uid="{00000000-0004-0000-0200-0000BA080000}"/>
    <hyperlink ref="F2347" r:id="rId2236" xr:uid="{00000000-0004-0000-0200-0000BB080000}"/>
    <hyperlink ref="E2348" r:id="rId2237" xr:uid="{00000000-0004-0000-0200-0000BC080000}"/>
    <hyperlink ref="F2348" r:id="rId2238" xr:uid="{00000000-0004-0000-0200-0000BD080000}"/>
    <hyperlink ref="E2349" r:id="rId2239" xr:uid="{00000000-0004-0000-0200-0000BE080000}"/>
    <hyperlink ref="F2349" r:id="rId2240" xr:uid="{00000000-0004-0000-0200-0000BF080000}"/>
    <hyperlink ref="E2353" r:id="rId2241" xr:uid="{00000000-0004-0000-0200-0000C0080000}"/>
    <hyperlink ref="F2353" r:id="rId2242" xr:uid="{00000000-0004-0000-0200-0000C1080000}"/>
    <hyperlink ref="E2354" r:id="rId2243" xr:uid="{00000000-0004-0000-0200-0000C2080000}"/>
    <hyperlink ref="F2354" r:id="rId2244" xr:uid="{00000000-0004-0000-0200-0000C3080000}"/>
    <hyperlink ref="E2355" r:id="rId2245" xr:uid="{00000000-0004-0000-0200-0000C4080000}"/>
    <hyperlink ref="E2363" r:id="rId2246" xr:uid="{00000000-0004-0000-0200-0000C5080000}"/>
    <hyperlink ref="F2363" r:id="rId2247" xr:uid="{00000000-0004-0000-0200-0000C6080000}"/>
    <hyperlink ref="E2366" r:id="rId2248" xr:uid="{00000000-0004-0000-0200-0000C7080000}"/>
    <hyperlink ref="F2366" r:id="rId2249" xr:uid="{00000000-0004-0000-0200-0000C8080000}"/>
    <hyperlink ref="E2367" r:id="rId2250" xr:uid="{00000000-0004-0000-0200-0000C9080000}"/>
    <hyperlink ref="F2367" r:id="rId2251" xr:uid="{00000000-0004-0000-0200-0000CA080000}"/>
    <hyperlink ref="E2368" r:id="rId2252" xr:uid="{00000000-0004-0000-0200-0000CB080000}"/>
    <hyperlink ref="F2368" r:id="rId2253" xr:uid="{00000000-0004-0000-0200-0000CC080000}"/>
    <hyperlink ref="E2369" r:id="rId2254" xr:uid="{00000000-0004-0000-0200-0000CD080000}"/>
    <hyperlink ref="F2369" r:id="rId2255" xr:uid="{00000000-0004-0000-0200-0000CE080000}"/>
    <hyperlink ref="E2370" r:id="rId2256" xr:uid="{00000000-0004-0000-0200-0000CF080000}"/>
    <hyperlink ref="F2370" r:id="rId2257" xr:uid="{00000000-0004-0000-0200-0000D0080000}"/>
    <hyperlink ref="E2371" r:id="rId2258" xr:uid="{00000000-0004-0000-0200-0000D1080000}"/>
    <hyperlink ref="F2371" r:id="rId2259" xr:uid="{00000000-0004-0000-0200-0000D2080000}"/>
    <hyperlink ref="E2372" r:id="rId2260" xr:uid="{00000000-0004-0000-0200-0000D3080000}"/>
    <hyperlink ref="F2372" r:id="rId2261" xr:uid="{00000000-0004-0000-0200-0000D4080000}"/>
    <hyperlink ref="E2373" r:id="rId2262" xr:uid="{00000000-0004-0000-0200-0000D5080000}"/>
    <hyperlink ref="F2373" r:id="rId2263" xr:uid="{00000000-0004-0000-0200-0000D6080000}"/>
    <hyperlink ref="E2374" r:id="rId2264" xr:uid="{00000000-0004-0000-0200-0000D7080000}"/>
    <hyperlink ref="F2374" r:id="rId2265" xr:uid="{00000000-0004-0000-0200-0000D8080000}"/>
    <hyperlink ref="E2375" r:id="rId2266" xr:uid="{00000000-0004-0000-0200-0000D9080000}"/>
    <hyperlink ref="F2375" r:id="rId2267" xr:uid="{00000000-0004-0000-0200-0000DA080000}"/>
    <hyperlink ref="E2376" r:id="rId2268" xr:uid="{00000000-0004-0000-0200-0000DB080000}"/>
    <hyperlink ref="F2376" r:id="rId2269" xr:uid="{00000000-0004-0000-0200-0000DC080000}"/>
    <hyperlink ref="E2377" r:id="rId2270" xr:uid="{00000000-0004-0000-0200-0000DD080000}"/>
    <hyperlink ref="F2377" r:id="rId2271" xr:uid="{00000000-0004-0000-0200-0000DE080000}"/>
    <hyperlink ref="E2378" r:id="rId2272" xr:uid="{00000000-0004-0000-0200-0000DF080000}"/>
    <hyperlink ref="F2378" r:id="rId2273" xr:uid="{00000000-0004-0000-0200-0000E0080000}"/>
    <hyperlink ref="E2379" r:id="rId2274" xr:uid="{00000000-0004-0000-0200-0000E1080000}"/>
    <hyperlink ref="F2379" r:id="rId2275" xr:uid="{00000000-0004-0000-0200-0000E2080000}"/>
    <hyperlink ref="E2380" r:id="rId2276" xr:uid="{00000000-0004-0000-0200-0000E3080000}"/>
    <hyperlink ref="F2380" r:id="rId2277" xr:uid="{00000000-0004-0000-0200-0000E4080000}"/>
    <hyperlink ref="E2381" r:id="rId2278" xr:uid="{00000000-0004-0000-0200-0000E5080000}"/>
    <hyperlink ref="F2381" r:id="rId2279" xr:uid="{00000000-0004-0000-0200-0000E6080000}"/>
    <hyperlink ref="E2383" r:id="rId2280" xr:uid="{00000000-0004-0000-0200-0000E7080000}"/>
    <hyperlink ref="F2383" r:id="rId2281" xr:uid="{00000000-0004-0000-0200-0000E8080000}"/>
    <hyperlink ref="E2384" r:id="rId2282" xr:uid="{00000000-0004-0000-0200-0000E9080000}"/>
    <hyperlink ref="F2384" r:id="rId2283" xr:uid="{00000000-0004-0000-0200-0000EA080000}"/>
    <hyperlink ref="E2385" r:id="rId2284" xr:uid="{00000000-0004-0000-0200-0000EB080000}"/>
    <hyperlink ref="F2385" r:id="rId2285" xr:uid="{00000000-0004-0000-0200-0000EC080000}"/>
    <hyperlink ref="E2388" r:id="rId2286" xr:uid="{00000000-0004-0000-0200-0000ED080000}"/>
    <hyperlink ref="E2391" r:id="rId2287" xr:uid="{00000000-0004-0000-0200-0000EE080000}"/>
    <hyperlink ref="F2391" r:id="rId2288" xr:uid="{00000000-0004-0000-0200-0000EF080000}"/>
    <hyperlink ref="E2392" r:id="rId2289" xr:uid="{00000000-0004-0000-0200-0000F0080000}"/>
    <hyperlink ref="F2392" r:id="rId2290" xr:uid="{00000000-0004-0000-0200-0000F1080000}"/>
    <hyperlink ref="E2393" r:id="rId2291" xr:uid="{00000000-0004-0000-0200-0000F2080000}"/>
    <hyperlink ref="F2393" r:id="rId2292" xr:uid="{00000000-0004-0000-0200-0000F3080000}"/>
    <hyperlink ref="E2394" r:id="rId2293" xr:uid="{00000000-0004-0000-0200-0000F4080000}"/>
    <hyperlink ref="F2394" r:id="rId2294" xr:uid="{00000000-0004-0000-0200-0000F5080000}"/>
    <hyperlink ref="E2398" r:id="rId2295" xr:uid="{00000000-0004-0000-0200-0000F6080000}"/>
    <hyperlink ref="E2401" r:id="rId2296" xr:uid="{00000000-0004-0000-0200-0000F7080000}"/>
    <hyperlink ref="F2401" r:id="rId2297" xr:uid="{00000000-0004-0000-0200-0000F8080000}"/>
    <hyperlink ref="E2409" r:id="rId2298" xr:uid="{00000000-0004-0000-0200-0000F9080000}"/>
    <hyperlink ref="F2409" r:id="rId2299" xr:uid="{00000000-0004-0000-0200-0000FA080000}"/>
    <hyperlink ref="E2416" r:id="rId2300" xr:uid="{00000000-0004-0000-0200-0000FB080000}"/>
    <hyperlink ref="F2416" r:id="rId2301" xr:uid="{00000000-0004-0000-0200-0000FC080000}"/>
    <hyperlink ref="E2423" r:id="rId2302" xr:uid="{00000000-0004-0000-0200-0000FD080000}"/>
    <hyperlink ref="F2423" r:id="rId2303" xr:uid="{00000000-0004-0000-0200-0000FE080000}"/>
    <hyperlink ref="E2424" r:id="rId2304" xr:uid="{00000000-0004-0000-0200-0000FF080000}"/>
    <hyperlink ref="F2424" r:id="rId2305" xr:uid="{00000000-0004-0000-0200-000000090000}"/>
    <hyperlink ref="E2425" r:id="rId2306" xr:uid="{00000000-0004-0000-0200-000001090000}"/>
    <hyperlink ref="F2425" r:id="rId2307" xr:uid="{00000000-0004-0000-0200-000002090000}"/>
    <hyperlink ref="E2458" r:id="rId2308" xr:uid="{00000000-0004-0000-0200-000003090000}"/>
    <hyperlink ref="E2463" r:id="rId2309" xr:uid="{00000000-0004-0000-0200-000004090000}"/>
    <hyperlink ref="F2463" r:id="rId2310" xr:uid="{00000000-0004-0000-0200-000005090000}"/>
    <hyperlink ref="E2464" r:id="rId2311" xr:uid="{00000000-0004-0000-0200-000006090000}"/>
    <hyperlink ref="F2464" r:id="rId2312" xr:uid="{00000000-0004-0000-0200-000007090000}"/>
    <hyperlink ref="E2470" r:id="rId2313" xr:uid="{00000000-0004-0000-0200-000008090000}"/>
    <hyperlink ref="F2470" r:id="rId2314" xr:uid="{00000000-0004-0000-0200-000009090000}"/>
    <hyperlink ref="E2471" r:id="rId2315" xr:uid="{00000000-0004-0000-0200-00000A090000}"/>
    <hyperlink ref="F2471" r:id="rId2316" xr:uid="{00000000-0004-0000-0200-00000B090000}"/>
    <hyperlink ref="E2472" r:id="rId2317" xr:uid="{00000000-0004-0000-0200-00000C090000}"/>
    <hyperlink ref="F2472" r:id="rId2318" xr:uid="{00000000-0004-0000-0200-00000D090000}"/>
    <hyperlink ref="E2475" r:id="rId2319" xr:uid="{00000000-0004-0000-0200-00000E090000}"/>
    <hyperlink ref="F2475" r:id="rId2320" xr:uid="{00000000-0004-0000-0200-00000F090000}"/>
    <hyperlink ref="E2476" r:id="rId2321" xr:uid="{00000000-0004-0000-0200-000010090000}"/>
    <hyperlink ref="F2476" r:id="rId2322" xr:uid="{00000000-0004-0000-0200-000011090000}"/>
    <hyperlink ref="E2480" r:id="rId2323" xr:uid="{00000000-0004-0000-0200-000012090000}"/>
    <hyperlink ref="E2481" r:id="rId2324" xr:uid="{00000000-0004-0000-0200-000013090000}"/>
    <hyperlink ref="E2490" r:id="rId2325" xr:uid="{00000000-0004-0000-0200-000014090000}"/>
    <hyperlink ref="F2490" r:id="rId2326" xr:uid="{00000000-0004-0000-0200-000015090000}"/>
    <hyperlink ref="E2491" r:id="rId2327" xr:uid="{00000000-0004-0000-0200-000016090000}"/>
    <hyperlink ref="F2491" r:id="rId2328" xr:uid="{00000000-0004-0000-0200-000017090000}"/>
    <hyperlink ref="E2494" r:id="rId2329" xr:uid="{00000000-0004-0000-0200-000018090000}"/>
    <hyperlink ref="F2494" r:id="rId2330" xr:uid="{00000000-0004-0000-0200-000019090000}"/>
    <hyperlink ref="E2495" r:id="rId2331" xr:uid="{00000000-0004-0000-0200-00001A090000}"/>
    <hyperlink ref="F2495" r:id="rId2332" xr:uid="{00000000-0004-0000-0200-00001B090000}"/>
    <hyperlink ref="E2496" r:id="rId2333" xr:uid="{00000000-0004-0000-0200-00001C090000}"/>
    <hyperlink ref="F2496" r:id="rId2334" xr:uid="{00000000-0004-0000-0200-00001D090000}"/>
    <hyperlink ref="E2497" r:id="rId2335" xr:uid="{00000000-0004-0000-0200-00001E090000}"/>
    <hyperlink ref="F2497" r:id="rId2336" xr:uid="{00000000-0004-0000-0200-00001F090000}"/>
    <hyperlink ref="E2498" r:id="rId2337" xr:uid="{00000000-0004-0000-0200-000020090000}"/>
    <hyperlink ref="F2498" r:id="rId2338" xr:uid="{00000000-0004-0000-0200-000021090000}"/>
    <hyperlink ref="E2499" r:id="rId2339" xr:uid="{00000000-0004-0000-0200-000022090000}"/>
    <hyperlink ref="F2499" r:id="rId2340" xr:uid="{00000000-0004-0000-0200-000023090000}"/>
    <hyperlink ref="E2500" r:id="rId2341" xr:uid="{00000000-0004-0000-0200-000024090000}"/>
    <hyperlink ref="F2500" r:id="rId2342" xr:uid="{00000000-0004-0000-0200-000025090000}"/>
    <hyperlink ref="E2501" r:id="rId2343" xr:uid="{00000000-0004-0000-0200-000026090000}"/>
    <hyperlink ref="F2501" r:id="rId2344" xr:uid="{00000000-0004-0000-0200-000027090000}"/>
    <hyperlink ref="E2502" r:id="rId2345" xr:uid="{00000000-0004-0000-0200-000028090000}"/>
    <hyperlink ref="F2502" r:id="rId2346" xr:uid="{00000000-0004-0000-0200-000029090000}"/>
    <hyperlink ref="E2504" r:id="rId2347" xr:uid="{00000000-0004-0000-0200-00002A090000}"/>
    <hyperlink ref="F2504" r:id="rId2348" xr:uid="{00000000-0004-0000-0200-00002B090000}"/>
    <hyperlink ref="E2505" r:id="rId2349" xr:uid="{00000000-0004-0000-0200-00002C090000}"/>
    <hyperlink ref="F2505" r:id="rId2350" xr:uid="{00000000-0004-0000-0200-00002D090000}"/>
    <hyperlink ref="E2506" r:id="rId2351" xr:uid="{00000000-0004-0000-0200-00002E090000}"/>
    <hyperlink ref="F2506" r:id="rId2352" xr:uid="{00000000-0004-0000-0200-00002F090000}"/>
    <hyperlink ref="E2507" r:id="rId2353" xr:uid="{00000000-0004-0000-0200-000030090000}"/>
    <hyperlink ref="F2507" r:id="rId2354" xr:uid="{00000000-0004-0000-0200-000031090000}"/>
    <hyperlink ref="E2509" r:id="rId2355" xr:uid="{00000000-0004-0000-0200-000032090000}"/>
    <hyperlink ref="F2509" r:id="rId2356" xr:uid="{00000000-0004-0000-0200-000033090000}"/>
    <hyperlink ref="E2517" r:id="rId2357" xr:uid="{00000000-0004-0000-0200-000034090000}"/>
    <hyperlink ref="F2517" r:id="rId2358" xr:uid="{00000000-0004-0000-0200-000035090000}"/>
    <hyperlink ref="E2523" r:id="rId2359" xr:uid="{00000000-0004-0000-0200-000036090000}"/>
    <hyperlink ref="E2526" r:id="rId2360" xr:uid="{00000000-0004-0000-0200-000037090000}"/>
    <hyperlink ref="F2526" r:id="rId2361" xr:uid="{00000000-0004-0000-0200-000038090000}"/>
    <hyperlink ref="E2527" r:id="rId2362" xr:uid="{00000000-0004-0000-0200-000039090000}"/>
    <hyperlink ref="E2529" r:id="rId2363" xr:uid="{00000000-0004-0000-0200-00003A090000}"/>
    <hyperlink ref="F2529" r:id="rId2364" xr:uid="{00000000-0004-0000-0200-00003B090000}"/>
    <hyperlink ref="E2530" r:id="rId2365" xr:uid="{00000000-0004-0000-0200-00003C090000}"/>
    <hyperlink ref="F2530" r:id="rId2366" xr:uid="{00000000-0004-0000-0200-00003D090000}"/>
    <hyperlink ref="E2533" r:id="rId2367" xr:uid="{00000000-0004-0000-0200-00003E090000}"/>
    <hyperlink ref="E2534" r:id="rId2368" xr:uid="{00000000-0004-0000-0200-00003F090000}"/>
    <hyperlink ref="F2534" r:id="rId2369" xr:uid="{00000000-0004-0000-0200-000040090000}"/>
    <hyperlink ref="E2536" r:id="rId2370" xr:uid="{00000000-0004-0000-0200-000041090000}"/>
    <hyperlink ref="F2536" r:id="rId2371" xr:uid="{00000000-0004-0000-0200-000042090000}"/>
    <hyperlink ref="E2545" r:id="rId2372" xr:uid="{00000000-0004-0000-0200-000043090000}"/>
    <hyperlink ref="F2545" r:id="rId2373" xr:uid="{00000000-0004-0000-0200-000044090000}"/>
    <hyperlink ref="E2546" r:id="rId2374" xr:uid="{00000000-0004-0000-0200-000045090000}"/>
    <hyperlink ref="F2546" r:id="rId2375" xr:uid="{00000000-0004-0000-0200-000046090000}"/>
    <hyperlink ref="E2547" r:id="rId2376" xr:uid="{00000000-0004-0000-0200-000047090000}"/>
    <hyperlink ref="F2547" r:id="rId2377" xr:uid="{00000000-0004-0000-0200-000048090000}"/>
    <hyperlink ref="E2548" r:id="rId2378" xr:uid="{00000000-0004-0000-0200-000049090000}"/>
    <hyperlink ref="E2549" r:id="rId2379" xr:uid="{00000000-0004-0000-0200-00004A090000}"/>
    <hyperlink ref="F2549" r:id="rId2380" xr:uid="{00000000-0004-0000-0200-00004B090000}"/>
    <hyperlink ref="E2550" r:id="rId2381" xr:uid="{00000000-0004-0000-0200-00004C090000}"/>
    <hyperlink ref="F2550" r:id="rId2382" xr:uid="{00000000-0004-0000-0200-00004D090000}"/>
    <hyperlink ref="E2551" r:id="rId2383" xr:uid="{00000000-0004-0000-0200-00004E090000}"/>
    <hyperlink ref="F2551" r:id="rId2384" xr:uid="{00000000-0004-0000-0200-00004F090000}"/>
    <hyperlink ref="E2552" r:id="rId2385" xr:uid="{00000000-0004-0000-0200-000050090000}"/>
    <hyperlink ref="E2559" r:id="rId2386" xr:uid="{00000000-0004-0000-0200-000051090000}"/>
    <hyperlink ref="F2559" r:id="rId2387" xr:uid="{00000000-0004-0000-0200-000052090000}"/>
    <hyperlink ref="E2560" r:id="rId2388" xr:uid="{00000000-0004-0000-0200-000053090000}"/>
    <hyperlink ref="F2560" r:id="rId2389" xr:uid="{00000000-0004-0000-0200-000054090000}"/>
    <hyperlink ref="E2561" r:id="rId2390" xr:uid="{00000000-0004-0000-0200-000055090000}"/>
    <hyperlink ref="F2561" r:id="rId2391" xr:uid="{00000000-0004-0000-0200-000056090000}"/>
    <hyperlink ref="E2566" r:id="rId2392" xr:uid="{00000000-0004-0000-0200-000057090000}"/>
    <hyperlink ref="E2568" r:id="rId2393" xr:uid="{00000000-0004-0000-0200-000058090000}"/>
    <hyperlink ref="F2568" r:id="rId2394" xr:uid="{00000000-0004-0000-0200-000059090000}"/>
    <hyperlink ref="E2569" r:id="rId2395" xr:uid="{00000000-0004-0000-0200-00005A090000}"/>
    <hyperlink ref="F2569" r:id="rId2396" xr:uid="{00000000-0004-0000-0200-00005B090000}"/>
    <hyperlink ref="E2570" r:id="rId2397" xr:uid="{00000000-0004-0000-0200-00005C090000}"/>
    <hyperlink ref="F2570" r:id="rId2398" xr:uid="{00000000-0004-0000-0200-00005D090000}"/>
    <hyperlink ref="E2571" r:id="rId2399" xr:uid="{00000000-0004-0000-0200-00005E090000}"/>
    <hyperlink ref="F2571" r:id="rId2400" xr:uid="{00000000-0004-0000-0200-00005F090000}"/>
    <hyperlink ref="E2572" r:id="rId2401" xr:uid="{00000000-0004-0000-0200-000060090000}"/>
    <hyperlink ref="F2572" r:id="rId2402" xr:uid="{00000000-0004-0000-0200-000061090000}"/>
    <hyperlink ref="E2573" r:id="rId2403" xr:uid="{00000000-0004-0000-0200-000062090000}"/>
    <hyperlink ref="F2573" r:id="rId2404" xr:uid="{00000000-0004-0000-0200-000063090000}"/>
    <hyperlink ref="E2574" r:id="rId2405" xr:uid="{00000000-0004-0000-0200-000064090000}"/>
    <hyperlink ref="F2574" r:id="rId2406" xr:uid="{00000000-0004-0000-0200-000065090000}"/>
    <hyperlink ref="E2575" r:id="rId2407" xr:uid="{00000000-0004-0000-0200-000066090000}"/>
    <hyperlink ref="F2575" r:id="rId2408" xr:uid="{00000000-0004-0000-0200-000067090000}"/>
    <hyperlink ref="E2576" r:id="rId2409" xr:uid="{00000000-0004-0000-0200-000068090000}"/>
    <hyperlink ref="F2576" r:id="rId2410" xr:uid="{00000000-0004-0000-0200-000069090000}"/>
    <hyperlink ref="E2577" r:id="rId2411" xr:uid="{00000000-0004-0000-0200-00006A090000}"/>
    <hyperlink ref="F2577" r:id="rId2412" xr:uid="{00000000-0004-0000-0200-00006B090000}"/>
    <hyperlink ref="E2578" r:id="rId2413" xr:uid="{00000000-0004-0000-0200-00006C090000}"/>
    <hyperlink ref="F2578" r:id="rId2414" xr:uid="{00000000-0004-0000-0200-00006D090000}"/>
    <hyperlink ref="E2579" r:id="rId2415" xr:uid="{00000000-0004-0000-0200-00006E090000}"/>
    <hyperlink ref="F2579" r:id="rId2416" xr:uid="{00000000-0004-0000-0200-00006F090000}"/>
    <hyperlink ref="E2580" r:id="rId2417" xr:uid="{00000000-0004-0000-0200-000070090000}"/>
    <hyperlink ref="F2580" r:id="rId2418" xr:uid="{00000000-0004-0000-0200-000071090000}"/>
    <hyperlink ref="E2581" r:id="rId2419" xr:uid="{00000000-0004-0000-0200-000072090000}"/>
    <hyperlink ref="F2581" r:id="rId2420" xr:uid="{00000000-0004-0000-0200-000073090000}"/>
    <hyperlink ref="E2582" r:id="rId2421" xr:uid="{00000000-0004-0000-0200-000074090000}"/>
    <hyperlink ref="F2582" r:id="rId2422" xr:uid="{00000000-0004-0000-0200-000075090000}"/>
    <hyperlink ref="E2583" r:id="rId2423" xr:uid="{00000000-0004-0000-0200-000076090000}"/>
    <hyperlink ref="E2584" r:id="rId2424" xr:uid="{00000000-0004-0000-0200-000077090000}"/>
    <hyperlink ref="E2589" r:id="rId2425" xr:uid="{00000000-0004-0000-0200-000078090000}"/>
    <hyperlink ref="F2589" r:id="rId2426" xr:uid="{00000000-0004-0000-0200-000079090000}"/>
    <hyperlink ref="E2590" r:id="rId2427" xr:uid="{00000000-0004-0000-0200-00007A090000}"/>
    <hyperlink ref="F2590" r:id="rId2428" xr:uid="{00000000-0004-0000-0200-00007B090000}"/>
    <hyperlink ref="E2591" r:id="rId2429" xr:uid="{00000000-0004-0000-0200-00007C090000}"/>
    <hyperlink ref="F2591" r:id="rId2430" xr:uid="{00000000-0004-0000-0200-00007D090000}"/>
    <hyperlink ref="E2592" r:id="rId2431" xr:uid="{00000000-0004-0000-0200-00007E090000}"/>
    <hyperlink ref="F2592" r:id="rId2432" xr:uid="{00000000-0004-0000-0200-00007F090000}"/>
    <hyperlink ref="E2594" r:id="rId2433" xr:uid="{00000000-0004-0000-0200-000080090000}"/>
    <hyperlink ref="F2594" r:id="rId2434" xr:uid="{00000000-0004-0000-0200-000081090000}"/>
    <hyperlink ref="E2595" r:id="rId2435" xr:uid="{00000000-0004-0000-0200-000082090000}"/>
    <hyperlink ref="F2595" r:id="rId2436" xr:uid="{00000000-0004-0000-0200-000083090000}"/>
    <hyperlink ref="E2597" r:id="rId2437" xr:uid="{00000000-0004-0000-0200-000084090000}"/>
    <hyperlink ref="F2597" r:id="rId2438" xr:uid="{00000000-0004-0000-0200-000085090000}"/>
    <hyperlink ref="E2614" r:id="rId2439" xr:uid="{00000000-0004-0000-0200-000086090000}"/>
    <hyperlink ref="F2614" r:id="rId2440" xr:uid="{00000000-0004-0000-0200-000087090000}"/>
    <hyperlink ref="E2615" r:id="rId2441" xr:uid="{00000000-0004-0000-0200-000088090000}"/>
    <hyperlink ref="F2615" r:id="rId2442" xr:uid="{00000000-0004-0000-0200-000089090000}"/>
    <hyperlink ref="E2616" r:id="rId2443" xr:uid="{00000000-0004-0000-0200-00008A090000}"/>
    <hyperlink ref="F2616" r:id="rId2444" xr:uid="{00000000-0004-0000-0200-00008B090000}"/>
    <hyperlink ref="E2617" r:id="rId2445" xr:uid="{00000000-0004-0000-0200-00008C090000}"/>
    <hyperlink ref="F2617" r:id="rId2446" xr:uid="{00000000-0004-0000-0200-00008D090000}"/>
    <hyperlink ref="E2618" r:id="rId2447" xr:uid="{00000000-0004-0000-0200-00008E090000}"/>
    <hyperlink ref="F2618" r:id="rId2448" xr:uid="{00000000-0004-0000-0200-00008F090000}"/>
    <hyperlink ref="E2619" r:id="rId2449" xr:uid="{00000000-0004-0000-0200-000090090000}"/>
    <hyperlink ref="F2619" r:id="rId2450" xr:uid="{00000000-0004-0000-0200-000091090000}"/>
    <hyperlink ref="E2620" r:id="rId2451" xr:uid="{00000000-0004-0000-0200-000092090000}"/>
    <hyperlink ref="F2620" r:id="rId2452" xr:uid="{00000000-0004-0000-0200-000093090000}"/>
    <hyperlink ref="E2621" r:id="rId2453" xr:uid="{00000000-0004-0000-0200-000094090000}"/>
    <hyperlink ref="F2621" r:id="rId2454" xr:uid="{00000000-0004-0000-0200-000095090000}"/>
    <hyperlink ref="E2622" r:id="rId2455" xr:uid="{00000000-0004-0000-0200-000096090000}"/>
    <hyperlink ref="F2622" r:id="rId2456" xr:uid="{00000000-0004-0000-0200-000097090000}"/>
    <hyperlink ref="E2623" r:id="rId2457" xr:uid="{00000000-0004-0000-0200-000098090000}"/>
    <hyperlink ref="F2623" r:id="rId2458" xr:uid="{00000000-0004-0000-0200-000099090000}"/>
    <hyperlink ref="E2624" r:id="rId2459" xr:uid="{00000000-0004-0000-0200-00009A090000}"/>
    <hyperlink ref="F2624" r:id="rId2460" xr:uid="{00000000-0004-0000-0200-00009B090000}"/>
    <hyperlink ref="E2625" r:id="rId2461" xr:uid="{00000000-0004-0000-0200-00009C090000}"/>
    <hyperlink ref="F2625" r:id="rId2462" xr:uid="{00000000-0004-0000-0200-00009D090000}"/>
    <hyperlink ref="E2626" r:id="rId2463" xr:uid="{00000000-0004-0000-0200-00009E090000}"/>
    <hyperlink ref="F2626" r:id="rId2464" xr:uid="{00000000-0004-0000-0200-00009F090000}"/>
    <hyperlink ref="E2627" r:id="rId2465" xr:uid="{00000000-0004-0000-0200-0000A0090000}"/>
    <hyperlink ref="F2627" r:id="rId2466" xr:uid="{00000000-0004-0000-0200-0000A1090000}"/>
    <hyperlink ref="E2628" r:id="rId2467" xr:uid="{00000000-0004-0000-0200-0000A2090000}"/>
    <hyperlink ref="F2628" r:id="rId2468" xr:uid="{00000000-0004-0000-0200-0000A3090000}"/>
    <hyperlink ref="E2629" r:id="rId2469" xr:uid="{00000000-0004-0000-0200-0000A4090000}"/>
    <hyperlink ref="F2629" r:id="rId2470" xr:uid="{00000000-0004-0000-0200-0000A5090000}"/>
    <hyperlink ref="E2630" r:id="rId2471" xr:uid="{00000000-0004-0000-0200-0000A6090000}"/>
    <hyperlink ref="F2630" r:id="rId2472" xr:uid="{00000000-0004-0000-0200-0000A7090000}"/>
    <hyperlink ref="E2631" r:id="rId2473" xr:uid="{00000000-0004-0000-0200-0000A8090000}"/>
    <hyperlink ref="F2631" r:id="rId2474" xr:uid="{00000000-0004-0000-0200-0000A9090000}"/>
    <hyperlink ref="E2632" r:id="rId2475" xr:uid="{00000000-0004-0000-0200-0000AA090000}"/>
    <hyperlink ref="F2632" r:id="rId2476" xr:uid="{00000000-0004-0000-0200-0000AB090000}"/>
    <hyperlink ref="E2633" r:id="rId2477" xr:uid="{00000000-0004-0000-0200-0000AC090000}"/>
    <hyperlink ref="F2633" r:id="rId2478" xr:uid="{00000000-0004-0000-0200-0000AD090000}"/>
    <hyperlink ref="E2634" r:id="rId2479" xr:uid="{00000000-0004-0000-0200-0000AE090000}"/>
    <hyperlink ref="F2634" r:id="rId2480" xr:uid="{00000000-0004-0000-0200-0000AF090000}"/>
    <hyperlink ref="E2635" r:id="rId2481" xr:uid="{00000000-0004-0000-0200-0000B0090000}"/>
    <hyperlink ref="F2635" r:id="rId2482" xr:uid="{00000000-0004-0000-0200-0000B1090000}"/>
    <hyperlink ref="E2636" r:id="rId2483" xr:uid="{00000000-0004-0000-0200-0000B2090000}"/>
    <hyperlink ref="F2636" r:id="rId2484" xr:uid="{00000000-0004-0000-0200-0000B3090000}"/>
    <hyperlink ref="E2637" r:id="rId2485" xr:uid="{00000000-0004-0000-0200-0000B4090000}"/>
    <hyperlink ref="F2637" r:id="rId2486" xr:uid="{00000000-0004-0000-0200-0000B5090000}"/>
    <hyperlink ref="E2638" r:id="rId2487" xr:uid="{00000000-0004-0000-0200-0000B6090000}"/>
    <hyperlink ref="E2641" r:id="rId2488" xr:uid="{00000000-0004-0000-0200-0000B7090000}"/>
    <hyperlink ref="E2643" r:id="rId2489" xr:uid="{00000000-0004-0000-0200-0000B8090000}"/>
    <hyperlink ref="F2643" r:id="rId2490" xr:uid="{00000000-0004-0000-0200-0000B9090000}"/>
    <hyperlink ref="E2648" r:id="rId2491" xr:uid="{00000000-0004-0000-0200-0000BA090000}"/>
    <hyperlink ref="F2648" r:id="rId2492" xr:uid="{00000000-0004-0000-0200-0000BB090000}"/>
    <hyperlink ref="E2649" r:id="rId2493" xr:uid="{00000000-0004-0000-0200-0000BC090000}"/>
    <hyperlink ref="F2649" r:id="rId2494" xr:uid="{00000000-0004-0000-0200-0000BD090000}"/>
    <hyperlink ref="E2654" r:id="rId2495" xr:uid="{00000000-0004-0000-0200-0000BE090000}"/>
    <hyperlink ref="F2654" r:id="rId2496" xr:uid="{00000000-0004-0000-0200-0000BF090000}"/>
    <hyperlink ref="E2655" r:id="rId2497" xr:uid="{00000000-0004-0000-0200-0000C0090000}"/>
    <hyperlink ref="F2655" r:id="rId2498" xr:uid="{00000000-0004-0000-0200-0000C1090000}"/>
    <hyperlink ref="E2656" r:id="rId2499" xr:uid="{00000000-0004-0000-0200-0000C2090000}"/>
    <hyperlink ref="F2656" r:id="rId2500" xr:uid="{00000000-0004-0000-0200-0000C3090000}"/>
    <hyperlink ref="E2657" r:id="rId2501" xr:uid="{00000000-0004-0000-0200-0000C4090000}"/>
    <hyperlink ref="F2657" r:id="rId2502" xr:uid="{00000000-0004-0000-0200-0000C5090000}"/>
    <hyperlink ref="E2658" r:id="rId2503" xr:uid="{00000000-0004-0000-0200-0000C6090000}"/>
    <hyperlink ref="F2658" r:id="rId2504" xr:uid="{00000000-0004-0000-0200-0000C7090000}"/>
    <hyperlink ref="E2659" r:id="rId2505" xr:uid="{00000000-0004-0000-0200-0000C8090000}"/>
    <hyperlink ref="F2659" r:id="rId2506" xr:uid="{00000000-0004-0000-0200-0000C9090000}"/>
    <hyperlink ref="E2660" r:id="rId2507" xr:uid="{00000000-0004-0000-0200-0000CA090000}"/>
    <hyperlink ref="F2660" r:id="rId2508" xr:uid="{00000000-0004-0000-0200-0000CB090000}"/>
    <hyperlink ref="E2661" r:id="rId2509" xr:uid="{00000000-0004-0000-0200-0000CC090000}"/>
    <hyperlink ref="F2661" r:id="rId2510" xr:uid="{00000000-0004-0000-0200-0000CD090000}"/>
    <hyperlink ref="E2662" r:id="rId2511" xr:uid="{00000000-0004-0000-0200-0000CE090000}"/>
    <hyperlink ref="F2662" r:id="rId2512" xr:uid="{00000000-0004-0000-0200-0000CF090000}"/>
    <hyperlink ref="E2663" r:id="rId2513" xr:uid="{00000000-0004-0000-0200-0000D0090000}"/>
    <hyperlink ref="F2663" r:id="rId2514" xr:uid="{00000000-0004-0000-0200-0000D1090000}"/>
    <hyperlink ref="E2664" r:id="rId2515" xr:uid="{00000000-0004-0000-0200-0000D2090000}"/>
    <hyperlink ref="F2664" r:id="rId2516" xr:uid="{00000000-0004-0000-0200-0000D3090000}"/>
    <hyperlink ref="E2665" r:id="rId2517" xr:uid="{00000000-0004-0000-0200-0000D4090000}"/>
    <hyperlink ref="F2665" r:id="rId2518" xr:uid="{00000000-0004-0000-0200-0000D5090000}"/>
    <hyperlink ref="E2666" r:id="rId2519" xr:uid="{00000000-0004-0000-0200-0000D6090000}"/>
    <hyperlink ref="F2666" r:id="rId2520" xr:uid="{00000000-0004-0000-0200-0000D7090000}"/>
    <hyperlink ref="E2667" r:id="rId2521" xr:uid="{00000000-0004-0000-0200-0000D8090000}"/>
    <hyperlink ref="F2667" r:id="rId2522" xr:uid="{00000000-0004-0000-0200-0000D9090000}"/>
    <hyperlink ref="E2668" r:id="rId2523" xr:uid="{00000000-0004-0000-0200-0000DA090000}"/>
    <hyperlink ref="F2668" r:id="rId2524" xr:uid="{00000000-0004-0000-0200-0000DB090000}"/>
    <hyperlink ref="E2669" r:id="rId2525" xr:uid="{00000000-0004-0000-0200-0000DC090000}"/>
    <hyperlink ref="F2669" r:id="rId2526" xr:uid="{00000000-0004-0000-0200-0000DD090000}"/>
    <hyperlink ref="E2670" r:id="rId2527" xr:uid="{00000000-0004-0000-0200-0000DE090000}"/>
    <hyperlink ref="F2670" r:id="rId2528" xr:uid="{00000000-0004-0000-0200-0000DF090000}"/>
    <hyperlink ref="E2675" r:id="rId2529" xr:uid="{00000000-0004-0000-0200-0000E0090000}"/>
    <hyperlink ref="E2678" r:id="rId2530" xr:uid="{00000000-0004-0000-0200-0000E1090000}"/>
    <hyperlink ref="F2678" r:id="rId2531" xr:uid="{00000000-0004-0000-0200-0000E2090000}"/>
    <hyperlink ref="E2679" r:id="rId2532" xr:uid="{00000000-0004-0000-0200-0000E3090000}"/>
    <hyperlink ref="F2679" r:id="rId2533" xr:uid="{00000000-0004-0000-0200-0000E4090000}"/>
    <hyperlink ref="E2680" r:id="rId2534" xr:uid="{00000000-0004-0000-0200-0000E5090000}"/>
    <hyperlink ref="F2680" r:id="rId2535" xr:uid="{00000000-0004-0000-0200-0000E6090000}"/>
    <hyperlink ref="E2684" r:id="rId2536" xr:uid="{00000000-0004-0000-0200-0000E7090000}"/>
    <hyperlink ref="F2684" r:id="rId2537" xr:uid="{00000000-0004-0000-0200-0000E8090000}"/>
    <hyperlink ref="E2685" r:id="rId2538" xr:uid="{00000000-0004-0000-0200-0000E9090000}"/>
    <hyperlink ref="F2685" r:id="rId2539" xr:uid="{00000000-0004-0000-0200-0000EA090000}"/>
    <hyperlink ref="E2686" r:id="rId2540" xr:uid="{00000000-0004-0000-0200-0000EB090000}"/>
    <hyperlink ref="F2686" r:id="rId2541" xr:uid="{00000000-0004-0000-0200-0000EC090000}"/>
    <hyperlink ref="E2687" r:id="rId2542" xr:uid="{00000000-0004-0000-0200-0000ED090000}"/>
    <hyperlink ref="F2687" r:id="rId2543" xr:uid="{00000000-0004-0000-0200-0000EE090000}"/>
    <hyperlink ref="E2688" r:id="rId2544" xr:uid="{00000000-0004-0000-0200-0000EF090000}"/>
    <hyperlink ref="F2688" r:id="rId2545" xr:uid="{00000000-0004-0000-0200-0000F0090000}"/>
    <hyperlink ref="E2689" r:id="rId2546" xr:uid="{00000000-0004-0000-0200-0000F1090000}"/>
    <hyperlink ref="F2689" r:id="rId2547" xr:uid="{00000000-0004-0000-0200-0000F2090000}"/>
    <hyperlink ref="E2690" r:id="rId2548" xr:uid="{00000000-0004-0000-0200-0000F3090000}"/>
    <hyperlink ref="F2690" r:id="rId2549" xr:uid="{00000000-0004-0000-0200-0000F4090000}"/>
    <hyperlink ref="E2691" r:id="rId2550" xr:uid="{00000000-0004-0000-0200-0000F5090000}"/>
    <hyperlink ref="F2691" r:id="rId2551" xr:uid="{00000000-0004-0000-0200-0000F6090000}"/>
    <hyperlink ref="E2696" r:id="rId2552" xr:uid="{00000000-0004-0000-0200-0000F7090000}"/>
    <hyperlink ref="E2700" r:id="rId2553" xr:uid="{00000000-0004-0000-0200-0000F8090000}"/>
    <hyperlink ref="F2700" r:id="rId2554" xr:uid="{00000000-0004-0000-0200-0000F9090000}"/>
    <hyperlink ref="E2701" r:id="rId2555" xr:uid="{00000000-0004-0000-0200-0000FA090000}"/>
    <hyperlink ref="F2701" r:id="rId2556" xr:uid="{00000000-0004-0000-0200-0000FB090000}"/>
    <hyperlink ref="E2702" r:id="rId2557" xr:uid="{00000000-0004-0000-0200-0000FC090000}"/>
    <hyperlink ref="F2702" r:id="rId2558" xr:uid="{00000000-0004-0000-0200-0000FD090000}"/>
    <hyperlink ref="E2703" r:id="rId2559" xr:uid="{00000000-0004-0000-0200-0000FE090000}"/>
    <hyperlink ref="F2703" r:id="rId2560" xr:uid="{00000000-0004-0000-0200-0000FF090000}"/>
    <hyperlink ref="E2714" r:id="rId2561" xr:uid="{00000000-0004-0000-0200-0000000A0000}"/>
    <hyperlink ref="E2716" r:id="rId2562" xr:uid="{00000000-0004-0000-0200-0000010A0000}"/>
    <hyperlink ref="F2716" r:id="rId2563" xr:uid="{00000000-0004-0000-0200-0000020A0000}"/>
    <hyperlink ref="E2717" r:id="rId2564" xr:uid="{00000000-0004-0000-0200-0000030A0000}"/>
    <hyperlink ref="F2717" r:id="rId2565" xr:uid="{00000000-0004-0000-0200-0000040A0000}"/>
    <hyperlink ref="E2718" r:id="rId2566" xr:uid="{00000000-0004-0000-0200-0000050A0000}"/>
    <hyperlink ref="F2718" r:id="rId2567" xr:uid="{00000000-0004-0000-0200-0000060A0000}"/>
    <hyperlink ref="E2719" r:id="rId2568" xr:uid="{00000000-0004-0000-0200-0000070A0000}"/>
    <hyperlink ref="F2719" r:id="rId2569" xr:uid="{00000000-0004-0000-0200-0000080A0000}"/>
    <hyperlink ref="E2720" r:id="rId2570" xr:uid="{00000000-0004-0000-0200-0000090A0000}"/>
    <hyperlink ref="F2720" r:id="rId2571" xr:uid="{00000000-0004-0000-0200-00000A0A0000}"/>
    <hyperlink ref="E2721" r:id="rId2572" xr:uid="{00000000-0004-0000-0200-00000B0A0000}"/>
    <hyperlink ref="F2721" r:id="rId2573" xr:uid="{00000000-0004-0000-0200-00000C0A0000}"/>
    <hyperlink ref="E2722" r:id="rId2574" xr:uid="{00000000-0004-0000-0200-00000D0A0000}"/>
    <hyperlink ref="F2722" r:id="rId2575" xr:uid="{00000000-0004-0000-0200-00000E0A0000}"/>
    <hyperlink ref="E2723" r:id="rId2576" xr:uid="{00000000-0004-0000-0200-00000F0A0000}"/>
    <hyperlink ref="F2723" r:id="rId2577" xr:uid="{00000000-0004-0000-0200-0000100A0000}"/>
    <hyperlink ref="E2724" r:id="rId2578" xr:uid="{00000000-0004-0000-0200-0000110A0000}"/>
    <hyperlink ref="F2724" r:id="rId2579" xr:uid="{00000000-0004-0000-0200-0000120A0000}"/>
    <hyperlink ref="E2725" r:id="rId2580" xr:uid="{00000000-0004-0000-0200-0000130A0000}"/>
    <hyperlink ref="F2725" r:id="rId2581" xr:uid="{00000000-0004-0000-0200-0000140A0000}"/>
    <hyperlink ref="E2727" r:id="rId2582" xr:uid="{00000000-0004-0000-0200-0000150A0000}"/>
    <hyperlink ref="F2727" r:id="rId2583" xr:uid="{00000000-0004-0000-0200-0000160A0000}"/>
    <hyperlink ref="E2728" r:id="rId2584" xr:uid="{00000000-0004-0000-0200-0000170A0000}"/>
    <hyperlink ref="F2728" r:id="rId2585" xr:uid="{00000000-0004-0000-0200-0000180A0000}"/>
    <hyperlink ref="E2729" r:id="rId2586" xr:uid="{00000000-0004-0000-0200-0000190A0000}"/>
    <hyperlink ref="F2729" r:id="rId2587" xr:uid="{00000000-0004-0000-0200-00001A0A0000}"/>
    <hyperlink ref="E2732" r:id="rId2588" xr:uid="{00000000-0004-0000-0200-00001B0A0000}"/>
    <hyperlink ref="F2732" r:id="rId2589" xr:uid="{00000000-0004-0000-0200-00001C0A0000}"/>
    <hyperlink ref="E2733" r:id="rId2590" xr:uid="{00000000-0004-0000-0200-00001D0A0000}"/>
    <hyperlink ref="F2733" r:id="rId2591" xr:uid="{00000000-0004-0000-0200-00001E0A0000}"/>
    <hyperlink ref="E2734" r:id="rId2592" xr:uid="{00000000-0004-0000-0200-00001F0A0000}"/>
    <hyperlink ref="F2734" r:id="rId2593" xr:uid="{00000000-0004-0000-0200-0000200A0000}"/>
    <hyperlink ref="E2735" r:id="rId2594" xr:uid="{00000000-0004-0000-0200-0000210A0000}"/>
    <hyperlink ref="F2735" r:id="rId2595" xr:uid="{00000000-0004-0000-0200-0000220A0000}"/>
    <hyperlink ref="E2736" r:id="rId2596" xr:uid="{00000000-0004-0000-0200-0000230A0000}"/>
    <hyperlink ref="F2736" r:id="rId2597" xr:uid="{00000000-0004-0000-0200-0000240A0000}"/>
    <hyperlink ref="E2737" r:id="rId2598" xr:uid="{00000000-0004-0000-0200-0000250A0000}"/>
    <hyperlink ref="F2737" r:id="rId2599" xr:uid="{00000000-0004-0000-0200-0000260A0000}"/>
    <hyperlink ref="E2738" r:id="rId2600" xr:uid="{00000000-0004-0000-0200-0000270A0000}"/>
    <hyperlink ref="F2738" r:id="rId2601" xr:uid="{00000000-0004-0000-0200-0000280A0000}"/>
    <hyperlink ref="E2739" r:id="rId2602" xr:uid="{00000000-0004-0000-0200-0000290A0000}"/>
    <hyperlink ref="F2739" r:id="rId2603" xr:uid="{00000000-0004-0000-0200-00002A0A0000}"/>
    <hyperlink ref="E2740" r:id="rId2604" xr:uid="{00000000-0004-0000-0200-00002B0A0000}"/>
    <hyperlink ref="F2740" r:id="rId2605" xr:uid="{00000000-0004-0000-0200-00002C0A0000}"/>
    <hyperlink ref="E2741" r:id="rId2606" xr:uid="{00000000-0004-0000-0200-00002D0A0000}"/>
    <hyperlink ref="F2741" r:id="rId2607" xr:uid="{00000000-0004-0000-0200-00002E0A0000}"/>
    <hyperlink ref="E2742" r:id="rId2608" xr:uid="{00000000-0004-0000-0200-00002F0A0000}"/>
    <hyperlink ref="F2742" r:id="rId2609" xr:uid="{00000000-0004-0000-0200-0000300A0000}"/>
    <hyperlink ref="E2746" r:id="rId2610" xr:uid="{00000000-0004-0000-0200-0000310A0000}"/>
    <hyperlink ref="F2746" r:id="rId2611" xr:uid="{00000000-0004-0000-0200-0000320A0000}"/>
    <hyperlink ref="E2747" r:id="rId2612" xr:uid="{00000000-0004-0000-0200-0000330A0000}"/>
    <hyperlink ref="F2747" r:id="rId2613" xr:uid="{00000000-0004-0000-0200-0000340A0000}"/>
    <hyperlink ref="E2748" r:id="rId2614" xr:uid="{00000000-0004-0000-0200-0000350A0000}"/>
    <hyperlink ref="F2748" r:id="rId2615" xr:uid="{00000000-0004-0000-0200-0000360A0000}"/>
    <hyperlink ref="E2749" r:id="rId2616" xr:uid="{00000000-0004-0000-0200-0000370A0000}"/>
    <hyperlink ref="F2749" r:id="rId2617" xr:uid="{00000000-0004-0000-0200-0000380A0000}"/>
    <hyperlink ref="E2750" r:id="rId2618" xr:uid="{00000000-0004-0000-0200-0000390A0000}"/>
    <hyperlink ref="F2750" r:id="rId2619" xr:uid="{00000000-0004-0000-0200-00003A0A0000}"/>
    <hyperlink ref="E2751" r:id="rId2620" xr:uid="{00000000-0004-0000-0200-00003B0A0000}"/>
    <hyperlink ref="F2751" r:id="rId2621" xr:uid="{00000000-0004-0000-0200-00003C0A0000}"/>
    <hyperlink ref="E2752" r:id="rId2622" xr:uid="{00000000-0004-0000-0200-00003D0A0000}"/>
    <hyperlink ref="F2752" r:id="rId2623" xr:uid="{00000000-0004-0000-0200-00003E0A0000}"/>
    <hyperlink ref="E2753" r:id="rId2624" xr:uid="{00000000-0004-0000-0200-00003F0A0000}"/>
    <hyperlink ref="F2753" r:id="rId2625" xr:uid="{00000000-0004-0000-0200-0000400A0000}"/>
    <hyperlink ref="E2754" r:id="rId2626" xr:uid="{00000000-0004-0000-0200-0000410A0000}"/>
    <hyperlink ref="F2754" r:id="rId2627" xr:uid="{00000000-0004-0000-0200-0000420A0000}"/>
    <hyperlink ref="E2755" r:id="rId2628" xr:uid="{00000000-0004-0000-0200-0000430A0000}"/>
    <hyperlink ref="F2755" r:id="rId2629" xr:uid="{00000000-0004-0000-0200-0000440A0000}"/>
    <hyperlink ref="E2756" r:id="rId2630" xr:uid="{00000000-0004-0000-0200-0000450A0000}"/>
    <hyperlink ref="F2756" r:id="rId2631" xr:uid="{00000000-0004-0000-0200-0000460A0000}"/>
    <hyperlink ref="E2757" r:id="rId2632" xr:uid="{00000000-0004-0000-0200-0000470A0000}"/>
    <hyperlink ref="F2757" r:id="rId2633" xr:uid="{00000000-0004-0000-0200-0000480A0000}"/>
    <hyperlink ref="E2758" r:id="rId2634" xr:uid="{00000000-0004-0000-0200-0000490A0000}"/>
    <hyperlink ref="F2758" r:id="rId2635" xr:uid="{00000000-0004-0000-0200-00004A0A0000}"/>
    <hyperlink ref="E2759" r:id="rId2636" xr:uid="{00000000-0004-0000-0200-00004B0A0000}"/>
    <hyperlink ref="F2759" r:id="rId2637" xr:uid="{00000000-0004-0000-0200-00004C0A0000}"/>
    <hyperlink ref="E2760" r:id="rId2638" xr:uid="{00000000-0004-0000-0200-00004D0A0000}"/>
    <hyperlink ref="F2760" r:id="rId2639" xr:uid="{00000000-0004-0000-0200-00004E0A0000}"/>
    <hyperlink ref="E2761" r:id="rId2640" xr:uid="{00000000-0004-0000-0200-00004F0A0000}"/>
    <hyperlink ref="F2761" r:id="rId2641" xr:uid="{00000000-0004-0000-0200-0000500A0000}"/>
    <hyperlink ref="E2762" r:id="rId2642" xr:uid="{00000000-0004-0000-0200-0000510A0000}"/>
    <hyperlink ref="F2762" r:id="rId2643" xr:uid="{00000000-0004-0000-0200-0000520A0000}"/>
    <hyperlink ref="E2764" r:id="rId2644" xr:uid="{00000000-0004-0000-0200-0000530A0000}"/>
    <hyperlink ref="F2764" r:id="rId2645" xr:uid="{00000000-0004-0000-0200-0000540A0000}"/>
    <hyperlink ref="E2781" r:id="rId2646" xr:uid="{00000000-0004-0000-0200-0000550A0000}"/>
    <hyperlink ref="E2782" r:id="rId2647" xr:uid="{00000000-0004-0000-0200-0000560A0000}"/>
    <hyperlink ref="F2782" r:id="rId2648" xr:uid="{00000000-0004-0000-0200-0000570A0000}"/>
    <hyperlink ref="E2785" r:id="rId2649" xr:uid="{00000000-0004-0000-0200-0000580A0000}"/>
    <hyperlink ref="E2788" r:id="rId2650" xr:uid="{00000000-0004-0000-0200-0000590A0000}"/>
    <hyperlink ref="E2790" r:id="rId2651" xr:uid="{00000000-0004-0000-0200-00005A0A0000}"/>
    <hyperlink ref="F2790" r:id="rId2652" xr:uid="{00000000-0004-0000-0200-00005B0A0000}"/>
    <hyperlink ref="E2791" r:id="rId2653" xr:uid="{00000000-0004-0000-0200-00005C0A0000}"/>
    <hyperlink ref="F2791" r:id="rId2654" xr:uid="{00000000-0004-0000-0200-00005D0A0000}"/>
    <hyperlink ref="E2793" r:id="rId2655" xr:uid="{00000000-0004-0000-0200-00005E0A0000}"/>
    <hyperlink ref="F2793" r:id="rId2656" xr:uid="{00000000-0004-0000-0200-00005F0A0000}"/>
    <hyperlink ref="E2795" r:id="rId2657" xr:uid="{00000000-0004-0000-0200-0000600A0000}"/>
    <hyperlink ref="F2795" r:id="rId2658" xr:uid="{00000000-0004-0000-0200-0000610A0000}"/>
    <hyperlink ref="E2796" r:id="rId2659" xr:uid="{00000000-0004-0000-0200-0000620A0000}"/>
    <hyperlink ref="F2796" r:id="rId2660" xr:uid="{00000000-0004-0000-0200-0000630A0000}"/>
    <hyperlink ref="E2797" r:id="rId2661" xr:uid="{00000000-0004-0000-0200-0000640A0000}"/>
    <hyperlink ref="F2797" r:id="rId2662" xr:uid="{00000000-0004-0000-0200-0000650A0000}"/>
    <hyperlink ref="E2798" r:id="rId2663" xr:uid="{00000000-0004-0000-0200-0000660A0000}"/>
    <hyperlink ref="F2798" r:id="rId2664" xr:uid="{00000000-0004-0000-0200-0000670A0000}"/>
    <hyperlink ref="E2802" r:id="rId2665" xr:uid="{00000000-0004-0000-0200-0000680A0000}"/>
    <hyperlink ref="F2802" r:id="rId2666" xr:uid="{00000000-0004-0000-0200-0000690A0000}"/>
    <hyperlink ref="E2803" r:id="rId2667" xr:uid="{00000000-0004-0000-0200-00006A0A0000}"/>
    <hyperlink ref="F2803" r:id="rId2668" xr:uid="{00000000-0004-0000-0200-00006B0A0000}"/>
    <hyperlink ref="E2807" r:id="rId2669" xr:uid="{00000000-0004-0000-0200-00006C0A0000}"/>
    <hyperlink ref="F2807" r:id="rId2670" xr:uid="{00000000-0004-0000-0200-00006D0A0000}"/>
    <hyperlink ref="E2808" r:id="rId2671" xr:uid="{00000000-0004-0000-0200-00006E0A0000}"/>
    <hyperlink ref="F2808" r:id="rId2672" xr:uid="{00000000-0004-0000-0200-00006F0A0000}"/>
    <hyperlink ref="E2810" r:id="rId2673" xr:uid="{00000000-0004-0000-0200-0000700A0000}"/>
    <hyperlink ref="F2810" r:id="rId2674" xr:uid="{00000000-0004-0000-0200-0000710A0000}"/>
    <hyperlink ref="E2811" r:id="rId2675" xr:uid="{00000000-0004-0000-0200-0000720A0000}"/>
    <hyperlink ref="F2811" r:id="rId2676" xr:uid="{00000000-0004-0000-0200-0000730A0000}"/>
    <hyperlink ref="E2813" r:id="rId2677" xr:uid="{00000000-0004-0000-0200-0000740A0000}"/>
    <hyperlink ref="F2813" r:id="rId2678" xr:uid="{00000000-0004-0000-0200-0000750A0000}"/>
    <hyperlink ref="E2814" r:id="rId2679" xr:uid="{00000000-0004-0000-0200-0000760A0000}"/>
    <hyperlink ref="F2814" r:id="rId2680" xr:uid="{00000000-0004-0000-0200-0000770A0000}"/>
    <hyperlink ref="E2815" r:id="rId2681" xr:uid="{00000000-0004-0000-0200-0000780A0000}"/>
    <hyperlink ref="F2815" r:id="rId2682" xr:uid="{00000000-0004-0000-0200-0000790A0000}"/>
    <hyperlink ref="E2816" r:id="rId2683" xr:uid="{00000000-0004-0000-0200-00007A0A0000}"/>
    <hyperlink ref="F2816" r:id="rId2684" xr:uid="{00000000-0004-0000-0200-00007B0A0000}"/>
    <hyperlink ref="E2817" r:id="rId2685" xr:uid="{00000000-0004-0000-0200-00007C0A0000}"/>
    <hyperlink ref="F2817" r:id="rId2686" xr:uid="{00000000-0004-0000-0200-00007D0A0000}"/>
    <hyperlink ref="E2818" r:id="rId2687" xr:uid="{00000000-0004-0000-0200-00007E0A0000}"/>
    <hyperlink ref="F2818" r:id="rId2688" xr:uid="{00000000-0004-0000-0200-00007F0A0000}"/>
    <hyperlink ref="E2825" r:id="rId2689" xr:uid="{00000000-0004-0000-0200-0000800A0000}"/>
    <hyperlink ref="F2825" r:id="rId2690" xr:uid="{00000000-0004-0000-0200-0000810A0000}"/>
    <hyperlink ref="E2828" r:id="rId2691" xr:uid="{00000000-0004-0000-0200-0000820A0000}"/>
    <hyperlink ref="E2830" r:id="rId2692" xr:uid="{00000000-0004-0000-0200-0000830A0000}"/>
    <hyperlink ref="F2830" r:id="rId2693" xr:uid="{00000000-0004-0000-0200-0000840A0000}"/>
    <hyperlink ref="E2832" r:id="rId2694" xr:uid="{00000000-0004-0000-0200-0000850A0000}"/>
    <hyperlink ref="F2832" r:id="rId2695" xr:uid="{00000000-0004-0000-0200-0000860A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5"/>
  <sheetViews>
    <sheetView tabSelected="1" workbookViewId="0"/>
  </sheetViews>
  <sheetFormatPr defaultColWidth="14.453125" defaultRowHeight="14.5"/>
  <cols>
    <col min="1" max="1" width="12.36328125" style="28" customWidth="1"/>
    <col min="2" max="2" width="36.90625" style="28" customWidth="1"/>
    <col min="3" max="3" width="19" style="28" customWidth="1"/>
    <col min="4" max="4" width="47.6328125" style="28" customWidth="1"/>
    <col min="5" max="26" width="9.08984375" style="28" customWidth="1"/>
    <col min="27" max="16384" width="14.453125" style="28"/>
  </cols>
  <sheetData>
    <row r="1" spans="1:4" s="25" customFormat="1" ht="29">
      <c r="A1" s="22" t="s">
        <v>10434</v>
      </c>
      <c r="B1" s="22" t="s">
        <v>37</v>
      </c>
      <c r="C1" s="23" t="s">
        <v>10435</v>
      </c>
      <c r="D1" s="24" t="s">
        <v>10436</v>
      </c>
    </row>
    <row r="2" spans="1:4">
      <c r="A2" s="11" t="s">
        <v>10437</v>
      </c>
      <c r="B2" s="26" t="s">
        <v>10438</v>
      </c>
      <c r="C2" s="9" t="str">
        <f>CONCATENATE(A2,":","1000")</f>
        <v>C00001:1000</v>
      </c>
      <c r="D2" s="27" t="str">
        <f>CONCATENATE(A2," : ",B2)</f>
        <v>C00001 : Water</v>
      </c>
    </row>
    <row r="3" spans="1:4">
      <c r="A3" s="11" t="s">
        <v>10439</v>
      </c>
      <c r="B3" s="26" t="s">
        <v>10440</v>
      </c>
      <c r="C3" s="9" t="str">
        <f t="shared" ref="C3:C8" si="0">CONCATENATE(A3,":","1000")</f>
        <v>C00002:1000</v>
      </c>
      <c r="D3" s="27" t="str">
        <f t="shared" ref="D3:D66" si="1">CONCATENATE(A3," : ",B3)</f>
        <v>C00002 : ATP</v>
      </c>
    </row>
    <row r="4" spans="1:4">
      <c r="A4" s="11" t="s">
        <v>10441</v>
      </c>
      <c r="B4" s="26" t="s">
        <v>10442</v>
      </c>
      <c r="C4" s="9" t="str">
        <f t="shared" si="0"/>
        <v>C00003:1000</v>
      </c>
      <c r="D4" s="27" t="str">
        <f t="shared" si="1"/>
        <v>C00003 : NAD+</v>
      </c>
    </row>
    <row r="5" spans="1:4">
      <c r="A5" s="11" t="s">
        <v>10443</v>
      </c>
      <c r="B5" s="26" t="s">
        <v>10444</v>
      </c>
      <c r="C5" s="9" t="str">
        <f t="shared" si="0"/>
        <v>C00004:1000</v>
      </c>
      <c r="D5" s="27" t="str">
        <f t="shared" si="1"/>
        <v>C00004 : NADH</v>
      </c>
    </row>
    <row r="6" spans="1:4">
      <c r="A6" s="11" t="s">
        <v>10445</v>
      </c>
      <c r="B6" s="26" t="s">
        <v>10446</v>
      </c>
      <c r="C6" s="9" t="str">
        <f t="shared" si="0"/>
        <v>C00005:1000</v>
      </c>
      <c r="D6" s="27" t="str">
        <f t="shared" si="1"/>
        <v>C00005 : NADPH</v>
      </c>
    </row>
    <row r="7" spans="1:4">
      <c r="A7" s="11" t="s">
        <v>10447</v>
      </c>
      <c r="B7" s="26" t="s">
        <v>10448</v>
      </c>
      <c r="C7" s="9" t="str">
        <f t="shared" si="0"/>
        <v>C00006:1000</v>
      </c>
      <c r="D7" s="27" t="str">
        <f t="shared" si="1"/>
        <v>C00006 : NADP+</v>
      </c>
    </row>
    <row r="8" spans="1:4">
      <c r="A8" s="11" t="s">
        <v>10449</v>
      </c>
      <c r="B8" s="26" t="s">
        <v>10450</v>
      </c>
      <c r="C8" s="9" t="str">
        <f t="shared" si="0"/>
        <v>C00007:1000</v>
      </c>
      <c r="D8" s="27" t="str">
        <f t="shared" si="1"/>
        <v>C00007 : Oxygen</v>
      </c>
    </row>
    <row r="9" spans="1:4">
      <c r="A9" s="11" t="s">
        <v>7882</v>
      </c>
      <c r="B9" s="26" t="s">
        <v>10451</v>
      </c>
      <c r="C9" s="9" t="str">
        <f>CONCATENATE(A9,":","1")</f>
        <v>C00008:1</v>
      </c>
      <c r="D9" s="27" t="str">
        <f t="shared" si="1"/>
        <v>C00008 : ADP</v>
      </c>
    </row>
    <row r="10" spans="1:4">
      <c r="A10" s="11" t="s">
        <v>9379</v>
      </c>
      <c r="B10" s="26" t="s">
        <v>10452</v>
      </c>
      <c r="C10" s="9" t="str">
        <f>CONCATENATE(A10,":","1")</f>
        <v>C00009:1</v>
      </c>
      <c r="D10" s="27" t="str">
        <f t="shared" si="1"/>
        <v>C00009 : Phosphoric Acid</v>
      </c>
    </row>
    <row r="11" spans="1:4">
      <c r="A11" s="11" t="s">
        <v>10453</v>
      </c>
      <c r="B11" s="26" t="s">
        <v>10454</v>
      </c>
      <c r="C11" s="9" t="str">
        <f>CONCATENATE(A11,":","1")</f>
        <v>C00010:1</v>
      </c>
      <c r="D11" s="27" t="str">
        <f t="shared" si="1"/>
        <v>C00010 : CoA</v>
      </c>
    </row>
    <row r="12" spans="1:4">
      <c r="A12" s="11" t="s">
        <v>10455</v>
      </c>
      <c r="B12" s="26" t="s">
        <v>10456</v>
      </c>
      <c r="C12" s="9" t="str">
        <f>CONCATENATE(A12,":","1000")</f>
        <v>C00011:1000</v>
      </c>
      <c r="D12" s="27" t="str">
        <f t="shared" si="1"/>
        <v>C00011 : Carbon Dioxide</v>
      </c>
    </row>
    <row r="13" spans="1:4">
      <c r="A13" s="11" t="s">
        <v>10457</v>
      </c>
      <c r="B13" s="26" t="s">
        <v>10458</v>
      </c>
      <c r="C13" s="9" t="str">
        <f t="shared" ref="C13:C20" si="2">CONCATENATE(A13,":","1")</f>
        <v>C00013:1</v>
      </c>
      <c r="D13" s="27" t="str">
        <f t="shared" si="1"/>
        <v>C00013 : Diphosphoric Acid</v>
      </c>
    </row>
    <row r="14" spans="1:4">
      <c r="A14" s="11" t="s">
        <v>10459</v>
      </c>
      <c r="B14" s="26" t="s">
        <v>10460</v>
      </c>
      <c r="C14" s="9" t="str">
        <f>CONCATENATE(A14,":","1000")</f>
        <v>C00014:1000</v>
      </c>
      <c r="D14" s="27" t="str">
        <f t="shared" si="1"/>
        <v>C00014 : Ammonia</v>
      </c>
    </row>
    <row r="15" spans="1:4">
      <c r="A15" s="11" t="s">
        <v>10461</v>
      </c>
      <c r="B15" s="26" t="s">
        <v>10462</v>
      </c>
      <c r="C15" s="9" t="str">
        <f t="shared" si="2"/>
        <v>C00015:1</v>
      </c>
      <c r="D15" s="27" t="str">
        <f t="shared" si="1"/>
        <v>C00015 : UDP</v>
      </c>
    </row>
    <row r="16" spans="1:4">
      <c r="A16" s="11" t="s">
        <v>10463</v>
      </c>
      <c r="B16" s="26" t="s">
        <v>10464</v>
      </c>
      <c r="C16" s="9" t="str">
        <f t="shared" si="2"/>
        <v>C00017:1</v>
      </c>
      <c r="D16" s="27" t="str">
        <f t="shared" si="1"/>
        <v>C00017 : Protein</v>
      </c>
    </row>
    <row r="17" spans="1:4">
      <c r="A17" s="11" t="s">
        <v>10465</v>
      </c>
      <c r="B17" s="26" t="s">
        <v>10466</v>
      </c>
      <c r="C17" s="29" t="str">
        <f t="shared" si="2"/>
        <v>C00018:1</v>
      </c>
      <c r="D17" s="27" t="str">
        <f t="shared" si="1"/>
        <v>C00018 : Pyridoxal Phosphate(PLP)</v>
      </c>
    </row>
    <row r="18" spans="1:4">
      <c r="A18" s="11" t="s">
        <v>10467</v>
      </c>
      <c r="B18" s="26" t="s">
        <v>10468</v>
      </c>
      <c r="C18" s="9" t="str">
        <f t="shared" si="2"/>
        <v>C00019:1</v>
      </c>
      <c r="D18" s="27" t="str">
        <f t="shared" si="1"/>
        <v>C00019 : SAM</v>
      </c>
    </row>
    <row r="19" spans="1:4">
      <c r="A19" s="11" t="s">
        <v>10469</v>
      </c>
      <c r="B19" s="26" t="s">
        <v>10470</v>
      </c>
      <c r="C19" s="9" t="str">
        <f t="shared" si="2"/>
        <v>C00020:1</v>
      </c>
      <c r="D19" s="27" t="str">
        <f t="shared" si="1"/>
        <v>C00020 : AMP</v>
      </c>
    </row>
    <row r="20" spans="1:4">
      <c r="A20" s="11" t="s">
        <v>10471</v>
      </c>
      <c r="B20" s="26" t="s">
        <v>10472</v>
      </c>
      <c r="C20" s="9" t="str">
        <f t="shared" si="2"/>
        <v>C00021:1</v>
      </c>
      <c r="D20" s="27" t="str">
        <f t="shared" si="1"/>
        <v>C00021 : S-Adenosyl-L-Homocysteine(SAH)</v>
      </c>
    </row>
    <row r="21" spans="1:4">
      <c r="A21" s="11" t="s">
        <v>7252</v>
      </c>
      <c r="B21" s="26" t="s">
        <v>10473</v>
      </c>
      <c r="C21" s="9" t="str">
        <f t="shared" ref="C21:C28" si="3">CONCATENATE(A21,":","1")</f>
        <v>C00022:1</v>
      </c>
      <c r="D21" s="27" t="str">
        <f t="shared" si="1"/>
        <v>C00022 : Pyruvate</v>
      </c>
    </row>
    <row r="22" spans="1:4">
      <c r="A22" s="11" t="s">
        <v>10474</v>
      </c>
      <c r="B22" s="26" t="s">
        <v>10475</v>
      </c>
      <c r="C22" s="9" t="str">
        <f t="shared" si="3"/>
        <v>C00024:1</v>
      </c>
      <c r="D22" s="27" t="str">
        <f t="shared" si="1"/>
        <v>C00024 : Acetyl-CoA</v>
      </c>
    </row>
    <row r="23" spans="1:4">
      <c r="A23" s="11" t="s">
        <v>8818</v>
      </c>
      <c r="B23" s="26" t="s">
        <v>10476</v>
      </c>
      <c r="C23" s="9" t="str">
        <f>CONCATENATE(A23,":","1000")</f>
        <v>C00025:1000</v>
      </c>
      <c r="D23" s="27" t="str">
        <f t="shared" si="1"/>
        <v>C00025 : L-Glutamate</v>
      </c>
    </row>
    <row r="24" spans="1:4">
      <c r="A24" s="11" t="s">
        <v>10477</v>
      </c>
      <c r="B24" s="26" t="s">
        <v>10478</v>
      </c>
      <c r="C24" s="9" t="str">
        <f t="shared" si="3"/>
        <v>C00026:1</v>
      </c>
      <c r="D24" s="27" t="str">
        <f t="shared" si="1"/>
        <v>C00026 : 2-Oxoglutarate</v>
      </c>
    </row>
    <row r="25" spans="1:4">
      <c r="A25" s="11" t="s">
        <v>10479</v>
      </c>
      <c r="B25" s="26" t="s">
        <v>10480</v>
      </c>
      <c r="C25" s="9" t="str">
        <f t="shared" si="3"/>
        <v>C00027:1</v>
      </c>
      <c r="D25" s="27" t="str">
        <f t="shared" si="1"/>
        <v>C00027 : Hydrogen Peroxide</v>
      </c>
    </row>
    <row r="26" spans="1:4">
      <c r="A26" s="11" t="s">
        <v>10481</v>
      </c>
      <c r="B26" s="26" t="s">
        <v>10482</v>
      </c>
      <c r="C26" s="29" t="str">
        <f t="shared" si="3"/>
        <v>C00028:1</v>
      </c>
      <c r="D26" s="27" t="str">
        <f t="shared" si="1"/>
        <v>C00028 : Acceptor</v>
      </c>
    </row>
    <row r="27" spans="1:4">
      <c r="A27" s="11" t="s">
        <v>8000</v>
      </c>
      <c r="B27" s="26" t="s">
        <v>10483</v>
      </c>
      <c r="C27" s="9" t="str">
        <f t="shared" si="3"/>
        <v>C00029:1</v>
      </c>
      <c r="D27" s="27" t="str">
        <f t="shared" si="1"/>
        <v>C00029 : UDP-glucose</v>
      </c>
    </row>
    <row r="28" spans="1:4">
      <c r="A28" s="11" t="s">
        <v>10484</v>
      </c>
      <c r="B28" s="26" t="s">
        <v>10485</v>
      </c>
      <c r="C28" s="29" t="str">
        <f t="shared" si="3"/>
        <v>C00030:1</v>
      </c>
      <c r="D28" s="27" t="str">
        <f t="shared" si="1"/>
        <v>C00030 : Reduced Acceptor</v>
      </c>
    </row>
    <row r="29" spans="1:4">
      <c r="A29" s="11" t="s">
        <v>7771</v>
      </c>
      <c r="B29" s="26" t="s">
        <v>10486</v>
      </c>
      <c r="C29" s="9" t="str">
        <f>CONCATENATE(A29,":","1000")</f>
        <v>C00031:1000</v>
      </c>
      <c r="D29" s="27" t="str">
        <f t="shared" si="1"/>
        <v>C00031 : D-Glucose</v>
      </c>
    </row>
    <row r="30" spans="1:4">
      <c r="A30" s="11" t="s">
        <v>10487</v>
      </c>
      <c r="B30" s="26" t="s">
        <v>10488</v>
      </c>
      <c r="C30" s="9" t="str">
        <f>CONCATENATE(A30,":","1")</f>
        <v>C00033:1</v>
      </c>
      <c r="D30" s="27" t="str">
        <f t="shared" si="1"/>
        <v>C00033 : Acetate</v>
      </c>
    </row>
    <row r="31" spans="1:4">
      <c r="A31" s="11" t="s">
        <v>10489</v>
      </c>
      <c r="B31" s="26" t="s">
        <v>10490</v>
      </c>
      <c r="C31" s="9" t="str">
        <f t="shared" ref="C31:C36" si="4">CONCATENATE(A31,":","1")</f>
        <v>C00035:1</v>
      </c>
      <c r="D31" s="27" t="str">
        <f t="shared" si="1"/>
        <v>C00035 : GDP</v>
      </c>
    </row>
    <row r="32" spans="1:4">
      <c r="A32" s="11" t="s">
        <v>10491</v>
      </c>
      <c r="B32" s="26" t="s">
        <v>10492</v>
      </c>
      <c r="C32" s="9" t="str">
        <f t="shared" si="4"/>
        <v>C00036:1</v>
      </c>
      <c r="D32" s="27" t="str">
        <f t="shared" si="1"/>
        <v>C00036 : Oxaloacetate</v>
      </c>
    </row>
    <row r="33" spans="1:4">
      <c r="A33" s="11" t="s">
        <v>10493</v>
      </c>
      <c r="B33" s="26" t="s">
        <v>10494</v>
      </c>
      <c r="C33" s="9" t="str">
        <f>CONCATENATE(A33,":","1000")</f>
        <v>C00037:1000</v>
      </c>
      <c r="D33" s="27" t="str">
        <f t="shared" si="1"/>
        <v>C00037 : Glycine</v>
      </c>
    </row>
    <row r="34" spans="1:4">
      <c r="A34" s="11" t="s">
        <v>10495</v>
      </c>
      <c r="B34" s="26" t="s">
        <v>10496</v>
      </c>
      <c r="C34" s="9" t="str">
        <f t="shared" si="4"/>
        <v>C00039:1</v>
      </c>
      <c r="D34" s="27" t="str">
        <f t="shared" si="1"/>
        <v>C00039 : DNA</v>
      </c>
    </row>
    <row r="35" spans="1:4">
      <c r="A35" s="11" t="s">
        <v>9087</v>
      </c>
      <c r="B35" s="26" t="s">
        <v>10497</v>
      </c>
      <c r="C35" s="9" t="str">
        <f>CONCATENATE(A35,":","1000")</f>
        <v>C00041:1000</v>
      </c>
      <c r="D35" s="27" t="str">
        <f t="shared" si="1"/>
        <v>C00041 : L-Alanine</v>
      </c>
    </row>
    <row r="36" spans="1:4">
      <c r="A36" s="11" t="s">
        <v>10498</v>
      </c>
      <c r="B36" s="26" t="s">
        <v>10499</v>
      </c>
      <c r="C36" s="9" t="str">
        <f t="shared" si="4"/>
        <v>C00042:1</v>
      </c>
      <c r="D36" s="27" t="str">
        <f t="shared" si="1"/>
        <v>C00042 : Succinate</v>
      </c>
    </row>
    <row r="37" spans="1:4">
      <c r="A37" s="11" t="s">
        <v>8003</v>
      </c>
      <c r="B37" s="26" t="s">
        <v>10500</v>
      </c>
      <c r="C37" s="9" t="str">
        <f t="shared" ref="C37:C41" si="5">CONCATENATE(A37,":","1")</f>
        <v>C00043:1</v>
      </c>
      <c r="D37" s="27" t="str">
        <f t="shared" si="1"/>
        <v>C00043 : UDP-N-Acetyl-Alpha-D-Glucosamine</v>
      </c>
    </row>
    <row r="38" spans="1:4">
      <c r="A38" s="11" t="s">
        <v>10501</v>
      </c>
      <c r="B38" s="26" t="s">
        <v>10502</v>
      </c>
      <c r="C38" s="9" t="str">
        <f t="shared" si="5"/>
        <v>C00044:1</v>
      </c>
      <c r="D38" s="27" t="str">
        <f t="shared" si="1"/>
        <v>C00044 : GTP</v>
      </c>
    </row>
    <row r="39" spans="1:4">
      <c r="A39" s="11" t="s">
        <v>10503</v>
      </c>
      <c r="B39" s="26" t="s">
        <v>10504</v>
      </c>
      <c r="C39" s="9" t="str">
        <f t="shared" si="5"/>
        <v>C00046:1</v>
      </c>
      <c r="D39" s="27" t="str">
        <f t="shared" si="1"/>
        <v>C00046 : RNA</v>
      </c>
    </row>
    <row r="40" spans="1:4">
      <c r="A40" s="11" t="s">
        <v>10505</v>
      </c>
      <c r="B40" s="26" t="s">
        <v>10506</v>
      </c>
      <c r="C40" s="9" t="str">
        <f>CONCATENATE(A40,":","1000")</f>
        <v>C00047:1000</v>
      </c>
      <c r="D40" s="27" t="str">
        <f t="shared" si="1"/>
        <v>C00047 : L-Lysine</v>
      </c>
    </row>
    <row r="41" spans="1:4">
      <c r="A41" s="11" t="s">
        <v>10507</v>
      </c>
      <c r="B41" s="26" t="s">
        <v>10508</v>
      </c>
      <c r="C41" s="29" t="str">
        <f t="shared" si="5"/>
        <v>C00048:1</v>
      </c>
      <c r="D41" s="27" t="str">
        <f t="shared" si="1"/>
        <v>C00048 : Glyoxylate</v>
      </c>
    </row>
    <row r="42" spans="1:4">
      <c r="A42" s="11" t="s">
        <v>10509</v>
      </c>
      <c r="B42" s="26" t="s">
        <v>10510</v>
      </c>
      <c r="C42" s="9" t="str">
        <f>CONCATENATE(A42,":","1000")</f>
        <v>C00049:1000</v>
      </c>
      <c r="D42" s="27" t="str">
        <f t="shared" si="1"/>
        <v>C00049 : L-Aspartate</v>
      </c>
    </row>
    <row r="43" spans="1:4">
      <c r="A43" s="11" t="s">
        <v>10511</v>
      </c>
      <c r="B43" s="26" t="s">
        <v>10512</v>
      </c>
      <c r="C43" s="9" t="str">
        <f t="shared" ref="C43:C48" si="6">CONCATENATE(A43,":","1")</f>
        <v>C00051:1</v>
      </c>
      <c r="D43" s="27" t="str">
        <f t="shared" si="1"/>
        <v>C00051 : Glutathione</v>
      </c>
    </row>
    <row r="44" spans="1:4">
      <c r="A44" s="11" t="s">
        <v>8001</v>
      </c>
      <c r="B44" s="26" t="s">
        <v>10513</v>
      </c>
      <c r="C44" s="9" t="str">
        <f t="shared" si="6"/>
        <v>C00052:1</v>
      </c>
      <c r="D44" s="27" t="str">
        <f t="shared" si="1"/>
        <v>C00052 : UDP-D-Galactose</v>
      </c>
    </row>
    <row r="45" spans="1:4">
      <c r="A45" s="11" t="s">
        <v>10514</v>
      </c>
      <c r="B45" s="26" t="s">
        <v>10515</v>
      </c>
      <c r="C45" s="9" t="str">
        <f t="shared" si="6"/>
        <v>C00054:1</v>
      </c>
      <c r="D45" s="27" t="str">
        <f t="shared" si="1"/>
        <v>C00054 : Adenosine 3',5'-bisphosphate</v>
      </c>
    </row>
    <row r="46" spans="1:4">
      <c r="A46" s="11" t="s">
        <v>10516</v>
      </c>
      <c r="B46" s="26" t="s">
        <v>10517</v>
      </c>
      <c r="C46" s="9" t="str">
        <f t="shared" si="6"/>
        <v>C00055:1</v>
      </c>
      <c r="D46" s="27" t="str">
        <f t="shared" si="1"/>
        <v>C00055 : Cytidine-5'-monophosphate/CMP</v>
      </c>
    </row>
    <row r="47" spans="1:4">
      <c r="A47" s="11" t="s">
        <v>10518</v>
      </c>
      <c r="B47" s="26" t="s">
        <v>10519</v>
      </c>
      <c r="C47" s="9" t="str">
        <f t="shared" si="6"/>
        <v>C00058:1</v>
      </c>
      <c r="D47" s="27" t="str">
        <f t="shared" si="1"/>
        <v>C00058 : Formate</v>
      </c>
    </row>
    <row r="48" spans="1:4">
      <c r="A48" s="11" t="s">
        <v>10520</v>
      </c>
      <c r="B48" s="26" t="s">
        <v>10521</v>
      </c>
      <c r="C48" s="9" t="str">
        <f t="shared" si="6"/>
        <v>C00059:1</v>
      </c>
      <c r="D48" s="27" t="str">
        <f t="shared" si="1"/>
        <v>C00059 : Sulfate</v>
      </c>
    </row>
    <row r="49" spans="1:9">
      <c r="A49" s="11" t="s">
        <v>10522</v>
      </c>
      <c r="B49" s="26" t="s">
        <v>10523</v>
      </c>
      <c r="C49" s="9" t="str">
        <f t="shared" ref="C49:C80" si="7">CONCATENATE(A49,":","1")</f>
        <v>C00060:1</v>
      </c>
      <c r="D49" s="27" t="str">
        <f t="shared" si="1"/>
        <v>C00060 : Carboxylate</v>
      </c>
    </row>
    <row r="50" spans="1:9">
      <c r="A50" s="11" t="s">
        <v>10524</v>
      </c>
      <c r="B50" s="26" t="s">
        <v>10525</v>
      </c>
      <c r="C50" s="9" t="str">
        <f t="shared" si="7"/>
        <v>C00061:1</v>
      </c>
      <c r="D50" s="27" t="str">
        <f t="shared" si="1"/>
        <v>C00061 : Flavin Mononucleotide/FMN</v>
      </c>
    </row>
    <row r="51" spans="1:9">
      <c r="A51" s="11" t="s">
        <v>10199</v>
      </c>
      <c r="B51" s="26" t="s">
        <v>10526</v>
      </c>
      <c r="C51" s="9" t="str">
        <f t="shared" si="7"/>
        <v>C00062:1</v>
      </c>
      <c r="D51" s="27" t="str">
        <f t="shared" si="1"/>
        <v>C00062 : L-Arginine</v>
      </c>
    </row>
    <row r="52" spans="1:9">
      <c r="A52" s="11" t="s">
        <v>10527</v>
      </c>
      <c r="B52" s="26" t="s">
        <v>10528</v>
      </c>
      <c r="C52" s="9" t="str">
        <f t="shared" si="7"/>
        <v>C00063:1</v>
      </c>
      <c r="D52" s="27" t="str">
        <f t="shared" si="1"/>
        <v>C00063 : CTP</v>
      </c>
    </row>
    <row r="53" spans="1:9">
      <c r="A53" s="11" t="s">
        <v>10529</v>
      </c>
      <c r="B53" s="26" t="s">
        <v>10530</v>
      </c>
      <c r="C53" s="9" t="str">
        <f>CONCATENATE(A53,":","1000")</f>
        <v>C00064:1000</v>
      </c>
      <c r="D53" s="27" t="str">
        <f t="shared" si="1"/>
        <v>C00064 : L-Glutamine</v>
      </c>
    </row>
    <row r="54" spans="1:9">
      <c r="A54" s="11" t="s">
        <v>7224</v>
      </c>
      <c r="B54" s="26" t="s">
        <v>10531</v>
      </c>
      <c r="C54" s="9" t="str">
        <f>CONCATENATE(A54,":","1000")</f>
        <v>C00065:1000</v>
      </c>
      <c r="D54" s="27" t="str">
        <f t="shared" si="1"/>
        <v>C00065 : L-Serine</v>
      </c>
    </row>
    <row r="55" spans="1:9">
      <c r="A55" s="11" t="s">
        <v>10532</v>
      </c>
      <c r="B55" s="26" t="s">
        <v>1724</v>
      </c>
      <c r="C55" s="9" t="str">
        <f t="shared" si="7"/>
        <v>C00066:1</v>
      </c>
      <c r="D55" s="27" t="str">
        <f t="shared" si="1"/>
        <v>C00066 : tRNA</v>
      </c>
    </row>
    <row r="56" spans="1:9">
      <c r="A56" s="11" t="s">
        <v>10533</v>
      </c>
      <c r="B56" s="26" t="s">
        <v>10534</v>
      </c>
      <c r="C56" s="9" t="str">
        <f t="shared" si="7"/>
        <v>C00068:1</v>
      </c>
      <c r="D56" s="27" t="str">
        <f t="shared" si="1"/>
        <v>C00068 : Thiamin Diphosphate</v>
      </c>
    </row>
    <row r="57" spans="1:9">
      <c r="A57" s="11" t="s">
        <v>10535</v>
      </c>
      <c r="B57" s="26" t="s">
        <v>10536</v>
      </c>
      <c r="C57" s="9" t="str">
        <f t="shared" si="7"/>
        <v>C00069:1</v>
      </c>
      <c r="D57" s="27" t="str">
        <f t="shared" si="1"/>
        <v>C00069 : Alcohol</v>
      </c>
    </row>
    <row r="58" spans="1:9">
      <c r="A58" s="6" t="s">
        <v>10537</v>
      </c>
      <c r="B58" s="26" t="s">
        <v>10538</v>
      </c>
      <c r="C58" s="9" t="str">
        <f t="shared" si="7"/>
        <v>C00071:1</v>
      </c>
      <c r="D58" s="27" t="str">
        <f t="shared" si="1"/>
        <v>C00071 : Aldehyde</v>
      </c>
    </row>
    <row r="59" spans="1:9">
      <c r="A59" s="11" t="s">
        <v>9799</v>
      </c>
      <c r="B59" s="26" t="s">
        <v>10539</v>
      </c>
      <c r="C59" s="9" t="str">
        <f>CONCATENATE(A59,":","1000")</f>
        <v>C00073:1000</v>
      </c>
      <c r="D59" s="27" t="str">
        <f t="shared" si="1"/>
        <v>C00073 : L-Methionine</v>
      </c>
    </row>
    <row r="60" spans="1:9">
      <c r="A60" s="11" t="s">
        <v>10540</v>
      </c>
      <c r="B60" s="26" t="s">
        <v>10541</v>
      </c>
      <c r="C60" s="9" t="str">
        <f t="shared" si="7"/>
        <v>C00074:1</v>
      </c>
      <c r="D60" s="27" t="str">
        <f t="shared" si="1"/>
        <v>C00074 : Phosphoenolpyruvate</v>
      </c>
    </row>
    <row r="61" spans="1:9">
      <c r="A61" s="11" t="s">
        <v>10542</v>
      </c>
      <c r="B61" s="26" t="s">
        <v>10543</v>
      </c>
      <c r="C61" s="9" t="str">
        <f t="shared" si="7"/>
        <v>C00075:1</v>
      </c>
      <c r="D61" s="27" t="str">
        <f t="shared" si="1"/>
        <v>C00075 : UTP</v>
      </c>
    </row>
    <row r="62" spans="1:9">
      <c r="A62" s="11" t="s">
        <v>10544</v>
      </c>
      <c r="B62" s="26" t="s">
        <v>10545</v>
      </c>
      <c r="C62" s="9" t="str">
        <f t="shared" si="7"/>
        <v>C00077:1</v>
      </c>
      <c r="D62" s="27" t="str">
        <f t="shared" si="1"/>
        <v>C00077 : L-Ornithine</v>
      </c>
    </row>
    <row r="63" spans="1:9">
      <c r="A63" s="11" t="s">
        <v>10546</v>
      </c>
      <c r="B63" s="26" t="s">
        <v>10547</v>
      </c>
      <c r="C63" s="9" t="str">
        <f t="shared" si="7"/>
        <v>C00078:1</v>
      </c>
      <c r="D63" s="27" t="str">
        <f t="shared" si="1"/>
        <v>C00078 : L-Tryptophan</v>
      </c>
    </row>
    <row r="64" spans="1:9">
      <c r="A64" s="11" t="s">
        <v>10548</v>
      </c>
      <c r="B64" s="26" t="s">
        <v>10549</v>
      </c>
      <c r="C64" s="9" t="str">
        <f t="shared" si="7"/>
        <v>C00079:1</v>
      </c>
      <c r="D64" s="27" t="str">
        <f t="shared" si="1"/>
        <v>C00079 : L-Phenylalanine</v>
      </c>
      <c r="I64" s="10"/>
    </row>
    <row r="65" spans="1:4">
      <c r="A65" s="11" t="s">
        <v>10550</v>
      </c>
      <c r="B65" s="26" t="s">
        <v>10551</v>
      </c>
      <c r="C65" s="9" t="str">
        <f t="shared" si="7"/>
        <v>C00080:1</v>
      </c>
      <c r="D65" s="27" t="str">
        <f t="shared" si="1"/>
        <v>C00080 : H+</v>
      </c>
    </row>
    <row r="66" spans="1:4">
      <c r="A66" s="11" t="s">
        <v>10552</v>
      </c>
      <c r="B66" s="26" t="s">
        <v>10553</v>
      </c>
      <c r="C66" s="9" t="str">
        <f t="shared" si="7"/>
        <v>C00081:1</v>
      </c>
      <c r="D66" s="27" t="str">
        <f t="shared" si="1"/>
        <v>C00081 : ITP</v>
      </c>
    </row>
    <row r="67" spans="1:4">
      <c r="A67" s="11" t="s">
        <v>10554</v>
      </c>
      <c r="B67" s="26" t="s">
        <v>10555</v>
      </c>
      <c r="C67" s="9" t="str">
        <f t="shared" si="7"/>
        <v>C00082:1</v>
      </c>
      <c r="D67" s="27" t="str">
        <f t="shared" ref="D67:D130" si="8">CONCATENATE(A67," : ",B67)</f>
        <v>C00082 : L-Tyrosine</v>
      </c>
    </row>
    <row r="68" spans="1:4">
      <c r="A68" s="11" t="s">
        <v>10556</v>
      </c>
      <c r="B68" s="26" t="s">
        <v>10557</v>
      </c>
      <c r="C68" s="9" t="str">
        <f t="shared" si="7"/>
        <v>C00083:1</v>
      </c>
      <c r="D68" s="27" t="str">
        <f t="shared" si="8"/>
        <v>C00083 : Malonyl-CoA</v>
      </c>
    </row>
    <row r="69" spans="1:4">
      <c r="A69" s="11" t="s">
        <v>10558</v>
      </c>
      <c r="B69" s="26" t="s">
        <v>10559</v>
      </c>
      <c r="C69" s="9" t="str">
        <f t="shared" si="7"/>
        <v>C00084:1</v>
      </c>
      <c r="D69" s="27" t="str">
        <f t="shared" si="8"/>
        <v>C00084 : Acetaldehyde</v>
      </c>
    </row>
    <row r="70" spans="1:4">
      <c r="A70" s="11" t="s">
        <v>8551</v>
      </c>
      <c r="B70" s="26" t="s">
        <v>10560</v>
      </c>
      <c r="C70" s="9" t="str">
        <f t="shared" si="7"/>
        <v>C00085:1</v>
      </c>
      <c r="D70" s="27" t="str">
        <f t="shared" si="8"/>
        <v>C00085 : D-Fructose</v>
      </c>
    </row>
    <row r="71" spans="1:4">
      <c r="A71" s="11" t="s">
        <v>10561</v>
      </c>
      <c r="B71" s="26" t="s">
        <v>10562</v>
      </c>
      <c r="C71" s="9" t="str">
        <f t="shared" si="7"/>
        <v>C00088:1</v>
      </c>
      <c r="D71" s="27" t="str">
        <f t="shared" si="8"/>
        <v>C00088 : Nitrite</v>
      </c>
    </row>
    <row r="72" spans="1:4">
      <c r="A72" s="11" t="s">
        <v>10563</v>
      </c>
      <c r="B72" s="26" t="s">
        <v>10564</v>
      </c>
      <c r="C72" s="9" t="str">
        <f t="shared" si="7"/>
        <v>C00089:1</v>
      </c>
      <c r="D72" s="27" t="str">
        <f t="shared" si="8"/>
        <v>C00089 : Sucrose</v>
      </c>
    </row>
    <row r="73" spans="1:4">
      <c r="A73" s="11" t="s">
        <v>10565</v>
      </c>
      <c r="B73" s="26" t="s">
        <v>10566</v>
      </c>
      <c r="C73" s="9" t="str">
        <f t="shared" si="7"/>
        <v>C00090:1</v>
      </c>
      <c r="D73" s="27" t="str">
        <f t="shared" si="8"/>
        <v>C00090 : Catechol</v>
      </c>
    </row>
    <row r="74" spans="1:4">
      <c r="A74" s="11" t="s">
        <v>10567</v>
      </c>
      <c r="B74" s="26" t="s">
        <v>10568</v>
      </c>
      <c r="C74" s="9" t="str">
        <f t="shared" si="7"/>
        <v>C00091:1</v>
      </c>
      <c r="D74" s="27" t="str">
        <f t="shared" si="8"/>
        <v>C00091 : Succinyl-CoA</v>
      </c>
    </row>
    <row r="75" spans="1:4">
      <c r="A75" s="11" t="s">
        <v>8550</v>
      </c>
      <c r="B75" s="26" t="s">
        <v>10486</v>
      </c>
      <c r="C75" s="9" t="str">
        <f t="shared" si="7"/>
        <v>C00092:1</v>
      </c>
      <c r="D75" s="27" t="str">
        <f t="shared" si="8"/>
        <v>C00092 : D-Glucose</v>
      </c>
    </row>
    <row r="76" spans="1:4">
      <c r="A76" s="11" t="s">
        <v>10569</v>
      </c>
      <c r="B76" s="26" t="s">
        <v>10570</v>
      </c>
      <c r="C76" s="9" t="str">
        <f t="shared" si="7"/>
        <v>C00093:1</v>
      </c>
      <c r="D76" s="27" t="str">
        <f t="shared" si="8"/>
        <v>C00093 : sn-Glycerol 3-Phosphate</v>
      </c>
    </row>
    <row r="77" spans="1:4">
      <c r="A77" s="11" t="s">
        <v>10571</v>
      </c>
      <c r="B77" s="26" t="s">
        <v>10572</v>
      </c>
      <c r="C77" s="9" t="str">
        <f t="shared" si="7"/>
        <v>C00094:1</v>
      </c>
      <c r="D77" s="27" t="str">
        <f t="shared" si="8"/>
        <v>C00094 : Sulfite</v>
      </c>
    </row>
    <row r="78" spans="1:4">
      <c r="A78" s="11" t="s">
        <v>10573</v>
      </c>
      <c r="B78" s="26" t="s">
        <v>10560</v>
      </c>
      <c r="C78" s="9" t="str">
        <f t="shared" si="7"/>
        <v>C00095:1</v>
      </c>
      <c r="D78" s="27" t="str">
        <f t="shared" si="8"/>
        <v>C00095 : D-Fructose</v>
      </c>
    </row>
    <row r="79" spans="1:4">
      <c r="A79" s="11" t="s">
        <v>10574</v>
      </c>
      <c r="B79" s="26" t="s">
        <v>10575</v>
      </c>
      <c r="C79" s="9" t="str">
        <f>CONCATENATE(A79,":","1000")</f>
        <v>C00097:1000</v>
      </c>
      <c r="D79" s="27" t="str">
        <f t="shared" si="8"/>
        <v>C00097 : L-Cysteine</v>
      </c>
    </row>
    <row r="80" spans="1:4">
      <c r="A80" s="11" t="s">
        <v>10576</v>
      </c>
      <c r="B80" s="26" t="s">
        <v>10577</v>
      </c>
      <c r="C80" s="9" t="str">
        <f t="shared" si="7"/>
        <v>C00100:1</v>
      </c>
      <c r="D80" s="27" t="str">
        <f t="shared" si="8"/>
        <v>C00100 : Propanoyl-CoA</v>
      </c>
    </row>
    <row r="81" spans="1:9">
      <c r="A81" s="11" t="s">
        <v>10578</v>
      </c>
      <c r="B81" s="26" t="s">
        <v>10579</v>
      </c>
      <c r="C81" s="9" t="str">
        <f t="shared" ref="C81:C102" si="9">CONCATENATE(A81,":","1")</f>
        <v>C00101:1</v>
      </c>
      <c r="D81" s="27" t="str">
        <f t="shared" si="8"/>
        <v>C00101 : Tetrahydrofolate</v>
      </c>
    </row>
    <row r="82" spans="1:9">
      <c r="A82" s="11" t="s">
        <v>9433</v>
      </c>
      <c r="B82" s="26" t="s">
        <v>10580</v>
      </c>
      <c r="C82" s="9" t="str">
        <f t="shared" si="9"/>
        <v>C00103:1</v>
      </c>
      <c r="D82" s="27" t="str">
        <f t="shared" si="8"/>
        <v>C00103 : Glucose 1-Phosphate</v>
      </c>
    </row>
    <row r="83" spans="1:9">
      <c r="A83" s="11" t="s">
        <v>10581</v>
      </c>
      <c r="B83" s="26" t="s">
        <v>10582</v>
      </c>
      <c r="C83" s="9" t="str">
        <f t="shared" si="9"/>
        <v>C00104:1</v>
      </c>
      <c r="D83" s="27" t="str">
        <f t="shared" si="8"/>
        <v>C00104 : IDP</v>
      </c>
    </row>
    <row r="84" spans="1:9">
      <c r="A84" s="11" t="s">
        <v>10583</v>
      </c>
      <c r="B84" s="26" t="s">
        <v>10584</v>
      </c>
      <c r="C84" s="9" t="str">
        <f t="shared" si="9"/>
        <v>C00105:1</v>
      </c>
      <c r="D84" s="27" t="str">
        <f t="shared" si="8"/>
        <v>C00105 : UMP</v>
      </c>
    </row>
    <row r="85" spans="1:9">
      <c r="A85" s="11" t="s">
        <v>10585</v>
      </c>
      <c r="B85" s="26" t="s">
        <v>10586</v>
      </c>
      <c r="C85" s="9" t="str">
        <f t="shared" si="9"/>
        <v>C00106:1</v>
      </c>
      <c r="D85" s="27" t="str">
        <f t="shared" si="8"/>
        <v>C00106 : Uracil</v>
      </c>
    </row>
    <row r="86" spans="1:9">
      <c r="A86" s="11" t="s">
        <v>10587</v>
      </c>
      <c r="B86" s="26" t="s">
        <v>10588</v>
      </c>
      <c r="C86" s="9" t="str">
        <f t="shared" si="9"/>
        <v>C00108:1</v>
      </c>
      <c r="D86" s="27" t="str">
        <f t="shared" si="8"/>
        <v>C00108 : Anthranilate</v>
      </c>
    </row>
    <row r="87" spans="1:9">
      <c r="A87" s="11" t="s">
        <v>10589</v>
      </c>
      <c r="B87" s="26" t="s">
        <v>10590</v>
      </c>
      <c r="C87" s="9" t="str">
        <f t="shared" si="9"/>
        <v>C00109:1</v>
      </c>
      <c r="D87" s="27" t="str">
        <f t="shared" si="8"/>
        <v>C00109 : 2-Oxobutanoate</v>
      </c>
    </row>
    <row r="88" spans="1:9">
      <c r="A88" s="11" t="s">
        <v>9292</v>
      </c>
      <c r="B88" s="63" t="s">
        <v>10591</v>
      </c>
      <c r="C88" s="9" t="str">
        <f t="shared" si="9"/>
        <v>C00111:1</v>
      </c>
      <c r="D88" s="27" t="str">
        <f t="shared" si="8"/>
        <v>C00111 : Glycerone Phosphate</v>
      </c>
    </row>
    <row r="89" spans="1:9">
      <c r="A89" s="11" t="s">
        <v>10592</v>
      </c>
      <c r="B89" s="26" t="s">
        <v>10593</v>
      </c>
      <c r="C89" s="9" t="str">
        <f t="shared" si="9"/>
        <v>C00112:1</v>
      </c>
      <c r="D89" s="27" t="str">
        <f t="shared" si="8"/>
        <v>C00112 : CDP</v>
      </c>
    </row>
    <row r="90" spans="1:9">
      <c r="A90" s="6" t="s">
        <v>10594</v>
      </c>
      <c r="B90" s="26" t="s">
        <v>10595</v>
      </c>
      <c r="C90" s="9" t="str">
        <f t="shared" si="9"/>
        <v>C00114:1</v>
      </c>
      <c r="D90" s="27" t="str">
        <f t="shared" si="8"/>
        <v>C00114 : Choline</v>
      </c>
    </row>
    <row r="91" spans="1:9">
      <c r="A91" s="11" t="s">
        <v>10596</v>
      </c>
      <c r="B91" s="26" t="s">
        <v>10597</v>
      </c>
      <c r="C91" s="9" t="str">
        <f t="shared" si="9"/>
        <v>C00116:1</v>
      </c>
      <c r="D91" s="27" t="str">
        <f t="shared" si="8"/>
        <v>C00116 : Glycerol</v>
      </c>
    </row>
    <row r="92" spans="1:9">
      <c r="A92" s="11" t="s">
        <v>9437</v>
      </c>
      <c r="B92" s="26" t="s">
        <v>10598</v>
      </c>
      <c r="C92" s="9" t="str">
        <f t="shared" si="9"/>
        <v>C00117:1</v>
      </c>
      <c r="D92" s="27" t="str">
        <f t="shared" si="8"/>
        <v>C00117 : D-Ribose 5-Phosphate</v>
      </c>
    </row>
    <row r="93" spans="1:9">
      <c r="A93" s="11" t="s">
        <v>9291</v>
      </c>
      <c r="B93" s="26" t="s">
        <v>10599</v>
      </c>
      <c r="C93" s="9" t="str">
        <f t="shared" si="9"/>
        <v>C00118:1</v>
      </c>
      <c r="D93" s="27" t="str">
        <f t="shared" si="8"/>
        <v>C00118 : D-Glyceraldehyde 3-Phosphate</v>
      </c>
    </row>
    <row r="94" spans="1:9">
      <c r="A94" s="11" t="s">
        <v>10600</v>
      </c>
      <c r="B94" s="26" t="s">
        <v>10601</v>
      </c>
      <c r="C94" s="9" t="str">
        <f t="shared" si="9"/>
        <v>C00119:1</v>
      </c>
      <c r="D94" s="27" t="str">
        <f t="shared" si="8"/>
        <v>C00119 : 5-Phospho-alpha-D-ribose 1-diphosphate</v>
      </c>
    </row>
    <row r="95" spans="1:9">
      <c r="A95" s="11" t="s">
        <v>10602</v>
      </c>
      <c r="B95" s="26" t="s">
        <v>10603</v>
      </c>
      <c r="C95" s="9" t="str">
        <f t="shared" si="9"/>
        <v>C00120:1</v>
      </c>
      <c r="D95" s="27" t="str">
        <f t="shared" si="8"/>
        <v>C00120 : Biotin</v>
      </c>
    </row>
    <row r="96" spans="1:9">
      <c r="A96" s="11" t="s">
        <v>10604</v>
      </c>
      <c r="B96" s="26" t="s">
        <v>10605</v>
      </c>
      <c r="C96" s="9" t="str">
        <f t="shared" si="9"/>
        <v>C00122:1</v>
      </c>
      <c r="D96" s="27" t="str">
        <f t="shared" si="8"/>
        <v>C00122 : Fumarate</v>
      </c>
      <c r="I96" s="10"/>
    </row>
    <row r="97" spans="1:4">
      <c r="A97" s="11" t="s">
        <v>10606</v>
      </c>
      <c r="B97" s="26" t="s">
        <v>10607</v>
      </c>
      <c r="C97" s="9" t="str">
        <f t="shared" si="9"/>
        <v>C00123:1</v>
      </c>
      <c r="D97" s="27" t="str">
        <f t="shared" si="8"/>
        <v>C00123 : L-Leucine</v>
      </c>
    </row>
    <row r="98" spans="1:4">
      <c r="A98" s="11" t="s">
        <v>8064</v>
      </c>
      <c r="B98" s="26" t="s">
        <v>10608</v>
      </c>
      <c r="C98" s="9" t="str">
        <f t="shared" si="9"/>
        <v>C00124:1</v>
      </c>
      <c r="D98" s="27" t="str">
        <f t="shared" si="8"/>
        <v>C00124 : D-Galactose</v>
      </c>
    </row>
    <row r="99" spans="1:4">
      <c r="A99" s="11" t="s">
        <v>10609</v>
      </c>
      <c r="B99" s="26" t="s">
        <v>10610</v>
      </c>
      <c r="C99" s="9" t="str">
        <f t="shared" si="9"/>
        <v>C00127:1</v>
      </c>
      <c r="D99" s="27" t="str">
        <f t="shared" si="8"/>
        <v>C00127 : Glutathione disulfide</v>
      </c>
    </row>
    <row r="100" spans="1:4">
      <c r="A100" s="11" t="s">
        <v>7479</v>
      </c>
      <c r="B100" s="26" t="s">
        <v>10611</v>
      </c>
      <c r="C100" s="9" t="str">
        <f t="shared" si="9"/>
        <v>C00129:1</v>
      </c>
      <c r="D100" s="27" t="str">
        <f t="shared" si="8"/>
        <v>C00129 : Isopentenyl Diphosphate</v>
      </c>
    </row>
    <row r="101" spans="1:4">
      <c r="A101" s="11" t="s">
        <v>10612</v>
      </c>
      <c r="B101" s="26" t="s">
        <v>10613</v>
      </c>
      <c r="C101" s="9" t="str">
        <f t="shared" si="9"/>
        <v>C00130:1</v>
      </c>
      <c r="D101" s="27" t="str">
        <f t="shared" si="8"/>
        <v>C00130 : IMP</v>
      </c>
    </row>
    <row r="102" spans="1:4">
      <c r="A102" s="11" t="s">
        <v>10614</v>
      </c>
      <c r="B102" s="26" t="s">
        <v>10615</v>
      </c>
      <c r="C102" s="9" t="str">
        <f t="shared" si="9"/>
        <v>C00131:1</v>
      </c>
      <c r="D102" s="27" t="str">
        <f t="shared" si="8"/>
        <v>C00131 : dATP</v>
      </c>
    </row>
    <row r="103" spans="1:4">
      <c r="A103" s="11" t="s">
        <v>9088</v>
      </c>
      <c r="B103" s="26" t="s">
        <v>10616</v>
      </c>
      <c r="C103" s="9" t="str">
        <f>CONCATENATE(A103,":","1000")</f>
        <v>C00133:1000</v>
      </c>
      <c r="D103" s="27" t="str">
        <f t="shared" si="8"/>
        <v>C00133 : D-Alanine</v>
      </c>
    </row>
    <row r="104" spans="1:4">
      <c r="A104" s="11" t="s">
        <v>10617</v>
      </c>
      <c r="B104" s="26" t="s">
        <v>10618</v>
      </c>
      <c r="C104" s="9" t="str">
        <f>CONCATENATE(A104,":","1")</f>
        <v>C00134:1</v>
      </c>
      <c r="D104" s="27" t="str">
        <f t="shared" si="8"/>
        <v>C00134 : Putrescine</v>
      </c>
    </row>
    <row r="105" spans="1:4">
      <c r="A105" s="11" t="s">
        <v>10619</v>
      </c>
      <c r="B105" s="26" t="s">
        <v>10620</v>
      </c>
      <c r="C105" s="9" t="str">
        <f>CONCATENATE(A105,":","1")</f>
        <v>C00135:1</v>
      </c>
      <c r="D105" s="27" t="str">
        <f t="shared" si="8"/>
        <v>C00135 : L-Histidine</v>
      </c>
    </row>
    <row r="106" spans="1:4">
      <c r="A106" s="11" t="s">
        <v>10621</v>
      </c>
      <c r="B106" s="26" t="s">
        <v>10622</v>
      </c>
      <c r="C106" s="9" t="str">
        <f t="shared" ref="C106:C113" si="10">CONCATENATE(A106,":","1")</f>
        <v>C00137:1</v>
      </c>
      <c r="D106" s="27" t="str">
        <f t="shared" si="8"/>
        <v>C00137 : myo-Inositol</v>
      </c>
    </row>
    <row r="107" spans="1:4">
      <c r="A107" s="11" t="s">
        <v>10623</v>
      </c>
      <c r="B107" s="26" t="s">
        <v>10624</v>
      </c>
      <c r="C107" s="9" t="str">
        <f>CONCATENATE(A107,":","1000")</f>
        <v>C00138:1000</v>
      </c>
      <c r="D107" s="27" t="str">
        <f t="shared" si="8"/>
        <v>C00138 : Reduced ferredoxin</v>
      </c>
    </row>
    <row r="108" spans="1:4">
      <c r="A108" s="11" t="s">
        <v>10625</v>
      </c>
      <c r="B108" s="26" t="s">
        <v>10626</v>
      </c>
      <c r="C108" s="9" t="str">
        <f>CONCATENATE(A108,":","1000")</f>
        <v>C00139:1000</v>
      </c>
      <c r="D108" s="27" t="str">
        <f t="shared" si="8"/>
        <v>C00139 : Oxidized ferredoxin</v>
      </c>
    </row>
    <row r="109" spans="1:4">
      <c r="A109" s="11" t="s">
        <v>7115</v>
      </c>
      <c r="B109" s="26" t="s">
        <v>10627</v>
      </c>
      <c r="C109" s="9" t="str">
        <f t="shared" si="10"/>
        <v>C00140:1</v>
      </c>
      <c r="D109" s="27" t="str">
        <f t="shared" si="8"/>
        <v>C00140 : N-Acetyl-D-glucosamine</v>
      </c>
    </row>
    <row r="110" spans="1:4">
      <c r="A110" s="11" t="s">
        <v>10628</v>
      </c>
      <c r="B110" s="26" t="s">
        <v>10629</v>
      </c>
      <c r="C110" s="9" t="str">
        <f t="shared" si="10"/>
        <v>C00141:1</v>
      </c>
      <c r="D110" s="27" t="str">
        <f t="shared" si="8"/>
        <v>C00141 : 3-Methyl-2-oxobutanoic acid</v>
      </c>
    </row>
    <row r="111" spans="1:4">
      <c r="A111" s="11" t="s">
        <v>10630</v>
      </c>
      <c r="B111" s="26" t="s">
        <v>10631</v>
      </c>
      <c r="C111" s="29" t="str">
        <f t="shared" si="10"/>
        <v>C00143:1</v>
      </c>
      <c r="D111" s="27" t="str">
        <f t="shared" si="8"/>
        <v>C00143 : 5,10-Methylenetetrahydrofolate</v>
      </c>
    </row>
    <row r="112" spans="1:4">
      <c r="A112" s="11" t="s">
        <v>10632</v>
      </c>
      <c r="B112" s="26" t="s">
        <v>10633</v>
      </c>
      <c r="C112" s="9" t="str">
        <f t="shared" si="10"/>
        <v>C00144:1</v>
      </c>
      <c r="D112" s="27" t="str">
        <f t="shared" si="8"/>
        <v>C00144 : GMP</v>
      </c>
    </row>
    <row r="113" spans="1:4">
      <c r="A113" s="11" t="s">
        <v>10634</v>
      </c>
      <c r="B113" s="26" t="s">
        <v>10635</v>
      </c>
      <c r="C113" s="9" t="str">
        <f t="shared" si="10"/>
        <v>C00147:1</v>
      </c>
      <c r="D113" s="27" t="str">
        <f t="shared" si="8"/>
        <v>C00147 : Adenine</v>
      </c>
    </row>
    <row r="114" spans="1:4">
      <c r="A114" s="11" t="s">
        <v>10636</v>
      </c>
      <c r="B114" s="26" t="s">
        <v>10637</v>
      </c>
      <c r="C114" s="9" t="str">
        <f>CONCATENATE(A114,":","1000")</f>
        <v>C00148:1000</v>
      </c>
      <c r="D114" s="27" t="str">
        <f t="shared" si="8"/>
        <v>C00148 : L-Proline</v>
      </c>
    </row>
    <row r="115" spans="1:4">
      <c r="A115" s="11" t="s">
        <v>10638</v>
      </c>
      <c r="B115" s="26" t="s">
        <v>10639</v>
      </c>
      <c r="C115" s="9" t="str">
        <f t="shared" ref="C115:C119" si="11">CONCATENATE(A115,":","1")</f>
        <v>C00152:1</v>
      </c>
      <c r="D115" s="27" t="str">
        <f t="shared" si="8"/>
        <v>C00152 : L-Asparagine</v>
      </c>
    </row>
    <row r="116" spans="1:4">
      <c r="A116" s="11" t="s">
        <v>10640</v>
      </c>
      <c r="B116" s="26" t="s">
        <v>10641</v>
      </c>
      <c r="C116" s="9" t="str">
        <f t="shared" si="11"/>
        <v>C00153:1</v>
      </c>
      <c r="D116" s="27" t="str">
        <f t="shared" si="8"/>
        <v>C00153 : Nicotinamide</v>
      </c>
    </row>
    <row r="117" spans="1:4">
      <c r="A117" s="11" t="s">
        <v>10642</v>
      </c>
      <c r="B117" s="26" t="s">
        <v>10643</v>
      </c>
      <c r="C117" s="9" t="str">
        <f t="shared" si="11"/>
        <v>C00155:1</v>
      </c>
      <c r="D117" s="27" t="str">
        <f t="shared" si="8"/>
        <v>C00155 : L-Homocysteine</v>
      </c>
    </row>
    <row r="118" spans="1:4">
      <c r="A118" s="11" t="s">
        <v>10644</v>
      </c>
      <c r="B118" s="26" t="s">
        <v>10645</v>
      </c>
      <c r="C118" s="9" t="str">
        <f t="shared" si="11"/>
        <v>C00159:1</v>
      </c>
      <c r="D118" s="27" t="str">
        <f t="shared" si="8"/>
        <v>C00159 : D-Mannose</v>
      </c>
    </row>
    <row r="119" spans="1:4">
      <c r="A119" s="11" t="s">
        <v>10646</v>
      </c>
      <c r="B119" s="26" t="s">
        <v>10647</v>
      </c>
      <c r="C119" s="29" t="str">
        <f t="shared" si="11"/>
        <v>C00160:1</v>
      </c>
      <c r="D119" s="27" t="str">
        <f t="shared" si="8"/>
        <v>C00160 : Glycolate</v>
      </c>
    </row>
    <row r="120" spans="1:4">
      <c r="A120" s="11" t="s">
        <v>10648</v>
      </c>
      <c r="B120" s="26" t="s">
        <v>10649</v>
      </c>
      <c r="C120" s="9" t="str">
        <f t="shared" ref="C120:C125" si="12">CONCATENATE(A120,":","1")</f>
        <v>C00161:1</v>
      </c>
      <c r="D120" s="27" t="str">
        <f t="shared" si="8"/>
        <v>C00161 : 2-Oxo acid</v>
      </c>
    </row>
    <row r="121" spans="1:4">
      <c r="A121" s="11" t="s">
        <v>10650</v>
      </c>
      <c r="B121" s="26" t="s">
        <v>10651</v>
      </c>
      <c r="C121" s="9" t="str">
        <f t="shared" si="12"/>
        <v>C00163:1</v>
      </c>
      <c r="D121" s="27" t="str">
        <f t="shared" si="8"/>
        <v>C00163 : Propanoate</v>
      </c>
    </row>
    <row r="122" spans="1:4">
      <c r="A122" s="11" t="s">
        <v>10652</v>
      </c>
      <c r="B122" s="26" t="s">
        <v>10653</v>
      </c>
      <c r="C122" s="9" t="str">
        <f t="shared" si="12"/>
        <v>C00166:1</v>
      </c>
      <c r="D122" s="27" t="str">
        <f t="shared" si="8"/>
        <v>C00166 : Phenylpyruvate</v>
      </c>
    </row>
    <row r="123" spans="1:4">
      <c r="A123" s="11" t="s">
        <v>10654</v>
      </c>
      <c r="B123" s="26" t="s">
        <v>10655</v>
      </c>
      <c r="C123" s="9" t="str">
        <f t="shared" si="12"/>
        <v>C00167:1</v>
      </c>
      <c r="D123" s="27" t="str">
        <f t="shared" si="8"/>
        <v>C00167 : UDP-glucuronate</v>
      </c>
    </row>
    <row r="124" spans="1:4">
      <c r="A124" s="11" t="s">
        <v>10656</v>
      </c>
      <c r="B124" s="26" t="s">
        <v>10657</v>
      </c>
      <c r="C124" s="9" t="str">
        <f t="shared" si="12"/>
        <v>C00169:1</v>
      </c>
      <c r="D124" s="27" t="str">
        <f t="shared" si="8"/>
        <v>C00169 : Carbamoyl Phosphate</v>
      </c>
    </row>
    <row r="125" spans="1:4">
      <c r="A125" s="11" t="s">
        <v>10658</v>
      </c>
      <c r="B125" s="26" t="s">
        <v>10659</v>
      </c>
      <c r="C125" s="29" t="str">
        <f t="shared" si="12"/>
        <v>C00170:1</v>
      </c>
      <c r="D125" s="27" t="str">
        <f t="shared" si="8"/>
        <v>C00170 : 5'-Methylthioadenosine</v>
      </c>
    </row>
    <row r="126" spans="1:4">
      <c r="A126" s="11" t="s">
        <v>10660</v>
      </c>
      <c r="B126" s="26" t="s">
        <v>10661</v>
      </c>
      <c r="C126" s="9" t="str">
        <f t="shared" ref="C126:C130" si="13">CONCATENATE(A126,":","1")</f>
        <v>C00173:1</v>
      </c>
      <c r="D126" s="27" t="str">
        <f t="shared" si="8"/>
        <v>C00173 : Acyl-[acyl-carrier protein]</v>
      </c>
    </row>
    <row r="127" spans="1:4">
      <c r="A127" s="11" t="s">
        <v>10662</v>
      </c>
      <c r="B127" s="26" t="s">
        <v>10663</v>
      </c>
      <c r="C127" s="9" t="str">
        <f t="shared" si="13"/>
        <v>C00177:1</v>
      </c>
      <c r="D127" s="27" t="str">
        <f t="shared" si="8"/>
        <v>C00177 : Cyanide ion</v>
      </c>
    </row>
    <row r="128" spans="1:4">
      <c r="A128" s="11" t="s">
        <v>10664</v>
      </c>
      <c r="B128" s="26" t="s">
        <v>10665</v>
      </c>
      <c r="C128" s="9" t="str">
        <f t="shared" si="13"/>
        <v>C00178:1</v>
      </c>
      <c r="D128" s="27" t="str">
        <f t="shared" si="8"/>
        <v>C00178 : Thymine</v>
      </c>
    </row>
    <row r="129" spans="1:4">
      <c r="A129" s="11" t="s">
        <v>10666</v>
      </c>
      <c r="B129" s="26" t="s">
        <v>10667</v>
      </c>
      <c r="C129" s="9" t="str">
        <f t="shared" si="13"/>
        <v>C00180:1</v>
      </c>
      <c r="D129" s="27" t="str">
        <f t="shared" si="8"/>
        <v>C00180 : Benzoate</v>
      </c>
    </row>
    <row r="130" spans="1:4">
      <c r="A130" s="11" t="s">
        <v>10668</v>
      </c>
      <c r="B130" s="26" t="s">
        <v>10669</v>
      </c>
      <c r="C130" s="29" t="str">
        <f t="shared" si="13"/>
        <v>C00183:1</v>
      </c>
      <c r="D130" s="27" t="str">
        <f t="shared" si="8"/>
        <v>C00183 : L-Valine</v>
      </c>
    </row>
    <row r="131" spans="1:4">
      <c r="A131" s="11" t="s">
        <v>10670</v>
      </c>
      <c r="B131" s="26" t="s">
        <v>10671</v>
      </c>
      <c r="C131" s="9" t="str">
        <f t="shared" ref="C131:C135" si="14">CONCATENATE(A131,":","1")</f>
        <v>C00184:1</v>
      </c>
      <c r="D131" s="27" t="str">
        <f t="shared" ref="D131:D194" si="15">CONCATENATE(A131," : ",B131)</f>
        <v>C00184 : Glycerone</v>
      </c>
    </row>
    <row r="132" spans="1:4">
      <c r="A132" s="11" t="s">
        <v>10672</v>
      </c>
      <c r="B132" s="26" t="s">
        <v>10673</v>
      </c>
      <c r="C132" s="9" t="str">
        <f t="shared" si="14"/>
        <v>C00185:1</v>
      </c>
      <c r="D132" s="27" t="str">
        <f t="shared" si="15"/>
        <v>C00185 : Cellobiose</v>
      </c>
    </row>
    <row r="133" spans="1:4">
      <c r="A133" s="11" t="s">
        <v>10674</v>
      </c>
      <c r="B133" s="26" t="s">
        <v>10675</v>
      </c>
      <c r="C133" s="29" t="str">
        <f t="shared" si="14"/>
        <v>C00186:1</v>
      </c>
      <c r="D133" s="27" t="str">
        <f t="shared" si="15"/>
        <v>C00186 : (S)-Lactate</v>
      </c>
    </row>
    <row r="134" spans="1:4">
      <c r="A134" s="11" t="s">
        <v>7216</v>
      </c>
      <c r="B134" s="26" t="s">
        <v>10676</v>
      </c>
      <c r="C134" s="9" t="str">
        <f t="shared" si="14"/>
        <v>C00188:1</v>
      </c>
      <c r="D134" s="27" t="str">
        <f t="shared" si="15"/>
        <v>C00188 : L-Threonine</v>
      </c>
    </row>
    <row r="135" spans="1:4">
      <c r="A135" s="11" t="s">
        <v>10677</v>
      </c>
      <c r="B135" s="26" t="s">
        <v>10678</v>
      </c>
      <c r="C135" s="29" t="str">
        <f t="shared" si="14"/>
        <v>C00189:1</v>
      </c>
      <c r="D135" s="27" t="str">
        <f t="shared" si="15"/>
        <v>C00189 : Ethanolamine</v>
      </c>
    </row>
    <row r="136" spans="1:4">
      <c r="A136" s="11" t="s">
        <v>10679</v>
      </c>
      <c r="B136" s="26" t="s">
        <v>10680</v>
      </c>
      <c r="C136" s="9" t="str">
        <f t="shared" ref="C136:C145" si="16">CONCATENATE(A136,":","1")</f>
        <v>C00191:1</v>
      </c>
      <c r="D136" s="27" t="str">
        <f t="shared" si="15"/>
        <v>C00191 : D-Glucuronate</v>
      </c>
    </row>
    <row r="137" spans="1:4">
      <c r="A137" s="11" t="s">
        <v>10681</v>
      </c>
      <c r="B137" s="26" t="s">
        <v>10682</v>
      </c>
      <c r="C137" s="9" t="str">
        <f t="shared" si="16"/>
        <v>C00193:1</v>
      </c>
      <c r="D137" s="27" t="str">
        <f t="shared" si="15"/>
        <v>C00193 : Aromatic aldehyde</v>
      </c>
    </row>
    <row r="138" spans="1:4">
      <c r="A138" s="11" t="s">
        <v>10683</v>
      </c>
      <c r="B138" s="26" t="s">
        <v>10684</v>
      </c>
      <c r="C138" s="9" t="str">
        <f t="shared" si="16"/>
        <v>C00197:1</v>
      </c>
      <c r="D138" s="27" t="str">
        <f t="shared" si="15"/>
        <v>C00197 : 3-Phospho-D-glycerate</v>
      </c>
    </row>
    <row r="139" spans="1:4">
      <c r="A139" s="11" t="s">
        <v>8688</v>
      </c>
      <c r="B139" s="26" t="s">
        <v>10685</v>
      </c>
      <c r="C139" s="9" t="str">
        <f t="shared" si="16"/>
        <v>C00199:1</v>
      </c>
      <c r="D139" s="27" t="str">
        <f t="shared" si="15"/>
        <v>C00199 : D-Ribulose 5-phosphate</v>
      </c>
    </row>
    <row r="140" spans="1:4">
      <c r="A140" s="11" t="s">
        <v>7876</v>
      </c>
      <c r="B140" s="26" t="s">
        <v>10686</v>
      </c>
      <c r="C140" s="29" t="str">
        <f t="shared" si="16"/>
        <v>C00201:1</v>
      </c>
      <c r="D140" s="27" t="str">
        <f t="shared" si="15"/>
        <v>C00201 : NTP</v>
      </c>
    </row>
    <row r="141" spans="1:4">
      <c r="A141" s="11" t="s">
        <v>8004</v>
      </c>
      <c r="B141" s="26" t="s">
        <v>10687</v>
      </c>
      <c r="C141" s="29" t="str">
        <f t="shared" si="16"/>
        <v>C00203:1</v>
      </c>
      <c r="D141" s="27" t="str">
        <f t="shared" si="15"/>
        <v>C00203 : UDP-N-acetyl-D-galactosamine</v>
      </c>
    </row>
    <row r="142" spans="1:4">
      <c r="A142" s="11" t="s">
        <v>10688</v>
      </c>
      <c r="B142" s="26" t="s">
        <v>10689</v>
      </c>
      <c r="C142" s="29" t="str">
        <f t="shared" si="16"/>
        <v>C00206:1</v>
      </c>
      <c r="D142" s="27" t="str">
        <f t="shared" si="15"/>
        <v>C00206 : dADP</v>
      </c>
    </row>
    <row r="143" spans="1:4">
      <c r="A143" s="11" t="s">
        <v>8496</v>
      </c>
      <c r="B143" s="11" t="s">
        <v>10690</v>
      </c>
      <c r="C143" s="29" t="str">
        <f t="shared" si="16"/>
        <v>C00208:1</v>
      </c>
      <c r="D143" s="27" t="str">
        <f t="shared" si="15"/>
        <v>C00208 : Maltose</v>
      </c>
    </row>
    <row r="144" spans="1:4">
      <c r="A144" s="11" t="s">
        <v>10691</v>
      </c>
      <c r="B144" s="26" t="s">
        <v>10692</v>
      </c>
      <c r="C144" s="29" t="str">
        <f t="shared" si="16"/>
        <v>C00212:1</v>
      </c>
      <c r="D144" s="27" t="str">
        <f t="shared" si="15"/>
        <v>C00212 : Adenosine</v>
      </c>
    </row>
    <row r="145" spans="1:4">
      <c r="A145" s="11" t="s">
        <v>10693</v>
      </c>
      <c r="B145" s="11" t="s">
        <v>10694</v>
      </c>
      <c r="C145" s="29" t="str">
        <f t="shared" si="16"/>
        <v>C00213:1</v>
      </c>
      <c r="D145" s="27" t="str">
        <f t="shared" si="15"/>
        <v>C00213 : Sarcosine</v>
      </c>
    </row>
    <row r="146" spans="1:4">
      <c r="A146" s="11" t="s">
        <v>10695</v>
      </c>
      <c r="B146" s="26" t="s">
        <v>10696</v>
      </c>
      <c r="C146" s="29" t="str">
        <f t="shared" ref="C146:C151" si="17">CONCATENATE(A146,":","1")</f>
        <v>C00214:1</v>
      </c>
      <c r="D146" s="27" t="str">
        <f t="shared" si="15"/>
        <v>C00214 : Thymidine</v>
      </c>
    </row>
    <row r="147" spans="1:4">
      <c r="A147" s="11" t="s">
        <v>8819</v>
      </c>
      <c r="B147" s="26" t="s">
        <v>10697</v>
      </c>
      <c r="C147" s="29" t="str">
        <f t="shared" si="17"/>
        <v>C00217:1</v>
      </c>
      <c r="D147" s="27" t="str">
        <f t="shared" si="15"/>
        <v>C00217 : D-Glutamate</v>
      </c>
    </row>
    <row r="148" spans="1:4">
      <c r="A148" s="11" t="s">
        <v>10698</v>
      </c>
      <c r="B148" s="11" t="s">
        <v>10699</v>
      </c>
      <c r="C148" s="29" t="str">
        <f t="shared" si="17"/>
        <v>C00218:1</v>
      </c>
      <c r="D148" s="27" t="str">
        <f t="shared" si="15"/>
        <v>C00218 : Methylamine</v>
      </c>
    </row>
    <row r="149" spans="1:4">
      <c r="A149" s="11" t="s">
        <v>7769</v>
      </c>
      <c r="B149" s="11" t="s">
        <v>10700</v>
      </c>
      <c r="C149" s="29" t="str">
        <f t="shared" si="17"/>
        <v>C00221:1</v>
      </c>
      <c r="D149" s="27" t="str">
        <f t="shared" si="15"/>
        <v>C00221 : beta-D-Glucose</v>
      </c>
    </row>
    <row r="150" spans="1:4">
      <c r="A150" s="6" t="s">
        <v>10701</v>
      </c>
      <c r="B150" s="26" t="s">
        <v>10702</v>
      </c>
      <c r="C150" s="29" t="str">
        <f t="shared" si="17"/>
        <v>C00226:1</v>
      </c>
      <c r="D150" s="27" t="str">
        <f t="shared" si="15"/>
        <v>C00226 : Primary Alcohol</v>
      </c>
    </row>
    <row r="151" spans="1:4">
      <c r="A151" s="11" t="s">
        <v>10703</v>
      </c>
      <c r="B151" s="26" t="s">
        <v>10704</v>
      </c>
      <c r="C151" s="29" t="str">
        <f t="shared" si="17"/>
        <v>C00227:1</v>
      </c>
      <c r="D151" s="27" t="str">
        <f t="shared" si="15"/>
        <v>C00227 : Acetyl Phosphate</v>
      </c>
    </row>
    <row r="152" spans="1:4">
      <c r="A152" s="11" t="s">
        <v>10705</v>
      </c>
      <c r="B152" s="26" t="s">
        <v>10706</v>
      </c>
      <c r="C152" s="29" t="str">
        <f t="shared" ref="C152:C160" si="18">CONCATENATE(A152,":","1")</f>
        <v>C00229:1</v>
      </c>
      <c r="D152" s="27" t="str">
        <f t="shared" si="15"/>
        <v>C00229 : Acyl-carrier protein</v>
      </c>
    </row>
    <row r="153" spans="1:4">
      <c r="A153" s="11" t="s">
        <v>8651</v>
      </c>
      <c r="B153" s="26" t="s">
        <v>10707</v>
      </c>
      <c r="C153" s="29" t="str">
        <f t="shared" si="18"/>
        <v>C00231:1</v>
      </c>
      <c r="D153" s="27" t="str">
        <f t="shared" si="15"/>
        <v>C00231 : D-Xylulose 5-Phosphate</v>
      </c>
    </row>
    <row r="154" spans="1:4">
      <c r="A154" s="11" t="s">
        <v>10708</v>
      </c>
      <c r="B154" s="26" t="s">
        <v>10709</v>
      </c>
      <c r="C154" s="29" t="str">
        <f t="shared" si="18"/>
        <v>C00233:1</v>
      </c>
      <c r="D154" s="27" t="str">
        <f t="shared" si="15"/>
        <v>C00233 : 4-Methyl-2-oxopentanoate</v>
      </c>
    </row>
    <row r="155" spans="1:4">
      <c r="A155" s="11" t="s">
        <v>10710</v>
      </c>
      <c r="B155" s="26" t="s">
        <v>10711</v>
      </c>
      <c r="C155" s="29" t="str">
        <f t="shared" si="18"/>
        <v>C00234:1</v>
      </c>
      <c r="D155" s="27" t="str">
        <f t="shared" si="15"/>
        <v>C00234 : 10-Formyltetrahydrofolate</v>
      </c>
    </row>
    <row r="156" spans="1:4">
      <c r="A156" s="11" t="s">
        <v>7480</v>
      </c>
      <c r="B156" s="30" t="s">
        <v>10712</v>
      </c>
      <c r="C156" s="29" t="str">
        <f t="shared" si="18"/>
        <v>C00235:1</v>
      </c>
      <c r="D156" s="27" t="str">
        <f t="shared" si="15"/>
        <v>C00235 : Dimethylallyl diphosphate</v>
      </c>
    </row>
    <row r="157" spans="1:4">
      <c r="A157" s="11" t="s">
        <v>10713</v>
      </c>
      <c r="B157" s="30" t="s">
        <v>10714</v>
      </c>
      <c r="C157" s="29" t="str">
        <f t="shared" si="18"/>
        <v>C00236:1</v>
      </c>
      <c r="D157" s="27" t="str">
        <f t="shared" si="15"/>
        <v>C00236 : 3-Phospho-D-glyceroyl phosphate</v>
      </c>
    </row>
    <row r="158" spans="1:4">
      <c r="A158" s="11" t="s">
        <v>10715</v>
      </c>
      <c r="B158" s="26" t="s">
        <v>10716</v>
      </c>
      <c r="C158" s="29" t="str">
        <f t="shared" si="18"/>
        <v>C00239:1</v>
      </c>
      <c r="D158" s="27" t="str">
        <f t="shared" si="15"/>
        <v>C00239 : dCMP</v>
      </c>
    </row>
    <row r="159" spans="1:4">
      <c r="A159" s="11" t="s">
        <v>10717</v>
      </c>
      <c r="B159" s="26" t="s">
        <v>10718</v>
      </c>
      <c r="C159" s="29" t="str">
        <f t="shared" si="18"/>
        <v>C00240:1</v>
      </c>
      <c r="D159" s="27" t="str">
        <f t="shared" si="15"/>
        <v>C00240 : rRNA</v>
      </c>
    </row>
    <row r="160" spans="1:4">
      <c r="A160" s="11" t="s">
        <v>10719</v>
      </c>
      <c r="B160" s="26" t="s">
        <v>10720</v>
      </c>
      <c r="C160" s="29" t="str">
        <f t="shared" si="18"/>
        <v>C00241:1</v>
      </c>
      <c r="D160" s="27" t="str">
        <f t="shared" si="15"/>
        <v>C00241 : Amide</v>
      </c>
    </row>
    <row r="161" spans="1:9">
      <c r="A161" s="11" t="s">
        <v>10721</v>
      </c>
      <c r="B161" s="26" t="s">
        <v>10722</v>
      </c>
      <c r="C161" s="29" t="str">
        <f t="shared" ref="C161:C166" si="19">CONCATENATE(A161,":","1")</f>
        <v>C00242:1</v>
      </c>
      <c r="D161" s="27" t="str">
        <f t="shared" si="15"/>
        <v>C00242 : Guanine</v>
      </c>
    </row>
    <row r="162" spans="1:9">
      <c r="A162" s="11" t="s">
        <v>10723</v>
      </c>
      <c r="B162" s="11" t="s">
        <v>10724</v>
      </c>
      <c r="C162" s="29" t="str">
        <f t="shared" si="19"/>
        <v>C00243:1</v>
      </c>
      <c r="D162" s="27" t="str">
        <f t="shared" si="15"/>
        <v>C00243 : Lactose</v>
      </c>
    </row>
    <row r="163" spans="1:9">
      <c r="A163" s="11" t="s">
        <v>10725</v>
      </c>
      <c r="B163" s="11" t="s">
        <v>10726</v>
      </c>
      <c r="C163" s="29" t="str">
        <f t="shared" si="19"/>
        <v>C00247:1</v>
      </c>
      <c r="D163" s="27" t="str">
        <f t="shared" si="15"/>
        <v>C00247 : L-Sorbose</v>
      </c>
    </row>
    <row r="164" spans="1:9">
      <c r="A164" s="11" t="s">
        <v>10727</v>
      </c>
      <c r="B164" s="11" t="s">
        <v>10728</v>
      </c>
      <c r="C164" s="9" t="str">
        <f>CONCATENATE(A164,":","1000")</f>
        <v>C00248:1000</v>
      </c>
      <c r="D164" s="27" t="str">
        <f t="shared" si="15"/>
        <v>C00248 : Lipoamide</v>
      </c>
    </row>
    <row r="165" spans="1:9">
      <c r="A165" s="11" t="s">
        <v>10729</v>
      </c>
      <c r="B165" s="11" t="s">
        <v>10730</v>
      </c>
      <c r="C165" s="29" t="str">
        <f>CONCATENATE(A165,":","1")</f>
        <v>C00249:1</v>
      </c>
      <c r="D165" s="27" t="str">
        <f t="shared" si="15"/>
        <v>C00249 : Hexadecanoic acid</v>
      </c>
    </row>
    <row r="166" spans="1:9">
      <c r="A166" s="11" t="s">
        <v>10731</v>
      </c>
      <c r="B166" s="26" t="s">
        <v>10732</v>
      </c>
      <c r="C166" s="29" t="str">
        <f t="shared" si="19"/>
        <v>C00250:1</v>
      </c>
      <c r="D166" s="27" t="str">
        <f t="shared" si="15"/>
        <v>C00250 : Pyridoxal</v>
      </c>
    </row>
    <row r="167" spans="1:9">
      <c r="A167" s="11" t="s">
        <v>10733</v>
      </c>
      <c r="B167" s="11" t="s">
        <v>10734</v>
      </c>
      <c r="C167" s="29" t="str">
        <f t="shared" ref="C167:C169" si="20">CONCATENATE(A167,":","1")</f>
        <v>C00251:1</v>
      </c>
      <c r="D167" s="27" t="str">
        <f t="shared" si="15"/>
        <v>C00251 : Chorismate</v>
      </c>
    </row>
    <row r="168" spans="1:9">
      <c r="A168" s="11" t="s">
        <v>10735</v>
      </c>
      <c r="B168" s="26" t="s">
        <v>10736</v>
      </c>
      <c r="C168" s="29" t="str">
        <f t="shared" si="20"/>
        <v>C00253:1</v>
      </c>
      <c r="D168" s="27" t="str">
        <f t="shared" si="15"/>
        <v>C00253 : Nicotinate</v>
      </c>
    </row>
    <row r="169" spans="1:9">
      <c r="A169" s="11" t="s">
        <v>9626</v>
      </c>
      <c r="B169" s="26" t="s">
        <v>10737</v>
      </c>
      <c r="C169" s="29" t="str">
        <f t="shared" si="20"/>
        <v>C00254:1</v>
      </c>
      <c r="D169" s="27" t="str">
        <f t="shared" si="15"/>
        <v>C00254 : Prephenate</v>
      </c>
    </row>
    <row r="170" spans="1:9">
      <c r="A170" s="11" t="s">
        <v>10738</v>
      </c>
      <c r="B170" s="26" t="s">
        <v>10739</v>
      </c>
      <c r="C170" s="29" t="str">
        <f t="shared" ref="C170:C183" si="21">CONCATENATE(A170,":","1")</f>
        <v>C00255:1</v>
      </c>
      <c r="D170" s="27" t="str">
        <f t="shared" si="15"/>
        <v>C00255 : Riboflavin</v>
      </c>
    </row>
    <row r="171" spans="1:9">
      <c r="A171" s="11" t="s">
        <v>10740</v>
      </c>
      <c r="B171" s="26" t="s">
        <v>10741</v>
      </c>
      <c r="C171" s="29" t="str">
        <f t="shared" si="21"/>
        <v>C00257:1</v>
      </c>
      <c r="D171" s="27" t="str">
        <f t="shared" si="15"/>
        <v>C00257 : D-Gluconic Acid</v>
      </c>
    </row>
    <row r="172" spans="1:9">
      <c r="A172" s="11" t="s">
        <v>10742</v>
      </c>
      <c r="B172" s="26" t="s">
        <v>10743</v>
      </c>
      <c r="C172" s="29" t="str">
        <f t="shared" si="21"/>
        <v>C00258:1</v>
      </c>
      <c r="D172" s="27" t="str">
        <f t="shared" si="15"/>
        <v>C00258 : D-Glycerate</v>
      </c>
      <c r="I172" s="10"/>
    </row>
    <row r="173" spans="1:9">
      <c r="A173" s="11" t="s">
        <v>10744</v>
      </c>
      <c r="B173" s="26" t="s">
        <v>10745</v>
      </c>
      <c r="C173" s="29" t="str">
        <f t="shared" si="21"/>
        <v>C00261:1</v>
      </c>
      <c r="D173" s="27" t="str">
        <f t="shared" si="15"/>
        <v>C00261 : Benzaldehyde</v>
      </c>
    </row>
    <row r="174" spans="1:9">
      <c r="A174" s="11" t="s">
        <v>10746</v>
      </c>
      <c r="B174" s="26" t="s">
        <v>10747</v>
      </c>
      <c r="C174" s="29" t="str">
        <f t="shared" si="21"/>
        <v>C00262:1</v>
      </c>
      <c r="D174" s="27" t="str">
        <f t="shared" si="15"/>
        <v>C00262 : Hypoxanthine</v>
      </c>
    </row>
    <row r="175" spans="1:9">
      <c r="A175" s="11" t="s">
        <v>10748</v>
      </c>
      <c r="B175" s="26" t="s">
        <v>10749</v>
      </c>
      <c r="C175" s="29" t="str">
        <f t="shared" si="21"/>
        <v>C00263:1</v>
      </c>
      <c r="D175" s="27" t="str">
        <f t="shared" si="15"/>
        <v>C00263 : L-Homoserine</v>
      </c>
    </row>
    <row r="176" spans="1:9">
      <c r="A176" s="11" t="s">
        <v>10750</v>
      </c>
      <c r="B176" s="26" t="s">
        <v>10751</v>
      </c>
      <c r="C176" s="29" t="str">
        <f t="shared" si="21"/>
        <v>C00266:1</v>
      </c>
      <c r="D176" s="27" t="str">
        <f t="shared" si="15"/>
        <v>C00266 : Glycolaldehyde</v>
      </c>
    </row>
    <row r="177" spans="1:4">
      <c r="A177" s="11" t="s">
        <v>8062</v>
      </c>
      <c r="B177" s="26" t="s">
        <v>10752</v>
      </c>
      <c r="C177" s="29" t="str">
        <f t="shared" si="21"/>
        <v>C00267:1</v>
      </c>
      <c r="D177" s="27" t="str">
        <f t="shared" si="15"/>
        <v>C00267 : alpha-D-Glucose</v>
      </c>
    </row>
    <row r="178" spans="1:4">
      <c r="A178" s="11" t="s">
        <v>10753</v>
      </c>
      <c r="B178" s="26" t="s">
        <v>10754</v>
      </c>
      <c r="C178" s="29" t="str">
        <f t="shared" si="21"/>
        <v>C00269:1</v>
      </c>
      <c r="D178" s="27" t="str">
        <f t="shared" si="15"/>
        <v>C00269 : CDP-diacylglycerol</v>
      </c>
    </row>
    <row r="179" spans="1:4">
      <c r="A179" s="11" t="s">
        <v>9149</v>
      </c>
      <c r="B179" s="26" t="s">
        <v>10755</v>
      </c>
      <c r="C179" s="29" t="str">
        <f t="shared" si="21"/>
        <v>C00270:1</v>
      </c>
      <c r="D179" s="27" t="str">
        <f t="shared" si="15"/>
        <v>C00270 : N-Acetylneuraminate</v>
      </c>
    </row>
    <row r="180" spans="1:4">
      <c r="A180" s="11" t="s">
        <v>10756</v>
      </c>
      <c r="B180" s="26" t="s">
        <v>10757</v>
      </c>
      <c r="C180" s="29" t="str">
        <f t="shared" si="21"/>
        <v>C00272:1</v>
      </c>
      <c r="D180" s="27" t="str">
        <f t="shared" si="15"/>
        <v>C00272 : Tetrahydrobiopterin</v>
      </c>
    </row>
    <row r="181" spans="1:4">
      <c r="A181" s="11" t="s">
        <v>9444</v>
      </c>
      <c r="B181" s="11" t="s">
        <v>10758</v>
      </c>
      <c r="C181" s="29" t="str">
        <f t="shared" si="21"/>
        <v>C00275:1</v>
      </c>
      <c r="D181" s="27" t="str">
        <f t="shared" si="15"/>
        <v>C00275 : D-Mannose 6-phosphate</v>
      </c>
    </row>
    <row r="182" spans="1:4">
      <c r="A182" s="11" t="s">
        <v>10759</v>
      </c>
      <c r="B182" s="11" t="s">
        <v>10760</v>
      </c>
      <c r="C182" s="29" t="str">
        <f t="shared" si="21"/>
        <v>C00277:1</v>
      </c>
      <c r="D182" s="27" t="str">
        <f t="shared" si="15"/>
        <v>C00277 : D-Erythrose</v>
      </c>
    </row>
    <row r="183" spans="1:4">
      <c r="A183" s="11" t="s">
        <v>10761</v>
      </c>
      <c r="B183" s="26" t="s">
        <v>10762</v>
      </c>
      <c r="C183" s="29" t="str">
        <f t="shared" si="21"/>
        <v>C00279:1</v>
      </c>
      <c r="D183" s="27" t="str">
        <f t="shared" si="15"/>
        <v>C00279 : D-Erythrose 4-phosphate</v>
      </c>
    </row>
    <row r="184" spans="1:4">
      <c r="A184" s="11" t="s">
        <v>10763</v>
      </c>
      <c r="B184" s="26" t="s">
        <v>10764</v>
      </c>
      <c r="C184" s="29" t="str">
        <f t="shared" ref="C184:C189" si="22">CONCATENATE(A184,":","1")</f>
        <v>C00283:1</v>
      </c>
      <c r="D184" s="27" t="str">
        <f t="shared" si="15"/>
        <v>C00283 : Hydrogen Sulfide</v>
      </c>
    </row>
    <row r="185" spans="1:4">
      <c r="A185" s="11" t="s">
        <v>10765</v>
      </c>
      <c r="B185" s="26" t="s">
        <v>10766</v>
      </c>
      <c r="C185" s="29" t="str">
        <f t="shared" si="22"/>
        <v>C00286:1</v>
      </c>
      <c r="D185" s="27" t="str">
        <f t="shared" si="15"/>
        <v>C00286 : dGTP</v>
      </c>
    </row>
    <row r="186" spans="1:4">
      <c r="A186" s="11" t="s">
        <v>10767</v>
      </c>
      <c r="B186" s="26" t="s">
        <v>10768</v>
      </c>
      <c r="C186" s="29" t="str">
        <f t="shared" ref="C186:C195" si="23">CONCATENATE(A186,":","1")</f>
        <v>C00288:1</v>
      </c>
      <c r="D186" s="27" t="str">
        <f t="shared" si="15"/>
        <v>C00288 : HCO3-</v>
      </c>
    </row>
    <row r="187" spans="1:4">
      <c r="A187" s="11" t="s">
        <v>10769</v>
      </c>
      <c r="B187" s="26" t="s">
        <v>10770</v>
      </c>
      <c r="C187" s="29" t="str">
        <f t="shared" si="23"/>
        <v>C00292:1</v>
      </c>
      <c r="D187" s="27" t="str">
        <f t="shared" si="15"/>
        <v>C00292 : Aniline</v>
      </c>
    </row>
    <row r="188" spans="1:4">
      <c r="A188" s="11" t="s">
        <v>10771</v>
      </c>
      <c r="B188" s="26" t="s">
        <v>10772</v>
      </c>
      <c r="C188" s="29" t="str">
        <f t="shared" si="22"/>
        <v>C00294:1</v>
      </c>
      <c r="D188" s="27" t="str">
        <f t="shared" si="15"/>
        <v>C00294 : Inosine</v>
      </c>
    </row>
    <row r="189" spans="1:4">
      <c r="A189" s="11" t="s">
        <v>10773</v>
      </c>
      <c r="B189" s="26" t="s">
        <v>10774</v>
      </c>
      <c r="C189" s="29" t="str">
        <f t="shared" si="22"/>
        <v>C00295:1</v>
      </c>
      <c r="D189" s="27" t="str">
        <f t="shared" si="15"/>
        <v>C00295 : Orotate</v>
      </c>
    </row>
    <row r="190" spans="1:4">
      <c r="A190" s="11" t="s">
        <v>10775</v>
      </c>
      <c r="B190" s="26" t="s">
        <v>10776</v>
      </c>
      <c r="C190" s="29" t="str">
        <f t="shared" si="23"/>
        <v>C00299:1</v>
      </c>
      <c r="D190" s="27" t="str">
        <f t="shared" si="15"/>
        <v>C00299 : Uridine</v>
      </c>
    </row>
    <row r="191" spans="1:4">
      <c r="A191" s="11" t="s">
        <v>10777</v>
      </c>
      <c r="B191" s="26" t="s">
        <v>10778</v>
      </c>
      <c r="C191" s="29" t="str">
        <f t="shared" si="23"/>
        <v>C00301:1</v>
      </c>
      <c r="D191" s="27" t="str">
        <f t="shared" si="15"/>
        <v>C00301 : ADP-ribose</v>
      </c>
    </row>
    <row r="192" spans="1:4">
      <c r="A192" s="11" t="s">
        <v>10779</v>
      </c>
      <c r="B192" s="26" t="s">
        <v>10780</v>
      </c>
      <c r="C192" s="29" t="str">
        <f t="shared" si="23"/>
        <v>C00302:1</v>
      </c>
      <c r="D192" s="27" t="str">
        <f t="shared" si="15"/>
        <v>C00302 : Glutamate</v>
      </c>
    </row>
    <row r="193" spans="1:4">
      <c r="A193" s="11" t="s">
        <v>10781</v>
      </c>
      <c r="B193" s="11" t="s">
        <v>10782</v>
      </c>
      <c r="C193" s="29" t="str">
        <f t="shared" si="23"/>
        <v>C00307:1</v>
      </c>
      <c r="D193" s="27" t="str">
        <f t="shared" si="15"/>
        <v>C00307 : CDP-choline</v>
      </c>
    </row>
    <row r="194" spans="1:4">
      <c r="A194" s="11" t="s">
        <v>10783</v>
      </c>
      <c r="B194" s="11" t="s">
        <v>10784</v>
      </c>
      <c r="C194" s="29" t="str">
        <f t="shared" si="23"/>
        <v>C00310:1</v>
      </c>
      <c r="D194" s="27" t="str">
        <f t="shared" si="15"/>
        <v>C00310 : D-Xylulose</v>
      </c>
    </row>
    <row r="195" spans="1:4">
      <c r="A195" s="11" t="s">
        <v>10785</v>
      </c>
      <c r="B195" s="11" t="s">
        <v>10786</v>
      </c>
      <c r="C195" s="29" t="str">
        <f t="shared" si="23"/>
        <v>C00312:1</v>
      </c>
      <c r="D195" s="27" t="str">
        <f t="shared" ref="D195:D258" si="24">CONCATENATE(A195," : ",B195)</f>
        <v>C00312 : L-Xylulose</v>
      </c>
    </row>
    <row r="196" spans="1:4">
      <c r="A196" s="11" t="s">
        <v>10787</v>
      </c>
      <c r="B196" s="26" t="s">
        <v>10788</v>
      </c>
      <c r="C196" s="29" t="str">
        <f t="shared" ref="C196:C204" si="25">CONCATENATE(A196,":","1")</f>
        <v>C00314:1</v>
      </c>
      <c r="D196" s="27" t="str">
        <f t="shared" si="24"/>
        <v>C00314 : Pyridoxine</v>
      </c>
    </row>
    <row r="197" spans="1:4">
      <c r="A197" s="11" t="s">
        <v>10789</v>
      </c>
      <c r="B197" s="11" t="s">
        <v>10790</v>
      </c>
      <c r="C197" s="29" t="str">
        <f t="shared" si="25"/>
        <v>C00315:1</v>
      </c>
      <c r="D197" s="27" t="str">
        <f t="shared" si="24"/>
        <v>C00315 : Spermidine</v>
      </c>
    </row>
    <row r="198" spans="1:4">
      <c r="A198" s="11" t="s">
        <v>10791</v>
      </c>
      <c r="B198" s="26" t="s">
        <v>10792</v>
      </c>
      <c r="C198" s="29" t="str">
        <f t="shared" si="25"/>
        <v>C00320:1</v>
      </c>
      <c r="D198" s="27" t="str">
        <f t="shared" si="24"/>
        <v>C00320 : Thiosulfate</v>
      </c>
    </row>
    <row r="199" spans="1:4">
      <c r="A199" s="11" t="s">
        <v>7796</v>
      </c>
      <c r="B199" s="26" t="s">
        <v>10792</v>
      </c>
      <c r="C199" s="29" t="str">
        <f t="shared" si="25"/>
        <v>C00321:1</v>
      </c>
      <c r="D199" s="27" t="str">
        <f t="shared" si="24"/>
        <v>C00321 : Thiosulfate</v>
      </c>
    </row>
    <row r="200" spans="1:4">
      <c r="A200" s="11" t="s">
        <v>10793</v>
      </c>
      <c r="B200" s="11" t="s">
        <v>10794</v>
      </c>
      <c r="C200" s="29" t="str">
        <f t="shared" si="25"/>
        <v>C00327:1</v>
      </c>
      <c r="D200" s="27" t="str">
        <f t="shared" si="24"/>
        <v>C00327 : L-Citrulline</v>
      </c>
    </row>
    <row r="201" spans="1:4">
      <c r="A201" s="11" t="s">
        <v>10795</v>
      </c>
      <c r="B201" s="26" t="s">
        <v>10796</v>
      </c>
      <c r="C201" s="29" t="str">
        <f t="shared" si="25"/>
        <v>C00330:1</v>
      </c>
      <c r="D201" s="27" t="str">
        <f t="shared" si="24"/>
        <v>C00330 : Deoxyguanosine</v>
      </c>
    </row>
    <row r="202" spans="1:4">
      <c r="A202" s="11" t="s">
        <v>10797</v>
      </c>
      <c r="B202" s="26" t="s">
        <v>10798</v>
      </c>
      <c r="C202" s="29" t="str">
        <f t="shared" si="25"/>
        <v>C00332:1</v>
      </c>
      <c r="D202" s="27" t="str">
        <f t="shared" si="24"/>
        <v>C00332 : Acetoacetyl-CoA</v>
      </c>
    </row>
    <row r="203" spans="1:4">
      <c r="A203" s="11" t="s">
        <v>10799</v>
      </c>
      <c r="B203" s="26" t="s">
        <v>10800</v>
      </c>
      <c r="C203" s="29" t="str">
        <f t="shared" si="25"/>
        <v>C00337:1</v>
      </c>
      <c r="D203" s="27" t="str">
        <f t="shared" si="24"/>
        <v>C00337 : (S)-Dihydroorotate</v>
      </c>
    </row>
    <row r="204" spans="1:4">
      <c r="A204" s="11" t="s">
        <v>10801</v>
      </c>
      <c r="B204" s="11" t="s">
        <v>10802</v>
      </c>
      <c r="C204" s="29" t="str">
        <f t="shared" si="25"/>
        <v>C00341:1</v>
      </c>
      <c r="D204" s="27" t="str">
        <f t="shared" si="24"/>
        <v>C00341 : Geranyl diphosphate</v>
      </c>
    </row>
    <row r="205" spans="1:4">
      <c r="A205" s="11" t="s">
        <v>10803</v>
      </c>
      <c r="B205" s="26" t="s">
        <v>10804</v>
      </c>
      <c r="C205" s="29" t="str">
        <f t="shared" ref="C205:C216" si="26">CONCATENATE(A205,":","1")</f>
        <v>C00342:1</v>
      </c>
      <c r="D205" s="27" t="str">
        <f t="shared" si="24"/>
        <v>C00342 : Thioredoxin</v>
      </c>
    </row>
    <row r="206" spans="1:4">
      <c r="A206" s="11" t="s">
        <v>10805</v>
      </c>
      <c r="B206" s="26" t="s">
        <v>10806</v>
      </c>
      <c r="C206" s="29" t="str">
        <f t="shared" si="26"/>
        <v>C00343:1</v>
      </c>
      <c r="D206" s="27" t="str">
        <f t="shared" si="24"/>
        <v>C00343 : Thioredoxin disulfide</v>
      </c>
    </row>
    <row r="207" spans="1:4">
      <c r="A207" s="11" t="s">
        <v>10807</v>
      </c>
      <c r="B207" s="11" t="s">
        <v>10808</v>
      </c>
      <c r="C207" s="29" t="str">
        <f t="shared" si="26"/>
        <v>C00344:1</v>
      </c>
      <c r="D207" s="27" t="str">
        <f t="shared" si="24"/>
        <v>C00344 : Phosphatidylglycerol</v>
      </c>
    </row>
    <row r="208" spans="1:4">
      <c r="A208" s="11" t="s">
        <v>10809</v>
      </c>
      <c r="B208" s="26" t="s">
        <v>10810</v>
      </c>
      <c r="C208" s="29" t="str">
        <f t="shared" si="26"/>
        <v>C00345:1</v>
      </c>
      <c r="D208" s="27" t="str">
        <f t="shared" si="24"/>
        <v>C00345 : 6-Phospho-D-gluconate</v>
      </c>
    </row>
    <row r="209" spans="1:4">
      <c r="A209" s="11" t="s">
        <v>9331</v>
      </c>
      <c r="B209" s="30" t="s">
        <v>10811</v>
      </c>
      <c r="C209" s="29" t="str">
        <f t="shared" si="26"/>
        <v>C00352:1</v>
      </c>
      <c r="D209" s="27" t="str">
        <f t="shared" si="24"/>
        <v>C00352 : D-Glucosamine 6-phosphate</v>
      </c>
    </row>
    <row r="210" spans="1:4">
      <c r="A210" s="11" t="s">
        <v>10812</v>
      </c>
      <c r="B210" s="30" t="s">
        <v>10813</v>
      </c>
      <c r="C210" s="29" t="str">
        <f t="shared" si="26"/>
        <v>C00354:1</v>
      </c>
      <c r="D210" s="27" t="str">
        <f t="shared" si="24"/>
        <v>C00354 : D-Fructose 1,6-bisphosphate</v>
      </c>
    </row>
    <row r="211" spans="1:4">
      <c r="A211" s="11" t="s">
        <v>10814</v>
      </c>
      <c r="B211" s="26" t="s">
        <v>10815</v>
      </c>
      <c r="C211" s="29" t="str">
        <f t="shared" si="26"/>
        <v>C00356:1</v>
      </c>
      <c r="D211" s="27" t="str">
        <f t="shared" si="24"/>
        <v>C00356 : (S)-3-Hydroxy-3-methylglutaryl-CoA</v>
      </c>
    </row>
    <row r="212" spans="1:4">
      <c r="A212" s="11" t="s">
        <v>9141</v>
      </c>
      <c r="B212" s="30" t="s">
        <v>10816</v>
      </c>
      <c r="C212" s="29" t="str">
        <f t="shared" si="26"/>
        <v>C00357:1</v>
      </c>
      <c r="D212" s="27" t="str">
        <f t="shared" si="24"/>
        <v>C00357 : N-Acetyl-D-glucosamine 6-phosphate</v>
      </c>
    </row>
    <row r="213" spans="1:4">
      <c r="A213" s="11" t="s">
        <v>10817</v>
      </c>
      <c r="B213" s="30" t="s">
        <v>10818</v>
      </c>
      <c r="C213" s="29" t="str">
        <f t="shared" si="26"/>
        <v>C00360:1</v>
      </c>
      <c r="D213" s="27" t="str">
        <f t="shared" si="24"/>
        <v>C00360 : dAMP</v>
      </c>
    </row>
    <row r="214" spans="1:4">
      <c r="A214" s="11" t="s">
        <v>10819</v>
      </c>
      <c r="B214" s="30" t="s">
        <v>10820</v>
      </c>
      <c r="C214" s="29" t="str">
        <f t="shared" si="26"/>
        <v>C00361:1</v>
      </c>
      <c r="D214" s="27" t="str">
        <f t="shared" si="24"/>
        <v>C00361 : dGDP</v>
      </c>
    </row>
    <row r="215" spans="1:4">
      <c r="A215" s="11" t="s">
        <v>10821</v>
      </c>
      <c r="B215" s="30" t="s">
        <v>10822</v>
      </c>
      <c r="C215" s="29" t="str">
        <f t="shared" si="26"/>
        <v>C00362:1</v>
      </c>
      <c r="D215" s="27" t="str">
        <f t="shared" si="24"/>
        <v>C00362 : dGMP</v>
      </c>
    </row>
    <row r="216" spans="1:4">
      <c r="A216" s="11" t="s">
        <v>10823</v>
      </c>
      <c r="B216" s="11" t="s">
        <v>10824</v>
      </c>
      <c r="C216" s="29" t="str">
        <f t="shared" si="26"/>
        <v>C00363:1</v>
      </c>
      <c r="D216" s="27" t="str">
        <f t="shared" si="24"/>
        <v>C00363 : dTDP</v>
      </c>
    </row>
    <row r="217" spans="1:4">
      <c r="A217" s="11" t="s">
        <v>10825</v>
      </c>
      <c r="B217" s="30" t="s">
        <v>10826</v>
      </c>
      <c r="C217" s="29" t="str">
        <f t="shared" ref="C217:C223" si="27">CONCATENATE(A217,":","1")</f>
        <v>C00364:1</v>
      </c>
      <c r="D217" s="27" t="str">
        <f t="shared" si="24"/>
        <v>C00364 : dTMP</v>
      </c>
    </row>
    <row r="218" spans="1:4">
      <c r="A218" s="11" t="s">
        <v>10827</v>
      </c>
      <c r="B218" s="30" t="s">
        <v>10828</v>
      </c>
      <c r="C218" s="29" t="str">
        <f t="shared" si="27"/>
        <v>C00365:1</v>
      </c>
      <c r="D218" s="27" t="str">
        <f t="shared" si="24"/>
        <v>C00365 : dUMP</v>
      </c>
    </row>
    <row r="219" spans="1:4">
      <c r="A219" s="11" t="s">
        <v>9571</v>
      </c>
      <c r="B219" s="30" t="s">
        <v>10829</v>
      </c>
      <c r="C219" s="29" t="str">
        <f t="shared" si="27"/>
        <v>C00369:1</v>
      </c>
      <c r="D219" s="27" t="str">
        <f t="shared" si="24"/>
        <v>C00369 : Starch</v>
      </c>
    </row>
    <row r="220" spans="1:4">
      <c r="A220" s="6" t="s">
        <v>10830</v>
      </c>
      <c r="B220" s="30" t="s">
        <v>10831</v>
      </c>
      <c r="C220" s="29" t="str">
        <f t="shared" si="27"/>
        <v>C00376:1</v>
      </c>
      <c r="D220" s="27" t="str">
        <f t="shared" si="24"/>
        <v>C00376 : Retinal</v>
      </c>
    </row>
    <row r="221" spans="1:4">
      <c r="A221" s="11" t="s">
        <v>10832</v>
      </c>
      <c r="B221" s="30" t="s">
        <v>10833</v>
      </c>
      <c r="C221" s="29" t="str">
        <f t="shared" si="27"/>
        <v>C00378:1</v>
      </c>
      <c r="D221" s="27" t="str">
        <f t="shared" si="24"/>
        <v>C00378 : Thiamine</v>
      </c>
    </row>
    <row r="222" spans="1:4">
      <c r="A222" s="11" t="s">
        <v>10834</v>
      </c>
      <c r="B222" s="11" t="s">
        <v>10835</v>
      </c>
      <c r="C222" s="29" t="str">
        <f t="shared" si="27"/>
        <v>C00379:1</v>
      </c>
      <c r="D222" s="27" t="str">
        <f t="shared" si="24"/>
        <v>C00379 : Xylitol</v>
      </c>
    </row>
    <row r="223" spans="1:4">
      <c r="A223" s="11" t="s">
        <v>10836</v>
      </c>
      <c r="B223" s="11" t="s">
        <v>10837</v>
      </c>
      <c r="C223" s="29" t="str">
        <f t="shared" si="27"/>
        <v>C00380:1</v>
      </c>
      <c r="D223" s="27" t="str">
        <f t="shared" si="24"/>
        <v>C00380 : Cytosine</v>
      </c>
    </row>
    <row r="224" spans="1:4">
      <c r="A224" s="11" t="s">
        <v>10838</v>
      </c>
      <c r="B224" s="30" t="s">
        <v>10839</v>
      </c>
      <c r="C224" s="29" t="str">
        <f t="shared" ref="C224:C231" si="28">CONCATENATE(A224,":","1")</f>
        <v>C00385:1</v>
      </c>
      <c r="D224" s="27" t="str">
        <f t="shared" si="24"/>
        <v>C00385 : Xanthine</v>
      </c>
    </row>
    <row r="225" spans="1:4">
      <c r="A225" s="11" t="s">
        <v>10840</v>
      </c>
      <c r="B225" s="30" t="s">
        <v>10841</v>
      </c>
      <c r="C225" s="29" t="str">
        <f t="shared" si="28"/>
        <v>C00387:1</v>
      </c>
      <c r="D225" s="27" t="str">
        <f t="shared" si="24"/>
        <v>C00387 : Guanosine</v>
      </c>
    </row>
    <row r="226" spans="1:4">
      <c r="A226" s="11" t="s">
        <v>10842</v>
      </c>
      <c r="B226" s="11" t="s">
        <v>10843</v>
      </c>
      <c r="C226" s="29" t="str">
        <f t="shared" si="28"/>
        <v>C00389:1</v>
      </c>
      <c r="D226" s="27" t="str">
        <f t="shared" si="24"/>
        <v>C00389 : Quercetin</v>
      </c>
    </row>
    <row r="227" spans="1:4">
      <c r="A227" s="11" t="s">
        <v>10844</v>
      </c>
      <c r="B227" s="11" t="s">
        <v>10845</v>
      </c>
      <c r="C227" s="29" t="str">
        <f t="shared" si="28"/>
        <v>C00396:1</v>
      </c>
      <c r="D227" s="27" t="str">
        <f t="shared" si="24"/>
        <v>C00396 : Pyrimidine</v>
      </c>
    </row>
    <row r="228" spans="1:4">
      <c r="A228" s="11" t="s">
        <v>10846</v>
      </c>
      <c r="B228" s="30" t="s">
        <v>10847</v>
      </c>
      <c r="C228" s="29" t="str">
        <f t="shared" si="28"/>
        <v>C00405:1</v>
      </c>
      <c r="D228" s="27" t="str">
        <f t="shared" si="24"/>
        <v>C00405 : D-Amino acid</v>
      </c>
    </row>
    <row r="229" spans="1:4">
      <c r="A229" s="11" t="s">
        <v>10848</v>
      </c>
      <c r="B229" s="30" t="s">
        <v>10849</v>
      </c>
      <c r="C229" s="29" t="str">
        <f t="shared" si="28"/>
        <v>C00407:1</v>
      </c>
      <c r="D229" s="27" t="str">
        <f t="shared" si="24"/>
        <v>C00407 : L-Isoleucine</v>
      </c>
    </row>
    <row r="230" spans="1:4">
      <c r="A230" s="11" t="s">
        <v>10850</v>
      </c>
      <c r="B230" s="11" t="s">
        <v>10851</v>
      </c>
      <c r="C230" s="29" t="str">
        <f t="shared" si="28"/>
        <v>C00409:1</v>
      </c>
      <c r="D230" s="27" t="str">
        <f t="shared" si="24"/>
        <v>C00409 : Methanethiol</v>
      </c>
    </row>
    <row r="231" spans="1:4">
      <c r="A231" s="11" t="s">
        <v>10852</v>
      </c>
      <c r="B231" s="11" t="s">
        <v>10853</v>
      </c>
      <c r="C231" s="29" t="str">
        <f t="shared" si="28"/>
        <v>C00414:1</v>
      </c>
      <c r="D231" s="27" t="str">
        <f t="shared" si="24"/>
        <v>C00414 : Cyclohexanone</v>
      </c>
    </row>
    <row r="232" spans="1:4">
      <c r="A232" s="11" t="s">
        <v>10854</v>
      </c>
      <c r="B232" s="30" t="s">
        <v>10855</v>
      </c>
      <c r="C232" s="29" t="str">
        <f t="shared" ref="C232:C237" si="29">CONCATENATE(A232,":","1")</f>
        <v>C00415:1</v>
      </c>
      <c r="D232" s="27" t="str">
        <f t="shared" si="24"/>
        <v>C00415 : Dihydrofolate</v>
      </c>
    </row>
    <row r="233" spans="1:4">
      <c r="A233" s="11" t="s">
        <v>10856</v>
      </c>
      <c r="B233" s="30" t="s">
        <v>10857</v>
      </c>
      <c r="C233" s="29" t="str">
        <f t="shared" si="29"/>
        <v>C00416:1</v>
      </c>
      <c r="D233" s="27" t="str">
        <f t="shared" si="24"/>
        <v>C00416 : Phosphatidate</v>
      </c>
    </row>
    <row r="234" spans="1:4">
      <c r="A234" s="6" t="s">
        <v>10858</v>
      </c>
      <c r="B234" s="30" t="s">
        <v>10859</v>
      </c>
      <c r="C234" s="29" t="str">
        <f t="shared" si="29"/>
        <v>C00418:1</v>
      </c>
      <c r="D234" s="27" t="str">
        <f t="shared" si="24"/>
        <v>C00418 : ( R )-Mevalonate</v>
      </c>
    </row>
    <row r="235" spans="1:4">
      <c r="A235" s="11" t="s">
        <v>10860</v>
      </c>
      <c r="B235" s="11" t="s">
        <v>10861</v>
      </c>
      <c r="C235" s="29" t="str">
        <f t="shared" si="29"/>
        <v>C00424:1</v>
      </c>
      <c r="D235" s="27" t="str">
        <f t="shared" si="24"/>
        <v>C00424 : (S)-Lactaldehyde</v>
      </c>
    </row>
    <row r="236" spans="1:4">
      <c r="A236" s="11" t="s">
        <v>10862</v>
      </c>
      <c r="B236" s="11" t="s">
        <v>10863</v>
      </c>
      <c r="C236" s="29" t="str">
        <f t="shared" si="29"/>
        <v>C00436:1</v>
      </c>
      <c r="D236" s="27" t="str">
        <f t="shared" si="24"/>
        <v>C00436 : N-Carbamoylputrescine</v>
      </c>
    </row>
    <row r="237" spans="1:4">
      <c r="A237" s="11" t="s">
        <v>10864</v>
      </c>
      <c r="B237" s="11" t="s">
        <v>10865</v>
      </c>
      <c r="C237" s="29" t="str">
        <f t="shared" si="29"/>
        <v>C00437:1</v>
      </c>
      <c r="D237" s="27" t="str">
        <f t="shared" si="24"/>
        <v>C00437 : N-Acetylornithine</v>
      </c>
    </row>
    <row r="238" spans="1:4">
      <c r="A238" s="11" t="s">
        <v>9967</v>
      </c>
      <c r="B238" s="30" t="s">
        <v>10866</v>
      </c>
      <c r="C238" s="29" t="str">
        <f t="shared" ref="C238:C243" si="30">CONCATENATE(A238,":","1")</f>
        <v>C00438:1</v>
      </c>
      <c r="D238" s="27" t="str">
        <f t="shared" si="24"/>
        <v>C00438 : N-Carbamoyl-L-aspartate</v>
      </c>
    </row>
    <row r="239" spans="1:4">
      <c r="A239" s="11" t="s">
        <v>10867</v>
      </c>
      <c r="B239" s="30" t="s">
        <v>10868</v>
      </c>
      <c r="C239" s="29" t="str">
        <f t="shared" si="30"/>
        <v>C00441:1</v>
      </c>
      <c r="D239" s="27" t="str">
        <f t="shared" si="24"/>
        <v>C00441 : L-Aspartate 4-semialdehyde</v>
      </c>
    </row>
    <row r="240" spans="1:4">
      <c r="A240" s="11" t="s">
        <v>10869</v>
      </c>
      <c r="B240" s="30" t="s">
        <v>10870</v>
      </c>
      <c r="C240" s="29" t="str">
        <f t="shared" si="30"/>
        <v>C00445:1</v>
      </c>
      <c r="D240" s="27" t="str">
        <f t="shared" si="24"/>
        <v>C00445 : 5,10-Methenyltetrahydrofolate</v>
      </c>
    </row>
    <row r="241" spans="1:9">
      <c r="A241" s="11" t="s">
        <v>10871</v>
      </c>
      <c r="B241" s="30" t="s">
        <v>10872</v>
      </c>
      <c r="C241" s="29" t="str">
        <f t="shared" si="30"/>
        <v>C00446:1</v>
      </c>
      <c r="D241" s="27" t="str">
        <f t="shared" si="24"/>
        <v>C00446 : alpha-D-Galactose 1-phosphate</v>
      </c>
    </row>
    <row r="242" spans="1:9">
      <c r="A242" s="11" t="s">
        <v>10873</v>
      </c>
      <c r="B242" s="30" t="s">
        <v>10874</v>
      </c>
      <c r="C242" s="29" t="str">
        <f t="shared" si="30"/>
        <v>C00447:1</v>
      </c>
      <c r="D242" s="27" t="str">
        <f t="shared" si="24"/>
        <v>C00447 : Sedoheptulose 1,7-bisphosphate</v>
      </c>
    </row>
    <row r="243" spans="1:9">
      <c r="A243" s="11" t="s">
        <v>10875</v>
      </c>
      <c r="B243" s="11" t="s">
        <v>10876</v>
      </c>
      <c r="C243" s="29" t="str">
        <f t="shared" si="30"/>
        <v>C00448:1</v>
      </c>
      <c r="D243" s="27" t="str">
        <f t="shared" si="24"/>
        <v>C00448 : Farnesyl diphosphate</v>
      </c>
    </row>
    <row r="244" spans="1:9">
      <c r="A244" s="11" t="s">
        <v>10877</v>
      </c>
      <c r="B244" s="30" t="s">
        <v>10878</v>
      </c>
      <c r="C244" s="29" t="str">
        <f t="shared" ref="C244:C250" si="31">CONCATENATE(A244,":","1")</f>
        <v>C00454:1</v>
      </c>
      <c r="D244" s="27" t="str">
        <f t="shared" si="24"/>
        <v>C00454 : NDP</v>
      </c>
    </row>
    <row r="245" spans="1:9">
      <c r="A245" s="11" t="s">
        <v>10879</v>
      </c>
      <c r="B245" s="30" t="s">
        <v>10880</v>
      </c>
      <c r="C245" s="29" t="str">
        <f t="shared" si="31"/>
        <v>C00455:1</v>
      </c>
      <c r="D245" s="27" t="str">
        <f t="shared" si="24"/>
        <v>C00455 : Nicotinamide-D-ribonucleotide</v>
      </c>
    </row>
    <row r="246" spans="1:9">
      <c r="A246" s="11" t="s">
        <v>10881</v>
      </c>
      <c r="B246" s="30" t="s">
        <v>10882</v>
      </c>
      <c r="C246" s="29" t="str">
        <f t="shared" si="31"/>
        <v>C00458:1</v>
      </c>
      <c r="D246" s="27" t="str">
        <f t="shared" si="24"/>
        <v>C00458 : dCTP</v>
      </c>
      <c r="I246" s="10"/>
    </row>
    <row r="247" spans="1:9">
      <c r="A247" s="11" t="s">
        <v>10883</v>
      </c>
      <c r="B247" s="30" t="s">
        <v>10884</v>
      </c>
      <c r="C247" s="29" t="str">
        <f t="shared" si="31"/>
        <v>C00459:1</v>
      </c>
      <c r="D247" s="27" t="str">
        <f t="shared" si="24"/>
        <v>C00459 : dTTP</v>
      </c>
    </row>
    <row r="248" spans="1:9">
      <c r="A248" s="11" t="s">
        <v>10885</v>
      </c>
      <c r="B248" s="30" t="s">
        <v>10886</v>
      </c>
      <c r="C248" s="29" t="str">
        <f t="shared" si="31"/>
        <v>C00460:1</v>
      </c>
      <c r="D248" s="27" t="str">
        <f t="shared" si="24"/>
        <v>C00460 : dUTP</v>
      </c>
    </row>
    <row r="249" spans="1:9">
      <c r="A249" s="11" t="s">
        <v>10887</v>
      </c>
      <c r="B249" s="11" t="s">
        <v>10888</v>
      </c>
      <c r="C249" s="29" t="str">
        <f t="shared" si="31"/>
        <v>C00463:1</v>
      </c>
      <c r="D249" s="27" t="str">
        <f t="shared" si="24"/>
        <v>C00463 : 2,3-Benzopyrrole</v>
      </c>
    </row>
    <row r="250" spans="1:9">
      <c r="A250" s="11" t="s">
        <v>10889</v>
      </c>
      <c r="B250" s="11" t="s">
        <v>10890</v>
      </c>
      <c r="C250" s="29" t="str">
        <f t="shared" si="31"/>
        <v>C00468:1</v>
      </c>
      <c r="D250" s="27" t="str">
        <f t="shared" si="24"/>
        <v>C00468 : Estrone</v>
      </c>
    </row>
    <row r="251" spans="1:9">
      <c r="A251" s="6" t="s">
        <v>10891</v>
      </c>
      <c r="B251" s="30" t="s">
        <v>10892</v>
      </c>
      <c r="C251" s="29" t="str">
        <f t="shared" ref="C251:C255" si="32">CONCATENATE(A251,":","1")</f>
        <v>C00469:1</v>
      </c>
      <c r="D251" s="27" t="str">
        <f t="shared" si="24"/>
        <v>C00469 : Ethanol</v>
      </c>
    </row>
    <row r="252" spans="1:9">
      <c r="A252" s="6" t="s">
        <v>10893</v>
      </c>
      <c r="B252" s="30" t="s">
        <v>10894</v>
      </c>
      <c r="C252" s="29" t="str">
        <f t="shared" si="32"/>
        <v>C00473:1</v>
      </c>
      <c r="D252" s="27" t="str">
        <f t="shared" si="24"/>
        <v>C00473 : Retinol</v>
      </c>
    </row>
    <row r="253" spans="1:9">
      <c r="A253" s="11" t="s">
        <v>10895</v>
      </c>
      <c r="B253" s="30" t="s">
        <v>10896</v>
      </c>
      <c r="C253" s="29" t="str">
        <f t="shared" si="32"/>
        <v>C00475:1</v>
      </c>
      <c r="D253" s="27" t="str">
        <f t="shared" si="24"/>
        <v>C00475 : Cytidine</v>
      </c>
    </row>
    <row r="254" spans="1:9">
      <c r="A254" s="11" t="s">
        <v>10897</v>
      </c>
      <c r="B254" s="30" t="s">
        <v>10898</v>
      </c>
      <c r="C254" s="29" t="str">
        <f t="shared" si="32"/>
        <v>C00492:1</v>
      </c>
      <c r="D254" s="27" t="str">
        <f t="shared" si="24"/>
        <v>C00492 : Raffinose</v>
      </c>
    </row>
    <row r="255" spans="1:9" ht="29">
      <c r="A255" s="11" t="s">
        <v>10899</v>
      </c>
      <c r="B255" s="11" t="s">
        <v>10900</v>
      </c>
      <c r="C255" s="29" t="str">
        <f t="shared" si="32"/>
        <v>C00493:1</v>
      </c>
      <c r="D255" s="27" t="str">
        <f t="shared" si="24"/>
        <v>C00493 : 3,4,5-Trihydroxy-1-cyclohexenecarboxylic acid</v>
      </c>
    </row>
    <row r="256" spans="1:9">
      <c r="A256" s="11" t="s">
        <v>10901</v>
      </c>
      <c r="B256" s="30" t="s">
        <v>10902</v>
      </c>
      <c r="C256" s="29" t="str">
        <f t="shared" ref="C256:C261" si="33">CONCATENATE(A256,":","1")</f>
        <v>C00498:1</v>
      </c>
      <c r="D256" s="27" t="str">
        <f t="shared" si="24"/>
        <v>C00498 : ADP-glucose</v>
      </c>
    </row>
    <row r="257" spans="1:9">
      <c r="A257" s="11" t="s">
        <v>10903</v>
      </c>
      <c r="B257" s="30" t="s">
        <v>10904</v>
      </c>
      <c r="C257" s="29" t="str">
        <f t="shared" si="33"/>
        <v>C00504:1</v>
      </c>
      <c r="D257" s="27" t="str">
        <f t="shared" si="24"/>
        <v>C00504 : Folate</v>
      </c>
    </row>
    <row r="258" spans="1:9">
      <c r="A258" s="11" t="s">
        <v>10905</v>
      </c>
      <c r="B258" s="30" t="s">
        <v>10906</v>
      </c>
      <c r="C258" s="29" t="str">
        <f t="shared" si="33"/>
        <v>C00506:1</v>
      </c>
      <c r="D258" s="27" t="str">
        <f t="shared" si="24"/>
        <v>C00506 : L-Cysteate</v>
      </c>
    </row>
    <row r="259" spans="1:9">
      <c r="A259" s="11" t="s">
        <v>10907</v>
      </c>
      <c r="B259" s="11" t="s">
        <v>10908</v>
      </c>
      <c r="C259" s="29" t="str">
        <f t="shared" si="33"/>
        <v>C00509:1</v>
      </c>
      <c r="D259" s="27" t="str">
        <f t="shared" ref="D259:D322" si="34">CONCATENATE(A259," : ",B259)</f>
        <v>C00509 : Naringenin</v>
      </c>
    </row>
    <row r="260" spans="1:9">
      <c r="A260" s="11" t="s">
        <v>7596</v>
      </c>
      <c r="B260" s="11" t="s">
        <v>10909</v>
      </c>
      <c r="C260" s="29" t="str">
        <f t="shared" si="33"/>
        <v>C00518:1</v>
      </c>
      <c r="D260" s="27" t="str">
        <f t="shared" si="34"/>
        <v>C00518 : Hyaluronate</v>
      </c>
    </row>
    <row r="261" spans="1:9">
      <c r="A261" s="11" t="s">
        <v>10910</v>
      </c>
      <c r="B261" s="11" t="s">
        <v>10911</v>
      </c>
      <c r="C261" s="29" t="str">
        <f t="shared" si="33"/>
        <v>C00521:1</v>
      </c>
      <c r="D261" s="27" t="str">
        <f t="shared" si="34"/>
        <v>C00521 : (S)-Limonene</v>
      </c>
      <c r="I261" s="10"/>
    </row>
    <row r="262" spans="1:9">
      <c r="A262" s="11" t="s">
        <v>10912</v>
      </c>
      <c r="B262" s="30" t="s">
        <v>10913</v>
      </c>
      <c r="C262" s="29" t="str">
        <f t="shared" ref="C262:C268" si="35">CONCATENATE(A262,":","1")</f>
        <v>C00526:1</v>
      </c>
      <c r="D262" s="27" t="str">
        <f t="shared" si="34"/>
        <v>C00526 : Deoxyuridine</v>
      </c>
    </row>
    <row r="263" spans="1:9">
      <c r="A263" s="11" t="s">
        <v>10914</v>
      </c>
      <c r="B263" s="30" t="s">
        <v>10915</v>
      </c>
      <c r="C263" s="29" t="str">
        <f t="shared" si="35"/>
        <v>C00530:1</v>
      </c>
      <c r="D263" s="27" t="str">
        <f t="shared" si="34"/>
        <v>C00530 : Hydroquinone</v>
      </c>
    </row>
    <row r="264" spans="1:9">
      <c r="A264" s="11" t="s">
        <v>10916</v>
      </c>
      <c r="B264" s="30" t="s">
        <v>10917</v>
      </c>
      <c r="C264" s="29" t="str">
        <f t="shared" si="35"/>
        <v>C00534:1</v>
      </c>
      <c r="D264" s="27" t="str">
        <f t="shared" si="34"/>
        <v>C00534 : Pyridoxamine</v>
      </c>
    </row>
    <row r="265" spans="1:9">
      <c r="A265" s="11" t="s">
        <v>10918</v>
      </c>
      <c r="B265" s="11" t="s">
        <v>10919</v>
      </c>
      <c r="C265" s="29" t="str">
        <f t="shared" si="35"/>
        <v>C00542:1</v>
      </c>
      <c r="D265" s="27" t="str">
        <f t="shared" si="34"/>
        <v>C00542 : Cystathionine</v>
      </c>
    </row>
    <row r="266" spans="1:9">
      <c r="A266" s="11" t="s">
        <v>10920</v>
      </c>
      <c r="B266" s="11" t="s">
        <v>10921</v>
      </c>
      <c r="C266" s="29" t="str">
        <f t="shared" si="35"/>
        <v>C00546:1</v>
      </c>
      <c r="D266" s="27" t="str">
        <f t="shared" si="34"/>
        <v>C00546 : Methylglyoxal</v>
      </c>
    </row>
    <row r="267" spans="1:9">
      <c r="A267" s="11" t="s">
        <v>10922</v>
      </c>
      <c r="B267" s="11" t="s">
        <v>10923</v>
      </c>
      <c r="C267" s="29" t="str">
        <f t="shared" si="35"/>
        <v>C00556:1</v>
      </c>
      <c r="D267" s="27" t="str">
        <f t="shared" si="34"/>
        <v>C00556 : Benzyl alcohol</v>
      </c>
    </row>
    <row r="268" spans="1:9">
      <c r="A268" s="11" t="s">
        <v>10924</v>
      </c>
      <c r="B268" s="11" t="s">
        <v>10925</v>
      </c>
      <c r="C268" s="29" t="str">
        <f t="shared" si="35"/>
        <v>C00557:1</v>
      </c>
      <c r="D268" s="27" t="str">
        <f t="shared" si="34"/>
        <v>C00557 : Cyclopentanone</v>
      </c>
    </row>
    <row r="269" spans="1:9">
      <c r="A269" s="11" t="s">
        <v>10926</v>
      </c>
      <c r="B269" s="30" t="s">
        <v>10927</v>
      </c>
      <c r="C269" s="29" t="str">
        <f t="shared" ref="C269:C274" si="36">CONCATENATE(A269,":","1")</f>
        <v>C00559:1</v>
      </c>
      <c r="D269" s="27" t="str">
        <f t="shared" si="34"/>
        <v>C00559 : Deoxyadenosine</v>
      </c>
    </row>
    <row r="270" spans="1:9">
      <c r="A270" s="11" t="s">
        <v>10928</v>
      </c>
      <c r="B270" s="11" t="s">
        <v>10929</v>
      </c>
      <c r="C270" s="29" t="str">
        <f t="shared" si="36"/>
        <v>C00561:1</v>
      </c>
      <c r="D270" s="27" t="str">
        <f t="shared" si="34"/>
        <v>C00561 : Mandelonitrile</v>
      </c>
    </row>
    <row r="271" spans="1:9">
      <c r="A271" s="11" t="s">
        <v>10930</v>
      </c>
      <c r="B271" s="11" t="s">
        <v>10931</v>
      </c>
      <c r="C271" s="29" t="str">
        <f t="shared" si="36"/>
        <v>C00562:1</v>
      </c>
      <c r="D271" s="27" t="str">
        <f t="shared" si="34"/>
        <v>C00562 : Phosphoprotein</v>
      </c>
    </row>
    <row r="272" spans="1:9">
      <c r="A272" s="11" t="s">
        <v>10932</v>
      </c>
      <c r="B272" s="11" t="s">
        <v>10933</v>
      </c>
      <c r="C272" s="29" t="str">
        <f t="shared" si="36"/>
        <v>C00568:1</v>
      </c>
      <c r="D272" s="27" t="str">
        <f t="shared" si="34"/>
        <v>C00568 : 4-Aminobenzoate</v>
      </c>
    </row>
    <row r="273" spans="1:9">
      <c r="A273" s="6" t="s">
        <v>10934</v>
      </c>
      <c r="B273" s="30" t="s">
        <v>10935</v>
      </c>
      <c r="C273" s="29" t="str">
        <f t="shared" si="36"/>
        <v>C00576:1</v>
      </c>
      <c r="D273" s="27" t="str">
        <f t="shared" si="34"/>
        <v>C00576 : Betaine aldehyde</v>
      </c>
    </row>
    <row r="274" spans="1:9">
      <c r="A274" s="11" t="s">
        <v>10936</v>
      </c>
      <c r="B274" s="11" t="s">
        <v>10937</v>
      </c>
      <c r="C274" s="29" t="str">
        <f t="shared" si="36"/>
        <v>C00577:1</v>
      </c>
      <c r="D274" s="27" t="str">
        <f t="shared" si="34"/>
        <v>C00577 : D-Glyceraldehyde</v>
      </c>
    </row>
    <row r="275" spans="1:9">
      <c r="A275" s="11" t="s">
        <v>10938</v>
      </c>
      <c r="B275" s="11" t="s">
        <v>10939</v>
      </c>
      <c r="C275" s="9" t="str">
        <f>CONCATENATE(A275,":","1000")</f>
        <v>C00579:1000</v>
      </c>
      <c r="D275" s="27" t="str">
        <f t="shared" si="34"/>
        <v>C00579 : Dihydrolipoamide</v>
      </c>
    </row>
    <row r="276" spans="1:9">
      <c r="A276" s="11" t="s">
        <v>10940</v>
      </c>
      <c r="B276" s="11" t="s">
        <v>10941</v>
      </c>
      <c r="C276" s="29" t="str">
        <f t="shared" ref="C276:C279" si="37">CONCATENATE(A276,":","1")</f>
        <v>C00583:1</v>
      </c>
      <c r="D276" s="27" t="str">
        <f t="shared" si="34"/>
        <v>C00583 : Propane-1,2-diol</v>
      </c>
    </row>
    <row r="277" spans="1:9">
      <c r="A277" s="11" t="s">
        <v>10942</v>
      </c>
      <c r="B277" s="30" t="s">
        <v>10935</v>
      </c>
      <c r="C277" s="29" t="str">
        <f t="shared" si="37"/>
        <v>C00585:1</v>
      </c>
      <c r="D277" s="27" t="str">
        <f t="shared" si="34"/>
        <v>C00585 : Betaine aldehyde</v>
      </c>
    </row>
    <row r="278" spans="1:9">
      <c r="A278" s="11" t="s">
        <v>10943</v>
      </c>
      <c r="B278" s="11" t="s">
        <v>10944</v>
      </c>
      <c r="C278" s="29" t="str">
        <f t="shared" si="37"/>
        <v>C00588:1</v>
      </c>
      <c r="D278" s="27" t="str">
        <f t="shared" si="34"/>
        <v>C00588 : Choline phosphate</v>
      </c>
      <c r="I278" s="10"/>
    </row>
    <row r="279" spans="1:9">
      <c r="A279" s="11" t="s">
        <v>10945</v>
      </c>
      <c r="B279" s="11" t="s">
        <v>10946</v>
      </c>
      <c r="C279" s="29" t="str">
        <f t="shared" si="37"/>
        <v>C00601:1</v>
      </c>
      <c r="D279" s="27" t="str">
        <f t="shared" si="34"/>
        <v>C00601 : Phenylacetaldehyde</v>
      </c>
      <c r="I279" s="10"/>
    </row>
    <row r="280" spans="1:9">
      <c r="A280" s="11" t="s">
        <v>10947</v>
      </c>
      <c r="B280" s="30" t="s">
        <v>10948</v>
      </c>
      <c r="C280" s="29" t="str">
        <f t="shared" ref="C280:C289" si="38">CONCATENATE(A280,":","1")</f>
        <v>C00606:1</v>
      </c>
      <c r="D280" s="27" t="str">
        <f t="shared" si="34"/>
        <v>C00606 : 3-Sulfino-L-alanine</v>
      </c>
    </row>
    <row r="281" spans="1:9">
      <c r="A281" s="11" t="s">
        <v>10949</v>
      </c>
      <c r="B281" s="30" t="s">
        <v>10950</v>
      </c>
      <c r="C281" s="29" t="str">
        <f t="shared" si="38"/>
        <v>C00615:1</v>
      </c>
      <c r="D281" s="27" t="str">
        <f t="shared" si="34"/>
        <v>C00615 : Protein histidine</v>
      </c>
    </row>
    <row r="282" spans="1:9">
      <c r="A282" s="11" t="s">
        <v>9436</v>
      </c>
      <c r="B282" s="11" t="s">
        <v>10951</v>
      </c>
      <c r="C282" s="29" t="str">
        <f t="shared" si="38"/>
        <v>C00620:1</v>
      </c>
      <c r="D282" s="27" t="str">
        <f t="shared" si="34"/>
        <v>C00620 : alpha-D-Ribose 1-phosphate</v>
      </c>
    </row>
    <row r="283" spans="1:9">
      <c r="A283" s="11" t="s">
        <v>10952</v>
      </c>
      <c r="B283" s="30" t="s">
        <v>10953</v>
      </c>
      <c r="C283" s="29" t="str">
        <f t="shared" si="38"/>
        <v>C00627:1</v>
      </c>
      <c r="D283" s="27" t="str">
        <f t="shared" si="34"/>
        <v>C00627 : Pyridoxine phosphate</v>
      </c>
    </row>
    <row r="284" spans="1:9">
      <c r="A284" s="11" t="s">
        <v>9905</v>
      </c>
      <c r="B284" s="30" t="s">
        <v>10954</v>
      </c>
      <c r="C284" s="29" t="str">
        <f t="shared" si="38"/>
        <v>C00631:1</v>
      </c>
      <c r="D284" s="27" t="str">
        <f t="shared" si="34"/>
        <v>C00631 : 2-Phospho-D-glycerate</v>
      </c>
    </row>
    <row r="285" spans="1:9">
      <c r="A285" s="11" t="s">
        <v>9445</v>
      </c>
      <c r="B285" s="11" t="s">
        <v>10955</v>
      </c>
      <c r="C285" s="29" t="str">
        <f t="shared" si="38"/>
        <v>C00636:1</v>
      </c>
      <c r="D285" s="27" t="str">
        <f t="shared" si="34"/>
        <v>C00636 : D-Mannose 1-phosphate</v>
      </c>
    </row>
    <row r="286" spans="1:9">
      <c r="A286" s="11" t="s">
        <v>10956</v>
      </c>
      <c r="B286" s="11" t="s">
        <v>10957</v>
      </c>
      <c r="C286" s="29" t="str">
        <f t="shared" si="38"/>
        <v>C00638:1</v>
      </c>
      <c r="D286" s="27" t="str">
        <f t="shared" si="34"/>
        <v>C00638 : Long-chain fatty acid</v>
      </c>
    </row>
    <row r="287" spans="1:9">
      <c r="A287" s="11" t="s">
        <v>7383</v>
      </c>
      <c r="B287" s="11" t="s">
        <v>10958</v>
      </c>
      <c r="C287" s="29" t="str">
        <f t="shared" si="38"/>
        <v>C00640:1</v>
      </c>
      <c r="D287" s="27" t="str">
        <f t="shared" si="34"/>
        <v>C00640 : (3S)-3-Hydroxyacyl-CoA</v>
      </c>
    </row>
    <row r="288" spans="1:9">
      <c r="A288" s="11" t="s">
        <v>10959</v>
      </c>
      <c r="B288" s="11" t="s">
        <v>10960</v>
      </c>
      <c r="C288" s="29" t="str">
        <f t="shared" si="38"/>
        <v>C00641:1</v>
      </c>
      <c r="D288" s="27" t="str">
        <f t="shared" si="34"/>
        <v>C00641 : 1,2-Diacyl-sn-glycerol</v>
      </c>
    </row>
    <row r="289" spans="1:9">
      <c r="A289" s="11" t="s">
        <v>10961</v>
      </c>
      <c r="B289" s="11" t="s">
        <v>10962</v>
      </c>
      <c r="C289" s="29" t="str">
        <f t="shared" si="38"/>
        <v>C00642:1</v>
      </c>
      <c r="D289" s="27" t="str">
        <f t="shared" si="34"/>
        <v>C00642 : 4-Hydroxyphenylacetate</v>
      </c>
    </row>
    <row r="290" spans="1:9">
      <c r="A290" s="11" t="s">
        <v>10963</v>
      </c>
      <c r="B290" s="30" t="s">
        <v>10964</v>
      </c>
      <c r="C290" s="29" t="str">
        <f t="shared" ref="C290:C294" si="39">CONCATENATE(A290,":","1")</f>
        <v>C00645:1</v>
      </c>
      <c r="D290" s="27" t="str">
        <f t="shared" si="34"/>
        <v>C00645 : N-Acetyl-D-mannosamine</v>
      </c>
    </row>
    <row r="291" spans="1:9">
      <c r="A291" s="11" t="s">
        <v>10965</v>
      </c>
      <c r="B291" s="30" t="s">
        <v>10966</v>
      </c>
      <c r="C291" s="29" t="str">
        <f t="shared" si="39"/>
        <v>C00647:1</v>
      </c>
      <c r="D291" s="27" t="str">
        <f t="shared" si="34"/>
        <v>C00647 : Pyridoxamine phosphate</v>
      </c>
    </row>
    <row r="292" spans="1:9">
      <c r="A292" s="11" t="s">
        <v>10967</v>
      </c>
      <c r="B292" s="30" t="s">
        <v>10968</v>
      </c>
      <c r="C292" s="29" t="str">
        <f t="shared" si="39"/>
        <v>C00653:1</v>
      </c>
      <c r="D292" s="27" t="str">
        <f t="shared" si="34"/>
        <v>C00653 : Poly(ribitol phosphate)</v>
      </c>
    </row>
    <row r="293" spans="1:9">
      <c r="A293" s="11" t="s">
        <v>10969</v>
      </c>
      <c r="B293" s="30" t="s">
        <v>10970</v>
      </c>
      <c r="C293" s="29" t="str">
        <f t="shared" si="39"/>
        <v>C00655:1</v>
      </c>
      <c r="D293" s="27" t="str">
        <f t="shared" si="34"/>
        <v>C00655 : Xanthosine 5'-phosphate</v>
      </c>
    </row>
    <row r="294" spans="1:9">
      <c r="A294" s="11" t="s">
        <v>10971</v>
      </c>
      <c r="B294" s="11" t="s">
        <v>10972</v>
      </c>
      <c r="C294" s="29" t="str">
        <f t="shared" si="39"/>
        <v>C00658:1</v>
      </c>
      <c r="D294" s="27" t="str">
        <f t="shared" si="34"/>
        <v>C00658 : trans-2,3-Dehydroacyl-CoA</v>
      </c>
    </row>
    <row r="295" spans="1:9">
      <c r="A295" s="11" t="s">
        <v>10973</v>
      </c>
      <c r="B295" s="11" t="s">
        <v>10974</v>
      </c>
      <c r="C295" s="9" t="str">
        <f>CONCATENATE(A295,":","1000")</f>
        <v>C00662:1000</v>
      </c>
      <c r="D295" s="27" t="str">
        <f t="shared" si="34"/>
        <v>C00662 : Reduced adrenal ferredoxin</v>
      </c>
    </row>
    <row r="296" spans="1:9">
      <c r="A296" s="11" t="s">
        <v>10975</v>
      </c>
      <c r="B296" s="11" t="s">
        <v>10976</v>
      </c>
      <c r="C296" s="9" t="str">
        <f>CONCATENATE(A296,":","1000")</f>
        <v>C00667:1000</v>
      </c>
      <c r="D296" s="27" t="str">
        <f t="shared" si="34"/>
        <v>C00667 : Oxidized adrenal ferredoxin</v>
      </c>
    </row>
    <row r="297" spans="1:9">
      <c r="A297" s="11" t="s">
        <v>8547</v>
      </c>
      <c r="B297" s="30" t="s">
        <v>10977</v>
      </c>
      <c r="C297" s="29" t="str">
        <f t="shared" ref="C297:C308" si="40">CONCATENATE(A297,":","1")</f>
        <v>C00668:1</v>
      </c>
      <c r="D297" s="27" t="str">
        <f t="shared" si="34"/>
        <v>C00668 : alpha-D-Glucose 6-phosphate</v>
      </c>
    </row>
    <row r="298" spans="1:9">
      <c r="A298" s="11" t="s">
        <v>10978</v>
      </c>
      <c r="B298" s="11" t="s">
        <v>10979</v>
      </c>
      <c r="C298" s="29" t="str">
        <f t="shared" si="40"/>
        <v>C00670:1</v>
      </c>
      <c r="D298" s="27" t="str">
        <f t="shared" si="34"/>
        <v>C00670 : Glycerophosphocholine</v>
      </c>
    </row>
    <row r="299" spans="1:9">
      <c r="A299" s="11" t="s">
        <v>10980</v>
      </c>
      <c r="B299" s="30" t="s">
        <v>10981</v>
      </c>
      <c r="C299" s="29" t="str">
        <f t="shared" si="40"/>
        <v>C00671:1</v>
      </c>
      <c r="D299" s="27" t="str">
        <f t="shared" si="34"/>
        <v>C00671 : (S)-3-Methyl-2-oxopentanoic acid</v>
      </c>
    </row>
    <row r="300" spans="1:9">
      <c r="A300" s="11" t="s">
        <v>10333</v>
      </c>
      <c r="B300" s="11" t="s">
        <v>10982</v>
      </c>
      <c r="C300" s="29" t="str">
        <f t="shared" si="40"/>
        <v>C00672:1</v>
      </c>
      <c r="D300" s="27" t="str">
        <f t="shared" si="34"/>
        <v>C00672 : 2-Deoxy-D-ribose 1-phosphate</v>
      </c>
      <c r="I300" s="10"/>
    </row>
    <row r="301" spans="1:9">
      <c r="A301" s="11" t="s">
        <v>10302</v>
      </c>
      <c r="B301" s="30" t="s">
        <v>10983</v>
      </c>
      <c r="C301" s="29" t="str">
        <f t="shared" si="40"/>
        <v>C00673:1</v>
      </c>
      <c r="D301" s="27" t="str">
        <f t="shared" si="34"/>
        <v>C00673 : 2-Deoxy-D-ribose 5-phosphate</v>
      </c>
    </row>
    <row r="302" spans="1:9">
      <c r="A302" s="11" t="s">
        <v>10984</v>
      </c>
      <c r="B302" s="30" t="s">
        <v>10985</v>
      </c>
      <c r="C302" s="29" t="str">
        <f t="shared" si="40"/>
        <v>C00677:1</v>
      </c>
      <c r="D302" s="27" t="str">
        <f t="shared" si="34"/>
        <v>C00677 : Deoxynucleoside triphosphate</v>
      </c>
    </row>
    <row r="303" spans="1:9">
      <c r="A303" s="11" t="s">
        <v>8697</v>
      </c>
      <c r="B303" s="30" t="s">
        <v>10986</v>
      </c>
      <c r="C303" s="29" t="str">
        <f t="shared" si="40"/>
        <v>C00680:1</v>
      </c>
      <c r="D303" s="27" t="str">
        <f t="shared" si="34"/>
        <v>C00680 : meso-2,6-Diaminoheptanedioate</v>
      </c>
    </row>
    <row r="304" spans="1:9">
      <c r="A304" s="11" t="s">
        <v>8043</v>
      </c>
      <c r="B304" s="11" t="s">
        <v>10987</v>
      </c>
      <c r="C304" s="29" t="str">
        <f t="shared" si="40"/>
        <v>C00682:1</v>
      </c>
      <c r="D304" s="27" t="str">
        <f t="shared" si="34"/>
        <v>C00682 : 2-Hydroxymuconate semialdehyde</v>
      </c>
    </row>
    <row r="305" spans="1:4">
      <c r="A305" s="11" t="s">
        <v>10988</v>
      </c>
      <c r="B305" s="11" t="s">
        <v>10989</v>
      </c>
      <c r="C305" s="29" t="str">
        <f t="shared" si="40"/>
        <v>C00685:1</v>
      </c>
      <c r="D305" s="27" t="str">
        <f t="shared" si="34"/>
        <v>C00685 : 3-Oxoacyl-[acyl-carrier protein]</v>
      </c>
    </row>
    <row r="306" spans="1:4">
      <c r="A306" s="11" t="s">
        <v>9138</v>
      </c>
      <c r="B306" s="11" t="s">
        <v>10990</v>
      </c>
      <c r="C306" s="29" t="str">
        <f t="shared" si="40"/>
        <v>C00686:1</v>
      </c>
      <c r="D306" s="27" t="str">
        <f t="shared" si="34"/>
        <v>C00686 : N-Acyl-D-mannosamine 6-phosphate</v>
      </c>
    </row>
    <row r="307" spans="1:4">
      <c r="A307" s="11" t="s">
        <v>7531</v>
      </c>
      <c r="B307" s="11" t="s">
        <v>10991</v>
      </c>
      <c r="C307" s="29" t="str">
        <f t="shared" si="40"/>
        <v>C00688:1</v>
      </c>
      <c r="D307" s="27" t="str">
        <f t="shared" si="34"/>
        <v>C00688 : dTDP-4-dehydro-beta-L-rhamnose</v>
      </c>
    </row>
    <row r="308" spans="1:4">
      <c r="A308" s="11" t="s">
        <v>10992</v>
      </c>
      <c r="B308" s="11" t="s">
        <v>10993</v>
      </c>
      <c r="C308" s="29" t="str">
        <f t="shared" si="40"/>
        <v>C00689:1</v>
      </c>
      <c r="D308" s="27" t="str">
        <f t="shared" si="34"/>
        <v>C00689 : Trehalose 6-phosphate</v>
      </c>
    </row>
    <row r="309" spans="1:4" ht="29">
      <c r="A309" s="11" t="s">
        <v>10994</v>
      </c>
      <c r="B309" s="30" t="s">
        <v>10995</v>
      </c>
      <c r="C309" s="29" t="str">
        <f t="shared" ref="C309:C316" si="41">CONCATENATE(A309,":","1")</f>
        <v>C00692:1</v>
      </c>
      <c r="D309" s="27" t="str">
        <f t="shared" si="34"/>
        <v>C00692 : UDP-N-acetylmuramoyl-L-alanyl-D-glutamate</v>
      </c>
    </row>
    <row r="310" spans="1:4">
      <c r="A310" s="11" t="s">
        <v>10996</v>
      </c>
      <c r="B310" s="11" t="s">
        <v>10997</v>
      </c>
      <c r="C310" s="29" t="str">
        <f t="shared" si="41"/>
        <v>C00703:1</v>
      </c>
      <c r="D310" s="27" t="str">
        <f t="shared" si="34"/>
        <v>C00703 : Mercury(2+)</v>
      </c>
    </row>
    <row r="311" spans="1:4">
      <c r="A311" s="11" t="s">
        <v>10998</v>
      </c>
      <c r="B311" s="11" t="s">
        <v>10999</v>
      </c>
      <c r="C311" s="29" t="str">
        <f t="shared" si="41"/>
        <v>C00704:1</v>
      </c>
      <c r="D311" s="27" t="str">
        <f t="shared" si="34"/>
        <v>C00704 : Superoxide</v>
      </c>
    </row>
    <row r="312" spans="1:4">
      <c r="A312" s="11" t="s">
        <v>11000</v>
      </c>
      <c r="B312" s="30" t="s">
        <v>11001</v>
      </c>
      <c r="C312" s="29" t="str">
        <f t="shared" si="41"/>
        <v>C00705:1</v>
      </c>
      <c r="D312" s="27" t="str">
        <f t="shared" si="34"/>
        <v>C00705 : dCDP</v>
      </c>
    </row>
    <row r="313" spans="1:4">
      <c r="A313" s="11" t="s">
        <v>11002</v>
      </c>
      <c r="B313" s="30" t="s">
        <v>11003</v>
      </c>
      <c r="C313" s="29" t="str">
        <f t="shared" si="41"/>
        <v>C00712:1</v>
      </c>
      <c r="D313" s="27" t="str">
        <f t="shared" si="34"/>
        <v>C00712 : (9Z)-Octadecenoic acid</v>
      </c>
    </row>
    <row r="314" spans="1:4">
      <c r="A314" s="11" t="s">
        <v>9877</v>
      </c>
      <c r="B314" s="30" t="s">
        <v>11004</v>
      </c>
      <c r="C314" s="29" t="str">
        <f t="shared" si="41"/>
        <v>C00718:1</v>
      </c>
      <c r="D314" s="27" t="str">
        <f t="shared" si="34"/>
        <v>C00718 : Amylose</v>
      </c>
    </row>
    <row r="315" spans="1:4">
      <c r="A315" s="11" t="s">
        <v>11005</v>
      </c>
      <c r="B315" s="11" t="s">
        <v>11006</v>
      </c>
      <c r="C315" s="29" t="str">
        <f t="shared" si="41"/>
        <v>C00721:1</v>
      </c>
      <c r="D315" s="27" t="str">
        <f t="shared" si="34"/>
        <v>C00721 : Dextrin</v>
      </c>
    </row>
    <row r="316" spans="1:4">
      <c r="A316" s="11" t="s">
        <v>11007</v>
      </c>
      <c r="B316" s="11" t="s">
        <v>11008</v>
      </c>
      <c r="C316" s="29" t="str">
        <f t="shared" si="41"/>
        <v>C00740:1</v>
      </c>
      <c r="D316" s="27" t="str">
        <f t="shared" si="34"/>
        <v>C00740 : D-Serine</v>
      </c>
    </row>
    <row r="317" spans="1:4">
      <c r="A317" s="6" t="s">
        <v>11009</v>
      </c>
      <c r="B317" s="30" t="s">
        <v>11010</v>
      </c>
      <c r="C317" s="29" t="str">
        <f t="shared" ref="C317:C326" si="42">CONCATENATE(A317,":","1")</f>
        <v>C00756:1</v>
      </c>
      <c r="D317" s="27" t="str">
        <f t="shared" si="34"/>
        <v>C00756 : 1-Octanol</v>
      </c>
    </row>
    <row r="318" spans="1:4">
      <c r="A318" s="11" t="s">
        <v>11011</v>
      </c>
      <c r="B318" s="11" t="s">
        <v>11012</v>
      </c>
      <c r="C318" s="29" t="str">
        <f t="shared" si="42"/>
        <v>C00770:1</v>
      </c>
      <c r="D318" s="27" t="str">
        <f t="shared" si="34"/>
        <v>C00770 : L-Idonate</v>
      </c>
    </row>
    <row r="319" spans="1:4">
      <c r="A319" s="6" t="s">
        <v>11013</v>
      </c>
      <c r="B319" s="30" t="s">
        <v>11014</v>
      </c>
      <c r="C319" s="29" t="str">
        <f t="shared" si="42"/>
        <v>C00772:1</v>
      </c>
      <c r="D319" s="27" t="str">
        <f t="shared" si="34"/>
        <v>C00772 : Mevaldate</v>
      </c>
    </row>
    <row r="320" spans="1:4">
      <c r="A320" s="11" t="s">
        <v>11015</v>
      </c>
      <c r="B320" s="30" t="s">
        <v>11016</v>
      </c>
      <c r="C320" s="29" t="str">
        <f t="shared" si="42"/>
        <v>C00787:1</v>
      </c>
      <c r="D320" s="27" t="str">
        <f t="shared" si="34"/>
        <v>C00787 : tRNA(Tyr)</v>
      </c>
    </row>
    <row r="321" spans="1:4">
      <c r="A321" s="11" t="s">
        <v>11017</v>
      </c>
      <c r="B321" s="11" t="s">
        <v>11018</v>
      </c>
      <c r="C321" s="29" t="str">
        <f t="shared" si="42"/>
        <v>C00794:1</v>
      </c>
      <c r="D321" s="27" t="str">
        <f t="shared" si="34"/>
        <v>C00794 : D-Sorbitol</v>
      </c>
    </row>
    <row r="322" spans="1:4">
      <c r="A322" s="11" t="s">
        <v>11019</v>
      </c>
      <c r="B322" s="11" t="s">
        <v>11020</v>
      </c>
      <c r="C322" s="29" t="str">
        <f t="shared" si="42"/>
        <v>C00797:1</v>
      </c>
      <c r="D322" s="27" t="str">
        <f t="shared" si="34"/>
        <v>C00797 : Ethylamine</v>
      </c>
    </row>
    <row r="323" spans="1:4">
      <c r="A323" s="11" t="s">
        <v>11021</v>
      </c>
      <c r="B323" s="11" t="s">
        <v>11022</v>
      </c>
      <c r="C323" s="29" t="str">
        <f t="shared" si="42"/>
        <v>C00800:1</v>
      </c>
      <c r="D323" s="27" t="str">
        <f t="shared" ref="D323:D386" si="43">CONCATENATE(A323," : ",B323)</f>
        <v>C00800 : L-Gulonate</v>
      </c>
    </row>
    <row r="324" spans="1:4">
      <c r="A324" s="11" t="s">
        <v>11023</v>
      </c>
      <c r="B324" s="11" t="s">
        <v>11024</v>
      </c>
      <c r="C324" s="29" t="str">
        <f t="shared" si="42"/>
        <v>C00810:1</v>
      </c>
      <c r="D324" s="27" t="str">
        <f t="shared" si="43"/>
        <v>C00810 : (R)-Acetoin</v>
      </c>
    </row>
    <row r="325" spans="1:4">
      <c r="A325" s="11" t="s">
        <v>11025</v>
      </c>
      <c r="B325" s="11" t="s">
        <v>11026</v>
      </c>
      <c r="C325" s="29" t="str">
        <f t="shared" si="42"/>
        <v>C00821:1</v>
      </c>
      <c r="D325" s="27" t="str">
        <f t="shared" si="43"/>
        <v>C00821 : DNA adenine</v>
      </c>
    </row>
    <row r="326" spans="1:4">
      <c r="A326" s="11" t="s">
        <v>9629</v>
      </c>
      <c r="B326" s="11" t="s">
        <v>11027</v>
      </c>
      <c r="C326" s="29" t="str">
        <f t="shared" si="42"/>
        <v>C00826:1</v>
      </c>
      <c r="D326" s="27" t="str">
        <f t="shared" si="43"/>
        <v>C00826 : L-Arogenate</v>
      </c>
    </row>
    <row r="327" spans="1:4">
      <c r="A327" s="11" t="s">
        <v>11028</v>
      </c>
      <c r="B327" s="30" t="s">
        <v>11029</v>
      </c>
      <c r="C327" s="29" t="str">
        <f t="shared" ref="C327:C332" si="44">CONCATENATE(A327,":","1")</f>
        <v>C00831:1</v>
      </c>
      <c r="D327" s="27" t="str">
        <f t="shared" si="43"/>
        <v>C00831 : Pantethiene</v>
      </c>
    </row>
    <row r="328" spans="1:4">
      <c r="A328" s="11" t="s">
        <v>7525</v>
      </c>
      <c r="B328" s="30" t="s">
        <v>11030</v>
      </c>
      <c r="C328" s="29" t="str">
        <f t="shared" si="44"/>
        <v>C00842:1</v>
      </c>
      <c r="D328" s="27" t="str">
        <f t="shared" si="43"/>
        <v>C00842 : dTDP-glucose</v>
      </c>
    </row>
    <row r="329" spans="1:4">
      <c r="A329" s="11" t="s">
        <v>11031</v>
      </c>
      <c r="B329" s="11" t="s">
        <v>11032</v>
      </c>
      <c r="C329" s="29" t="str">
        <f t="shared" si="44"/>
        <v>C00844:1</v>
      </c>
      <c r="D329" s="27" t="str">
        <f t="shared" si="43"/>
        <v>C00844 : Prunasin</v>
      </c>
    </row>
    <row r="330" spans="1:4">
      <c r="A330" s="11" t="s">
        <v>11033</v>
      </c>
      <c r="B330" s="11" t="s">
        <v>11034</v>
      </c>
      <c r="C330" s="29" t="str">
        <f t="shared" si="44"/>
        <v>C00850:1</v>
      </c>
      <c r="D330" s="27" t="str">
        <f t="shared" si="43"/>
        <v>C00850 : Aryl sulfate</v>
      </c>
    </row>
    <row r="331" spans="1:4">
      <c r="A331" s="11" t="s">
        <v>11035</v>
      </c>
      <c r="B331" s="11" t="s">
        <v>11036</v>
      </c>
      <c r="C331" s="29" t="str">
        <f t="shared" si="44"/>
        <v>C00854:1</v>
      </c>
      <c r="D331" s="27" t="str">
        <f t="shared" si="43"/>
        <v>C00854 : Cyclohexanol</v>
      </c>
    </row>
    <row r="332" spans="1:4">
      <c r="A332" s="11" t="s">
        <v>11037</v>
      </c>
      <c r="B332" s="11" t="s">
        <v>11038</v>
      </c>
      <c r="C332" s="29" t="str">
        <f t="shared" si="44"/>
        <v>C00856:1</v>
      </c>
      <c r="D332" s="27" t="str">
        <f t="shared" si="43"/>
        <v>C00856 : DNA cytosine</v>
      </c>
    </row>
    <row r="333" spans="1:4">
      <c r="A333" s="11" t="s">
        <v>11039</v>
      </c>
      <c r="B333" s="30" t="s">
        <v>11040</v>
      </c>
      <c r="C333" s="29" t="str">
        <f t="shared" ref="C333:C337" si="45">CONCATENATE(A333,":","1")</f>
        <v>C00857:1</v>
      </c>
      <c r="D333" s="27" t="str">
        <f t="shared" si="43"/>
        <v>C00857 : Deamino-NAD+</v>
      </c>
    </row>
    <row r="334" spans="1:4">
      <c r="A334" s="11" t="s">
        <v>11041</v>
      </c>
      <c r="B334" s="11" t="s">
        <v>11042</v>
      </c>
      <c r="C334" s="29" t="str">
        <f t="shared" si="45"/>
        <v>C00861:1</v>
      </c>
      <c r="D334" s="27" t="str">
        <f t="shared" si="43"/>
        <v>C00861 : L-Rhamnulose</v>
      </c>
    </row>
    <row r="335" spans="1:4">
      <c r="A335" s="11" t="s">
        <v>11043</v>
      </c>
      <c r="B335" s="30" t="s">
        <v>11044</v>
      </c>
      <c r="C335" s="29" t="str">
        <f t="shared" si="45"/>
        <v>C00864:1</v>
      </c>
      <c r="D335" s="27" t="str">
        <f t="shared" si="43"/>
        <v>C00864 : Pantothenate</v>
      </c>
    </row>
    <row r="336" spans="1:4">
      <c r="A336" s="11" t="s">
        <v>9226</v>
      </c>
      <c r="B336" s="30" t="s">
        <v>11045</v>
      </c>
      <c r="C336" s="29" t="str">
        <f t="shared" si="45"/>
        <v>C00868:1</v>
      </c>
      <c r="D336" s="27" t="str">
        <f t="shared" si="43"/>
        <v>C00868 : tRNA uridine</v>
      </c>
    </row>
    <row r="337" spans="1:9">
      <c r="A337" s="11" t="s">
        <v>11046</v>
      </c>
      <c r="B337" s="11" t="s">
        <v>11047</v>
      </c>
      <c r="C337" s="29" t="str">
        <f t="shared" si="45"/>
        <v>C00877:1</v>
      </c>
      <c r="D337" s="27" t="str">
        <f t="shared" si="43"/>
        <v>C00877 : Crotonoyl-CoA</v>
      </c>
    </row>
    <row r="338" spans="1:9">
      <c r="A338" s="11" t="s">
        <v>11048</v>
      </c>
      <c r="B338" s="30" t="s">
        <v>11049</v>
      </c>
      <c r="C338" s="29" t="str">
        <f t="shared" ref="C338:C342" si="46">CONCATENATE(A338,":","1")</f>
        <v>C00881:1</v>
      </c>
      <c r="D338" s="27" t="str">
        <f t="shared" si="43"/>
        <v>C00881 : Deoxycytidine</v>
      </c>
    </row>
    <row r="339" spans="1:9">
      <c r="A339" s="11" t="s">
        <v>11050</v>
      </c>
      <c r="B339" s="30" t="s">
        <v>11051</v>
      </c>
      <c r="C339" s="29" t="str">
        <f t="shared" si="46"/>
        <v>C00882:1</v>
      </c>
      <c r="D339" s="27" t="str">
        <f t="shared" si="43"/>
        <v>C00882 : Dephospho-CoA</v>
      </c>
    </row>
    <row r="340" spans="1:9">
      <c r="A340" s="11" t="s">
        <v>11052</v>
      </c>
      <c r="B340" s="30" t="s">
        <v>11053</v>
      </c>
      <c r="C340" s="29" t="str">
        <f t="shared" si="46"/>
        <v>C00886:1</v>
      </c>
      <c r="D340" s="27" t="str">
        <f t="shared" si="43"/>
        <v>C00886 : L-Alanyl-tRNA</v>
      </c>
    </row>
    <row r="341" spans="1:9">
      <c r="A341" s="11" t="s">
        <v>11054</v>
      </c>
      <c r="B341" s="11" t="s">
        <v>11055</v>
      </c>
      <c r="C341" s="29" t="str">
        <f t="shared" si="46"/>
        <v>C00894:1</v>
      </c>
      <c r="D341" s="27" t="str">
        <f t="shared" si="43"/>
        <v>C00894 : Propenoyl-CoA</v>
      </c>
    </row>
    <row r="342" spans="1:9">
      <c r="A342" s="11" t="s">
        <v>11056</v>
      </c>
      <c r="B342" s="11" t="s">
        <v>11057</v>
      </c>
      <c r="C342" s="29" t="str">
        <f t="shared" si="46"/>
        <v>C00900:1</v>
      </c>
      <c r="D342" s="27" t="str">
        <f t="shared" si="43"/>
        <v>C00900 : 2-Acetolactate</v>
      </c>
    </row>
    <row r="343" spans="1:9">
      <c r="A343" s="11" t="s">
        <v>11058</v>
      </c>
      <c r="B343" s="11" t="s">
        <v>11059</v>
      </c>
      <c r="C343" s="29" t="str">
        <f t="shared" ref="C343:C352" si="47">CONCATENATE(A343,":","1")</f>
        <v>C00911:1</v>
      </c>
      <c r="D343" s="27" t="str">
        <f t="shared" si="43"/>
        <v>C00911 : Ribonucleoside</v>
      </c>
    </row>
    <row r="344" spans="1:9">
      <c r="A344" s="11" t="s">
        <v>11060</v>
      </c>
      <c r="B344" s="11" t="s">
        <v>11061</v>
      </c>
      <c r="C344" s="29" t="str">
        <f t="shared" si="47"/>
        <v>C00916:1</v>
      </c>
      <c r="D344" s="27" t="str">
        <f t="shared" si="43"/>
        <v>C00916 : Cephalosporin C</v>
      </c>
      <c r="I344" s="10"/>
    </row>
    <row r="345" spans="1:9">
      <c r="A345" s="11" t="s">
        <v>11062</v>
      </c>
      <c r="B345" s="11" t="s">
        <v>11063</v>
      </c>
      <c r="C345" s="29" t="str">
        <f t="shared" si="47"/>
        <v>C00921:1</v>
      </c>
      <c r="D345" s="27" t="str">
        <f t="shared" si="43"/>
        <v>C00921 : Dihydropteroate</v>
      </c>
    </row>
    <row r="346" spans="1:9">
      <c r="A346" s="11" t="s">
        <v>11064</v>
      </c>
      <c r="B346" s="11" t="s">
        <v>11065</v>
      </c>
      <c r="C346" s="29" t="str">
        <f t="shared" si="47"/>
        <v>C00934:1</v>
      </c>
      <c r="D346" s="27" t="str">
        <f t="shared" si="43"/>
        <v>C00934 : sugar phosphate</v>
      </c>
      <c r="I346" s="10"/>
    </row>
    <row r="347" spans="1:9">
      <c r="A347" s="11" t="s">
        <v>9583</v>
      </c>
      <c r="B347" s="11" t="s">
        <v>11066</v>
      </c>
      <c r="C347" s="29" t="str">
        <f t="shared" si="47"/>
        <v>C00944:1</v>
      </c>
      <c r="D347" s="27" t="str">
        <f t="shared" si="43"/>
        <v>C00944 : 3-Dehydroquinate</v>
      </c>
    </row>
    <row r="348" spans="1:9">
      <c r="A348" s="11" t="s">
        <v>11067</v>
      </c>
      <c r="B348" s="30" t="s">
        <v>11068</v>
      </c>
      <c r="C348" s="29" t="str">
        <f t="shared" si="47"/>
        <v>C00957:1</v>
      </c>
      <c r="D348" s="27" t="str">
        <f t="shared" si="43"/>
        <v>C00957 : Mercaptopyruvate</v>
      </c>
    </row>
    <row r="349" spans="1:9">
      <c r="A349" s="11" t="s">
        <v>11069</v>
      </c>
      <c r="B349" s="11" t="s">
        <v>11070</v>
      </c>
      <c r="C349" s="29" t="str">
        <f t="shared" si="47"/>
        <v>C00962:1</v>
      </c>
      <c r="D349" s="27" t="str">
        <f t="shared" si="43"/>
        <v>C00962 : beta-D-Galactose</v>
      </c>
    </row>
    <row r="350" spans="1:9">
      <c r="A350" s="11" t="s">
        <v>11071</v>
      </c>
      <c r="B350" s="11" t="s">
        <v>11072</v>
      </c>
      <c r="C350" s="29" t="str">
        <f t="shared" si="47"/>
        <v>C00963:1</v>
      </c>
      <c r="D350" s="27" t="str">
        <f t="shared" si="43"/>
        <v>C00963 : beta-D-Glucoside</v>
      </c>
    </row>
    <row r="351" spans="1:9">
      <c r="A351" s="11" t="s">
        <v>11073</v>
      </c>
      <c r="B351" s="11" t="s">
        <v>11074</v>
      </c>
      <c r="C351" s="29" t="str">
        <f t="shared" si="47"/>
        <v>C00965:1</v>
      </c>
      <c r="D351" s="27" t="str">
        <f t="shared" si="43"/>
        <v>C00965 : 1,3-beta-D-Glucan</v>
      </c>
    </row>
    <row r="352" spans="1:9">
      <c r="A352" s="11" t="s">
        <v>11075</v>
      </c>
      <c r="B352" s="11" t="s">
        <v>11076</v>
      </c>
      <c r="C352" s="29" t="str">
        <f t="shared" si="47"/>
        <v>C00969:1</v>
      </c>
      <c r="D352" s="27" t="str">
        <f t="shared" si="43"/>
        <v>C00969 : 3-Hydroxypropanal</v>
      </c>
    </row>
    <row r="353" spans="1:4">
      <c r="A353" s="11" t="s">
        <v>11077</v>
      </c>
      <c r="B353" s="30" t="s">
        <v>11078</v>
      </c>
      <c r="C353" s="29" t="str">
        <f t="shared" ref="C353:C359" si="48">CONCATENATE(A353,":","1")</f>
        <v>C00979:1</v>
      </c>
      <c r="D353" s="27" t="str">
        <f t="shared" si="43"/>
        <v>C00979 : O-Acetyl-L-serine</v>
      </c>
    </row>
    <row r="354" spans="1:4">
      <c r="A354" s="11" t="s">
        <v>8065</v>
      </c>
      <c r="B354" s="30" t="s">
        <v>11079</v>
      </c>
      <c r="C354" s="29" t="str">
        <f t="shared" si="48"/>
        <v>C00984:1</v>
      </c>
      <c r="D354" s="27" t="str">
        <f t="shared" si="43"/>
        <v>C00984 : alpha-D-Galactose</v>
      </c>
    </row>
    <row r="355" spans="1:4">
      <c r="A355" s="11" t="s">
        <v>11080</v>
      </c>
      <c r="B355" s="30" t="s">
        <v>11081</v>
      </c>
      <c r="C355" s="29" t="str">
        <f t="shared" si="48"/>
        <v>C00988:1</v>
      </c>
      <c r="D355" s="27" t="str">
        <f t="shared" si="43"/>
        <v>C00988 : 2-Phosphoglycolate</v>
      </c>
    </row>
    <row r="356" spans="1:4">
      <c r="A356" s="11" t="s">
        <v>11082</v>
      </c>
      <c r="B356" s="30" t="s">
        <v>11083</v>
      </c>
      <c r="C356" s="29" t="str">
        <f t="shared" si="48"/>
        <v>C00993:1</v>
      </c>
      <c r="D356" s="27" t="str">
        <f t="shared" si="43"/>
        <v>C00993 : D-Alanyl-D-alanine</v>
      </c>
    </row>
    <row r="357" spans="1:4">
      <c r="A357" s="11" t="s">
        <v>11084</v>
      </c>
      <c r="B357" s="30" t="s">
        <v>11085</v>
      </c>
      <c r="C357" s="29" t="str">
        <f t="shared" si="48"/>
        <v>C01005:1</v>
      </c>
      <c r="D357" s="27" t="str">
        <f t="shared" si="43"/>
        <v>C01005 : O-Phospho-L-serine</v>
      </c>
    </row>
    <row r="358" spans="1:4">
      <c r="A358" s="11" t="s">
        <v>8399</v>
      </c>
      <c r="B358" s="11" t="s">
        <v>11086</v>
      </c>
      <c r="C358" s="29" t="str">
        <f t="shared" si="48"/>
        <v>C01019:1</v>
      </c>
      <c r="D358" s="27" t="str">
        <f t="shared" si="43"/>
        <v>C01019 : L-Fucose</v>
      </c>
    </row>
    <row r="359" spans="1:4">
      <c r="A359" s="11" t="s">
        <v>11087</v>
      </c>
      <c r="B359" s="11" t="s">
        <v>11088</v>
      </c>
      <c r="C359" s="29" t="str">
        <f t="shared" si="48"/>
        <v>C01026:1</v>
      </c>
      <c r="D359" s="27" t="str">
        <f t="shared" si="43"/>
        <v>C01026 : N,N-Dimethylglycine</v>
      </c>
    </row>
    <row r="360" spans="1:4">
      <c r="A360" s="11" t="s">
        <v>11089</v>
      </c>
      <c r="B360" s="30" t="s">
        <v>11090</v>
      </c>
      <c r="C360" s="29" t="str">
        <f t="shared" ref="C360:C364" si="49">CONCATENATE(A360,":","1")</f>
        <v>C01050:1</v>
      </c>
      <c r="D360" s="27" t="str">
        <f t="shared" si="43"/>
        <v>C01050 : UDP-N-acetylmuramate</v>
      </c>
    </row>
    <row r="361" spans="1:4">
      <c r="A361" s="11" t="s">
        <v>11091</v>
      </c>
      <c r="B361" s="11" t="s">
        <v>11092</v>
      </c>
      <c r="C361" s="29" t="str">
        <f t="shared" si="49"/>
        <v>C01062:1</v>
      </c>
      <c r="D361" s="27" t="str">
        <f t="shared" si="43"/>
        <v>C01062 : 5-Dehydro-D-gluconate</v>
      </c>
    </row>
    <row r="362" spans="1:4">
      <c r="A362" s="11" t="s">
        <v>11093</v>
      </c>
      <c r="B362" s="11" t="s">
        <v>11094</v>
      </c>
      <c r="C362" s="29" t="str">
        <f t="shared" si="49"/>
        <v>C01077:1</v>
      </c>
      <c r="D362" s="27" t="str">
        <f t="shared" si="43"/>
        <v>C01077 : O-Acetyl-L-homoserine</v>
      </c>
    </row>
    <row r="363" spans="1:4">
      <c r="A363" s="11" t="s">
        <v>11095</v>
      </c>
      <c r="B363" s="11" t="s">
        <v>11096</v>
      </c>
      <c r="C363" s="29" t="str">
        <f t="shared" si="49"/>
        <v>C01079:1</v>
      </c>
      <c r="D363" s="27" t="str">
        <f t="shared" si="43"/>
        <v>C01079 : Protoporphyrinogen IX</v>
      </c>
    </row>
    <row r="364" spans="1:4">
      <c r="A364" s="11" t="s">
        <v>7427</v>
      </c>
      <c r="B364" s="11" t="s">
        <v>11097</v>
      </c>
      <c r="C364" s="29" t="str">
        <f t="shared" si="49"/>
        <v>C01086:1</v>
      </c>
      <c r="D364" s="27" t="str">
        <f t="shared" si="43"/>
        <v>C01086 : (3R)-3-Hydroxyacyl-CoA</v>
      </c>
    </row>
    <row r="365" spans="1:4">
      <c r="A365" s="11" t="s">
        <v>11098</v>
      </c>
      <c r="B365" s="30" t="s">
        <v>11099</v>
      </c>
      <c r="C365" s="29" t="str">
        <f t="shared" ref="C365:C368" si="50">CONCATENATE(A365,":","1")</f>
        <v>C01094:1</v>
      </c>
      <c r="D365" s="27" t="str">
        <f t="shared" si="43"/>
        <v>C01094 : D-Fructose 1-phosphate</v>
      </c>
    </row>
    <row r="366" spans="1:4">
      <c r="A366" s="11" t="s">
        <v>10016</v>
      </c>
      <c r="B366" s="30" t="s">
        <v>11100</v>
      </c>
      <c r="C366" s="29" t="str">
        <f t="shared" si="50"/>
        <v>C01097:1</v>
      </c>
      <c r="D366" s="27" t="str">
        <f t="shared" si="43"/>
        <v>C01097 : D-Tagatose 6-phosphate</v>
      </c>
    </row>
    <row r="367" spans="1:4">
      <c r="A367" s="11" t="s">
        <v>8391</v>
      </c>
      <c r="B367" s="11" t="s">
        <v>11101</v>
      </c>
      <c r="C367" s="29" t="str">
        <f t="shared" si="50"/>
        <v>C01099:1</v>
      </c>
      <c r="D367" s="27" t="str">
        <f t="shared" si="43"/>
        <v>C01099 : L-Fuculose 1-phosphate</v>
      </c>
    </row>
    <row r="368" spans="1:4">
      <c r="A368" s="11" t="s">
        <v>8646</v>
      </c>
      <c r="B368" s="11" t="s">
        <v>11102</v>
      </c>
      <c r="C368" s="29" t="str">
        <f t="shared" si="50"/>
        <v>C01101:1</v>
      </c>
      <c r="D368" s="27" t="str">
        <f t="shared" si="43"/>
        <v>C01101 : L-Ribulose 5-phosphate</v>
      </c>
    </row>
    <row r="369" spans="1:4">
      <c r="A369" s="11" t="s">
        <v>11103</v>
      </c>
      <c r="B369" s="30" t="s">
        <v>11104</v>
      </c>
      <c r="C369" s="29" t="str">
        <f t="shared" ref="C369:C375" si="51">CONCATENATE(A369,":","1")</f>
        <v>C01102:1</v>
      </c>
      <c r="D369" s="27" t="str">
        <f t="shared" si="43"/>
        <v>C01102 : O-Phospho-L-homoserine</v>
      </c>
    </row>
    <row r="370" spans="1:4">
      <c r="A370" s="11" t="s">
        <v>11105</v>
      </c>
      <c r="B370" s="30" t="s">
        <v>11106</v>
      </c>
      <c r="C370" s="29" t="str">
        <f t="shared" si="51"/>
        <v>C01107:1</v>
      </c>
      <c r="D370" s="27" t="str">
        <f t="shared" si="43"/>
        <v>C01107 : (R)-5-Phosphomevalonate</v>
      </c>
    </row>
    <row r="371" spans="1:4">
      <c r="A371" s="11" t="s">
        <v>10015</v>
      </c>
      <c r="B371" s="11" t="s">
        <v>11107</v>
      </c>
      <c r="C371" s="29" t="str">
        <f t="shared" si="51"/>
        <v>C01113:1</v>
      </c>
      <c r="D371" s="27" t="str">
        <f t="shared" si="43"/>
        <v>C01113 : D-Galactose 6-phosphate</v>
      </c>
    </row>
    <row r="372" spans="1:4">
      <c r="A372" s="11" t="s">
        <v>11108</v>
      </c>
      <c r="B372" s="11" t="s">
        <v>11109</v>
      </c>
      <c r="C372" s="29" t="str">
        <f t="shared" si="51"/>
        <v>C01118:1</v>
      </c>
      <c r="D372" s="27" t="str">
        <f t="shared" si="43"/>
        <v>C01118 : O-Succinyl-L-homoserine</v>
      </c>
    </row>
    <row r="373" spans="1:4">
      <c r="A373" s="11" t="s">
        <v>11110</v>
      </c>
      <c r="B373" s="11" t="s">
        <v>11111</v>
      </c>
      <c r="C373" s="29" t="str">
        <f t="shared" si="51"/>
        <v>C01122:1</v>
      </c>
      <c r="D373" s="27" t="str">
        <f t="shared" si="43"/>
        <v>C01122 : cis-2,3-Dehydroacyl-CoA</v>
      </c>
    </row>
    <row r="374" spans="1:4">
      <c r="A374" s="11" t="s">
        <v>11112</v>
      </c>
      <c r="B374" s="11" t="s">
        <v>11113</v>
      </c>
      <c r="C374" s="29" t="str">
        <f t="shared" si="51"/>
        <v>C01131:1</v>
      </c>
      <c r="D374" s="27" t="str">
        <f t="shared" si="43"/>
        <v>C01131 : L-Rhamnulose 1-phosphate</v>
      </c>
    </row>
    <row r="375" spans="1:4">
      <c r="A375" s="11" t="s">
        <v>11114</v>
      </c>
      <c r="B375" s="11" t="s">
        <v>11115</v>
      </c>
      <c r="C375" s="29" t="str">
        <f t="shared" si="51"/>
        <v>C01132:1</v>
      </c>
      <c r="D375" s="27" t="str">
        <f t="shared" si="43"/>
        <v>C01132 : N-Acetyl-D-galactosamine</v>
      </c>
    </row>
    <row r="376" spans="1:4">
      <c r="A376" s="11" t="s">
        <v>11116</v>
      </c>
      <c r="B376" s="30" t="s">
        <v>11117</v>
      </c>
      <c r="C376" s="29" t="str">
        <f t="shared" ref="C376:C382" si="52">CONCATENATE(A376,":","1")</f>
        <v>C01134:1</v>
      </c>
      <c r="D376" s="27" t="str">
        <f t="shared" si="43"/>
        <v>C01134 : Pantetheine 4'-phosphate</v>
      </c>
    </row>
    <row r="377" spans="1:4">
      <c r="A377" s="11" t="s">
        <v>11118</v>
      </c>
      <c r="B377" s="11" t="s">
        <v>11119</v>
      </c>
      <c r="C377" s="29" t="str">
        <f t="shared" si="52"/>
        <v>C01137:1</v>
      </c>
      <c r="D377" s="27" t="str">
        <f t="shared" si="43"/>
        <v>C01137 : S-Adenosylmethioninamine</v>
      </c>
    </row>
    <row r="378" spans="1:4">
      <c r="A378" s="11" t="s">
        <v>11120</v>
      </c>
      <c r="B378" s="30" t="s">
        <v>11121</v>
      </c>
      <c r="C378" s="29" t="str">
        <f t="shared" si="52"/>
        <v>C01143:1</v>
      </c>
      <c r="D378" s="27" t="str">
        <f t="shared" si="43"/>
        <v>C01143 : (R)-5-Diphosphomevalonate</v>
      </c>
    </row>
    <row r="379" spans="1:4">
      <c r="A379" s="11" t="s">
        <v>7386</v>
      </c>
      <c r="B379" s="11" t="s">
        <v>11122</v>
      </c>
      <c r="C379" s="29" t="str">
        <f t="shared" si="52"/>
        <v>C01144:1</v>
      </c>
      <c r="D379" s="27" t="str">
        <f t="shared" si="43"/>
        <v>C01144 : (S)-3-Hydroxybutanoyl-CoA</v>
      </c>
    </row>
    <row r="380" spans="1:4">
      <c r="A380" s="11" t="s">
        <v>11123</v>
      </c>
      <c r="B380" s="11" t="s">
        <v>11124</v>
      </c>
      <c r="C380" s="29" t="str">
        <f t="shared" si="52"/>
        <v>C01157:1</v>
      </c>
      <c r="D380" s="27" t="str">
        <f t="shared" si="43"/>
        <v>C01157 : Hydroxyproline</v>
      </c>
    </row>
    <row r="381" spans="1:4">
      <c r="A381" s="11" t="s">
        <v>9429</v>
      </c>
      <c r="B381" s="11" t="s">
        <v>11125</v>
      </c>
      <c r="C381" s="29" t="str">
        <f t="shared" si="52"/>
        <v>C01163:1</v>
      </c>
      <c r="D381" s="27" t="str">
        <f t="shared" si="43"/>
        <v>C01163 : 3-Carboxy-cis,cis-muconate</v>
      </c>
    </row>
    <row r="382" spans="1:4">
      <c r="A382" s="11" t="s">
        <v>11126</v>
      </c>
      <c r="B382" s="11" t="s">
        <v>11127</v>
      </c>
      <c r="C382" s="29" t="str">
        <f t="shared" si="52"/>
        <v>C01165:1</v>
      </c>
      <c r="D382" s="27" t="str">
        <f t="shared" si="43"/>
        <v>C01165 : L-Glutamate 5-semialdehyde</v>
      </c>
    </row>
    <row r="383" spans="1:4">
      <c r="A383" s="11" t="s">
        <v>11128</v>
      </c>
      <c r="B383" s="30" t="s">
        <v>11129</v>
      </c>
      <c r="C383" s="29" t="str">
        <f t="shared" ref="C383:C392" si="53">CONCATENATE(A383,":","1")</f>
        <v>C01167:1</v>
      </c>
      <c r="D383" s="27" t="str">
        <f t="shared" si="43"/>
        <v>C01167 : Protein tyrosine phosphate</v>
      </c>
    </row>
    <row r="384" spans="1:4">
      <c r="A384" s="11" t="s">
        <v>11130</v>
      </c>
      <c r="B384" s="11" t="s">
        <v>11131</v>
      </c>
      <c r="C384" s="29" t="str">
        <f t="shared" si="53"/>
        <v>C01168:1</v>
      </c>
      <c r="D384" s="27" t="str">
        <f t="shared" si="43"/>
        <v>C01168 : Pseudouridine 5'-phosphate</v>
      </c>
    </row>
    <row r="385" spans="1:4">
      <c r="A385" s="11" t="s">
        <v>9439</v>
      </c>
      <c r="B385" s="11" t="s">
        <v>11132</v>
      </c>
      <c r="C385" s="29" t="str">
        <f t="shared" si="53"/>
        <v>C01171:1</v>
      </c>
      <c r="D385" s="27" t="str">
        <f t="shared" si="43"/>
        <v>C01171 : alpha-D-Hexose 1-phosphate</v>
      </c>
    </row>
    <row r="386" spans="1:4">
      <c r="A386" s="11" t="s">
        <v>8553</v>
      </c>
      <c r="B386" s="30" t="s">
        <v>11133</v>
      </c>
      <c r="C386" s="29" t="str">
        <f t="shared" si="53"/>
        <v>C01172:1</v>
      </c>
      <c r="D386" s="27" t="str">
        <f t="shared" si="43"/>
        <v>C01172 : beta-D-Glucose 6-phosphate</v>
      </c>
    </row>
    <row r="387" spans="1:4">
      <c r="A387" s="11" t="s">
        <v>11134</v>
      </c>
      <c r="B387" s="11" t="s">
        <v>11135</v>
      </c>
      <c r="C387" s="29" t="str">
        <f t="shared" si="53"/>
        <v>C01177:1</v>
      </c>
      <c r="D387" s="27" t="str">
        <f t="shared" ref="D387:D450" si="54">CONCATENATE(A387," : ",B387)</f>
        <v>C01177 : Inositol 1-phosphate</v>
      </c>
    </row>
    <row r="388" spans="1:4">
      <c r="A388" s="11" t="s">
        <v>11136</v>
      </c>
      <c r="B388" s="30" t="s">
        <v>11137</v>
      </c>
      <c r="C388" s="29" t="str">
        <f t="shared" si="53"/>
        <v>C01179:1</v>
      </c>
      <c r="D388" s="27" t="str">
        <f t="shared" si="54"/>
        <v>C01179 : 3-(4-Hydroxyphenyl)pyruvate</v>
      </c>
    </row>
    <row r="389" spans="1:4">
      <c r="A389" s="11" t="s">
        <v>11138</v>
      </c>
      <c r="B389" s="30" t="s">
        <v>11139</v>
      </c>
      <c r="C389" s="29" t="str">
        <f t="shared" si="53"/>
        <v>C01185:1</v>
      </c>
      <c r="D389" s="27" t="str">
        <f t="shared" si="54"/>
        <v>C01185 : Nicotinate D-ribonucleotide</v>
      </c>
    </row>
    <row r="390" spans="1:4">
      <c r="A390" s="11" t="s">
        <v>11140</v>
      </c>
      <c r="B390" s="11" t="s">
        <v>11141</v>
      </c>
      <c r="C390" s="29" t="str">
        <f t="shared" si="53"/>
        <v>C01190:1</v>
      </c>
      <c r="D390" s="27" t="str">
        <f t="shared" si="54"/>
        <v>C01190 : Glucosylceramide</v>
      </c>
    </row>
    <row r="391" spans="1:4">
      <c r="A391" s="11" t="s">
        <v>11142</v>
      </c>
      <c r="B391" s="11" t="s">
        <v>11143</v>
      </c>
      <c r="C391" s="29" t="str">
        <f t="shared" si="53"/>
        <v>C01203:1</v>
      </c>
      <c r="D391" s="27" t="str">
        <f t="shared" si="54"/>
        <v>C01203 : Oleoyl-[acyl-carrier protein]</v>
      </c>
    </row>
    <row r="392" spans="1:4">
      <c r="A392" s="11" t="s">
        <v>11144</v>
      </c>
      <c r="B392" s="11" t="s">
        <v>11145</v>
      </c>
      <c r="C392" s="29" t="str">
        <f t="shared" si="53"/>
        <v>C01209:1</v>
      </c>
      <c r="D392" s="27" t="str">
        <f t="shared" si="54"/>
        <v>C01209 : Malonyl-[acp]</v>
      </c>
    </row>
    <row r="393" spans="1:4">
      <c r="A393" s="11" t="s">
        <v>11146</v>
      </c>
      <c r="B393" s="30" t="s">
        <v>11147</v>
      </c>
      <c r="C393" s="29" t="str">
        <f t="shared" ref="C393:C408" si="55">CONCATENATE(A393,":","1")</f>
        <v>C01212:1</v>
      </c>
      <c r="D393" s="27" t="str">
        <f t="shared" si="54"/>
        <v>C01212 : UDP-N-acetylmuramoyl-L-alanine</v>
      </c>
    </row>
    <row r="394" spans="1:4">
      <c r="A394" s="11" t="s">
        <v>11148</v>
      </c>
      <c r="B394" s="30" t="s">
        <v>11149</v>
      </c>
      <c r="C394" s="29" t="str">
        <f t="shared" si="55"/>
        <v>C01217:1</v>
      </c>
      <c r="D394" s="27" t="str">
        <f t="shared" si="54"/>
        <v>C01217 : 5,6,7,8-Tetrahydromethanopterin</v>
      </c>
    </row>
    <row r="395" spans="1:4">
      <c r="A395" s="11" t="s">
        <v>11150</v>
      </c>
      <c r="B395" s="11" t="s">
        <v>11151</v>
      </c>
      <c r="C395" s="29" t="str">
        <f t="shared" si="55"/>
        <v>C01233:1</v>
      </c>
      <c r="D395" s="27" t="str">
        <f t="shared" si="54"/>
        <v>C01233 : Glycerophosphoethanolamine</v>
      </c>
    </row>
    <row r="396" spans="1:4">
      <c r="A396" s="11" t="s">
        <v>11152</v>
      </c>
      <c r="B396" s="11" t="s">
        <v>11153</v>
      </c>
      <c r="C396" s="29" t="str">
        <f t="shared" si="55"/>
        <v>C01235:1</v>
      </c>
      <c r="D396" s="27" t="str">
        <f t="shared" si="54"/>
        <v>C01235 : alpha-D-Galactosyl-(1-&gt;3)-1D-myo-inositol</v>
      </c>
    </row>
    <row r="397" spans="1:4">
      <c r="A397" s="11" t="s">
        <v>11154</v>
      </c>
      <c r="B397" s="30" t="s">
        <v>11155</v>
      </c>
      <c r="C397" s="29" t="str">
        <f t="shared" si="55"/>
        <v>C01236:1</v>
      </c>
      <c r="D397" s="27" t="str">
        <f t="shared" si="54"/>
        <v>C01236 : D-Glucono-1,5-lactone 6-phosphate</v>
      </c>
    </row>
    <row r="398" spans="1:4">
      <c r="A398" s="11" t="s">
        <v>9601</v>
      </c>
      <c r="B398" s="11" t="s">
        <v>11156</v>
      </c>
      <c r="C398" s="29" t="str">
        <f t="shared" si="55"/>
        <v>C01269:1</v>
      </c>
      <c r="D398" s="27" t="str">
        <f t="shared" si="54"/>
        <v>C01269 : 5-O-(1-Carboxyvinyl)-3-phosphoshikimate</v>
      </c>
    </row>
    <row r="399" spans="1:4">
      <c r="A399" s="11" t="s">
        <v>11157</v>
      </c>
      <c r="B399" s="11" t="s">
        <v>11158</v>
      </c>
      <c r="C399" s="29" t="str">
        <f t="shared" si="55"/>
        <v>C01271:1</v>
      </c>
      <c r="D399" s="27" t="str">
        <f t="shared" si="54"/>
        <v>C01271 : (R)-3-Hydroxyacyl-[acyl-carrier protein]</v>
      </c>
    </row>
    <row r="400" spans="1:4" ht="29">
      <c r="A400" s="11" t="s">
        <v>7591</v>
      </c>
      <c r="B400" s="11" t="s">
        <v>11159</v>
      </c>
      <c r="C400" s="29" t="str">
        <f t="shared" si="55"/>
        <v>C01286:1</v>
      </c>
      <c r="D400" s="27" t="str">
        <f t="shared" si="54"/>
        <v>C01286 : 2-Dehydro-3-deoxy-6-phospho-D-galactonate</v>
      </c>
    </row>
    <row r="401" spans="1:4">
      <c r="A401" s="11" t="s">
        <v>11160</v>
      </c>
      <c r="B401" s="11" t="s">
        <v>11161</v>
      </c>
      <c r="C401" s="29" t="str">
        <f t="shared" si="55"/>
        <v>C01290:1</v>
      </c>
      <c r="D401" s="27" t="str">
        <f t="shared" si="54"/>
        <v>C01290 : Lactosylceramide</v>
      </c>
    </row>
    <row r="402" spans="1:4">
      <c r="A402" s="11" t="s">
        <v>11162</v>
      </c>
      <c r="B402" s="11" t="s">
        <v>11163</v>
      </c>
      <c r="C402" s="29" t="str">
        <f t="shared" si="55"/>
        <v>C01300:1</v>
      </c>
      <c r="D402" s="27" t="str">
        <f t="shared" si="54"/>
        <v>C01300 : 6-(Hydroxymethyl)-7,8-dihydropterin</v>
      </c>
    </row>
    <row r="403" spans="1:4" ht="29">
      <c r="A403" s="11" t="s">
        <v>8897</v>
      </c>
      <c r="B403" s="11" t="s">
        <v>11164</v>
      </c>
      <c r="C403" s="29" t="str">
        <f t="shared" si="55"/>
        <v>C01302:1</v>
      </c>
      <c r="D403" s="27" t="str">
        <f t="shared" si="54"/>
        <v>C01302 : 1-(2-Carboxyphenylamino)-1-deoxy-D-ribulose 5-phosphate</v>
      </c>
    </row>
    <row r="404" spans="1:4">
      <c r="A404" s="11" t="s">
        <v>11165</v>
      </c>
      <c r="B404" s="11" t="s">
        <v>11166</v>
      </c>
      <c r="C404" s="29" t="str">
        <f t="shared" si="55"/>
        <v>C01319:1</v>
      </c>
      <c r="D404" s="27" t="str">
        <f t="shared" si="54"/>
        <v>C01319 : Mercury</v>
      </c>
    </row>
    <row r="405" spans="1:4">
      <c r="A405" s="11" t="s">
        <v>11167</v>
      </c>
      <c r="B405" s="11" t="s">
        <v>11168</v>
      </c>
      <c r="C405" s="29" t="str">
        <f t="shared" si="55"/>
        <v>C01335:1</v>
      </c>
      <c r="D405" s="27" t="str">
        <f t="shared" si="54"/>
        <v>C01335 : ROH</v>
      </c>
    </row>
    <row r="406" spans="1:4">
      <c r="A406" s="11" t="s">
        <v>11169</v>
      </c>
      <c r="B406" s="11" t="s">
        <v>11170</v>
      </c>
      <c r="C406" s="29" t="str">
        <f t="shared" si="55"/>
        <v>C01344:1</v>
      </c>
      <c r="D406" s="27" t="str">
        <f t="shared" si="54"/>
        <v>C01344 : 2'-Deoxyinosine-5'-diphosphate</v>
      </c>
    </row>
    <row r="407" spans="1:4">
      <c r="A407" s="11" t="s">
        <v>11171</v>
      </c>
      <c r="B407" s="11" t="s">
        <v>11172</v>
      </c>
      <c r="C407" s="29" t="str">
        <f t="shared" si="55"/>
        <v>C01345:1</v>
      </c>
      <c r="D407" s="27" t="str">
        <f t="shared" si="54"/>
        <v>C01345 : 2'-Deoxyinosine-5'-triphosphate</v>
      </c>
    </row>
    <row r="408" spans="1:4">
      <c r="A408" s="11" t="s">
        <v>11173</v>
      </c>
      <c r="B408" s="30" t="s">
        <v>11174</v>
      </c>
      <c r="C408" s="29" t="str">
        <f t="shared" si="55"/>
        <v>C01346:1</v>
      </c>
      <c r="D408" s="27" t="str">
        <f t="shared" si="54"/>
        <v>C01346 : dUDP</v>
      </c>
    </row>
    <row r="409" spans="1:4">
      <c r="A409" s="11" t="s">
        <v>11175</v>
      </c>
      <c r="B409" s="11" t="s">
        <v>11176</v>
      </c>
      <c r="C409" s="9" t="str">
        <f>CONCATENATE(A409,":","1000")</f>
        <v>C01352:1000</v>
      </c>
      <c r="D409" s="27" t="str">
        <f t="shared" si="54"/>
        <v>C01352 : FADH2</v>
      </c>
    </row>
    <row r="410" spans="1:4">
      <c r="A410" s="11" t="s">
        <v>11177</v>
      </c>
      <c r="B410" s="11" t="s">
        <v>11178</v>
      </c>
      <c r="C410" s="29" t="str">
        <f>CONCATENATE(A410,":","1")</f>
        <v>C01419:1</v>
      </c>
      <c r="D410" s="27" t="str">
        <f t="shared" si="54"/>
        <v>C01419 : Cys-Gly</v>
      </c>
    </row>
    <row r="411" spans="1:4">
      <c r="A411" s="6" t="s">
        <v>11179</v>
      </c>
      <c r="B411" s="30" t="s">
        <v>11180</v>
      </c>
      <c r="C411" s="29" t="str">
        <f t="shared" ref="C411:C419" si="56">CONCATENATE(A411,":","1")</f>
        <v>C01450:1</v>
      </c>
      <c r="D411" s="27" t="str">
        <f t="shared" si="54"/>
        <v>C01450 : Ketone</v>
      </c>
    </row>
    <row r="412" spans="1:4">
      <c r="A412" s="11" t="s">
        <v>11181</v>
      </c>
      <c r="B412" s="11" t="s">
        <v>11182</v>
      </c>
      <c r="C412" s="29" t="str">
        <f t="shared" si="56"/>
        <v>C01468:1</v>
      </c>
      <c r="D412" s="27" t="str">
        <f t="shared" si="54"/>
        <v>C01468 : 4-Cresol</v>
      </c>
    </row>
    <row r="413" spans="1:4">
      <c r="A413" s="11" t="s">
        <v>11183</v>
      </c>
      <c r="B413" s="11" t="s">
        <v>11184</v>
      </c>
      <c r="C413" s="29" t="str">
        <f t="shared" si="56"/>
        <v>C01507:1</v>
      </c>
      <c r="D413" s="27" t="str">
        <f t="shared" si="54"/>
        <v>C01507 : L-Iditol</v>
      </c>
    </row>
    <row r="414" spans="1:4">
      <c r="A414" s="11" t="s">
        <v>11185</v>
      </c>
      <c r="B414" s="30" t="s">
        <v>11186</v>
      </c>
      <c r="C414" s="29" t="str">
        <f t="shared" si="56"/>
        <v>C01528:1</v>
      </c>
      <c r="D414" s="27" t="str">
        <f t="shared" si="54"/>
        <v>C01528 : Hydrogen Selenide</v>
      </c>
    </row>
    <row r="415" spans="1:4">
      <c r="A415" s="11" t="s">
        <v>11187</v>
      </c>
      <c r="B415" s="11" t="s">
        <v>11188</v>
      </c>
      <c r="C415" s="29" t="str">
        <f t="shared" si="56"/>
        <v>C01530:1</v>
      </c>
      <c r="D415" s="27" t="str">
        <f t="shared" si="54"/>
        <v>C01530 : Octadecanoic acid</v>
      </c>
    </row>
    <row r="416" spans="1:4">
      <c r="A416" s="6" t="s">
        <v>11189</v>
      </c>
      <c r="B416" s="30" t="s">
        <v>11190</v>
      </c>
      <c r="C416" s="29" t="str">
        <f t="shared" si="56"/>
        <v>C01545:1</v>
      </c>
      <c r="D416" s="27" t="str">
        <f t="shared" si="54"/>
        <v>C01545 : Octanal</v>
      </c>
    </row>
    <row r="417" spans="1:4">
      <c r="A417" s="11" t="s">
        <v>11191</v>
      </c>
      <c r="B417" s="30" t="s">
        <v>11192</v>
      </c>
      <c r="C417" s="29" t="str">
        <f t="shared" si="56"/>
        <v>C01563:1</v>
      </c>
      <c r="D417" s="27" t="str">
        <f t="shared" si="54"/>
        <v>C01563 : Carbamate</v>
      </c>
    </row>
    <row r="418" spans="1:4">
      <c r="A418" s="11" t="s">
        <v>11193</v>
      </c>
      <c r="B418" s="11" t="s">
        <v>11194</v>
      </c>
      <c r="C418" s="29" t="str">
        <f t="shared" si="56"/>
        <v>C01594:1</v>
      </c>
      <c r="D418" s="27" t="str">
        <f t="shared" si="54"/>
        <v>C01594 : Linamarin</v>
      </c>
    </row>
    <row r="419" spans="1:4">
      <c r="A419" s="11" t="s">
        <v>11195</v>
      </c>
      <c r="B419" s="11" t="s">
        <v>11196</v>
      </c>
      <c r="C419" s="29" t="str">
        <f t="shared" si="56"/>
        <v>C01609:1</v>
      </c>
      <c r="D419" s="27" t="str">
        <f t="shared" si="54"/>
        <v>C01609 : Protamine</v>
      </c>
    </row>
    <row r="420" spans="1:4">
      <c r="A420" s="6" t="s">
        <v>11197</v>
      </c>
      <c r="B420" s="30" t="s">
        <v>11198</v>
      </c>
      <c r="C420" s="29" t="str">
        <f t="shared" ref="C420:C424" si="57">CONCATENATE(A420,":","1")</f>
        <v>C01612:1</v>
      </c>
      <c r="D420" s="27" t="str">
        <f t="shared" si="54"/>
        <v>C01612 : Secondary alcohol</v>
      </c>
    </row>
    <row r="421" spans="1:4">
      <c r="A421" s="11" t="s">
        <v>11199</v>
      </c>
      <c r="B421" s="30" t="s">
        <v>11200</v>
      </c>
      <c r="C421" s="29" t="str">
        <f t="shared" si="57"/>
        <v>C01613:1</v>
      </c>
      <c r="D421" s="27" t="str">
        <f t="shared" si="54"/>
        <v>C01613 : Stachyose</v>
      </c>
    </row>
    <row r="422" spans="1:4">
      <c r="A422" s="11" t="s">
        <v>11201</v>
      </c>
      <c r="B422" s="30" t="s">
        <v>11202</v>
      </c>
      <c r="C422" s="29" t="str">
        <f t="shared" si="57"/>
        <v>C01635:1</v>
      </c>
      <c r="D422" s="27" t="str">
        <f t="shared" si="54"/>
        <v>C01635 : tRNA(Ala)</v>
      </c>
    </row>
    <row r="423" spans="1:4">
      <c r="A423" s="11" t="s">
        <v>11203</v>
      </c>
      <c r="B423" s="30" t="s">
        <v>11204</v>
      </c>
      <c r="C423" s="29" t="str">
        <f t="shared" si="57"/>
        <v>C01636:1</v>
      </c>
      <c r="D423" s="27" t="str">
        <f t="shared" si="54"/>
        <v>C01636 : tRNA(Arg)</v>
      </c>
    </row>
    <row r="424" spans="1:4">
      <c r="A424" s="11" t="s">
        <v>11205</v>
      </c>
      <c r="B424" s="11" t="s">
        <v>11206</v>
      </c>
      <c r="C424" s="29" t="str">
        <f t="shared" si="57"/>
        <v>C01637:1</v>
      </c>
      <c r="D424" s="27" t="str">
        <f t="shared" si="54"/>
        <v>C01637 : tRNA(Asn)</v>
      </c>
    </row>
    <row r="425" spans="1:4">
      <c r="A425" s="11" t="s">
        <v>11207</v>
      </c>
      <c r="B425" s="30" t="s">
        <v>11208</v>
      </c>
      <c r="C425" s="29" t="str">
        <f t="shared" ref="C425:C429" si="58">CONCATENATE(A425,":","1")</f>
        <v>C01638:1</v>
      </c>
      <c r="D425" s="27" t="str">
        <f t="shared" si="54"/>
        <v>C01638 : tRNA(Asp)</v>
      </c>
    </row>
    <row r="426" spans="1:4">
      <c r="A426" s="11" t="s">
        <v>11209</v>
      </c>
      <c r="B426" s="11" t="s">
        <v>11210</v>
      </c>
      <c r="C426" s="29" t="str">
        <f t="shared" si="58"/>
        <v>C01640:1</v>
      </c>
      <c r="D426" s="27" t="str">
        <f t="shared" si="54"/>
        <v>C01640 : tRNA(Gln)</v>
      </c>
    </row>
    <row r="427" spans="1:4">
      <c r="A427" s="11" t="s">
        <v>11211</v>
      </c>
      <c r="B427" s="30" t="s">
        <v>11212</v>
      </c>
      <c r="C427" s="29" t="str">
        <f t="shared" si="58"/>
        <v>C01641:1</v>
      </c>
      <c r="D427" s="27" t="str">
        <f t="shared" si="54"/>
        <v>C01641 : tRNA(Glu)</v>
      </c>
    </row>
    <row r="428" spans="1:4">
      <c r="A428" s="11" t="s">
        <v>11213</v>
      </c>
      <c r="B428" s="30" t="s">
        <v>11214</v>
      </c>
      <c r="C428" s="29" t="str">
        <f t="shared" si="58"/>
        <v>C01642:1</v>
      </c>
      <c r="D428" s="27" t="str">
        <f t="shared" si="54"/>
        <v>C01642 : tRNA(Gly)</v>
      </c>
    </row>
    <row r="429" spans="1:4">
      <c r="A429" s="11" t="s">
        <v>11215</v>
      </c>
      <c r="B429" s="11" t="s">
        <v>11216</v>
      </c>
      <c r="C429" s="29" t="str">
        <f t="shared" si="58"/>
        <v>C01643:1</v>
      </c>
      <c r="D429" s="27" t="str">
        <f t="shared" si="54"/>
        <v>C01643 : tRNA(His)</v>
      </c>
    </row>
    <row r="430" spans="1:4">
      <c r="A430" s="11" t="s">
        <v>11217</v>
      </c>
      <c r="B430" s="30" t="s">
        <v>11218</v>
      </c>
      <c r="C430" s="29" t="str">
        <f t="shared" ref="C430:C441" si="59">CONCATENATE(A430,":","1")</f>
        <v>C01644:1</v>
      </c>
      <c r="D430" s="27" t="str">
        <f t="shared" si="54"/>
        <v>C01644 : tRNA(Ile)</v>
      </c>
    </row>
    <row r="431" spans="1:4">
      <c r="A431" s="11" t="s">
        <v>11219</v>
      </c>
      <c r="B431" s="30" t="s">
        <v>11220</v>
      </c>
      <c r="C431" s="29" t="str">
        <f t="shared" si="59"/>
        <v>C01645:1</v>
      </c>
      <c r="D431" s="27" t="str">
        <f t="shared" si="54"/>
        <v>C01645 : tRNA(Leu)</v>
      </c>
    </row>
    <row r="432" spans="1:4">
      <c r="A432" s="11" t="s">
        <v>11221</v>
      </c>
      <c r="B432" s="30" t="s">
        <v>11222</v>
      </c>
      <c r="C432" s="29" t="str">
        <f t="shared" si="59"/>
        <v>C01647:1</v>
      </c>
      <c r="D432" s="27" t="str">
        <f t="shared" si="54"/>
        <v>C01647 : tRNA(Met)</v>
      </c>
    </row>
    <row r="433" spans="1:9">
      <c r="A433" s="11" t="s">
        <v>11223</v>
      </c>
      <c r="B433" s="30" t="s">
        <v>11224</v>
      </c>
      <c r="C433" s="29" t="str">
        <f t="shared" si="59"/>
        <v>C01648:1</v>
      </c>
      <c r="D433" s="27" t="str">
        <f t="shared" si="54"/>
        <v>C01648 : tRNA(Phe)</v>
      </c>
    </row>
    <row r="434" spans="1:9">
      <c r="A434" s="11" t="s">
        <v>11225</v>
      </c>
      <c r="B434" s="30" t="s">
        <v>11226</v>
      </c>
      <c r="C434" s="29" t="str">
        <f t="shared" si="59"/>
        <v>C01649:1</v>
      </c>
      <c r="D434" s="27" t="str">
        <f t="shared" si="54"/>
        <v>C01649 : tRNA(Pro)</v>
      </c>
    </row>
    <row r="435" spans="1:9">
      <c r="A435" s="11" t="s">
        <v>11227</v>
      </c>
      <c r="B435" s="30" t="s">
        <v>11228</v>
      </c>
      <c r="C435" s="29" t="str">
        <f t="shared" si="59"/>
        <v>C01650:1</v>
      </c>
      <c r="D435" s="27" t="str">
        <f t="shared" si="54"/>
        <v>C01650 : tRNA(Ser)</v>
      </c>
    </row>
    <row r="436" spans="1:9">
      <c r="A436" s="11" t="s">
        <v>11229</v>
      </c>
      <c r="B436" s="30" t="s">
        <v>11230</v>
      </c>
      <c r="C436" s="29" t="str">
        <f t="shared" si="59"/>
        <v>C01651:1</v>
      </c>
      <c r="D436" s="27" t="str">
        <f t="shared" si="54"/>
        <v>C01651 : tRNA(Thr)</v>
      </c>
    </row>
    <row r="437" spans="1:9">
      <c r="A437" s="11" t="s">
        <v>11231</v>
      </c>
      <c r="B437" s="30" t="s">
        <v>11232</v>
      </c>
      <c r="C437" s="29" t="str">
        <f t="shared" si="59"/>
        <v>C01652:1</v>
      </c>
      <c r="D437" s="27" t="str">
        <f t="shared" si="54"/>
        <v>C01652 : tRNA(Trp)</v>
      </c>
    </row>
    <row r="438" spans="1:9">
      <c r="A438" s="11" t="s">
        <v>11233</v>
      </c>
      <c r="B438" s="11" t="s">
        <v>11234</v>
      </c>
      <c r="C438" s="29" t="str">
        <f t="shared" si="59"/>
        <v>C01672:1</v>
      </c>
      <c r="D438" s="27" t="str">
        <f t="shared" si="54"/>
        <v>C01672 : Cadaverine</v>
      </c>
      <c r="I438" s="10"/>
    </row>
    <row r="439" spans="1:9">
      <c r="A439" s="11" t="s">
        <v>11235</v>
      </c>
      <c r="B439" s="11" t="s">
        <v>11236</v>
      </c>
      <c r="C439" s="29" t="str">
        <f t="shared" si="59"/>
        <v>C01674:1</v>
      </c>
      <c r="D439" s="27" t="str">
        <f t="shared" si="54"/>
        <v>C01674 : Chitobiose</v>
      </c>
    </row>
    <row r="440" spans="1:9">
      <c r="A440" s="11" t="s">
        <v>8400</v>
      </c>
      <c r="B440" s="11" t="s">
        <v>11237</v>
      </c>
      <c r="C440" s="29" t="str">
        <f t="shared" si="59"/>
        <v>C01721:1</v>
      </c>
      <c r="D440" s="27" t="str">
        <f t="shared" si="54"/>
        <v>C01721 : L-Fuculose</v>
      </c>
    </row>
    <row r="441" spans="1:9">
      <c r="A441" s="11" t="s">
        <v>11238</v>
      </c>
      <c r="B441" s="11" t="s">
        <v>11239</v>
      </c>
      <c r="C441" s="29" t="str">
        <f t="shared" si="59"/>
        <v>C01755:1</v>
      </c>
      <c r="D441" s="27" t="str">
        <f t="shared" si="54"/>
        <v>C01755 : Thiocyanate</v>
      </c>
    </row>
    <row r="442" spans="1:9">
      <c r="A442" s="11" t="s">
        <v>11240</v>
      </c>
      <c r="B442" s="30" t="s">
        <v>11241</v>
      </c>
      <c r="C442" s="29" t="str">
        <f t="shared" ref="C442:C493" si="60">CONCATENATE(A442,":","1")</f>
        <v>C01762:1</v>
      </c>
      <c r="D442" s="27" t="str">
        <f t="shared" si="54"/>
        <v>C01762 : Xanthosine</v>
      </c>
    </row>
    <row r="443" spans="1:9">
      <c r="A443" s="11" t="s">
        <v>11242</v>
      </c>
      <c r="B443" s="11" t="s">
        <v>11243</v>
      </c>
      <c r="C443" s="29" t="str">
        <f t="shared" si="60"/>
        <v>C01764:1</v>
      </c>
      <c r="D443" s="27" t="str">
        <f t="shared" si="54"/>
        <v>C01764 : tRNA UpsiC</v>
      </c>
      <c r="I443" s="10"/>
    </row>
    <row r="444" spans="1:9">
      <c r="A444" s="11" t="s">
        <v>11244</v>
      </c>
      <c r="B444" s="11" t="s">
        <v>11245</v>
      </c>
      <c r="C444" s="9" t="str">
        <f>CONCATENATE(A444,":","1000")</f>
        <v>C01847:1000</v>
      </c>
      <c r="D444" s="27" t="str">
        <f t="shared" si="54"/>
        <v>C01847 : FMNH2</v>
      </c>
    </row>
    <row r="445" spans="1:9">
      <c r="A445" s="11" t="s">
        <v>11246</v>
      </c>
      <c r="B445" s="11" t="s">
        <v>11247</v>
      </c>
      <c r="C445" s="29" t="str">
        <f t="shared" si="60"/>
        <v>C01898:1</v>
      </c>
      <c r="D445" s="27" t="str">
        <f t="shared" si="54"/>
        <v>C01898 : Cellodextrin</v>
      </c>
    </row>
    <row r="446" spans="1:9">
      <c r="A446" s="11" t="s">
        <v>11248</v>
      </c>
      <c r="B446" s="11" t="s">
        <v>11249</v>
      </c>
      <c r="C446" s="29" t="str">
        <f t="shared" si="60"/>
        <v>C01935:1</v>
      </c>
      <c r="D446" s="27" t="str">
        <f t="shared" si="54"/>
        <v>C01935 : Maltodextrin</v>
      </c>
    </row>
    <row r="447" spans="1:9">
      <c r="A447" s="11" t="s">
        <v>11250</v>
      </c>
      <c r="B447" s="30" t="s">
        <v>11251</v>
      </c>
      <c r="C447" s="29" t="str">
        <f t="shared" si="60"/>
        <v>C01977:1</v>
      </c>
      <c r="D447" s="27" t="str">
        <f t="shared" si="54"/>
        <v>C01977 : tRNA guanine</v>
      </c>
      <c r="I447" s="10"/>
    </row>
    <row r="448" spans="1:9">
      <c r="A448" s="11" t="s">
        <v>11252</v>
      </c>
      <c r="B448" s="11" t="s">
        <v>11253</v>
      </c>
      <c r="C448" s="29" t="str">
        <f t="shared" si="60"/>
        <v>C02020:1</v>
      </c>
      <c r="D448" s="27" t="str">
        <f t="shared" si="54"/>
        <v>C02020 : Cyclopentanol</v>
      </c>
    </row>
    <row r="449" spans="1:4">
      <c r="A449" s="11" t="s">
        <v>11254</v>
      </c>
      <c r="B449" s="30" t="s">
        <v>11255</v>
      </c>
      <c r="C449" s="29" t="str">
        <f t="shared" si="60"/>
        <v>C02047:1</v>
      </c>
      <c r="D449" s="27" t="str">
        <f t="shared" si="54"/>
        <v>C02047 : L-Leucyl-tRNA</v>
      </c>
    </row>
    <row r="450" spans="1:4">
      <c r="A450" s="11" t="s">
        <v>11256</v>
      </c>
      <c r="B450" s="30" t="s">
        <v>11257</v>
      </c>
      <c r="C450" s="29" t="str">
        <f t="shared" si="60"/>
        <v>C02051:1</v>
      </c>
      <c r="D450" s="27" t="str">
        <f t="shared" si="54"/>
        <v>C02051 : Lipoylprotein</v>
      </c>
    </row>
    <row r="451" spans="1:4">
      <c r="A451" s="11" t="s">
        <v>11258</v>
      </c>
      <c r="B451" s="30" t="s">
        <v>11259</v>
      </c>
      <c r="C451" s="29" t="str">
        <f t="shared" si="60"/>
        <v>C02090:1</v>
      </c>
      <c r="D451" s="27" t="str">
        <f t="shared" ref="D451:D514" si="61">CONCATENATE(A451," : ",B451)</f>
        <v>C02090 : Trypanothione</v>
      </c>
    </row>
    <row r="452" spans="1:4">
      <c r="A452" s="11" t="s">
        <v>8006</v>
      </c>
      <c r="B452" s="30" t="s">
        <v>11260</v>
      </c>
      <c r="C452" s="29" t="str">
        <f t="shared" si="60"/>
        <v>C02097:1</v>
      </c>
      <c r="D452" s="27" t="str">
        <f t="shared" si="61"/>
        <v>C02097 : dTDP-galactose</v>
      </c>
    </row>
    <row r="453" spans="1:4">
      <c r="A453" s="11" t="s">
        <v>11261</v>
      </c>
      <c r="B453" s="30" t="s">
        <v>11262</v>
      </c>
      <c r="C453" s="29" t="str">
        <f t="shared" si="60"/>
        <v>C02128:1</v>
      </c>
      <c r="D453" s="27" t="str">
        <f t="shared" si="61"/>
        <v>C02128 : 5'-Phospho-DNA</v>
      </c>
    </row>
    <row r="454" spans="1:4">
      <c r="A454" s="11" t="s">
        <v>11263</v>
      </c>
      <c r="B454" s="30" t="s">
        <v>11264</v>
      </c>
      <c r="C454" s="29" t="str">
        <f t="shared" si="60"/>
        <v>C02133:1</v>
      </c>
      <c r="D454" s="27" t="str">
        <f t="shared" si="61"/>
        <v>C02133 : Acyl phosphate</v>
      </c>
    </row>
    <row r="455" spans="1:4">
      <c r="A455" s="11" t="s">
        <v>11265</v>
      </c>
      <c r="B455" s="30" t="s">
        <v>11266</v>
      </c>
      <c r="C455" s="29" t="str">
        <f t="shared" si="60"/>
        <v>C02163:1</v>
      </c>
      <c r="D455" s="27" t="str">
        <f t="shared" si="61"/>
        <v>C02163 : L-Arginyl-tRNA</v>
      </c>
    </row>
    <row r="456" spans="1:4">
      <c r="A456" s="11" t="s">
        <v>11267</v>
      </c>
      <c r="B456" s="30" t="s">
        <v>11268</v>
      </c>
      <c r="C456" s="29" t="str">
        <f t="shared" si="60"/>
        <v>C02189:1</v>
      </c>
      <c r="D456" s="27" t="str">
        <f t="shared" si="61"/>
        <v>C02189 : Protein L-serine</v>
      </c>
    </row>
    <row r="457" spans="1:4">
      <c r="A457" s="11" t="s">
        <v>11269</v>
      </c>
      <c r="B457" s="30" t="s">
        <v>11270</v>
      </c>
      <c r="C457" s="29" t="str">
        <f t="shared" si="60"/>
        <v>C02211:1</v>
      </c>
      <c r="D457" s="27" t="str">
        <f t="shared" si="61"/>
        <v>C02211 : tRNA precursor</v>
      </c>
    </row>
    <row r="458" spans="1:4">
      <c r="A458" s="11" t="s">
        <v>7948</v>
      </c>
      <c r="B458" s="30" t="s">
        <v>11271</v>
      </c>
      <c r="C458" s="29" t="str">
        <f t="shared" si="60"/>
        <v>C02218:1</v>
      </c>
      <c r="D458" s="27" t="str">
        <f t="shared" si="61"/>
        <v>C02218 : Dehydroalanine</v>
      </c>
    </row>
    <row r="459" spans="1:4">
      <c r="A459" s="11" t="s">
        <v>11272</v>
      </c>
      <c r="B459" s="30" t="s">
        <v>11273</v>
      </c>
      <c r="C459" s="29" t="str">
        <f t="shared" si="60"/>
        <v>C02291:1</v>
      </c>
      <c r="D459" s="27" t="str">
        <f t="shared" si="61"/>
        <v>C02291 : L-Cystathionine</v>
      </c>
    </row>
    <row r="460" spans="1:4">
      <c r="A460" s="11" t="s">
        <v>11274</v>
      </c>
      <c r="B460" s="30" t="s">
        <v>11275</v>
      </c>
      <c r="C460" s="29" t="str">
        <f t="shared" si="60"/>
        <v>C02297:1</v>
      </c>
      <c r="D460" s="27" t="str">
        <f t="shared" si="61"/>
        <v>C02297 : N-Acetyldiamine</v>
      </c>
    </row>
    <row r="461" spans="1:4">
      <c r="A461" s="11" t="s">
        <v>11276</v>
      </c>
      <c r="B461" s="30" t="s">
        <v>11277</v>
      </c>
      <c r="C461" s="29" t="str">
        <f t="shared" si="60"/>
        <v>C02315:1</v>
      </c>
      <c r="D461" s="27" t="str">
        <f t="shared" si="61"/>
        <v>C02315 : Protein dithiol</v>
      </c>
    </row>
    <row r="462" spans="1:4">
      <c r="A462" s="11" t="s">
        <v>11278</v>
      </c>
      <c r="B462" s="30" t="s">
        <v>11279</v>
      </c>
      <c r="C462" s="29" t="str">
        <f t="shared" si="60"/>
        <v>C02323:1</v>
      </c>
      <c r="D462" s="27" t="str">
        <f t="shared" si="61"/>
        <v>C02323 : Salicyl alcohol</v>
      </c>
    </row>
    <row r="463" spans="1:4">
      <c r="A463" s="11" t="s">
        <v>11280</v>
      </c>
      <c r="B463" s="30" t="s">
        <v>11281</v>
      </c>
      <c r="C463" s="29" t="str">
        <f t="shared" si="60"/>
        <v>C02336:1</v>
      </c>
      <c r="D463" s="27" t="str">
        <f t="shared" si="61"/>
        <v>C02336 : beta-D-Fructose</v>
      </c>
    </row>
    <row r="464" spans="1:4">
      <c r="A464" s="11" t="s">
        <v>11282</v>
      </c>
      <c r="B464" s="30" t="s">
        <v>11283</v>
      </c>
      <c r="C464" s="29" t="str">
        <f t="shared" si="60"/>
        <v>C02342:1</v>
      </c>
      <c r="D464" s="27" t="str">
        <f t="shared" si="61"/>
        <v>C02342 : 'Activated' tRNA</v>
      </c>
    </row>
    <row r="465" spans="1:4">
      <c r="A465" s="11" t="s">
        <v>11284</v>
      </c>
      <c r="B465" s="30" t="s">
        <v>11285</v>
      </c>
      <c r="C465" s="29" t="str">
        <f t="shared" si="60"/>
        <v>C02356:1</v>
      </c>
      <c r="D465" s="27" t="str">
        <f t="shared" si="61"/>
        <v>C02356 : (S)-2-Aminobutanoate</v>
      </c>
    </row>
    <row r="466" spans="1:4">
      <c r="A466" s="11" t="s">
        <v>11286</v>
      </c>
      <c r="B466" s="30" t="s">
        <v>11287</v>
      </c>
      <c r="C466" s="29" t="str">
        <f t="shared" si="60"/>
        <v>C02375:1</v>
      </c>
      <c r="D466" s="27" t="str">
        <f t="shared" si="61"/>
        <v>C02375 : 4-Chlorocatechol</v>
      </c>
    </row>
    <row r="467" spans="1:4">
      <c r="A467" s="11" t="s">
        <v>11288</v>
      </c>
      <c r="B467" s="30" t="s">
        <v>11289</v>
      </c>
      <c r="C467" s="29" t="str">
        <f t="shared" si="60"/>
        <v>C02376:1</v>
      </c>
      <c r="D467" s="27" t="str">
        <f t="shared" si="61"/>
        <v>C02376 : 5-Methylcytosine</v>
      </c>
    </row>
    <row r="468" spans="1:4">
      <c r="A468" s="11" t="s">
        <v>11290</v>
      </c>
      <c r="B468" s="30" t="s">
        <v>11291</v>
      </c>
      <c r="C468" s="29" t="str">
        <f t="shared" si="60"/>
        <v>C02380:1</v>
      </c>
      <c r="D468" s="27" t="str">
        <f t="shared" si="61"/>
        <v>C02380 : Mercaptopurine</v>
      </c>
    </row>
    <row r="469" spans="1:4">
      <c r="A469" s="11" t="s">
        <v>11292</v>
      </c>
      <c r="B469" s="30" t="s">
        <v>11293</v>
      </c>
      <c r="C469" s="29" t="str">
        <f t="shared" si="60"/>
        <v>C02412:1</v>
      </c>
      <c r="D469" s="27" t="str">
        <f t="shared" si="61"/>
        <v>C02412 : Glycyl-tRNA(Gly)</v>
      </c>
    </row>
    <row r="470" spans="1:4">
      <c r="A470" s="11" t="s">
        <v>11294</v>
      </c>
      <c r="B470" s="30" t="s">
        <v>11295</v>
      </c>
      <c r="C470" s="29" t="str">
        <f t="shared" si="60"/>
        <v>C02430:1</v>
      </c>
      <c r="D470" s="27" t="str">
        <f t="shared" si="61"/>
        <v>C02430 : L-Methionyl-tRNA</v>
      </c>
    </row>
    <row r="471" spans="1:4">
      <c r="A471" s="11" t="s">
        <v>11296</v>
      </c>
      <c r="B471" s="30" t="s">
        <v>11297</v>
      </c>
      <c r="C471" s="29" t="str">
        <f t="shared" si="60"/>
        <v>C02501:1</v>
      </c>
      <c r="D471" s="27" t="str">
        <f t="shared" si="61"/>
        <v>C02501 : 2-Hydroxymuconate</v>
      </c>
    </row>
    <row r="472" spans="1:4">
      <c r="A472" s="11" t="s">
        <v>9741</v>
      </c>
      <c r="B472" s="30" t="s">
        <v>11298</v>
      </c>
      <c r="C472" s="29" t="str">
        <f t="shared" si="60"/>
        <v>C02504:1</v>
      </c>
      <c r="D472" s="27" t="str">
        <f t="shared" si="61"/>
        <v>C02504 : alpha-Isopropylmalate</v>
      </c>
    </row>
    <row r="473" spans="1:4">
      <c r="A473" s="11" t="s">
        <v>11299</v>
      </c>
      <c r="B473" s="30" t="s">
        <v>11300</v>
      </c>
      <c r="C473" s="29" t="str">
        <f t="shared" si="60"/>
        <v>C02520:1</v>
      </c>
      <c r="D473" s="27" t="str">
        <f t="shared" si="61"/>
        <v>C02520 : 5'-Ribonucleotide</v>
      </c>
    </row>
    <row r="474" spans="1:4">
      <c r="A474" s="11" t="s">
        <v>11301</v>
      </c>
      <c r="B474" s="30" t="s">
        <v>11302</v>
      </c>
      <c r="C474" s="29" t="str">
        <f t="shared" si="60"/>
        <v>C02532:1</v>
      </c>
      <c r="D474" s="27" t="str">
        <f t="shared" si="61"/>
        <v>C02532 : D-O-Phosphoserine</v>
      </c>
    </row>
    <row r="475" spans="1:4">
      <c r="A475" s="11" t="s">
        <v>11303</v>
      </c>
      <c r="B475" s="30" t="s">
        <v>11304</v>
      </c>
      <c r="C475" s="29" t="str">
        <f t="shared" si="60"/>
        <v>C02538:1</v>
      </c>
      <c r="D475" s="27" t="str">
        <f t="shared" si="61"/>
        <v>C02538 : Estrone 3-sulfate</v>
      </c>
    </row>
    <row r="476" spans="1:4">
      <c r="A476" s="11" t="s">
        <v>11305</v>
      </c>
      <c r="B476" s="30" t="s">
        <v>11306</v>
      </c>
      <c r="C476" s="29" t="str">
        <f t="shared" si="60"/>
        <v>C02553:1</v>
      </c>
      <c r="D476" s="27" t="str">
        <f t="shared" si="61"/>
        <v>C02553 : L-Seryl-tRNA(Ser)</v>
      </c>
    </row>
    <row r="477" spans="1:4">
      <c r="A477" s="11" t="s">
        <v>11307</v>
      </c>
      <c r="B477" s="30" t="s">
        <v>11308</v>
      </c>
      <c r="C477" s="29" t="str">
        <f t="shared" si="60"/>
        <v>C02582:1</v>
      </c>
      <c r="D477" s="27" t="str">
        <f t="shared" si="61"/>
        <v>C02582 : Protein disulfide</v>
      </c>
    </row>
    <row r="478" spans="1:4">
      <c r="A478" s="11" t="s">
        <v>11309</v>
      </c>
      <c r="B478" s="30" t="s">
        <v>11310</v>
      </c>
      <c r="C478" s="29" t="str">
        <f t="shared" si="60"/>
        <v>C02631:1</v>
      </c>
      <c r="D478" s="27" t="str">
        <f t="shared" si="61"/>
        <v>C02631 : 2-Isopropylmaleate</v>
      </c>
    </row>
    <row r="479" spans="1:4">
      <c r="A479" s="11" t="s">
        <v>11311</v>
      </c>
      <c r="B479" s="30" t="s">
        <v>11312</v>
      </c>
      <c r="C479" s="29" t="str">
        <f t="shared" si="60"/>
        <v>C02637:1</v>
      </c>
      <c r="D479" s="27" t="str">
        <f t="shared" si="61"/>
        <v>C02637 : 3-Dehydroshikimate</v>
      </c>
    </row>
    <row r="480" spans="1:4">
      <c r="A480" s="11" t="s">
        <v>11313</v>
      </c>
      <c r="B480" s="30" t="s">
        <v>11314</v>
      </c>
      <c r="C480" s="29" t="str">
        <f t="shared" si="60"/>
        <v>C02659:1</v>
      </c>
      <c r="D480" s="27" t="str">
        <f t="shared" si="61"/>
        <v>C02659 : Acetone cyanohydrin</v>
      </c>
    </row>
    <row r="481" spans="1:4">
      <c r="A481" s="11" t="s">
        <v>11315</v>
      </c>
      <c r="B481" s="30" t="s">
        <v>11316</v>
      </c>
      <c r="C481" s="29" t="str">
        <f t="shared" si="60"/>
        <v>C02679:1</v>
      </c>
      <c r="D481" s="27" t="str">
        <f t="shared" si="61"/>
        <v>C02679 : Dodecanoic acid</v>
      </c>
    </row>
    <row r="482" spans="1:4">
      <c r="A482" s="11" t="s">
        <v>11317</v>
      </c>
      <c r="B482" s="30" t="s">
        <v>11318</v>
      </c>
      <c r="C482" s="29" t="str">
        <f t="shared" si="60"/>
        <v>C02686:1</v>
      </c>
      <c r="D482" s="27" t="str">
        <f t="shared" si="61"/>
        <v>C02686 : Galactosylceramide</v>
      </c>
    </row>
    <row r="483" spans="1:4">
      <c r="A483" s="11" t="s">
        <v>11319</v>
      </c>
      <c r="B483" s="30" t="s">
        <v>11320</v>
      </c>
      <c r="C483" s="29" t="str">
        <f t="shared" si="60"/>
        <v>C02702:1</v>
      </c>
      <c r="D483" s="27" t="str">
        <f t="shared" si="61"/>
        <v>C02702 : L-Prolyl-tRNA(Pro)</v>
      </c>
    </row>
    <row r="484" spans="1:4">
      <c r="A484" s="11" t="s">
        <v>11321</v>
      </c>
      <c r="B484" s="30" t="s">
        <v>11322</v>
      </c>
      <c r="C484" s="29" t="str">
        <f t="shared" si="60"/>
        <v>C02713:1</v>
      </c>
      <c r="D484" s="27" t="str">
        <f t="shared" si="61"/>
        <v>C02713 : N-Acetylmuramate</v>
      </c>
    </row>
    <row r="485" spans="1:4">
      <c r="A485" s="11" t="s">
        <v>11323</v>
      </c>
      <c r="B485" s="30" t="s">
        <v>11324</v>
      </c>
      <c r="C485" s="29" t="str">
        <f t="shared" si="60"/>
        <v>C02714:1</v>
      </c>
      <c r="D485" s="27" t="str">
        <f t="shared" si="61"/>
        <v>C02714 : N-Acetylputrescine</v>
      </c>
    </row>
    <row r="486" spans="1:4">
      <c r="A486" s="11" t="s">
        <v>11325</v>
      </c>
      <c r="B486" s="30" t="s">
        <v>11326</v>
      </c>
      <c r="C486" s="29" t="str">
        <f t="shared" si="60"/>
        <v>C02729:1</v>
      </c>
      <c r="D486" s="27" t="str">
        <f t="shared" si="61"/>
        <v>C02729 : O-Phosphoprotamine</v>
      </c>
    </row>
    <row r="487" spans="1:4">
      <c r="A487" s="11" t="s">
        <v>11327</v>
      </c>
      <c r="B487" s="30" t="s">
        <v>11328</v>
      </c>
      <c r="C487" s="29" t="str">
        <f t="shared" si="60"/>
        <v>C02743:1</v>
      </c>
      <c r="D487" s="27" t="str">
        <f t="shared" si="61"/>
        <v>C02743 : Protein L-cysteine</v>
      </c>
    </row>
    <row r="488" spans="1:4">
      <c r="A488" s="11" t="s">
        <v>9227</v>
      </c>
      <c r="B488" s="30" t="s">
        <v>11329</v>
      </c>
      <c r="C488" s="29" t="str">
        <f t="shared" si="60"/>
        <v>C02764:1</v>
      </c>
      <c r="D488" s="27" t="str">
        <f t="shared" si="61"/>
        <v>C02764 : tRNA pseudouridine</v>
      </c>
    </row>
    <row r="489" spans="1:4">
      <c r="A489" s="11" t="s">
        <v>11330</v>
      </c>
      <c r="B489" s="30" t="s">
        <v>11331</v>
      </c>
      <c r="C489" s="29" t="str">
        <f t="shared" si="60"/>
        <v>C02780:1</v>
      </c>
      <c r="D489" s="27" t="str">
        <f t="shared" si="61"/>
        <v>C02780 : 2,5-Didehydro-D-gluconate</v>
      </c>
    </row>
    <row r="490" spans="1:4">
      <c r="A490" s="11" t="s">
        <v>11332</v>
      </c>
      <c r="B490" s="30" t="s">
        <v>11333</v>
      </c>
      <c r="C490" s="29" t="str">
        <f t="shared" si="60"/>
        <v>C02839:1</v>
      </c>
      <c r="D490" s="27" t="str">
        <f t="shared" si="61"/>
        <v>C02839 : L-Tyrosyl-tRNA(Tyr)</v>
      </c>
    </row>
    <row r="491" spans="1:4">
      <c r="A491" s="11" t="s">
        <v>11334</v>
      </c>
      <c r="B491" s="30" t="s">
        <v>11335</v>
      </c>
      <c r="C491" s="29" t="str">
        <f t="shared" si="60"/>
        <v>C02876:1</v>
      </c>
      <c r="D491" s="27" t="str">
        <f t="shared" si="61"/>
        <v>C02876 : Propanoyl phosphate</v>
      </c>
    </row>
    <row r="492" spans="1:4">
      <c r="A492" s="6" t="s">
        <v>11336</v>
      </c>
      <c r="B492" s="30" t="s">
        <v>11337</v>
      </c>
      <c r="C492" s="29" t="str">
        <f t="shared" si="60"/>
        <v>C02909:1</v>
      </c>
      <c r="D492" s="27" t="str">
        <f t="shared" si="61"/>
        <v>C02909 : (2-Naphthyl)methanol</v>
      </c>
    </row>
    <row r="493" spans="1:4">
      <c r="A493" s="11" t="s">
        <v>11338</v>
      </c>
      <c r="B493" s="30" t="s">
        <v>11339</v>
      </c>
      <c r="C493" s="29" t="str">
        <f t="shared" si="60"/>
        <v>C02923:1</v>
      </c>
      <c r="D493" s="27" t="str">
        <f t="shared" si="61"/>
        <v>C02923 : 2,3-Dihydroxytoluene</v>
      </c>
    </row>
    <row r="494" spans="1:4">
      <c r="A494" s="11" t="s">
        <v>11340</v>
      </c>
      <c r="B494" s="30" t="s">
        <v>11341</v>
      </c>
      <c r="C494" s="9" t="str">
        <f>CONCATENATE(A494,":","1000")</f>
        <v>C02953:1000</v>
      </c>
      <c r="D494" s="27" t="str">
        <f t="shared" si="61"/>
        <v>C02953 : 7,8-Dihydrobiopterin</v>
      </c>
    </row>
    <row r="495" spans="1:4">
      <c r="A495" s="11" t="s">
        <v>10338</v>
      </c>
      <c r="B495" s="30" t="s">
        <v>11342</v>
      </c>
      <c r="C495" s="29" t="str">
        <f t="shared" ref="C495:C514" si="62">CONCATENATE(A495,":","1")</f>
        <v>C02962:1</v>
      </c>
      <c r="D495" s="27" t="str">
        <f t="shared" si="61"/>
        <v>C02962 : D-Allose 6-phosphate</v>
      </c>
    </row>
    <row r="496" spans="1:4">
      <c r="A496" s="11" t="s">
        <v>11343</v>
      </c>
      <c r="B496" s="30" t="s">
        <v>11344</v>
      </c>
      <c r="C496" s="29" t="str">
        <f t="shared" si="62"/>
        <v>C02967:1</v>
      </c>
      <c r="D496" s="27" t="str">
        <f t="shared" si="61"/>
        <v>C02967 : DNA 5-methylcytosine</v>
      </c>
    </row>
    <row r="497" spans="1:4">
      <c r="A497" s="11" t="s">
        <v>11345</v>
      </c>
      <c r="B497" s="30" t="s">
        <v>11346</v>
      </c>
      <c r="C497" s="9" t="str">
        <f>CONCATENATE(A497,":","1000")</f>
        <v>C02972:1000</v>
      </c>
      <c r="D497" s="27" t="str">
        <f t="shared" si="61"/>
        <v>C02972 : Dihydrolipoylprotein</v>
      </c>
    </row>
    <row r="498" spans="1:4">
      <c r="A498" s="11" t="s">
        <v>11347</v>
      </c>
      <c r="B498" s="30" t="s">
        <v>11348</v>
      </c>
      <c r="C498" s="29" t="str">
        <f t="shared" si="62"/>
        <v>C02984:1</v>
      </c>
      <c r="D498" s="27" t="str">
        <f t="shared" si="61"/>
        <v>C02984 : L-Aspartyl-tRNA(Asp)</v>
      </c>
    </row>
    <row r="499" spans="1:4">
      <c r="A499" s="11" t="s">
        <v>11349</v>
      </c>
      <c r="B499" s="30" t="s">
        <v>11350</v>
      </c>
      <c r="C499" s="29" t="str">
        <f t="shared" si="62"/>
        <v>C02987:1</v>
      </c>
      <c r="D499" s="27" t="str">
        <f t="shared" si="61"/>
        <v>C02987 : L-Glutamyl-tRNA(Glu)</v>
      </c>
    </row>
    <row r="500" spans="1:4">
      <c r="A500" s="11" t="s">
        <v>11351</v>
      </c>
      <c r="B500" s="30" t="s">
        <v>11352</v>
      </c>
      <c r="C500" s="29" t="str">
        <f t="shared" si="62"/>
        <v>C02988:1</v>
      </c>
      <c r="D500" s="27" t="str">
        <f t="shared" si="61"/>
        <v>C02988 : L-Histidyl-tRNA(His)</v>
      </c>
    </row>
    <row r="501" spans="1:4">
      <c r="A501" s="11" t="s">
        <v>11353</v>
      </c>
      <c r="B501" s="30" t="s">
        <v>11354</v>
      </c>
      <c r="C501" s="29" t="str">
        <f t="shared" si="62"/>
        <v>C02989:1</v>
      </c>
      <c r="D501" s="27" t="str">
        <f t="shared" si="61"/>
        <v>C02989 : L-Methionine S-oxide</v>
      </c>
    </row>
    <row r="502" spans="1:4">
      <c r="A502" s="11" t="s">
        <v>11355</v>
      </c>
      <c r="B502" s="30" t="s">
        <v>11356</v>
      </c>
      <c r="C502" s="29" t="str">
        <f t="shared" si="62"/>
        <v>C02992:1</v>
      </c>
      <c r="D502" s="27" t="str">
        <f t="shared" si="61"/>
        <v>C02992 : L-Threonyl-tRNA(Thr)</v>
      </c>
    </row>
    <row r="503" spans="1:4">
      <c r="A503" s="11" t="s">
        <v>11357</v>
      </c>
      <c r="B503" s="30" t="s">
        <v>11358</v>
      </c>
      <c r="C503" s="29" t="str">
        <f t="shared" si="62"/>
        <v>C02999:1</v>
      </c>
      <c r="D503" s="27" t="str">
        <f t="shared" si="61"/>
        <v>C02999 : N-Acetylmuramoyl-Ala</v>
      </c>
    </row>
    <row r="504" spans="1:4">
      <c r="A504" s="11" t="s">
        <v>11359</v>
      </c>
      <c r="B504" s="30" t="s">
        <v>11360</v>
      </c>
      <c r="C504" s="29" t="str">
        <f t="shared" si="62"/>
        <v>C03028:1</v>
      </c>
      <c r="D504" s="27" t="str">
        <f t="shared" si="61"/>
        <v>C03028 : Thiamin triphosphate</v>
      </c>
    </row>
    <row r="505" spans="1:4">
      <c r="A505" s="11" t="s">
        <v>11361</v>
      </c>
      <c r="B505" s="30" t="s">
        <v>11362</v>
      </c>
      <c r="C505" s="29" t="str">
        <f t="shared" si="62"/>
        <v>C03069:1</v>
      </c>
      <c r="D505" s="27" t="str">
        <f t="shared" si="61"/>
        <v>C03069 : 3-Methylcrotonyl-CoA</v>
      </c>
    </row>
    <row r="506" spans="1:4">
      <c r="A506" s="11" t="s">
        <v>11363</v>
      </c>
      <c r="B506" s="30" t="s">
        <v>11364</v>
      </c>
      <c r="C506" s="29" t="str">
        <f t="shared" si="62"/>
        <v>C03082:1</v>
      </c>
      <c r="D506" s="27" t="str">
        <f t="shared" si="61"/>
        <v>C03082 : 4-Phospho-L-aspartate</v>
      </c>
    </row>
    <row r="507" spans="1:4">
      <c r="A507" s="11" t="s">
        <v>11365</v>
      </c>
      <c r="B507" s="30" t="s">
        <v>11366</v>
      </c>
      <c r="C507" s="29" t="str">
        <f t="shared" si="62"/>
        <v>C03089:1</v>
      </c>
      <c r="D507" s="27" t="str">
        <f t="shared" si="61"/>
        <v>C03089 : 5-Methylthio-D-ribose</v>
      </c>
    </row>
    <row r="508" spans="1:4">
      <c r="A508" s="11" t="s">
        <v>11367</v>
      </c>
      <c r="B508" s="30" t="s">
        <v>11368</v>
      </c>
      <c r="C508" s="29" t="str">
        <f t="shared" si="62"/>
        <v>C03090:1</v>
      </c>
      <c r="D508" s="27" t="str">
        <f t="shared" si="61"/>
        <v>C03090 : 5-Phosphoribosylamine</v>
      </c>
    </row>
    <row r="509" spans="1:4">
      <c r="A509" s="11" t="s">
        <v>11369</v>
      </c>
      <c r="B509" s="30" t="s">
        <v>11370</v>
      </c>
      <c r="C509" s="29" t="str">
        <f t="shared" si="62"/>
        <v>C03112:1</v>
      </c>
      <c r="D509" s="27" t="str">
        <f t="shared" si="61"/>
        <v>C03112 : Deacetylcephalosporin C</v>
      </c>
    </row>
    <row r="510" spans="1:4">
      <c r="A510" s="11" t="s">
        <v>11371</v>
      </c>
      <c r="B510" s="30" t="s">
        <v>11372</v>
      </c>
      <c r="C510" s="29" t="str">
        <f t="shared" si="62"/>
        <v>C03120:1</v>
      </c>
      <c r="D510" s="27" t="str">
        <f t="shared" si="61"/>
        <v>C03120 : Glycerophosphodiester</v>
      </c>
    </row>
    <row r="511" spans="1:4">
      <c r="A511" s="11" t="s">
        <v>11373</v>
      </c>
      <c r="B511" s="30" t="s">
        <v>11374</v>
      </c>
      <c r="C511" s="29" t="str">
        <f t="shared" si="62"/>
        <v>C03127:1</v>
      </c>
      <c r="D511" s="27" t="str">
        <f t="shared" si="61"/>
        <v>C03127 : L-Isoleucyl-tRNA(Ile)</v>
      </c>
    </row>
    <row r="512" spans="1:4">
      <c r="A512" s="11" t="s">
        <v>11375</v>
      </c>
      <c r="B512" s="30" t="s">
        <v>11376</v>
      </c>
      <c r="C512" s="29" t="str">
        <f t="shared" si="62"/>
        <v>C03145:1</v>
      </c>
      <c r="D512" s="27" t="str">
        <f t="shared" si="61"/>
        <v>C03145 : N-Formylmethionine</v>
      </c>
    </row>
    <row r="513" spans="1:9">
      <c r="A513" s="11" t="s">
        <v>11377</v>
      </c>
      <c r="B513" s="30" t="s">
        <v>11378</v>
      </c>
      <c r="C513" s="29" t="str">
        <f t="shared" si="62"/>
        <v>C03150:1</v>
      </c>
      <c r="D513" s="27" t="str">
        <f t="shared" si="61"/>
        <v>C03150 : Nicotinamide-beta-riboside</v>
      </c>
    </row>
    <row r="514" spans="1:9">
      <c r="A514" s="11" t="s">
        <v>11379</v>
      </c>
      <c r="B514" s="30" t="s">
        <v>11380</v>
      </c>
      <c r="C514" s="29" t="str">
        <f t="shared" si="62"/>
        <v>C03169:1</v>
      </c>
      <c r="D514" s="27" t="str">
        <f t="shared" si="61"/>
        <v>C03169 : Pyrimidine nucleoside</v>
      </c>
    </row>
    <row r="515" spans="1:9">
      <c r="A515" s="11" t="s">
        <v>11381</v>
      </c>
      <c r="B515" s="30" t="s">
        <v>11382</v>
      </c>
      <c r="C515" s="9" t="str">
        <f>CONCATENATE(A515,":","1000")</f>
        <v>C03170:1000</v>
      </c>
      <c r="D515" s="27" t="str">
        <f t="shared" ref="D515:D578" si="63">CONCATENATE(A515," : ",B515)</f>
        <v>C03170 : Trypanothione disulfide</v>
      </c>
    </row>
    <row r="516" spans="1:9">
      <c r="A516" s="11" t="s">
        <v>11383</v>
      </c>
      <c r="B516" s="30" t="s">
        <v>11384</v>
      </c>
      <c r="C516" s="29" t="str">
        <f t="shared" ref="C516:C532" si="64">CONCATENATE(A516,":","1")</f>
        <v>C03175:1</v>
      </c>
      <c r="D516" s="27" t="str">
        <f t="shared" si="63"/>
        <v>C03175 : Shikimate 3-phosphate</v>
      </c>
    </row>
    <row r="517" spans="1:9">
      <c r="A517" s="11" t="s">
        <v>11385</v>
      </c>
      <c r="B517" s="30" t="s">
        <v>11386</v>
      </c>
      <c r="C517" s="29" t="str">
        <f t="shared" si="64"/>
        <v>C03221:1</v>
      </c>
      <c r="D517" s="27" t="str">
        <f t="shared" si="63"/>
        <v>C03221 : 2-trans-Dodecenoyl-CoA</v>
      </c>
    </row>
    <row r="518" spans="1:9">
      <c r="A518" s="11" t="s">
        <v>11387</v>
      </c>
      <c r="B518" s="30" t="s">
        <v>11388</v>
      </c>
      <c r="C518" s="29" t="str">
        <f t="shared" si="64"/>
        <v>C03263:1</v>
      </c>
      <c r="D518" s="27" t="str">
        <f t="shared" si="63"/>
        <v>C03263 : Coproporphyrinogen III</v>
      </c>
    </row>
    <row r="519" spans="1:9">
      <c r="A519" s="11" t="s">
        <v>11389</v>
      </c>
      <c r="B519" s="30" t="s">
        <v>11390</v>
      </c>
      <c r="C519" s="29" t="str">
        <f t="shared" si="64"/>
        <v>C03272:1</v>
      </c>
      <c r="D519" s="27" t="str">
        <f t="shared" si="63"/>
        <v>C03272 : Globoside</v>
      </c>
      <c r="I519" s="10"/>
    </row>
    <row r="520" spans="1:9">
      <c r="A520" s="11" t="s">
        <v>11391</v>
      </c>
      <c r="B520" s="30" t="s">
        <v>11392</v>
      </c>
      <c r="C520" s="29" t="str">
        <f t="shared" si="64"/>
        <v>C03287:1</v>
      </c>
      <c r="D520" s="27" t="str">
        <f t="shared" si="63"/>
        <v>C03287 : L-Glutamyl 5-phosphate</v>
      </c>
    </row>
    <row r="521" spans="1:9">
      <c r="A521" s="11" t="s">
        <v>8647</v>
      </c>
      <c r="B521" s="30" t="s">
        <v>11393</v>
      </c>
      <c r="C521" s="29" t="str">
        <f t="shared" si="64"/>
        <v>C03291:1</v>
      </c>
      <c r="D521" s="27" t="str">
        <f t="shared" si="63"/>
        <v>C03291 : L-Xylulose 5-phosphate</v>
      </c>
    </row>
    <row r="522" spans="1:9">
      <c r="A522" s="11" t="s">
        <v>11394</v>
      </c>
      <c r="B522" s="30" t="s">
        <v>11395</v>
      </c>
      <c r="C522" s="29" t="str">
        <f t="shared" si="64"/>
        <v>C03294:1</v>
      </c>
      <c r="D522" s="27" t="str">
        <f t="shared" si="63"/>
        <v>C03294 : N-Formylmethionyl-tRNA</v>
      </c>
    </row>
    <row r="523" spans="1:9">
      <c r="A523" s="11" t="s">
        <v>11396</v>
      </c>
      <c r="B523" s="30" t="s">
        <v>11397</v>
      </c>
      <c r="C523" s="29" t="str">
        <f t="shared" si="64"/>
        <v>C03319:1</v>
      </c>
      <c r="D523" s="27" t="str">
        <f t="shared" si="63"/>
        <v>C03319 : dTDP-L-rhamnose</v>
      </c>
    </row>
    <row r="524" spans="1:9">
      <c r="A524" s="11" t="s">
        <v>11398</v>
      </c>
      <c r="B524" s="30" t="s">
        <v>11399</v>
      </c>
      <c r="C524" s="29" t="str">
        <f t="shared" si="64"/>
        <v>C03345:1</v>
      </c>
      <c r="D524" s="27" t="str">
        <f t="shared" si="63"/>
        <v>C03345 : 2-Methylbut-2-enoyl-CoA</v>
      </c>
    </row>
    <row r="525" spans="1:9">
      <c r="A525" s="11" t="s">
        <v>9908</v>
      </c>
      <c r="B525" s="30" t="s">
        <v>11400</v>
      </c>
      <c r="C525" s="29" t="str">
        <f t="shared" si="64"/>
        <v>C03356:1</v>
      </c>
      <c r="D525" s="27" t="str">
        <f t="shared" si="63"/>
        <v>C03356 : 3-Phospho-D-erythronate</v>
      </c>
    </row>
    <row r="526" spans="1:9">
      <c r="A526" s="11" t="s">
        <v>11401</v>
      </c>
      <c r="B526" s="30" t="s">
        <v>11402</v>
      </c>
      <c r="C526" s="29" t="str">
        <f t="shared" si="64"/>
        <v>C03373:1</v>
      </c>
      <c r="D526" s="27" t="str">
        <f t="shared" si="63"/>
        <v>C03373 : Aminoimidazole ribotide</v>
      </c>
    </row>
    <row r="527" spans="1:9">
      <c r="A527" s="11" t="s">
        <v>11403</v>
      </c>
      <c r="B527" s="30" t="s">
        <v>11404</v>
      </c>
      <c r="C527" s="29" t="str">
        <f t="shared" si="64"/>
        <v>C03391:1</v>
      </c>
      <c r="D527" s="27" t="str">
        <f t="shared" si="63"/>
        <v>C03391 : DNA 6-methylaminopurine</v>
      </c>
    </row>
    <row r="528" spans="1:9">
      <c r="A528" s="11" t="s">
        <v>11405</v>
      </c>
      <c r="B528" s="30" t="s">
        <v>11406</v>
      </c>
      <c r="C528" s="29" t="str">
        <f t="shared" si="64"/>
        <v>C03402:1</v>
      </c>
      <c r="D528" s="27" t="str">
        <f t="shared" si="63"/>
        <v>C03402 : L-Asparaginyl-tRNA(Asn)</v>
      </c>
    </row>
    <row r="529" spans="1:4">
      <c r="A529" s="11" t="s">
        <v>11407</v>
      </c>
      <c r="B529" s="30" t="s">
        <v>11408</v>
      </c>
      <c r="C529" s="29" t="str">
        <f t="shared" si="64"/>
        <v>C03405:1</v>
      </c>
      <c r="D529" s="27" t="str">
        <f t="shared" si="63"/>
        <v>C03405 : Lactosylceramide sulfate</v>
      </c>
    </row>
    <row r="530" spans="1:4">
      <c r="A530" s="11" t="s">
        <v>11409</v>
      </c>
      <c r="B530" s="30" t="s">
        <v>11410</v>
      </c>
      <c r="C530" s="29" t="str">
        <f t="shared" si="64"/>
        <v>C03406:1</v>
      </c>
      <c r="D530" s="27" t="str">
        <f t="shared" si="63"/>
        <v>C03406 : N-(L-Arginino)succinate</v>
      </c>
    </row>
    <row r="531" spans="1:4">
      <c r="A531" s="11" t="s">
        <v>11411</v>
      </c>
      <c r="B531" s="30" t="s">
        <v>11412</v>
      </c>
      <c r="C531" s="29" t="str">
        <f t="shared" si="64"/>
        <v>C03431:1</v>
      </c>
      <c r="D531" s="27" t="str">
        <f t="shared" si="63"/>
        <v>C03431 : S-Inosyl-L-homocysteine</v>
      </c>
    </row>
    <row r="532" spans="1:4">
      <c r="A532" s="11" t="s">
        <v>11413</v>
      </c>
      <c r="B532" s="30" t="s">
        <v>11414</v>
      </c>
      <c r="C532" s="29" t="str">
        <f t="shared" si="64"/>
        <v>C03446:1</v>
      </c>
      <c r="D532" s="27" t="str">
        <f t="shared" si="63"/>
        <v>C03446 : tRNA TpsiC</v>
      </c>
    </row>
    <row r="533" spans="1:4">
      <c r="A533" s="11" t="s">
        <v>9368</v>
      </c>
      <c r="B533" s="30" t="s">
        <v>11415</v>
      </c>
      <c r="C533" s="9" t="str">
        <f>CONCATENATE(A533,":","1000")</f>
        <v>C03451:1000</v>
      </c>
      <c r="D533" s="27" t="str">
        <f t="shared" si="63"/>
        <v>C03451 : S-D-Lactoylglutathione</v>
      </c>
    </row>
    <row r="534" spans="1:4">
      <c r="A534" s="11" t="s">
        <v>11416</v>
      </c>
      <c r="B534" s="30" t="s">
        <v>11417</v>
      </c>
      <c r="C534" s="29" t="str">
        <f t="shared" ref="C534:C541" si="65">CONCATENATE(A534,":","1")</f>
        <v>C03460:1</v>
      </c>
      <c r="D534" s="27" t="str">
        <f t="shared" si="63"/>
        <v>C03460 : Methacrylyl-CoA</v>
      </c>
    </row>
    <row r="535" spans="1:4">
      <c r="A535" s="11" t="s">
        <v>11418</v>
      </c>
      <c r="B535" s="30" t="s">
        <v>11419</v>
      </c>
      <c r="C535" s="29" t="str">
        <f t="shared" si="65"/>
        <v>C03485:1</v>
      </c>
      <c r="D535" s="27" t="str">
        <f t="shared" si="63"/>
        <v>C03485 : Aromatic alcohol</v>
      </c>
    </row>
    <row r="536" spans="1:4">
      <c r="A536" s="11" t="s">
        <v>11420</v>
      </c>
      <c r="B536" s="30" t="s">
        <v>11421</v>
      </c>
      <c r="C536" s="29" t="str">
        <f t="shared" si="65"/>
        <v>C03492:1</v>
      </c>
      <c r="D536" s="27" t="str">
        <f t="shared" si="63"/>
        <v>C03492 : D-4'-Phosphopantothenate</v>
      </c>
    </row>
    <row r="537" spans="1:4">
      <c r="A537" s="11" t="s">
        <v>8909</v>
      </c>
      <c r="B537" s="30" t="s">
        <v>11422</v>
      </c>
      <c r="C537" s="29" t="str">
        <f t="shared" si="65"/>
        <v>C03506:1</v>
      </c>
      <c r="D537" s="27" t="str">
        <f t="shared" si="63"/>
        <v>C03506 : Indoleglycerol phosphate</v>
      </c>
    </row>
    <row r="538" spans="1:4">
      <c r="A538" s="11" t="s">
        <v>11423</v>
      </c>
      <c r="B538" s="30" t="s">
        <v>11424</v>
      </c>
      <c r="C538" s="29" t="str">
        <f t="shared" si="65"/>
        <v>C03511:1</v>
      </c>
      <c r="D538" s="27" t="str">
        <f t="shared" si="63"/>
        <v>C03511 : L-Phenylalanyl-tRNA(Phe)</v>
      </c>
    </row>
    <row r="539" spans="1:4">
      <c r="A539" s="11" t="s">
        <v>11425</v>
      </c>
      <c r="B539" s="30" t="s">
        <v>11426</v>
      </c>
      <c r="C539" s="29" t="str">
        <f t="shared" si="65"/>
        <v>C03512:1</v>
      </c>
      <c r="D539" s="27" t="str">
        <f t="shared" si="63"/>
        <v>C03512 : L-Tryptophanyl-tRNA(Trp)</v>
      </c>
    </row>
    <row r="540" spans="1:4">
      <c r="A540" s="11" t="s">
        <v>11427</v>
      </c>
      <c r="B540" s="30" t="s">
        <v>11428</v>
      </c>
      <c r="C540" s="29" t="str">
        <f t="shared" si="65"/>
        <v>C03523:1</v>
      </c>
      <c r="D540" s="27" t="str">
        <f t="shared" si="63"/>
        <v>C03523 : N-Substituted amino acid</v>
      </c>
    </row>
    <row r="541" spans="1:4">
      <c r="A541" s="11" t="s">
        <v>7563</v>
      </c>
      <c r="B541" s="30" t="s">
        <v>11429</v>
      </c>
      <c r="C541" s="29" t="str">
        <f t="shared" si="65"/>
        <v>C03539:1</v>
      </c>
      <c r="D541" s="27" t="str">
        <f t="shared" si="63"/>
        <v>C03539 : S-Ribosyl-L-homocysteine</v>
      </c>
    </row>
    <row r="542" spans="1:4">
      <c r="A542" s="11" t="s">
        <v>11430</v>
      </c>
      <c r="B542" s="30" t="s">
        <v>11431</v>
      </c>
      <c r="C542" s="9" t="str">
        <f>CONCATENATE(A542,":","1000")</f>
        <v>C03541:1000</v>
      </c>
      <c r="D542" s="27" t="str">
        <f t="shared" si="63"/>
        <v>C03541 : Tetrahydrofolyl-[Glu](n)</v>
      </c>
    </row>
    <row r="543" spans="1:4">
      <c r="A543" s="11" t="s">
        <v>11432</v>
      </c>
      <c r="B543" s="30" t="s">
        <v>11433</v>
      </c>
      <c r="C543" s="29" t="str">
        <f t="shared" ref="C543:C546" si="66">CONCATENATE(A543,":","1")</f>
        <v>C03546:1</v>
      </c>
      <c r="D543" s="27" t="str">
        <f t="shared" si="63"/>
        <v>C03546 : Inositol 4-phosphate</v>
      </c>
    </row>
    <row r="544" spans="1:4">
      <c r="A544" s="11" t="s">
        <v>11434</v>
      </c>
      <c r="B544" s="30" t="s">
        <v>11435</v>
      </c>
      <c r="C544" s="29" t="str">
        <f t="shared" si="66"/>
        <v>C03617:1</v>
      </c>
      <c r="D544" s="27" t="str">
        <f t="shared" si="63"/>
        <v>C03617 : L-Methionylaminoacyl-tRNA</v>
      </c>
    </row>
    <row r="545" spans="1:4">
      <c r="A545" s="11" t="s">
        <v>7470</v>
      </c>
      <c r="B545" s="30" t="s">
        <v>11436</v>
      </c>
      <c r="C545" s="29" t="str">
        <f t="shared" si="66"/>
        <v>C03633:1</v>
      </c>
      <c r="D545" s="27" t="str">
        <f t="shared" si="63"/>
        <v>C03633 : Peptidylproline (omega=0)</v>
      </c>
    </row>
    <row r="546" spans="1:4">
      <c r="A546" s="11" t="s">
        <v>11437</v>
      </c>
      <c r="B546" s="30" t="s">
        <v>11438</v>
      </c>
      <c r="C546" s="29" t="str">
        <f t="shared" si="66"/>
        <v>C03687:1</v>
      </c>
      <c r="D546" s="27" t="str">
        <f t="shared" si="63"/>
        <v>C03687 : Alkane-alpha</v>
      </c>
    </row>
    <row r="547" spans="1:4">
      <c r="A547" s="11" t="s">
        <v>11439</v>
      </c>
      <c r="B547" s="30" t="s">
        <v>11440</v>
      </c>
      <c r="C547" s="9" t="str">
        <f>CONCATENATE(A547,":","1000")</f>
        <v>C03688:1000</v>
      </c>
      <c r="D547" s="27" t="str">
        <f t="shared" si="63"/>
        <v>C03688 : Apo-[acyl-carrier protein]</v>
      </c>
    </row>
    <row r="548" spans="1:4">
      <c r="A548" s="11" t="s">
        <v>11441</v>
      </c>
      <c r="B548" s="30" t="s">
        <v>11442</v>
      </c>
      <c r="C548" s="29" t="str">
        <f t="shared" ref="C548:C561" si="67">CONCATENATE(A548,":","1")</f>
        <v>C03692:1</v>
      </c>
      <c r="D548" s="27" t="str">
        <f t="shared" si="63"/>
        <v>C03692 : 1,2-Diacyl-3-beta-D-galactosyl-sn-glycerol</v>
      </c>
    </row>
    <row r="549" spans="1:4">
      <c r="A549" s="11" t="s">
        <v>11443</v>
      </c>
      <c r="B549" s="30" t="s">
        <v>11444</v>
      </c>
      <c r="C549" s="29" t="str">
        <f t="shared" si="67"/>
        <v>C03722:1</v>
      </c>
      <c r="D549" s="27" t="str">
        <f t="shared" si="63"/>
        <v>C03722 : Quinolinate</v>
      </c>
    </row>
    <row r="550" spans="1:4">
      <c r="A550" s="11" t="s">
        <v>11445</v>
      </c>
      <c r="B550" s="30" t="s">
        <v>11446</v>
      </c>
      <c r="C550" s="29" t="str">
        <f t="shared" si="67"/>
        <v>C03723:1</v>
      </c>
      <c r="D550" s="27" t="str">
        <f t="shared" si="63"/>
        <v>C03723 : Ribonucleoside diphosphate</v>
      </c>
    </row>
    <row r="551" spans="1:4">
      <c r="A551" s="11" t="s">
        <v>9440</v>
      </c>
      <c r="B551" s="30" t="s">
        <v>11447</v>
      </c>
      <c r="C551" s="29" t="str">
        <f t="shared" si="67"/>
        <v>C03735:1</v>
      </c>
      <c r="D551" s="27" t="str">
        <f t="shared" si="63"/>
        <v>C03735 : alpha-D-Hexose 6-phosphate</v>
      </c>
    </row>
    <row r="552" spans="1:4">
      <c r="A552" s="11" t="s">
        <v>11448</v>
      </c>
      <c r="B552" s="30" t="s">
        <v>11449</v>
      </c>
      <c r="C552" s="29" t="str">
        <f t="shared" si="67"/>
        <v>C03742:1</v>
      </c>
      <c r="D552" s="27" t="str">
        <f t="shared" si="63"/>
        <v>C03742 : (S)-4-Hydroxymandelonitrile</v>
      </c>
    </row>
    <row r="553" spans="1:4">
      <c r="A553" s="11" t="s">
        <v>11450</v>
      </c>
      <c r="B553" s="30" t="s">
        <v>11451</v>
      </c>
      <c r="C553" s="29" t="str">
        <f t="shared" si="67"/>
        <v>C03764:1</v>
      </c>
      <c r="D553" s="27" t="str">
        <f t="shared" si="63"/>
        <v>C03764 : 4-(Dimethylamino)phenylazobenzene</v>
      </c>
    </row>
    <row r="554" spans="1:4">
      <c r="A554" s="11" t="s">
        <v>11452</v>
      </c>
      <c r="B554" s="30" t="s">
        <v>11453</v>
      </c>
      <c r="C554" s="29" t="str">
        <f t="shared" si="67"/>
        <v>C03765:1</v>
      </c>
      <c r="D554" s="27" t="str">
        <f t="shared" si="63"/>
        <v>C03765 : 4-Hydroxyphenylacetaldehyde</v>
      </c>
    </row>
    <row r="555" spans="1:4">
      <c r="A555" s="11" t="s">
        <v>10005</v>
      </c>
      <c r="B555" s="30" t="s">
        <v>11454</v>
      </c>
      <c r="C555" s="29" t="str">
        <f t="shared" si="67"/>
        <v>C03785:1</v>
      </c>
      <c r="D555" s="27" t="str">
        <f t="shared" si="63"/>
        <v>C03785 : D-Tagatose 1,6-bisphosphate</v>
      </c>
    </row>
    <row r="556" spans="1:4">
      <c r="A556" s="11" t="s">
        <v>8112</v>
      </c>
      <c r="B556" s="30" t="s">
        <v>11455</v>
      </c>
      <c r="C556" s="29" t="str">
        <f t="shared" si="67"/>
        <v>C03794:1</v>
      </c>
      <c r="D556" s="27" t="str">
        <f t="shared" si="63"/>
        <v>C03794 : Adenylosuccinic acid</v>
      </c>
    </row>
    <row r="557" spans="1:4">
      <c r="A557" s="11" t="s">
        <v>7469</v>
      </c>
      <c r="B557" s="30" t="s">
        <v>11456</v>
      </c>
      <c r="C557" s="29" t="str">
        <f t="shared" si="67"/>
        <v>C03798:1</v>
      </c>
      <c r="D557" s="27" t="str">
        <f t="shared" si="63"/>
        <v>C03798 : Peptidylproline (omega=180)</v>
      </c>
    </row>
    <row r="558" spans="1:4">
      <c r="A558" s="11" t="s">
        <v>11457</v>
      </c>
      <c r="B558" s="30" t="s">
        <v>11458</v>
      </c>
      <c r="C558" s="29" t="str">
        <f t="shared" si="67"/>
        <v>C03800:1</v>
      </c>
      <c r="D558" s="27" t="str">
        <f t="shared" si="63"/>
        <v>C03800 : Protein S-methyl-L-cysteine</v>
      </c>
    </row>
    <row r="559" spans="1:4">
      <c r="A559" s="11" t="s">
        <v>11459</v>
      </c>
      <c r="B559" s="30" t="s">
        <v>11460</v>
      </c>
      <c r="C559" s="29" t="str">
        <f t="shared" si="67"/>
        <v>C03802:1</v>
      </c>
      <c r="D559" s="27" t="str">
        <f t="shared" si="63"/>
        <v>C03802 : Ribonucleoside 5'-triphosphate</v>
      </c>
    </row>
    <row r="560" spans="1:4">
      <c r="A560" s="11" t="s">
        <v>11461</v>
      </c>
      <c r="B560" s="30" t="s">
        <v>11462</v>
      </c>
      <c r="C560" s="29" t="str">
        <f t="shared" si="67"/>
        <v>C03838:1</v>
      </c>
      <c r="D560" s="27" t="str">
        <f t="shared" si="63"/>
        <v>C03838 : 5'-Phosphoribosylglycinamide</v>
      </c>
    </row>
    <row r="561" spans="1:4">
      <c r="A561" s="11" t="s">
        <v>11463</v>
      </c>
      <c r="B561" s="30" t="s">
        <v>11464</v>
      </c>
      <c r="C561" s="29" t="str">
        <f t="shared" si="67"/>
        <v>C03847:1</v>
      </c>
      <c r="D561" s="27" t="str">
        <f t="shared" si="63"/>
        <v>C03847 : 6-Phospho-beta-D-galactoside</v>
      </c>
    </row>
    <row r="562" spans="1:4">
      <c r="A562" s="11" t="s">
        <v>11465</v>
      </c>
      <c r="B562" s="30" t="s">
        <v>11466</v>
      </c>
      <c r="C562" s="9" t="str">
        <f>CONCATENATE(A562,":","1000")</f>
        <v>C03880:1000</v>
      </c>
      <c r="D562" s="27" t="str">
        <f t="shared" si="63"/>
        <v>C03880 : N-Substituted aminoacyl-tRNA</v>
      </c>
    </row>
    <row r="563" spans="1:4">
      <c r="A563" s="11" t="s">
        <v>11467</v>
      </c>
      <c r="B563" s="30" t="s">
        <v>11468</v>
      </c>
      <c r="C563" s="29" t="str">
        <f t="shared" ref="C563:C571" si="68">CONCATENATE(A563,":","1")</f>
        <v>C03892:1</v>
      </c>
      <c r="D563" s="27" t="str">
        <f t="shared" si="63"/>
        <v>C03892 : Phosphatidylglycerophosphate</v>
      </c>
    </row>
    <row r="564" spans="1:4">
      <c r="A564" s="11" t="s">
        <v>11469</v>
      </c>
      <c r="B564" s="30" t="s">
        <v>11470</v>
      </c>
      <c r="C564" s="29" t="str">
        <f t="shared" si="68"/>
        <v>C03912:1</v>
      </c>
      <c r="D564" s="27" t="str">
        <f t="shared" si="63"/>
        <v>C03912 : 1-Pyrroline-5-carboxylate</v>
      </c>
    </row>
    <row r="565" spans="1:4">
      <c r="A565" s="11" t="s">
        <v>11471</v>
      </c>
      <c r="B565" s="30" t="s">
        <v>11472</v>
      </c>
      <c r="C565" s="9" t="str">
        <f>CONCATENATE(A565,":","1000")</f>
        <v>C03939:1000</v>
      </c>
      <c r="D565" s="27" t="str">
        <f t="shared" si="63"/>
        <v>C03939 : Acetyl-[acp]</v>
      </c>
    </row>
    <row r="566" spans="1:4">
      <c r="A566" s="11" t="s">
        <v>11473</v>
      </c>
      <c r="B566" s="30" t="s">
        <v>11474</v>
      </c>
      <c r="C566" s="29" t="str">
        <f t="shared" si="68"/>
        <v>C03972:1</v>
      </c>
      <c r="D566" s="27" t="str">
        <f t="shared" si="63"/>
        <v>C03972 : 2,3,4,5-Tetrahydrodipicolinate</v>
      </c>
    </row>
    <row r="567" spans="1:4">
      <c r="A567" s="11" t="s">
        <v>11475</v>
      </c>
      <c r="B567" s="30" t="s">
        <v>11476</v>
      </c>
      <c r="C567" s="29" t="str">
        <f t="shared" si="68"/>
        <v>C04006:1</v>
      </c>
      <c r="D567" s="27" t="str">
        <f t="shared" si="63"/>
        <v>C04006 : D-myo-Inositol 3-phosphate</v>
      </c>
    </row>
    <row r="568" spans="1:4">
      <c r="A568" s="11" t="s">
        <v>8473</v>
      </c>
      <c r="B568" s="30" t="s">
        <v>11477</v>
      </c>
      <c r="C568" s="29" t="str">
        <f t="shared" si="68"/>
        <v>C04039:1</v>
      </c>
      <c r="D568" s="27" t="str">
        <f t="shared" si="63"/>
        <v>C04039 : 2,3-Dihydroxy-isovaleric acid</v>
      </c>
    </row>
    <row r="569" spans="1:4">
      <c r="A569" s="11" t="s">
        <v>11478</v>
      </c>
      <c r="B569" s="30" t="s">
        <v>11479</v>
      </c>
      <c r="C569" s="29" t="str">
        <f t="shared" si="68"/>
        <v>C04051:1</v>
      </c>
      <c r="D569" s="27" t="str">
        <f t="shared" si="63"/>
        <v>C04051 : 5-Amino-4-imidazolecarboxyamide</v>
      </c>
    </row>
    <row r="570" spans="1:4">
      <c r="A570" s="11" t="s">
        <v>11480</v>
      </c>
      <c r="B570" s="30" t="s">
        <v>11481</v>
      </c>
      <c r="C570" s="29" t="str">
        <f t="shared" si="68"/>
        <v>C04053:1</v>
      </c>
      <c r="D570" s="27" t="str">
        <f t="shared" si="63"/>
        <v>C04053 : 5-Dehydro-4-deoxy-D-glucuronate</v>
      </c>
    </row>
    <row r="571" spans="1:4">
      <c r="A571" s="11" t="s">
        <v>11482</v>
      </c>
      <c r="B571" s="30" t="s">
        <v>11483</v>
      </c>
      <c r="C571" s="29" t="str">
        <f t="shared" si="68"/>
        <v>C04079:1</v>
      </c>
      <c r="D571" s="27" t="str">
        <f t="shared" si="63"/>
        <v>C04079 : N-Pantothenoylcysteine</v>
      </c>
    </row>
    <row r="572" spans="1:4">
      <c r="A572" s="11" t="s">
        <v>11484</v>
      </c>
      <c r="B572" s="30" t="s">
        <v>11485</v>
      </c>
      <c r="C572" s="9" t="str">
        <f t="shared" ref="C572:C578" si="69">CONCATENATE(A572,":","1000")</f>
        <v>C04088:1000</v>
      </c>
      <c r="D572" s="27" t="str">
        <f t="shared" si="63"/>
        <v>C04088 : Stearoyl-[acyl-carrier protein]</v>
      </c>
    </row>
    <row r="573" spans="1:4">
      <c r="A573" s="11" t="s">
        <v>11486</v>
      </c>
      <c r="B573" s="30" t="s">
        <v>11487</v>
      </c>
      <c r="C573" s="29" t="str">
        <f>CONCATENATE(A573,":","1")</f>
        <v>C04132:1</v>
      </c>
      <c r="D573" s="27" t="str">
        <f t="shared" si="63"/>
        <v>C04132 : N-Acetyl-D-glucosamine 6-sulfate</v>
      </c>
    </row>
    <row r="574" spans="1:4">
      <c r="A574" s="11" t="s">
        <v>9139</v>
      </c>
      <c r="B574" s="30" t="s">
        <v>11488</v>
      </c>
      <c r="C574" s="29" t="str">
        <f>CONCATENATE(A574,":","1")</f>
        <v>C04136:1</v>
      </c>
      <c r="D574" s="27" t="str">
        <f t="shared" si="63"/>
        <v>C04136 : N-Acyl-D-glucosamine 6-phosphate</v>
      </c>
    </row>
    <row r="575" spans="1:4">
      <c r="A575" s="11" t="s">
        <v>11489</v>
      </c>
      <c r="B575" s="30" t="s">
        <v>11490</v>
      </c>
      <c r="C575" s="9" t="str">
        <f t="shared" si="69"/>
        <v>C04152:1000</v>
      </c>
      <c r="D575" s="27" t="str">
        <f t="shared" si="63"/>
        <v>C04152 : rRNA containing N1-methylguanine</v>
      </c>
    </row>
    <row r="576" spans="1:4">
      <c r="A576" s="11" t="s">
        <v>11491</v>
      </c>
      <c r="B576" s="30" t="s">
        <v>11492</v>
      </c>
      <c r="C576" s="9" t="str">
        <f t="shared" si="69"/>
        <v>C04153:1000</v>
      </c>
      <c r="D576" s="27" t="str">
        <f t="shared" si="63"/>
        <v>C04153 : rRNA containing N2-methylguanine</v>
      </c>
    </row>
    <row r="577" spans="1:4">
      <c r="A577" s="11" t="s">
        <v>11493</v>
      </c>
      <c r="B577" s="30" t="s">
        <v>11494</v>
      </c>
      <c r="C577" s="9" t="str">
        <f t="shared" si="69"/>
        <v>C04157:1000</v>
      </c>
      <c r="D577" s="27" t="str">
        <f t="shared" si="63"/>
        <v>C04157 : N1-Methylguanine in tRNA</v>
      </c>
    </row>
    <row r="578" spans="1:4">
      <c r="A578" s="11" t="s">
        <v>11495</v>
      </c>
      <c r="B578" s="30" t="s">
        <v>11496</v>
      </c>
      <c r="C578" s="9" t="str">
        <f t="shared" si="69"/>
        <v>C04161:1000</v>
      </c>
      <c r="D578" s="27" t="str">
        <f t="shared" si="63"/>
        <v>C04161 : tRNA containing a thionucleotide</v>
      </c>
    </row>
    <row r="579" spans="1:4">
      <c r="A579" s="11" t="s">
        <v>7247</v>
      </c>
      <c r="B579" s="30" t="s">
        <v>11497</v>
      </c>
      <c r="C579" s="29" t="str">
        <f t="shared" ref="C579:C595" si="70">CONCATENATE(A579,":","1")</f>
        <v>C04181:1</v>
      </c>
      <c r="D579" s="27" t="str">
        <f t="shared" ref="D579:D642" si="71">CONCATENATE(A579," : ",B579)</f>
        <v>C04181 : 2-Oxo-3-hydroxyisovalerate</v>
      </c>
    </row>
    <row r="580" spans="1:4">
      <c r="A580" s="11" t="s">
        <v>11498</v>
      </c>
      <c r="B580" s="30" t="s">
        <v>11499</v>
      </c>
      <c r="C580" s="29" t="str">
        <f t="shared" si="70"/>
        <v>C04203:1</v>
      </c>
      <c r="D580" s="27" t="str">
        <f t="shared" si="71"/>
        <v>C04203 : p-Amino-N,N-dimethylaniline</v>
      </c>
    </row>
    <row r="581" spans="1:4">
      <c r="A581" s="11" t="s">
        <v>11500</v>
      </c>
      <c r="B581" s="30" t="s">
        <v>11501</v>
      </c>
      <c r="C581" s="29" t="str">
        <f t="shared" si="70"/>
        <v>C04232:1</v>
      </c>
      <c r="D581" s="27" t="str">
        <f t="shared" si="71"/>
        <v>C04232 : 2'-Deoxyribonucleoside 5'-diphosphate</v>
      </c>
    </row>
    <row r="582" spans="1:4">
      <c r="A582" s="11" t="s">
        <v>9724</v>
      </c>
      <c r="B582" s="30" t="s">
        <v>11502</v>
      </c>
      <c r="C582" s="29" t="str">
        <f t="shared" si="70"/>
        <v>C04236:1</v>
      </c>
      <c r="D582" s="27" t="str">
        <f t="shared" si="71"/>
        <v>C04236 : 3-Carboxy-4-methyl-2-oxopentanoate</v>
      </c>
    </row>
    <row r="583" spans="1:4">
      <c r="A583" s="11" t="s">
        <v>11503</v>
      </c>
      <c r="B583" s="30" t="s">
        <v>11504</v>
      </c>
      <c r="C583" s="29" t="str">
        <f t="shared" si="70"/>
        <v>C04242:1</v>
      </c>
      <c r="D583" s="27" t="str">
        <f t="shared" si="71"/>
        <v>C04242 : 5-Fluorodeoxyuridine monophosphate</v>
      </c>
    </row>
    <row r="584" spans="1:4">
      <c r="A584" s="11" t="s">
        <v>11505</v>
      </c>
      <c r="B584" s="30" t="s">
        <v>11506</v>
      </c>
      <c r="C584" s="29" t="str">
        <f t="shared" si="70"/>
        <v>C04250:1</v>
      </c>
      <c r="D584" s="27" t="str">
        <f t="shared" si="71"/>
        <v>C04250 : DNA containing 6-O-methylguanine</v>
      </c>
    </row>
    <row r="585" spans="1:4">
      <c r="A585" s="11" t="s">
        <v>9142</v>
      </c>
      <c r="B585" s="30" t="s">
        <v>11507</v>
      </c>
      <c r="C585" s="29" t="str">
        <f t="shared" si="70"/>
        <v>C04257:1</v>
      </c>
      <c r="D585" s="27" t="str">
        <f t="shared" si="71"/>
        <v>C04257 : N-Acetylmannosamine 6-phosphate</v>
      </c>
    </row>
    <row r="586" spans="1:4">
      <c r="A586" s="11" t="s">
        <v>11508</v>
      </c>
      <c r="B586" s="30" t="s">
        <v>11509</v>
      </c>
      <c r="C586" s="29" t="str">
        <f t="shared" si="70"/>
        <v>C04258:1</v>
      </c>
      <c r="D586" s="27" t="str">
        <f t="shared" si="71"/>
        <v>C04258 : N-Formyl-L-methionylaminoacyl-tRNA</v>
      </c>
    </row>
    <row r="587" spans="1:4">
      <c r="A587" s="11" t="s">
        <v>11510</v>
      </c>
      <c r="B587" s="30" t="s">
        <v>11511</v>
      </c>
      <c r="C587" s="29" t="str">
        <f t="shared" si="70"/>
        <v>C04260:1</v>
      </c>
      <c r="D587" s="27" t="str">
        <f t="shared" si="71"/>
        <v>C04260 : O-D-Alanyl-poly(ribitol phosphate)</v>
      </c>
    </row>
    <row r="588" spans="1:4">
      <c r="A588" s="11" t="s">
        <v>11512</v>
      </c>
      <c r="B588" s="30" t="s">
        <v>11513</v>
      </c>
      <c r="C588" s="29" t="str">
        <f t="shared" si="70"/>
        <v>C04261:1</v>
      </c>
      <c r="D588" s="27" t="str">
        <f t="shared" si="71"/>
        <v>C04261 : Protein N-pros-phospho-L-histidine</v>
      </c>
    </row>
    <row r="589" spans="1:4">
      <c r="A589" s="11" t="s">
        <v>8476</v>
      </c>
      <c r="B589" s="30" t="s">
        <v>11514</v>
      </c>
      <c r="C589" s="29" t="str">
        <f t="shared" si="70"/>
        <v>C04272:1</v>
      </c>
      <c r="D589" s="27" t="str">
        <f t="shared" si="71"/>
        <v>C04272 : (R)-2,3-Dihydroxy-3-methylbutanoate</v>
      </c>
    </row>
    <row r="590" spans="1:4">
      <c r="A590" s="11" t="s">
        <v>11515</v>
      </c>
      <c r="B590" s="30" t="s">
        <v>11516</v>
      </c>
      <c r="C590" s="29" t="str">
        <f t="shared" si="70"/>
        <v>C04281:1</v>
      </c>
      <c r="D590" s="27" t="str">
        <f t="shared" si="71"/>
        <v>C04281 : L-1-Pyrroline-3-hydroxy-5-carboxylate</v>
      </c>
    </row>
    <row r="591" spans="1:4">
      <c r="A591" s="11" t="s">
        <v>8902</v>
      </c>
      <c r="B591" s="30" t="s">
        <v>11517</v>
      </c>
      <c r="C591" s="29" t="str">
        <f t="shared" si="70"/>
        <v>C04302:1</v>
      </c>
      <c r="D591" s="27" t="str">
        <f t="shared" si="71"/>
        <v>C04302 : N-(5-Phospho-D-ribosyl)anthranilate</v>
      </c>
    </row>
    <row r="592" spans="1:4">
      <c r="A592" s="11" t="s">
        <v>11518</v>
      </c>
      <c r="B592" s="30" t="s">
        <v>11519</v>
      </c>
      <c r="C592" s="29" t="str">
        <f t="shared" si="70"/>
        <v>C04309:1</v>
      </c>
      <c r="D592" s="27" t="str">
        <f t="shared" si="71"/>
        <v>C04309 : Phosphoenol-4-deoxy-3-tetrulosonate</v>
      </c>
    </row>
    <row r="593" spans="1:4">
      <c r="A593" s="11" t="s">
        <v>7920</v>
      </c>
      <c r="B593" s="30" t="s">
        <v>11520</v>
      </c>
      <c r="C593" s="29" t="str">
        <f t="shared" si="70"/>
        <v>C04332:1</v>
      </c>
      <c r="D593" s="27" t="str">
        <f t="shared" si="71"/>
        <v>C04332 : 6,7-Dimethyl-8-(D-ribityl)lumazine</v>
      </c>
    </row>
    <row r="594" spans="1:4">
      <c r="A594" s="11" t="s">
        <v>11521</v>
      </c>
      <c r="B594" s="30" t="s">
        <v>11522</v>
      </c>
      <c r="C594" s="29" t="str">
        <f t="shared" si="70"/>
        <v>C04352:1</v>
      </c>
      <c r="D594" s="27" t="str">
        <f t="shared" si="71"/>
        <v>C04352 : (R)-4'-Phosphopantothenoyl-L-cysteine</v>
      </c>
    </row>
    <row r="595" spans="1:4">
      <c r="A595" s="11" t="s">
        <v>11523</v>
      </c>
      <c r="B595" s="30" t="s">
        <v>11524</v>
      </c>
      <c r="C595" s="29" t="str">
        <f t="shared" si="70"/>
        <v>C04370:1</v>
      </c>
      <c r="D595" s="27" t="str">
        <f t="shared" si="71"/>
        <v>C04370 : S-Adenosyl-L-homocysteine</v>
      </c>
    </row>
    <row r="596" spans="1:4">
      <c r="A596" s="11" t="s">
        <v>11525</v>
      </c>
      <c r="B596" s="30" t="s">
        <v>11526</v>
      </c>
      <c r="C596" s="29" t="str">
        <f t="shared" ref="C596:C599" si="72">CONCATENATE(A596,":","1")</f>
        <v>C04376:1</v>
      </c>
      <c r="D596" s="27" t="str">
        <f t="shared" si="71"/>
        <v>C04376 : 5'-Phosphoribosyl-N-formylglycinamide</v>
      </c>
    </row>
    <row r="597" spans="1:4">
      <c r="A597" s="11" t="s">
        <v>11527</v>
      </c>
      <c r="B597" s="30" t="s">
        <v>11528</v>
      </c>
      <c r="C597" s="29" t="str">
        <f t="shared" si="72"/>
        <v>C04377:1</v>
      </c>
      <c r="D597" s="27" t="str">
        <f t="shared" si="71"/>
        <v>C04377 : 5,10-Methylenetetrahydromethanopterin</v>
      </c>
    </row>
    <row r="598" spans="1:4">
      <c r="A598" s="11" t="s">
        <v>7395</v>
      </c>
      <c r="B598" s="30" t="s">
        <v>11529</v>
      </c>
      <c r="C598" s="29" t="str">
        <f t="shared" si="72"/>
        <v>C04405:1</v>
      </c>
      <c r="D598" s="27" t="str">
        <f t="shared" si="71"/>
        <v>C04405 : (S)-3-Hydroxy-2-methylbutyryl-CoA</v>
      </c>
    </row>
    <row r="599" spans="1:4">
      <c r="A599" s="11" t="s">
        <v>9744</v>
      </c>
      <c r="B599" s="30" t="s">
        <v>11530</v>
      </c>
      <c r="C599" s="29" t="str">
        <f t="shared" si="72"/>
        <v>C04411:1</v>
      </c>
      <c r="D599" s="27" t="str">
        <f t="shared" si="71"/>
        <v>C04411 : 3-Isopropylmalate</v>
      </c>
    </row>
    <row r="600" spans="1:4">
      <c r="A600" s="11" t="s">
        <v>11531</v>
      </c>
      <c r="B600" s="30" t="s">
        <v>11532</v>
      </c>
      <c r="C600" s="9" t="str">
        <f>CONCATENATE(A600,":","1000")</f>
        <v>C04419:1000</v>
      </c>
      <c r="D600" s="27" t="str">
        <f t="shared" si="71"/>
        <v>C04419 : Carboxybiotin-carboxyl-carrier protein</v>
      </c>
    </row>
    <row r="601" spans="1:4">
      <c r="A601" s="11" t="s">
        <v>11533</v>
      </c>
      <c r="B601" s="30" t="s">
        <v>11534</v>
      </c>
      <c r="C601" s="29" t="str">
        <f t="shared" ref="C601:C606" si="73">CONCATENATE(A601,":","1")</f>
        <v>C04462:1</v>
      </c>
      <c r="D601" s="27" t="str">
        <f t="shared" si="71"/>
        <v>C04462 : N-Succinyl-2-L-amino-6-oxoheptanedioate</v>
      </c>
    </row>
    <row r="602" spans="1:4">
      <c r="A602" s="11" t="s">
        <v>11535</v>
      </c>
      <c r="B602" s="30" t="s">
        <v>11536</v>
      </c>
      <c r="C602" s="29" t="str">
        <f t="shared" si="73"/>
        <v>C04494:1</v>
      </c>
      <c r="D602" s="27" t="str">
        <f t="shared" si="71"/>
        <v>C04494 : Guanosine 3'-diphosphate 5'-triphosphate</v>
      </c>
    </row>
    <row r="603" spans="1:4" ht="29">
      <c r="A603" s="11" t="s">
        <v>9326</v>
      </c>
      <c r="B603" s="30" t="s">
        <v>11537</v>
      </c>
      <c r="C603" s="29" t="str">
        <f t="shared" si="73"/>
        <v>C04501:1</v>
      </c>
      <c r="D603" s="27" t="str">
        <f t="shared" si="71"/>
        <v>C04501 : N-Acetyl-alpha-D-glucosamine 1-phosphate</v>
      </c>
    </row>
    <row r="604" spans="1:4">
      <c r="A604" s="11" t="s">
        <v>11538</v>
      </c>
      <c r="B604" s="30" t="s">
        <v>11539</v>
      </c>
      <c r="C604" s="29" t="str">
        <f t="shared" si="73"/>
        <v>C04534:1</v>
      </c>
      <c r="D604" s="27" t="str">
        <f t="shared" si="71"/>
        <v>C04534 : 6-Phospho-beta-D-glucosyl-(1,4)-D-glucose</v>
      </c>
    </row>
    <row r="605" spans="1:4" ht="29">
      <c r="A605" s="11" t="s">
        <v>9428</v>
      </c>
      <c r="B605" s="30" t="s">
        <v>11540</v>
      </c>
      <c r="C605" s="29" t="str">
        <f t="shared" si="73"/>
        <v>C04553:1</v>
      </c>
      <c r="D605" s="27" t="str">
        <f t="shared" si="71"/>
        <v>C04553 : 3-Carboxy-2,5-dihydro-5-oxofuran-2-acetate</v>
      </c>
    </row>
    <row r="606" spans="1:4" ht="29">
      <c r="A606" s="11" t="s">
        <v>11541</v>
      </c>
      <c r="B606" s="30" t="s">
        <v>11542</v>
      </c>
      <c r="C606" s="29" t="str">
        <f t="shared" si="73"/>
        <v>C04556:1</v>
      </c>
      <c r="D606" s="27" t="str">
        <f t="shared" si="71"/>
        <v>C04556 : 4-Amino-2-methyl-5-(phosphooxymethyl)pyrimidine</v>
      </c>
    </row>
    <row r="607" spans="1:4" ht="29">
      <c r="A607" s="11" t="s">
        <v>11543</v>
      </c>
      <c r="B607" s="30" t="s">
        <v>11544</v>
      </c>
      <c r="C607" s="9" t="str">
        <f t="shared" ref="C607:C610" si="74">CONCATENATE(A607,":","1000")</f>
        <v>C04574:1000</v>
      </c>
      <c r="D607" s="27" t="str">
        <f t="shared" si="71"/>
        <v>C04574 : di-trans,poly-cis-Undecaprenyl diphosphate</v>
      </c>
    </row>
    <row r="608" spans="1:4" ht="29">
      <c r="A608" s="11" t="s">
        <v>11545</v>
      </c>
      <c r="B608" s="30" t="s">
        <v>11546</v>
      </c>
      <c r="C608" s="9" t="str">
        <f t="shared" si="74"/>
        <v>C04618:1000</v>
      </c>
      <c r="D608" s="27" t="str">
        <f t="shared" si="71"/>
        <v>C04618 : (3R)-3-Hydroxybutanoyl-[acyl-carrier protein]</v>
      </c>
    </row>
    <row r="609" spans="1:4" ht="29">
      <c r="A609" s="11" t="s">
        <v>11547</v>
      </c>
      <c r="B609" s="30" t="s">
        <v>11548</v>
      </c>
      <c r="C609" s="9" t="str">
        <f t="shared" si="74"/>
        <v>C04619:1000</v>
      </c>
      <c r="D609" s="27" t="str">
        <f t="shared" si="71"/>
        <v>C04619 : (3R)-3-Hydroxydecanoyl-[acyl-carrier protein]</v>
      </c>
    </row>
    <row r="610" spans="1:4" ht="29">
      <c r="A610" s="11" t="s">
        <v>11549</v>
      </c>
      <c r="B610" s="30" t="s">
        <v>11550</v>
      </c>
      <c r="C610" s="9" t="str">
        <f t="shared" si="74"/>
        <v>C04620:1000</v>
      </c>
      <c r="D610" s="27" t="str">
        <f t="shared" si="71"/>
        <v>C04620 : (3R)-3-Hydroxyoctanoyl-[acyl-carrier protein]</v>
      </c>
    </row>
    <row r="611" spans="1:4" ht="29">
      <c r="A611" s="11" t="s">
        <v>11551</v>
      </c>
      <c r="B611" s="30" t="s">
        <v>11552</v>
      </c>
      <c r="C611" s="29" t="str">
        <f t="shared" ref="C611:C616" si="75">CONCATENATE(A611,":","1")</f>
        <v>C04631:1</v>
      </c>
      <c r="D611" s="27" t="str">
        <f t="shared" si="71"/>
        <v>C04631 : UDP-N-acetyl-3-(1-carboxyvinyl)-D-glucosamine</v>
      </c>
    </row>
    <row r="612" spans="1:4" ht="29">
      <c r="A612" s="11" t="s">
        <v>11553</v>
      </c>
      <c r="B612" s="30" t="s">
        <v>11554</v>
      </c>
      <c r="C612" s="9" t="str">
        <f>CONCATENATE(A612,":","1000")</f>
        <v>C04633:1000</v>
      </c>
      <c r="D612" s="27" t="str">
        <f t="shared" si="71"/>
        <v>C04633 : (3R)-3-Hydroxypalmitoyl-[acyl-carrier protein]</v>
      </c>
    </row>
    <row r="613" spans="1:4" ht="29">
      <c r="A613" s="11" t="s">
        <v>11555</v>
      </c>
      <c r="B613" s="30" t="s">
        <v>11556</v>
      </c>
      <c r="C613" s="29" t="str">
        <f t="shared" si="75"/>
        <v>C04640:1</v>
      </c>
      <c r="D613" s="27" t="str">
        <f t="shared" si="71"/>
        <v>C04640 : 2-(Formamido)-N1-(5'-phosphoribosyl)acetamidine</v>
      </c>
    </row>
    <row r="614" spans="1:4">
      <c r="A614" s="11" t="s">
        <v>11557</v>
      </c>
      <c r="B614" s="30" t="s">
        <v>11558</v>
      </c>
      <c r="C614" s="29" t="str">
        <f t="shared" si="75"/>
        <v>C04646:1</v>
      </c>
      <c r="D614" s="27" t="str">
        <f t="shared" si="71"/>
        <v>C04646 : 6-Thioinosine-5'-monophosphate</v>
      </c>
    </row>
    <row r="615" spans="1:4" ht="29">
      <c r="A615" s="11" t="s">
        <v>11559</v>
      </c>
      <c r="B615" s="30" t="s">
        <v>11560</v>
      </c>
      <c r="C615" s="29" t="str">
        <f t="shared" si="75"/>
        <v>C04677:1</v>
      </c>
      <c r="D615" s="27" t="str">
        <f t="shared" si="71"/>
        <v>C04677 : 1-(5'-Phosphoribosyl)-5-amino-4-imidazolecarboxamide</v>
      </c>
    </row>
    <row r="616" spans="1:4" ht="29">
      <c r="A616" s="11" t="s">
        <v>11561</v>
      </c>
      <c r="B616" s="30" t="s">
        <v>11562</v>
      </c>
      <c r="C616" s="29" t="str">
        <f t="shared" si="75"/>
        <v>C04681:1</v>
      </c>
      <c r="D616" s="27" t="str">
        <f t="shared" si="71"/>
        <v>C04681 : [Acetyl-CoA:carbon-dioxide ligase (ADP-forming)]</v>
      </c>
    </row>
    <row r="617" spans="1:4" ht="29">
      <c r="A617" s="11" t="s">
        <v>11563</v>
      </c>
      <c r="B617" s="30" t="s">
        <v>11564</v>
      </c>
      <c r="C617" s="9" t="str">
        <f>CONCATENATE(A617,":","1000")</f>
        <v>C04688:1000</v>
      </c>
      <c r="D617" s="27" t="str">
        <f t="shared" si="71"/>
        <v>C04688 : (3R)-3-Hydroxytetradecanoyl-[acyl-carrier protein]</v>
      </c>
    </row>
    <row r="618" spans="1:4" ht="29">
      <c r="A618" s="11" t="s">
        <v>9596</v>
      </c>
      <c r="B618" s="30" t="s">
        <v>11565</v>
      </c>
      <c r="C618" s="29" t="str">
        <f t="shared" ref="C618:C622" si="76">CONCATENATE(A618,":","1")</f>
        <v>C04691:1</v>
      </c>
      <c r="D618" s="27" t="str">
        <f t="shared" si="71"/>
        <v>C04691 : 2-Dehydro-3-deoxy-D-arabino-heptonate 7-phosphate</v>
      </c>
    </row>
    <row r="619" spans="1:4" ht="29">
      <c r="A619" s="11" t="s">
        <v>11566</v>
      </c>
      <c r="B619" s="30" t="s">
        <v>11567</v>
      </c>
      <c r="C619" s="29" t="str">
        <f t="shared" si="76"/>
        <v>C04702:1</v>
      </c>
      <c r="D619" s="27" t="str">
        <f t="shared" si="71"/>
        <v>C04702 : UDPMurNAc(oyl-L-Ala-D-gamma-Glu-L-Lys-D-Ala-D-Ala)</v>
      </c>
    </row>
    <row r="620" spans="1:4">
      <c r="A620" s="11" t="s">
        <v>11568</v>
      </c>
      <c r="B620" s="30" t="s">
        <v>11569</v>
      </c>
      <c r="C620" s="29" t="str">
        <f t="shared" si="76"/>
        <v>C04730:1</v>
      </c>
      <c r="D620" s="27" t="str">
        <f t="shared" si="71"/>
        <v>C04730 : GM3</v>
      </c>
    </row>
    <row r="621" spans="1:4">
      <c r="A621" s="11" t="s">
        <v>11570</v>
      </c>
      <c r="B621" s="30" t="s">
        <v>11571</v>
      </c>
      <c r="C621" s="29" t="str">
        <f t="shared" si="76"/>
        <v>C04732:1</v>
      </c>
      <c r="D621" s="27" t="str">
        <f t="shared" si="71"/>
        <v>C04732 : 5-Amino-6-(1-D-ribitylamino)uracil</v>
      </c>
    </row>
    <row r="622" spans="1:4" ht="29">
      <c r="A622" s="11" t="s">
        <v>11572</v>
      </c>
      <c r="B622" s="30" t="s">
        <v>11573</v>
      </c>
      <c r="C622" s="29" t="str">
        <f t="shared" si="76"/>
        <v>C04734:1</v>
      </c>
      <c r="D622" s="27" t="str">
        <f t="shared" si="71"/>
        <v>C04734 : 1-(5'-Phosphoribosyl)-5-formamido-4-imidazolecarboxamide</v>
      </c>
    </row>
    <row r="623" spans="1:4">
      <c r="A623" s="11" t="s">
        <v>11574</v>
      </c>
      <c r="B623" s="30" t="s">
        <v>11575</v>
      </c>
      <c r="C623" s="9" t="str">
        <f>CONCATENATE(A623,":","1000")</f>
        <v>C04735:1000</v>
      </c>
      <c r="D623" s="27" t="str">
        <f t="shared" si="71"/>
        <v>C04735 : Apo-[acetyl-CoA carboxylase]</v>
      </c>
    </row>
    <row r="624" spans="1:4" ht="43.5">
      <c r="A624" s="11" t="s">
        <v>11576</v>
      </c>
      <c r="B624" s="30" t="s">
        <v>11577</v>
      </c>
      <c r="C624" s="29" t="str">
        <f t="shared" ref="C624:C642" si="77">CONCATENATE(A624,":","1")</f>
        <v>C04737:1</v>
      </c>
      <c r="D624" s="27" t="str">
        <f t="shared" si="71"/>
        <v>C04737 : alpha-D-Galactosyl-(1-&gt;4)-beta-D-galactosyl-(1-&gt;4)-beta-D-glucosyl-(1&lt;-&gt;1)-ceramide</v>
      </c>
    </row>
    <row r="625" spans="1:4" ht="29">
      <c r="A625" s="11" t="s">
        <v>8123</v>
      </c>
      <c r="B625" s="30" t="s">
        <v>11578</v>
      </c>
      <c r="C625" s="29" t="str">
        <f t="shared" si="77"/>
        <v>C04751:1</v>
      </c>
      <c r="D625" s="27" t="str">
        <f t="shared" si="71"/>
        <v>C04751 : 1-(5-Phospho-D-ribosyl)-5-amino-4-imidazolecarboxylate</v>
      </c>
    </row>
    <row r="626" spans="1:4" ht="29">
      <c r="A626" s="11" t="s">
        <v>11579</v>
      </c>
      <c r="B626" s="30" t="s">
        <v>11580</v>
      </c>
      <c r="C626" s="29" t="str">
        <f t="shared" si="77"/>
        <v>C04752:1</v>
      </c>
      <c r="D626" s="27" t="str">
        <f t="shared" si="71"/>
        <v>C04752 : 4-Amino-5-hydroxymethyl-2-methylpyrimidine diphosphate</v>
      </c>
    </row>
    <row r="627" spans="1:4">
      <c r="A627" s="11" t="s">
        <v>11581</v>
      </c>
      <c r="B627" s="30" t="s">
        <v>11582</v>
      </c>
      <c r="C627" s="29" t="str">
        <f t="shared" si="77"/>
        <v>C04776:1</v>
      </c>
      <c r="D627" s="27" t="str">
        <f t="shared" si="71"/>
        <v>C04776 : T antigen</v>
      </c>
    </row>
    <row r="628" spans="1:4" ht="29">
      <c r="A628" s="11" t="s">
        <v>7597</v>
      </c>
      <c r="B628" s="30" t="s">
        <v>11583</v>
      </c>
      <c r="C628" s="29" t="str">
        <f t="shared" si="77"/>
        <v>C04794:1</v>
      </c>
      <c r="D628" s="27" t="str">
        <f t="shared" si="71"/>
        <v>C04794 : 3-(4-Deoxy-beta-D-gluc-4-enuronosyl)-N-acetyl-D-glucosamine</v>
      </c>
    </row>
    <row r="629" spans="1:4" ht="29">
      <c r="A629" s="11" t="s">
        <v>11584</v>
      </c>
      <c r="B629" s="30" t="s">
        <v>11585</v>
      </c>
      <c r="C629" s="29" t="str">
        <f t="shared" si="77"/>
        <v>C04807:1</v>
      </c>
      <c r="D629" s="27" t="str">
        <f t="shared" si="71"/>
        <v>C04807 : 6-Hydroxymethyl-7,8-dihydropterin diphosphate</v>
      </c>
    </row>
    <row r="630" spans="1:4" ht="29">
      <c r="A630" s="11" t="s">
        <v>8115</v>
      </c>
      <c r="B630" s="30" t="s">
        <v>11586</v>
      </c>
      <c r="C630" s="29" t="str">
        <f t="shared" si="77"/>
        <v>C04823:1</v>
      </c>
      <c r="D630" s="27" t="str">
        <f t="shared" si="71"/>
        <v>C04823 : 1-(5'-Phosphoribosyl)-5-amino-4-(N-succinocarboxamide)-imidazole</v>
      </c>
    </row>
    <row r="631" spans="1:4" ht="29">
      <c r="A631" s="11" t="s">
        <v>11587</v>
      </c>
      <c r="B631" s="30" t="s">
        <v>11588</v>
      </c>
      <c r="C631" s="29" t="str">
        <f t="shared" si="77"/>
        <v>C04851:1</v>
      </c>
      <c r="D631" s="27" t="str">
        <f t="shared" si="71"/>
        <v>C04851 : MurAc(oyl-L-Ala-D-gamma-Glu-L-Lys-D-Ala-D-Ala)-diphospho-undecaprenol</v>
      </c>
    </row>
    <row r="632" spans="1:4" ht="29">
      <c r="A632" s="11" t="s">
        <v>11589</v>
      </c>
      <c r="B632" s="30" t="s">
        <v>11590</v>
      </c>
      <c r="C632" s="29" t="str">
        <f t="shared" si="77"/>
        <v>C04877:1</v>
      </c>
      <c r="D632" s="27" t="str">
        <f t="shared" si="71"/>
        <v>C04877 : UDP-N-acetylmuramoyl-L-alanyl-gamma-D-glutamyl-meso-2,6-diaminopimelate</v>
      </c>
    </row>
    <row r="633" spans="1:4" ht="43.5">
      <c r="A633" s="11" t="s">
        <v>11591</v>
      </c>
      <c r="B633" s="30" t="s">
        <v>11592</v>
      </c>
      <c r="C633" s="29" t="str">
        <f t="shared" si="77"/>
        <v>C04882:1</v>
      </c>
      <c r="D633" s="27" t="str">
        <f t="shared" si="71"/>
        <v>C04882 : UDP-N-acetylmuramoyl-L-alanyl-D-glutamyl-6-carboxy-L-lysyl-D-alanyl-D-alanine</v>
      </c>
    </row>
    <row r="634" spans="1:4" ht="43.5">
      <c r="A634" s="11" t="s">
        <v>11593</v>
      </c>
      <c r="B634" s="30" t="s">
        <v>11594</v>
      </c>
      <c r="C634" s="29" t="str">
        <f t="shared" si="77"/>
        <v>C04884:1</v>
      </c>
      <c r="D634" s="27" t="str">
        <f t="shared" si="71"/>
        <v>C04884 : N-Acetyl-D-galactosaminyl-(N-acetylneuraminyl)-D-galactosyl-D-glucosylceramide</v>
      </c>
    </row>
    <row r="635" spans="1:4" ht="29">
      <c r="A635" s="11" t="s">
        <v>11595</v>
      </c>
      <c r="B635" s="11" t="s">
        <v>11596</v>
      </c>
      <c r="C635" s="29" t="str">
        <f t="shared" si="77"/>
        <v>C04887:1</v>
      </c>
      <c r="D635" s="27" t="str">
        <f t="shared" si="71"/>
        <v>C04887 : alpha-N-Acetylneuraminyl-2,8-alpha-N-acetylneuraminyl-2,3-beta-D-galactosyl-R</v>
      </c>
    </row>
    <row r="636" spans="1:4">
      <c r="A636" s="11" t="s">
        <v>11597</v>
      </c>
      <c r="B636" s="30" t="s">
        <v>11598</v>
      </c>
      <c r="C636" s="29" t="str">
        <f t="shared" si="77"/>
        <v>C04895:1</v>
      </c>
      <c r="D636" s="27" t="str">
        <f t="shared" si="71"/>
        <v>C04895 : 7,8-Dihydroneopterin 3'-triphosphate</v>
      </c>
    </row>
    <row r="637" spans="1:4" ht="43.5">
      <c r="A637" s="11" t="s">
        <v>11599</v>
      </c>
      <c r="B637" s="30" t="s">
        <v>11600</v>
      </c>
      <c r="C637" s="29" t="str">
        <f t="shared" si="77"/>
        <v>C04911:1</v>
      </c>
      <c r="D637" s="27" t="str">
        <f t="shared" si="71"/>
        <v>C04911 : D-Galactosyl-N-acetyl-D-galactosaminyl-(N-acetylneuraminyl)-D-galactosyl-D-glucosylceramide</v>
      </c>
    </row>
    <row r="638" spans="1:4" ht="43.5">
      <c r="A638" s="11" t="s">
        <v>11601</v>
      </c>
      <c r="B638" s="30" t="s">
        <v>11602</v>
      </c>
      <c r="C638" s="29" t="str">
        <f t="shared" si="77"/>
        <v>C04927:1</v>
      </c>
      <c r="D638" s="27" t="str">
        <f t="shared" si="71"/>
        <v>C04927 : N-Acetylneuraminyl-D-galactosyl-N-acetyl-D-galactosaminyl-(N-acetylneuraminyl)-D-galactosyl-D-glucosylceramide</v>
      </c>
    </row>
    <row r="639" spans="1:4">
      <c r="A639" s="11" t="s">
        <v>11603</v>
      </c>
      <c r="B639" s="30" t="s">
        <v>11604</v>
      </c>
      <c r="C639" s="29" t="str">
        <f t="shared" si="77"/>
        <v>C05067:1</v>
      </c>
      <c r="D639" s="27" t="str">
        <f t="shared" si="71"/>
        <v>C05067 : trans-3-Enoyl-CoA</v>
      </c>
    </row>
    <row r="640" spans="1:4">
      <c r="A640" s="11" t="s">
        <v>7433</v>
      </c>
      <c r="B640" s="30" t="s">
        <v>11605</v>
      </c>
      <c r="C640" s="29" t="str">
        <f t="shared" si="77"/>
        <v>C05116:1</v>
      </c>
      <c r="D640" s="27" t="str">
        <f t="shared" si="71"/>
        <v>C05116 : 3-Hydroxybutyryl-CoA</v>
      </c>
    </row>
    <row r="641" spans="1:4">
      <c r="A641" s="11" t="s">
        <v>11606</v>
      </c>
      <c r="B641" s="30" t="s">
        <v>11607</v>
      </c>
      <c r="C641" s="29" t="str">
        <f t="shared" si="77"/>
        <v>C05125:1</v>
      </c>
      <c r="D641" s="27" t="str">
        <f t="shared" si="71"/>
        <v>C05125 : 2-Hydroxyethyl-ThPP</v>
      </c>
    </row>
    <row r="642" spans="1:4" ht="29">
      <c r="A642" s="11" t="s">
        <v>11608</v>
      </c>
      <c r="B642" s="30" t="s">
        <v>11609</v>
      </c>
      <c r="C642" s="29" t="str">
        <f t="shared" si="77"/>
        <v>C05143:1</v>
      </c>
      <c r="D642" s="27" t="str">
        <f t="shared" si="71"/>
        <v>C05143 : (S)-4-Hydroxymandelonitrile beta-D-glucoside</v>
      </c>
    </row>
    <row r="643" spans="1:4">
      <c r="A643" s="11" t="s">
        <v>7227</v>
      </c>
      <c r="B643" s="30" t="s">
        <v>11610</v>
      </c>
      <c r="C643" s="9" t="str">
        <f>CONCATENATE(A643,":","1000")</f>
        <v>C05167:1000</v>
      </c>
      <c r="D643" s="27" t="str">
        <f t="shared" ref="D643:D706" si="78">CONCATENATE(A643," : ",B643)</f>
        <v>C05167 : alpha-Amino acid</v>
      </c>
    </row>
    <row r="644" spans="1:4">
      <c r="A644" s="11" t="s">
        <v>11611</v>
      </c>
      <c r="B644" s="30" t="s">
        <v>11612</v>
      </c>
      <c r="C644" s="29" t="str">
        <f t="shared" ref="C644:C687" si="79">CONCATENATE(A644,":","1")</f>
        <v>C05196:1</v>
      </c>
      <c r="D644" s="27" t="str">
        <f t="shared" si="78"/>
        <v>C05196 : Dihydroflavodoxin</v>
      </c>
    </row>
    <row r="645" spans="1:4">
      <c r="A645" s="11" t="s">
        <v>11613</v>
      </c>
      <c r="B645" s="30" t="s">
        <v>11614</v>
      </c>
      <c r="C645" s="29" t="str">
        <f t="shared" si="79"/>
        <v>C05197:1</v>
      </c>
      <c r="D645" s="27" t="str">
        <f t="shared" si="78"/>
        <v>C05197 : Protein glycine</v>
      </c>
    </row>
    <row r="646" spans="1:4">
      <c r="A646" s="11" t="s">
        <v>11615</v>
      </c>
      <c r="B646" s="30" t="s">
        <v>11616</v>
      </c>
      <c r="C646" s="29" t="str">
        <f t="shared" si="79"/>
        <v>C05198:1</v>
      </c>
      <c r="D646" s="27" t="str">
        <f t="shared" si="78"/>
        <v>C05198 : 5'-Deoxyadenosine</v>
      </c>
    </row>
    <row r="647" spans="1:4">
      <c r="A647" s="11" t="s">
        <v>11617</v>
      </c>
      <c r="B647" s="30" t="s">
        <v>11618</v>
      </c>
      <c r="C647" s="29" t="str">
        <f t="shared" si="79"/>
        <v>C05199:1</v>
      </c>
      <c r="D647" s="27" t="str">
        <f t="shared" si="78"/>
        <v>C05199 : Flavodoxin semiquinone</v>
      </c>
    </row>
    <row r="648" spans="1:4">
      <c r="A648" s="11" t="s">
        <v>11619</v>
      </c>
      <c r="B648" s="30" t="s">
        <v>11620</v>
      </c>
      <c r="C648" s="29" t="str">
        <f t="shared" si="79"/>
        <v>C05223:1</v>
      </c>
      <c r="D648" s="27" t="str">
        <f t="shared" si="78"/>
        <v>C05223 : Dodecanoyl-[acp]</v>
      </c>
    </row>
    <row r="649" spans="1:4">
      <c r="A649" s="11" t="s">
        <v>11621</v>
      </c>
      <c r="B649" s="30" t="s">
        <v>11622</v>
      </c>
      <c r="C649" s="29" t="str">
        <f t="shared" si="79"/>
        <v>C05226:1</v>
      </c>
      <c r="D649" s="27" t="str">
        <f t="shared" si="78"/>
        <v>C05226 : N-Carbamoyl-D-amino acid</v>
      </c>
    </row>
    <row r="650" spans="1:4">
      <c r="A650" s="11" t="s">
        <v>11623</v>
      </c>
      <c r="B650" s="30" t="s">
        <v>11624</v>
      </c>
      <c r="C650" s="29" t="str">
        <f t="shared" si="79"/>
        <v>C05235:1</v>
      </c>
      <c r="D650" s="27" t="str">
        <f t="shared" si="78"/>
        <v>C05235 : Hydroxyacetone</v>
      </c>
    </row>
    <row r="651" spans="1:4">
      <c r="A651" s="11" t="s">
        <v>7401</v>
      </c>
      <c r="B651" s="30" t="s">
        <v>11625</v>
      </c>
      <c r="C651" s="29" t="str">
        <f t="shared" si="79"/>
        <v>C05258:1</v>
      </c>
      <c r="D651" s="27" t="str">
        <f t="shared" si="78"/>
        <v>C05258 : (S)-3-Hydroxyhexadecanoyl-CoA</v>
      </c>
    </row>
    <row r="652" spans="1:4">
      <c r="A652" s="11" t="s">
        <v>7404</v>
      </c>
      <c r="B652" s="30" t="s">
        <v>11626</v>
      </c>
      <c r="C652" s="29" t="str">
        <f t="shared" si="79"/>
        <v>C05260:1</v>
      </c>
      <c r="D652" s="27" t="str">
        <f t="shared" si="78"/>
        <v>C05260 : (S)-3-Hydroxytetradecanoyl-CoA</v>
      </c>
    </row>
    <row r="653" spans="1:4">
      <c r="A653" s="11" t="s">
        <v>7392</v>
      </c>
      <c r="B653" s="30" t="s">
        <v>11627</v>
      </c>
      <c r="C653" s="29" t="str">
        <f t="shared" si="79"/>
        <v>C05262:1</v>
      </c>
      <c r="D653" s="27" t="str">
        <f t="shared" si="78"/>
        <v>C05262 : (S)-3-Hydroxydodecanoyl-CoA</v>
      </c>
    </row>
    <row r="654" spans="1:4">
      <c r="A654" s="11" t="s">
        <v>7407</v>
      </c>
      <c r="B654" s="30" t="s">
        <v>11628</v>
      </c>
      <c r="C654" s="29" t="str">
        <f t="shared" si="79"/>
        <v>C05264:1</v>
      </c>
      <c r="D654" s="27" t="str">
        <f t="shared" si="78"/>
        <v>C05264 : (S)-Hydroxydecanoyl-CoA</v>
      </c>
    </row>
    <row r="655" spans="1:4">
      <c r="A655" s="11" t="s">
        <v>7410</v>
      </c>
      <c r="B655" s="30" t="s">
        <v>11629</v>
      </c>
      <c r="C655" s="29" t="str">
        <f t="shared" si="79"/>
        <v>C05266:1</v>
      </c>
      <c r="D655" s="27" t="str">
        <f t="shared" si="78"/>
        <v>C05266 : (S)-Hydroxyoctanoyl-CoA</v>
      </c>
    </row>
    <row r="656" spans="1:4">
      <c r="A656" s="11" t="s">
        <v>7413</v>
      </c>
      <c r="B656" s="30" t="s">
        <v>11630</v>
      </c>
      <c r="C656" s="29" t="str">
        <f t="shared" si="79"/>
        <v>C05268:1</v>
      </c>
      <c r="D656" s="27" t="str">
        <f t="shared" si="78"/>
        <v>C05268 : (S)-3-Hydroxyhexanoyl-CoA</v>
      </c>
    </row>
    <row r="657" spans="1:4">
      <c r="A657" s="11" t="s">
        <v>11631</v>
      </c>
      <c r="B657" s="11" t="s">
        <v>11632</v>
      </c>
      <c r="C657" s="29" t="str">
        <f t="shared" si="79"/>
        <v>C05271:1</v>
      </c>
      <c r="D657" s="27" t="str">
        <f t="shared" si="78"/>
        <v>C05271 : (2E)-Hexenoyl-CoA</v>
      </c>
    </row>
    <row r="658" spans="1:4">
      <c r="A658" s="11" t="s">
        <v>11633</v>
      </c>
      <c r="B658" s="30" t="s">
        <v>11634</v>
      </c>
      <c r="C658" s="29" t="str">
        <f t="shared" si="79"/>
        <v>C05272:1</v>
      </c>
      <c r="D658" s="27" t="str">
        <f t="shared" si="78"/>
        <v>C05272 : (2E)-Hexadecenoyl-CoA</v>
      </c>
    </row>
    <row r="659" spans="1:4">
      <c r="A659" s="11" t="s">
        <v>11635</v>
      </c>
      <c r="B659" s="30" t="s">
        <v>11636</v>
      </c>
      <c r="C659" s="29" t="str">
        <f t="shared" si="79"/>
        <v>C05273:1</v>
      </c>
      <c r="D659" s="27" t="str">
        <f t="shared" si="78"/>
        <v>C05273 : (2E)-Tetradecenoyl-CoA</v>
      </c>
    </row>
    <row r="660" spans="1:4">
      <c r="A660" s="11" t="s">
        <v>11637</v>
      </c>
      <c r="B660" s="30" t="s">
        <v>11638</v>
      </c>
      <c r="C660" s="29" t="str">
        <f t="shared" si="79"/>
        <v>C05275:1</v>
      </c>
      <c r="D660" s="27" t="str">
        <f t="shared" si="78"/>
        <v>C05275 : (2E)-Decenoyl-CoA</v>
      </c>
    </row>
    <row r="661" spans="1:4">
      <c r="A661" s="11" t="s">
        <v>11639</v>
      </c>
      <c r="B661" s="30" t="s">
        <v>11640</v>
      </c>
      <c r="C661" s="29" t="str">
        <f t="shared" si="79"/>
        <v>C05276:1</v>
      </c>
      <c r="D661" s="27" t="str">
        <f t="shared" si="78"/>
        <v>C05276 : (2E)-Octenoyl-CoA</v>
      </c>
    </row>
    <row r="662" spans="1:4">
      <c r="A662" s="11" t="s">
        <v>11641</v>
      </c>
      <c r="B662" s="30" t="s">
        <v>11642</v>
      </c>
      <c r="C662" s="29" t="str">
        <f t="shared" si="79"/>
        <v>C05312:1</v>
      </c>
      <c r="D662" s="27" t="str">
        <f t="shared" si="78"/>
        <v>C05312 : Protein glycin-2-yl radical</v>
      </c>
    </row>
    <row r="663" spans="1:4">
      <c r="A663" s="11" t="s">
        <v>11643</v>
      </c>
      <c r="B663" s="30" t="s">
        <v>11644</v>
      </c>
      <c r="C663" s="29" t="str">
        <f t="shared" si="79"/>
        <v>C05335:1</v>
      </c>
      <c r="D663" s="27" t="str">
        <f t="shared" si="78"/>
        <v>C05335 : L-Selenomethionine</v>
      </c>
    </row>
    <row r="664" spans="1:4">
      <c r="A664" s="11" t="s">
        <v>11645</v>
      </c>
      <c r="B664" s="30" t="s">
        <v>11646</v>
      </c>
      <c r="C664" s="29" t="str">
        <f t="shared" si="79"/>
        <v>C05336:1</v>
      </c>
      <c r="D664" s="27" t="str">
        <f t="shared" si="78"/>
        <v>C05336 : Selenomethionyl-tRNA(Met)</v>
      </c>
    </row>
    <row r="665" spans="1:4">
      <c r="A665" s="11" t="s">
        <v>8548</v>
      </c>
      <c r="B665" s="30" t="s">
        <v>11647</v>
      </c>
      <c r="C665" s="29" t="str">
        <f t="shared" si="79"/>
        <v>C05345:1</v>
      </c>
      <c r="D665" s="27" t="str">
        <f t="shared" si="78"/>
        <v>C05345 : beta-D-Fructose 6-phosphate</v>
      </c>
    </row>
    <row r="666" spans="1:4">
      <c r="A666" s="11" t="s">
        <v>11648</v>
      </c>
      <c r="B666" s="30" t="s">
        <v>11649</v>
      </c>
      <c r="C666" s="29" t="str">
        <f t="shared" si="79"/>
        <v>C05378:1</v>
      </c>
      <c r="D666" s="27" t="str">
        <f t="shared" si="78"/>
        <v>C05378 : beta-D-Fructose 1,6-bisphosphate</v>
      </c>
    </row>
    <row r="667" spans="1:4">
      <c r="A667" s="11" t="s">
        <v>11650</v>
      </c>
      <c r="B667" s="30" t="s">
        <v>11651</v>
      </c>
      <c r="C667" s="29" t="str">
        <f t="shared" si="79"/>
        <v>C05382:1</v>
      </c>
      <c r="D667" s="27" t="str">
        <f t="shared" si="78"/>
        <v>C05382 : Sedoheptulose 7-phosphate</v>
      </c>
    </row>
    <row r="668" spans="1:4">
      <c r="A668" s="11" t="s">
        <v>11652</v>
      </c>
      <c r="B668" s="30" t="s">
        <v>11653</v>
      </c>
      <c r="C668" s="29" t="str">
        <f t="shared" si="79"/>
        <v>C05394:1</v>
      </c>
      <c r="D668" s="27" t="str">
        <f t="shared" si="78"/>
        <v>C05394 : 3-Keto-beta-D-galactose</v>
      </c>
    </row>
    <row r="669" spans="1:4">
      <c r="A669" s="11" t="s">
        <v>11654</v>
      </c>
      <c r="B669" s="30" t="s">
        <v>11655</v>
      </c>
      <c r="C669" s="29" t="str">
        <f t="shared" si="79"/>
        <v>C05396:1</v>
      </c>
      <c r="D669" s="27" t="str">
        <f t="shared" si="78"/>
        <v>C05396 : Lactose 6'-phosphate</v>
      </c>
    </row>
    <row r="670" spans="1:4">
      <c r="A670" s="11" t="s">
        <v>11656</v>
      </c>
      <c r="B670" s="30" t="s">
        <v>11657</v>
      </c>
      <c r="C670" s="29" t="str">
        <f t="shared" si="79"/>
        <v>C05399:1</v>
      </c>
      <c r="D670" s="27" t="str">
        <f t="shared" si="78"/>
        <v>C05399 : Melibiitol</v>
      </c>
    </row>
    <row r="671" spans="1:4">
      <c r="A671" s="11" t="s">
        <v>11658</v>
      </c>
      <c r="B671" s="30" t="s">
        <v>11659</v>
      </c>
      <c r="C671" s="29" t="str">
        <f t="shared" si="79"/>
        <v>C05400:1</v>
      </c>
      <c r="D671" s="27" t="str">
        <f t="shared" si="78"/>
        <v>C05400 : Epimelibiose</v>
      </c>
    </row>
    <row r="672" spans="1:4">
      <c r="A672" s="11" t="s">
        <v>11660</v>
      </c>
      <c r="B672" s="30" t="s">
        <v>11661</v>
      </c>
      <c r="C672" s="29" t="str">
        <f t="shared" si="79"/>
        <v>C05401:1</v>
      </c>
      <c r="D672" s="27" t="str">
        <f t="shared" si="78"/>
        <v>C05401 : Galactosylglycerol</v>
      </c>
    </row>
    <row r="673" spans="1:4">
      <c r="A673" s="11" t="s">
        <v>11662</v>
      </c>
      <c r="B673" s="30" t="s">
        <v>11663</v>
      </c>
      <c r="C673" s="29" t="str">
        <f t="shared" si="79"/>
        <v>C05402:1</v>
      </c>
      <c r="D673" s="27" t="str">
        <f t="shared" si="78"/>
        <v>C05402 : Melibiose</v>
      </c>
    </row>
    <row r="674" spans="1:4">
      <c r="A674" s="11" t="s">
        <v>11664</v>
      </c>
      <c r="B674" s="30" t="s">
        <v>11665</v>
      </c>
      <c r="C674" s="29" t="str">
        <f t="shared" si="79"/>
        <v>C05403:1</v>
      </c>
      <c r="D674" s="27" t="str">
        <f t="shared" si="78"/>
        <v>C05403 : 3-Ketolactose</v>
      </c>
    </row>
    <row r="675" spans="1:4">
      <c r="A675" s="11" t="s">
        <v>11666</v>
      </c>
      <c r="B675" s="30" t="s">
        <v>11667</v>
      </c>
      <c r="C675" s="29" t="str">
        <f t="shared" si="79"/>
        <v>C05404:1</v>
      </c>
      <c r="D675" s="27" t="str">
        <f t="shared" si="78"/>
        <v>C05404 : Manninotriose</v>
      </c>
    </row>
    <row r="676" spans="1:4">
      <c r="A676" s="6" t="s">
        <v>11668</v>
      </c>
      <c r="B676" s="30" t="s">
        <v>11669</v>
      </c>
      <c r="C676" s="29" t="str">
        <f t="shared" si="79"/>
        <v>C05444:1</v>
      </c>
      <c r="D676" s="27" t="str">
        <f t="shared" si="78"/>
        <v>C05444 : 5beta-Cholestane-3alpha,7alpha,26-triol</v>
      </c>
    </row>
    <row r="677" spans="1:4" ht="29">
      <c r="A677" s="6" t="s">
        <v>11670</v>
      </c>
      <c r="B677" s="30" t="s">
        <v>11671</v>
      </c>
      <c r="C677" s="29" t="str">
        <f t="shared" si="79"/>
        <v>C05445:1</v>
      </c>
      <c r="D677" s="27" t="str">
        <f t="shared" si="78"/>
        <v>C05445 : 3alpha,7alpha-Dihydroxy-5beta-cholestan-26-al</v>
      </c>
    </row>
    <row r="678" spans="1:4">
      <c r="A678" s="11" t="s">
        <v>11672</v>
      </c>
      <c r="B678" s="30" t="s">
        <v>11673</v>
      </c>
      <c r="C678" s="29" t="str">
        <f t="shared" si="79"/>
        <v>C05512:1</v>
      </c>
      <c r="D678" s="27" t="str">
        <f t="shared" si="78"/>
        <v>C05512 : 2'-Deoxyinosine</v>
      </c>
    </row>
    <row r="679" spans="1:4">
      <c r="A679" s="11" t="s">
        <v>11674</v>
      </c>
      <c r="B679" s="30" t="s">
        <v>11675</v>
      </c>
      <c r="C679" s="29" t="str">
        <f t="shared" si="79"/>
        <v>C05526:1</v>
      </c>
      <c r="D679" s="27" t="str">
        <f t="shared" si="78"/>
        <v>C05526 : S-Glutathionyl-L-cysteine</v>
      </c>
    </row>
    <row r="680" spans="1:4">
      <c r="A680" s="11" t="s">
        <v>11676</v>
      </c>
      <c r="B680" s="30" t="s">
        <v>11677</v>
      </c>
      <c r="C680" s="29" t="str">
        <f t="shared" si="79"/>
        <v>C05527:1</v>
      </c>
      <c r="D680" s="27" t="str">
        <f t="shared" si="78"/>
        <v>C05527 : 3-Sulfinopyruvate</v>
      </c>
    </row>
    <row r="681" spans="1:4">
      <c r="A681" s="11" t="s">
        <v>11678</v>
      </c>
      <c r="B681" s="30" t="s">
        <v>11679</v>
      </c>
      <c r="C681" s="29" t="str">
        <f t="shared" si="79"/>
        <v>C05528:1</v>
      </c>
      <c r="D681" s="27" t="str">
        <f t="shared" si="78"/>
        <v>C05528 : 3-Sulfopyruvic acid</v>
      </c>
    </row>
    <row r="682" spans="1:4">
      <c r="A682" s="11" t="s">
        <v>11680</v>
      </c>
      <c r="B682" s="30" t="s">
        <v>11681</v>
      </c>
      <c r="C682" s="29" t="str">
        <f t="shared" si="79"/>
        <v>C05529:1</v>
      </c>
      <c r="D682" s="27" t="str">
        <f t="shared" si="78"/>
        <v>C05529 : Thiosulfuric acid</v>
      </c>
    </row>
    <row r="683" spans="1:4">
      <c r="A683" s="6" t="s">
        <v>11682</v>
      </c>
      <c r="B683" s="30" t="s">
        <v>11683</v>
      </c>
      <c r="C683" s="29" t="str">
        <f t="shared" si="79"/>
        <v>C05576:1</v>
      </c>
      <c r="D683" s="27" t="str">
        <f t="shared" si="78"/>
        <v>C05576 : 3,4-Dihydroxyphenylethyleneglycol</v>
      </c>
    </row>
    <row r="684" spans="1:4">
      <c r="A684" s="6" t="s">
        <v>11684</v>
      </c>
      <c r="B684" s="30" t="s">
        <v>11685</v>
      </c>
      <c r="C684" s="29" t="str">
        <f t="shared" si="79"/>
        <v>C05577:1</v>
      </c>
      <c r="D684" s="27" t="str">
        <f t="shared" si="78"/>
        <v>C05577 : 3,4-Dihydroxymandelaldehyde</v>
      </c>
    </row>
    <row r="685" spans="1:4">
      <c r="A685" s="11" t="s">
        <v>11686</v>
      </c>
      <c r="B685" s="30" t="s">
        <v>11687</v>
      </c>
      <c r="C685" s="29" t="str">
        <f t="shared" si="79"/>
        <v>C05623:1</v>
      </c>
      <c r="D685" s="27" t="str">
        <f t="shared" si="78"/>
        <v>C05623 : Isoquercitrin</v>
      </c>
    </row>
    <row r="686" spans="1:4">
      <c r="A686" s="11" t="s">
        <v>7389</v>
      </c>
      <c r="B686" s="30" t="s">
        <v>11688</v>
      </c>
      <c r="C686" s="29" t="str">
        <f t="shared" si="79"/>
        <v>C05668:1</v>
      </c>
      <c r="D686" s="27" t="str">
        <f t="shared" si="78"/>
        <v>C05668 : 3-Hydroxypropionyl-CoA</v>
      </c>
    </row>
    <row r="687" spans="1:4">
      <c r="A687" s="11" t="s">
        <v>11689</v>
      </c>
      <c r="B687" s="30" t="s">
        <v>11690</v>
      </c>
      <c r="C687" s="29" t="str">
        <f t="shared" si="79"/>
        <v>C05674:1</v>
      </c>
      <c r="D687" s="27" t="str">
        <f t="shared" si="78"/>
        <v>C05674 : CMP-2-trimethylaminoethylphosphonate</v>
      </c>
    </row>
    <row r="688" spans="1:4">
      <c r="A688" s="11" t="s">
        <v>11691</v>
      </c>
      <c r="B688" s="30" t="s">
        <v>11692</v>
      </c>
      <c r="C688" s="9" t="str">
        <f>CONCATENATE(A688,":","1000")</f>
        <v>C05684:1000</v>
      </c>
      <c r="D688" s="27" t="str">
        <f t="shared" si="78"/>
        <v>C05684 : Selenite</v>
      </c>
    </row>
    <row r="689" spans="1:9">
      <c r="A689" s="11" t="s">
        <v>11693</v>
      </c>
      <c r="B689" s="30" t="s">
        <v>11694</v>
      </c>
      <c r="C689" s="29" t="str">
        <f t="shared" ref="C689:C722" si="80">CONCATENATE(A689,":","1")</f>
        <v>C05688:1</v>
      </c>
      <c r="D689" s="27" t="str">
        <f t="shared" si="78"/>
        <v>C05688 : L-Selenocysteine</v>
      </c>
    </row>
    <row r="690" spans="1:9">
      <c r="A690" s="11" t="s">
        <v>11695</v>
      </c>
      <c r="B690" s="30" t="s">
        <v>11696</v>
      </c>
      <c r="C690" s="29" t="str">
        <f t="shared" si="80"/>
        <v>C05699:1</v>
      </c>
      <c r="D690" s="27" t="str">
        <f t="shared" si="78"/>
        <v>C05699 : L-Selenocystathionine</v>
      </c>
    </row>
    <row r="691" spans="1:9">
      <c r="A691" s="11" t="s">
        <v>11697</v>
      </c>
      <c r="B691" s="30" t="s">
        <v>11698</v>
      </c>
      <c r="C691" s="29" t="str">
        <f t="shared" si="80"/>
        <v>C05702:1</v>
      </c>
      <c r="D691" s="27" t="str">
        <f t="shared" si="78"/>
        <v>C05702 : O-Phosphorylhomoserine</v>
      </c>
    </row>
    <row r="692" spans="1:9">
      <c r="A692" s="11" t="s">
        <v>11699</v>
      </c>
      <c r="B692" s="30" t="s">
        <v>11700</v>
      </c>
      <c r="C692" s="29" t="str">
        <f t="shared" si="80"/>
        <v>C05703:1</v>
      </c>
      <c r="D692" s="27" t="str">
        <f t="shared" si="78"/>
        <v>C05703 : Methylselenol</v>
      </c>
    </row>
    <row r="693" spans="1:9">
      <c r="A693" s="11" t="s">
        <v>11701</v>
      </c>
      <c r="B693" s="30" t="s">
        <v>11702</v>
      </c>
      <c r="C693" s="29" t="str">
        <f t="shared" si="80"/>
        <v>C05712:1</v>
      </c>
      <c r="D693" s="27" t="str">
        <f t="shared" si="78"/>
        <v>C05712 : Cyanohydrin</v>
      </c>
    </row>
    <row r="694" spans="1:9">
      <c r="A694" s="11" t="s">
        <v>11703</v>
      </c>
      <c r="B694" s="30" t="s">
        <v>11704</v>
      </c>
      <c r="C694" s="29" t="str">
        <f t="shared" si="80"/>
        <v>C05713:1</v>
      </c>
      <c r="D694" s="27" t="str">
        <f t="shared" si="78"/>
        <v>C05713 : Cyanoglucoside</v>
      </c>
    </row>
    <row r="695" spans="1:9">
      <c r="A695" s="11" t="s">
        <v>11705</v>
      </c>
      <c r="B695" s="30" t="s">
        <v>11706</v>
      </c>
      <c r="C695" s="29" t="str">
        <f t="shared" si="80"/>
        <v>C05726:1</v>
      </c>
      <c r="D695" s="27" t="str">
        <f t="shared" si="78"/>
        <v>C05726 : L-Cysteine S-conjugate</v>
      </c>
    </row>
    <row r="696" spans="1:9">
      <c r="A696" s="11" t="s">
        <v>11707</v>
      </c>
      <c r="B696" s="30" t="s">
        <v>11708</v>
      </c>
      <c r="C696" s="29" t="str">
        <f t="shared" si="80"/>
        <v>C05729:1</v>
      </c>
      <c r="D696" s="27" t="str">
        <f t="shared" si="78"/>
        <v>C05729 : R-S-Cysteinylglycine</v>
      </c>
    </row>
    <row r="697" spans="1:9">
      <c r="A697" s="11" t="s">
        <v>11709</v>
      </c>
      <c r="B697" s="30" t="s">
        <v>11710</v>
      </c>
      <c r="C697" s="29" t="str">
        <f t="shared" si="80"/>
        <v>C05744:1</v>
      </c>
      <c r="D697" s="27" t="str">
        <f t="shared" si="78"/>
        <v>C05744 : Acetoacetyl-[acp]</v>
      </c>
    </row>
    <row r="698" spans="1:9">
      <c r="A698" s="11" t="s">
        <v>11711</v>
      </c>
      <c r="B698" s="30" t="s">
        <v>11712</v>
      </c>
      <c r="C698" s="29" t="str">
        <f t="shared" si="80"/>
        <v>C05745:1</v>
      </c>
      <c r="D698" s="27" t="str">
        <f t="shared" si="78"/>
        <v>C05745 : Butyryl-[acp]</v>
      </c>
    </row>
    <row r="699" spans="1:9">
      <c r="A699" s="11" t="s">
        <v>11713</v>
      </c>
      <c r="B699" s="30" t="s">
        <v>11714</v>
      </c>
      <c r="C699" s="29" t="str">
        <f t="shared" si="80"/>
        <v>C05746:1</v>
      </c>
      <c r="D699" s="27" t="str">
        <f t="shared" si="78"/>
        <v>C05746 : 3-Oxohexanoyl-[acp]</v>
      </c>
    </row>
    <row r="700" spans="1:9" ht="29">
      <c r="A700" s="11" t="s">
        <v>11715</v>
      </c>
      <c r="B700" s="30" t="s">
        <v>11716</v>
      </c>
      <c r="C700" s="29" t="str">
        <f t="shared" si="80"/>
        <v>C05747:1</v>
      </c>
      <c r="D700" s="27" t="str">
        <f t="shared" si="78"/>
        <v>C05747 : (3R)-3-Hydroxyhexanoyl-[acyl-carrier protein]</v>
      </c>
    </row>
    <row r="701" spans="1:9">
      <c r="A701" s="11" t="s">
        <v>11717</v>
      </c>
      <c r="B701" s="30" t="s">
        <v>11718</v>
      </c>
      <c r="C701" s="29" t="str">
        <f t="shared" si="80"/>
        <v>C05749:1</v>
      </c>
      <c r="D701" s="27" t="str">
        <f t="shared" si="78"/>
        <v>C05749 : Hexanoyl-[acp]</v>
      </c>
    </row>
    <row r="702" spans="1:9">
      <c r="A702" s="11" t="s">
        <v>11719</v>
      </c>
      <c r="B702" s="30" t="s">
        <v>11720</v>
      </c>
      <c r="C702" s="29" t="str">
        <f t="shared" si="80"/>
        <v>C05750:1</v>
      </c>
      <c r="D702" s="27" t="str">
        <f t="shared" si="78"/>
        <v>C05750 : 3-Oxooctanoyl-[acp]</v>
      </c>
    </row>
    <row r="703" spans="1:9">
      <c r="A703" s="11" t="s">
        <v>11721</v>
      </c>
      <c r="B703" s="30" t="s">
        <v>11722</v>
      </c>
      <c r="C703" s="29" t="str">
        <f t="shared" si="80"/>
        <v>C05752:1</v>
      </c>
      <c r="D703" s="27" t="str">
        <f t="shared" si="78"/>
        <v>C05752 : Octanoyl-[acp]</v>
      </c>
      <c r="I703" s="10"/>
    </row>
    <row r="704" spans="1:9">
      <c r="A704" s="11" t="s">
        <v>11723</v>
      </c>
      <c r="B704" s="30" t="s">
        <v>11724</v>
      </c>
      <c r="C704" s="29" t="str">
        <f t="shared" si="80"/>
        <v>C05753:1</v>
      </c>
      <c r="D704" s="27" t="str">
        <f t="shared" si="78"/>
        <v>C05753 : 3-Oxodecanoyl-[acp]</v>
      </c>
      <c r="I704" s="10"/>
    </row>
    <row r="705" spans="1:9">
      <c r="A705" s="11" t="s">
        <v>11725</v>
      </c>
      <c r="B705" s="30" t="s">
        <v>11726</v>
      </c>
      <c r="C705" s="29" t="str">
        <f t="shared" si="80"/>
        <v>C05755:1</v>
      </c>
      <c r="D705" s="27" t="str">
        <f t="shared" si="78"/>
        <v>C05755 : Decanoyl-[acp]</v>
      </c>
    </row>
    <row r="706" spans="1:9">
      <c r="A706" s="11" t="s">
        <v>11727</v>
      </c>
      <c r="B706" s="30" t="s">
        <v>11728</v>
      </c>
      <c r="C706" s="29" t="str">
        <f t="shared" si="80"/>
        <v>C05756:1</v>
      </c>
      <c r="D706" s="27" t="str">
        <f t="shared" si="78"/>
        <v>C05756 : 3-Oxododecanoyl-[acp]</v>
      </c>
    </row>
    <row r="707" spans="1:9" ht="29">
      <c r="A707" s="11" t="s">
        <v>11729</v>
      </c>
      <c r="B707" s="30" t="s">
        <v>11730</v>
      </c>
      <c r="C707" s="29" t="str">
        <f t="shared" si="80"/>
        <v>C05757:1</v>
      </c>
      <c r="D707" s="27" t="str">
        <f t="shared" ref="D707:D770" si="81">CONCATENATE(A707," : ",B707)</f>
        <v>C05757 : (3R)-3-Hydroxydodecanoyl-[acyl-carrier protein]</v>
      </c>
    </row>
    <row r="708" spans="1:9">
      <c r="A708" s="11" t="s">
        <v>11731</v>
      </c>
      <c r="B708" s="30" t="s">
        <v>11732</v>
      </c>
      <c r="C708" s="29" t="str">
        <f t="shared" si="80"/>
        <v>C05759:1</v>
      </c>
      <c r="D708" s="27" t="str">
        <f t="shared" si="81"/>
        <v>C05759 : 3-Oxotetradecanoyl-[acp]</v>
      </c>
    </row>
    <row r="709" spans="1:9">
      <c r="A709" s="11" t="s">
        <v>11733</v>
      </c>
      <c r="B709" s="30" t="s">
        <v>11734</v>
      </c>
      <c r="C709" s="29" t="str">
        <f t="shared" si="80"/>
        <v>C05761:1</v>
      </c>
      <c r="D709" s="27" t="str">
        <f t="shared" si="81"/>
        <v>C05761 : Tetradecanoyl-[acp]</v>
      </c>
    </row>
    <row r="710" spans="1:9">
      <c r="A710" s="11" t="s">
        <v>11735</v>
      </c>
      <c r="B710" s="30" t="s">
        <v>11736</v>
      </c>
      <c r="C710" s="29" t="str">
        <f t="shared" si="80"/>
        <v>C05762:1</v>
      </c>
      <c r="D710" s="27" t="str">
        <f t="shared" si="81"/>
        <v>C05762 : 3-Oxohexadecanoyl-[acp]</v>
      </c>
      <c r="I710" s="10"/>
    </row>
    <row r="711" spans="1:9">
      <c r="A711" s="11" t="s">
        <v>11737</v>
      </c>
      <c r="B711" s="30" t="s">
        <v>11738</v>
      </c>
      <c r="C711" s="29" t="str">
        <f t="shared" si="80"/>
        <v>C05764:1</v>
      </c>
      <c r="D711" s="27" t="str">
        <f t="shared" si="81"/>
        <v>C05764 : Hexadecanoyl-[acp]</v>
      </c>
      <c r="I711" s="10"/>
    </row>
    <row r="712" spans="1:9">
      <c r="A712" s="11" t="s">
        <v>11739</v>
      </c>
      <c r="B712" s="30" t="s">
        <v>11740</v>
      </c>
      <c r="C712" s="29" t="str">
        <f t="shared" si="80"/>
        <v>C05796:1</v>
      </c>
      <c r="D712" s="27" t="str">
        <f t="shared" si="81"/>
        <v>C05796 : Galactan</v>
      </c>
    </row>
    <row r="713" spans="1:9">
      <c r="A713" s="11" t="s">
        <v>11741</v>
      </c>
      <c r="B713" s="30" t="s">
        <v>11742</v>
      </c>
      <c r="C713" s="29" t="str">
        <f t="shared" si="80"/>
        <v>C05823:1</v>
      </c>
      <c r="D713" s="27" t="str">
        <f t="shared" si="81"/>
        <v>C05823 : 3-Mercaptolactate</v>
      </c>
    </row>
    <row r="714" spans="1:9">
      <c r="A714" s="11" t="s">
        <v>11743</v>
      </c>
      <c r="B714" s="30" t="s">
        <v>11744</v>
      </c>
      <c r="C714" s="29" t="str">
        <f t="shared" si="80"/>
        <v>C05838:1</v>
      </c>
      <c r="D714" s="27" t="str">
        <f t="shared" si="81"/>
        <v>C05838 : 2-Coumarinate</v>
      </c>
    </row>
    <row r="715" spans="1:9">
      <c r="A715" s="11" t="s">
        <v>11745</v>
      </c>
      <c r="B715" s="30" t="s">
        <v>11746</v>
      </c>
      <c r="C715" s="29" t="str">
        <f t="shared" si="80"/>
        <v>C05839:1</v>
      </c>
      <c r="D715" s="27" t="str">
        <f t="shared" si="81"/>
        <v>C05839 : beta-D-Glucosyl-2-coumarinate</v>
      </c>
    </row>
    <row r="716" spans="1:9">
      <c r="A716" s="11" t="s">
        <v>11747</v>
      </c>
      <c r="B716" s="30" t="s">
        <v>11748</v>
      </c>
      <c r="C716" s="29" t="str">
        <f t="shared" si="80"/>
        <v>C05841:1</v>
      </c>
      <c r="D716" s="27" t="str">
        <f t="shared" si="81"/>
        <v>C05841 : beta-D-Ribosylnicotinate</v>
      </c>
    </row>
    <row r="717" spans="1:9">
      <c r="A717" s="11" t="s">
        <v>11749</v>
      </c>
      <c r="B717" s="30" t="s">
        <v>11750</v>
      </c>
      <c r="C717" s="29" t="str">
        <f t="shared" si="80"/>
        <v>C05853:1</v>
      </c>
      <c r="D717" s="27" t="str">
        <f t="shared" si="81"/>
        <v>C05853 : Phenylethyl alcohol</v>
      </c>
    </row>
    <row r="718" spans="1:9" ht="29">
      <c r="A718" s="11" t="s">
        <v>11751</v>
      </c>
      <c r="B718" s="30" t="s">
        <v>11752</v>
      </c>
      <c r="C718" s="29" t="str">
        <f t="shared" si="80"/>
        <v>C05892:1</v>
      </c>
      <c r="D718" s="27" t="str">
        <f t="shared" si="81"/>
        <v>C05892 : UDP-N-acetylmuramoyl-L-alanyl-gamma-D-glutamyl-L-lysine</v>
      </c>
    </row>
    <row r="719" spans="1:9" ht="43.5">
      <c r="A719" s="11" t="s">
        <v>11753</v>
      </c>
      <c r="B719" s="30" t="s">
        <v>11754</v>
      </c>
      <c r="C719" s="29" t="str">
        <f t="shared" si="80"/>
        <v>C05897:1</v>
      </c>
      <c r="D719" s="27" t="str">
        <f t="shared" si="81"/>
        <v>C05897 : Undecaprenyl-diphospho-N-acetylmuramoyl-L-alanyl-D-glutamyl-meso-2,6-diaminopimeloyl-D-alanyl-D-alanine</v>
      </c>
    </row>
    <row r="720" spans="1:9">
      <c r="A720" s="11" t="s">
        <v>11755</v>
      </c>
      <c r="B720" s="30" t="s">
        <v>11756</v>
      </c>
      <c r="C720" s="29" t="str">
        <f t="shared" si="80"/>
        <v>C05921:1</v>
      </c>
      <c r="D720" s="27" t="str">
        <f t="shared" si="81"/>
        <v>C05921 : Biotinyl-5'-AMP</v>
      </c>
    </row>
    <row r="721" spans="1:4" ht="29">
      <c r="A721" s="11" t="s">
        <v>7632</v>
      </c>
      <c r="B721" s="30" t="s">
        <v>11757</v>
      </c>
      <c r="C721" s="29" t="str">
        <f t="shared" si="80"/>
        <v>C05922:1</v>
      </c>
      <c r="D721" s="27" t="str">
        <f t="shared" si="81"/>
        <v>C05922 : Formamidopyrimidine nucleoside triphosphate</v>
      </c>
    </row>
    <row r="722" spans="1:4" ht="29">
      <c r="A722" s="11" t="s">
        <v>7640</v>
      </c>
      <c r="B722" s="30" t="s">
        <v>11758</v>
      </c>
      <c r="C722" s="29" t="str">
        <f t="shared" si="80"/>
        <v>C05923:1</v>
      </c>
      <c r="D722" s="27" t="str">
        <f t="shared" si="81"/>
        <v>C05923 : 2,5-Diaminopyrimidine nucleoside triphosphate</v>
      </c>
    </row>
    <row r="723" spans="1:4" ht="29">
      <c r="A723" s="11" t="s">
        <v>11759</v>
      </c>
      <c r="B723" s="30" t="s">
        <v>11760</v>
      </c>
      <c r="C723" s="9" t="str">
        <f>CONCATENATE(A723,":","1000")</f>
        <v>C05928:1000</v>
      </c>
      <c r="D723" s="27" t="str">
        <f t="shared" si="81"/>
        <v>C05928 : (6R)-10-Formyltetrahydropteroyldiglutamate</v>
      </c>
    </row>
    <row r="724" spans="1:4">
      <c r="A724" s="11" t="s">
        <v>11761</v>
      </c>
      <c r="B724" s="30" t="s">
        <v>11762</v>
      </c>
      <c r="C724" s="9" t="str">
        <f>CONCATENATE(A724,":","1000")</f>
        <v>C05929:1000</v>
      </c>
      <c r="D724" s="27" t="str">
        <f t="shared" si="81"/>
        <v>C05929 : 10-Formyl-THF-polyglutamate</v>
      </c>
    </row>
    <row r="725" spans="1:4">
      <c r="A725" s="11" t="s">
        <v>11763</v>
      </c>
      <c r="B725" s="30" t="s">
        <v>11764</v>
      </c>
      <c r="C725" s="29" t="str">
        <f t="shared" ref="C725:C759" si="82">CONCATENATE(A725,":","1")</f>
        <v>C05946:1</v>
      </c>
      <c r="D725" s="27" t="str">
        <f t="shared" si="81"/>
        <v>C05946 : (4R)-4-Hydroxy-2-oxoglutarate</v>
      </c>
    </row>
    <row r="726" spans="1:4">
      <c r="A726" s="11" t="s">
        <v>11765</v>
      </c>
      <c r="B726" s="30" t="s">
        <v>11766</v>
      </c>
      <c r="C726" s="29" t="str">
        <f t="shared" si="82"/>
        <v>C05947:1</v>
      </c>
      <c r="D726" s="27" t="str">
        <f t="shared" si="81"/>
        <v>C05947 : erythro-4-Hydroxy-L-glutamate</v>
      </c>
    </row>
    <row r="727" spans="1:4">
      <c r="A727" s="11" t="s">
        <v>11767</v>
      </c>
      <c r="B727" s="30" t="s">
        <v>11768</v>
      </c>
      <c r="C727" s="29" t="str">
        <f t="shared" si="82"/>
        <v>C05984:1</v>
      </c>
      <c r="D727" s="27" t="str">
        <f t="shared" si="81"/>
        <v>C05984 : 2-Hydroxybutanoic acid</v>
      </c>
    </row>
    <row r="728" spans="1:4">
      <c r="A728" s="11" t="s">
        <v>7430</v>
      </c>
      <c r="B728" s="30" t="s">
        <v>11769</v>
      </c>
      <c r="C728" s="29" t="str">
        <f t="shared" si="82"/>
        <v>C05998:1</v>
      </c>
      <c r="D728" s="27" t="str">
        <f t="shared" si="81"/>
        <v>C05998 : 3-Hydroxyisovaleryl-CoA</v>
      </c>
    </row>
    <row r="729" spans="1:4">
      <c r="A729" s="11" t="s">
        <v>7399</v>
      </c>
      <c r="B729" s="30" t="s">
        <v>11770</v>
      </c>
      <c r="C729" s="29" t="str">
        <f t="shared" si="82"/>
        <v>C06000:1</v>
      </c>
      <c r="D729" s="27" t="str">
        <f t="shared" si="81"/>
        <v>C06000 : (S)-3-Hydroxyisobutyryl-CoA</v>
      </c>
    </row>
    <row r="730" spans="1:4">
      <c r="A730" s="11" t="s">
        <v>7243</v>
      </c>
      <c r="B730" s="30" t="s">
        <v>11771</v>
      </c>
      <c r="C730" s="29" t="str">
        <f t="shared" si="82"/>
        <v>C06006:1</v>
      </c>
      <c r="D730" s="27" t="str">
        <f t="shared" si="81"/>
        <v>C06006 : (S)-2-Aceto-2-hydroxybutanoate</v>
      </c>
    </row>
    <row r="731" spans="1:4">
      <c r="A731" s="11" t="s">
        <v>8478</v>
      </c>
      <c r="B731" s="30" t="s">
        <v>11772</v>
      </c>
      <c r="C731" s="29" t="str">
        <f t="shared" si="82"/>
        <v>C06007:1</v>
      </c>
      <c r="D731" s="27" t="str">
        <f t="shared" si="81"/>
        <v>C06007 : (R)-2,3-Dihydroxy-3-methylpentanoate</v>
      </c>
    </row>
    <row r="732" spans="1:4">
      <c r="A732" s="11" t="s">
        <v>7246</v>
      </c>
      <c r="B732" s="30" t="s">
        <v>11773</v>
      </c>
      <c r="C732" s="29" t="str">
        <f t="shared" si="82"/>
        <v>C06010:1</v>
      </c>
      <c r="D732" s="27" t="str">
        <f t="shared" si="81"/>
        <v>C06010 : (S)-2-Acetolactate</v>
      </c>
    </row>
    <row r="733" spans="1:4">
      <c r="A733" s="11" t="s">
        <v>11774</v>
      </c>
      <c r="B733" s="30" t="s">
        <v>11775</v>
      </c>
      <c r="C733" s="29" t="str">
        <f t="shared" si="82"/>
        <v>C06032:1</v>
      </c>
      <c r="D733" s="27" t="str">
        <f t="shared" si="81"/>
        <v>C06032 : D-erythro-3-Methylmalate</v>
      </c>
    </row>
    <row r="734" spans="1:4">
      <c r="A734" s="11" t="s">
        <v>11776</v>
      </c>
      <c r="B734" s="30" t="s">
        <v>11777</v>
      </c>
      <c r="C734" s="29" t="str">
        <f t="shared" si="82"/>
        <v>C06037:1</v>
      </c>
      <c r="D734" s="27" t="str">
        <f t="shared" si="81"/>
        <v>C06037 : Digalactosyl-diacylglycerol</v>
      </c>
    </row>
    <row r="735" spans="1:4">
      <c r="A735" s="11" t="s">
        <v>11778</v>
      </c>
      <c r="B735" s="30" t="s">
        <v>11779</v>
      </c>
      <c r="C735" s="29" t="str">
        <f t="shared" si="82"/>
        <v>C06044:1</v>
      </c>
      <c r="D735" s="27" t="str">
        <f t="shared" si="81"/>
        <v>C06044 : Tyrosol</v>
      </c>
    </row>
    <row r="736" spans="1:4">
      <c r="A736" s="11" t="s">
        <v>11780</v>
      </c>
      <c r="B736" s="30" t="s">
        <v>11781</v>
      </c>
      <c r="C736" s="29" t="str">
        <f t="shared" si="82"/>
        <v>C06055:1</v>
      </c>
      <c r="D736" s="27" t="str">
        <f t="shared" si="81"/>
        <v>C06055 : O-Phospho-4-hydroxy-L-threonine</v>
      </c>
    </row>
    <row r="737" spans="1:4">
      <c r="A737" s="11" t="s">
        <v>11782</v>
      </c>
      <c r="B737" s="30" t="s">
        <v>11783</v>
      </c>
      <c r="C737" s="29" t="str">
        <f t="shared" si="82"/>
        <v>C06056:1</v>
      </c>
      <c r="D737" s="27" t="str">
        <f t="shared" si="81"/>
        <v>C06056 : Hydroxythreonine</v>
      </c>
    </row>
    <row r="738" spans="1:4">
      <c r="A738" s="11" t="s">
        <v>11784</v>
      </c>
      <c r="B738" s="30" t="s">
        <v>11785</v>
      </c>
      <c r="C738" s="29" t="str">
        <f t="shared" si="82"/>
        <v>C06060:1</v>
      </c>
      <c r="D738" s="27" t="str">
        <f t="shared" si="81"/>
        <v>C06060 : Amidine</v>
      </c>
    </row>
    <row r="739" spans="1:4">
      <c r="A739" s="11" t="s">
        <v>11786</v>
      </c>
      <c r="B739" s="30" t="s">
        <v>11787</v>
      </c>
      <c r="C739" s="29" t="str">
        <f t="shared" si="82"/>
        <v>C06099:1</v>
      </c>
      <c r="D739" s="27" t="str">
        <f t="shared" si="81"/>
        <v>C06099 : (R)-Limonene</v>
      </c>
    </row>
    <row r="740" spans="1:4">
      <c r="A740" s="11" t="s">
        <v>11788</v>
      </c>
      <c r="B740" s="30" t="s">
        <v>11789</v>
      </c>
      <c r="C740" s="29" t="str">
        <f t="shared" si="82"/>
        <v>C06102:1</v>
      </c>
      <c r="D740" s="27" t="str">
        <f t="shared" si="81"/>
        <v>C06102 : 6-Oxohexanoic acid</v>
      </c>
    </row>
    <row r="741" spans="1:4">
      <c r="A741" s="11" t="s">
        <v>11790</v>
      </c>
      <c r="B741" s="30" t="s">
        <v>11791</v>
      </c>
      <c r="C741" s="29" t="str">
        <f t="shared" si="82"/>
        <v>C06103:1</v>
      </c>
      <c r="D741" s="27" t="str">
        <f t="shared" si="81"/>
        <v>C06103 : 6-Hydroxyhexanoate</v>
      </c>
    </row>
    <row r="742" spans="1:4">
      <c r="A742" s="11" t="s">
        <v>11792</v>
      </c>
      <c r="B742" s="30" t="s">
        <v>11793</v>
      </c>
      <c r="C742" s="29" t="str">
        <f t="shared" si="82"/>
        <v>C06112:1</v>
      </c>
      <c r="D742" s="27" t="str">
        <f t="shared" si="81"/>
        <v>C06112 : L-Glutamyl-tRNA(Gln)</v>
      </c>
    </row>
    <row r="743" spans="1:4">
      <c r="A743" s="11" t="s">
        <v>11794</v>
      </c>
      <c r="B743" s="30" t="s">
        <v>11795</v>
      </c>
      <c r="C743" s="29" t="str">
        <f t="shared" si="82"/>
        <v>C06126:1</v>
      </c>
      <c r="D743" s="27" t="str">
        <f t="shared" si="81"/>
        <v>C06126 : Digalactosylceramide</v>
      </c>
    </row>
    <row r="744" spans="1:4">
      <c r="A744" s="11" t="s">
        <v>11796</v>
      </c>
      <c r="B744" s="30" t="s">
        <v>11797</v>
      </c>
      <c r="C744" s="29" t="str">
        <f t="shared" si="82"/>
        <v>C06128:1</v>
      </c>
      <c r="D744" s="27" t="str">
        <f t="shared" si="81"/>
        <v>C06128 : GM4</v>
      </c>
    </row>
    <row r="745" spans="1:4">
      <c r="A745" s="11" t="s">
        <v>11798</v>
      </c>
      <c r="B745" s="30" t="s">
        <v>11799</v>
      </c>
      <c r="C745" s="29" t="str">
        <f t="shared" si="82"/>
        <v>C06135:1</v>
      </c>
      <c r="D745" s="27" t="str">
        <f t="shared" si="81"/>
        <v>C06135 : GA2</v>
      </c>
    </row>
    <row r="746" spans="1:4">
      <c r="A746" s="11" t="s">
        <v>11800</v>
      </c>
      <c r="B746" s="30" t="s">
        <v>11801</v>
      </c>
      <c r="C746" s="29" t="str">
        <f t="shared" si="82"/>
        <v>C06136:1</v>
      </c>
      <c r="D746" s="27" t="str">
        <f t="shared" si="81"/>
        <v>C06136 : GA1</v>
      </c>
    </row>
    <row r="747" spans="1:4">
      <c r="A747" s="11" t="s">
        <v>11802</v>
      </c>
      <c r="B747" s="30" t="s">
        <v>11803</v>
      </c>
      <c r="C747" s="29" t="str">
        <f t="shared" si="82"/>
        <v>C06139:1</v>
      </c>
      <c r="D747" s="27" t="str">
        <f t="shared" si="81"/>
        <v>C06139 : GQ1</v>
      </c>
    </row>
    <row r="748" spans="1:4">
      <c r="A748" s="11" t="s">
        <v>11804</v>
      </c>
      <c r="B748" s="30" t="s">
        <v>11805</v>
      </c>
      <c r="C748" s="29" t="str">
        <f t="shared" si="82"/>
        <v>C06140:1</v>
      </c>
      <c r="D748" s="27" t="str">
        <f t="shared" si="81"/>
        <v>C06140 : GT1b</v>
      </c>
    </row>
    <row r="749" spans="1:4">
      <c r="A749" s="11" t="s">
        <v>11806</v>
      </c>
      <c r="B749" s="30" t="s">
        <v>11807</v>
      </c>
      <c r="C749" s="29" t="str">
        <f t="shared" si="82"/>
        <v>C06141:1</v>
      </c>
      <c r="D749" s="27" t="str">
        <f t="shared" si="81"/>
        <v>C06141 : GD1b</v>
      </c>
    </row>
    <row r="750" spans="1:4" ht="43.5">
      <c r="A750" s="11" t="s">
        <v>7635</v>
      </c>
      <c r="B750" s="30" t="s">
        <v>11808</v>
      </c>
      <c r="C750" s="29" t="str">
        <f t="shared" si="82"/>
        <v>C06148:1</v>
      </c>
      <c r="D750" s="27" t="str">
        <f t="shared" si="81"/>
        <v>C06148 : 2,5-Diamino-6-(5'-triphosphoryl-3',4'-trihydroxy-2'-oxopentyl)-amino-4-oxopyrimidine</v>
      </c>
    </row>
    <row r="751" spans="1:4">
      <c r="A751" s="11" t="s">
        <v>9330</v>
      </c>
      <c r="B751" s="30" t="s">
        <v>11809</v>
      </c>
      <c r="C751" s="29" t="str">
        <f t="shared" si="82"/>
        <v>C06156:1</v>
      </c>
      <c r="D751" s="27" t="str">
        <f t="shared" si="81"/>
        <v>C06156 : D-Glucosamine 1-phosphate</v>
      </c>
    </row>
    <row r="752" spans="1:4">
      <c r="A752" s="11" t="s">
        <v>11810</v>
      </c>
      <c r="B752" s="30" t="s">
        <v>11811</v>
      </c>
      <c r="C752" s="29" t="str">
        <f t="shared" si="82"/>
        <v>C06187:1</v>
      </c>
      <c r="D752" s="27" t="str">
        <f t="shared" si="81"/>
        <v>C06187 : Arbutin-6P</v>
      </c>
    </row>
    <row r="753" spans="1:4">
      <c r="A753" s="11" t="s">
        <v>11812</v>
      </c>
      <c r="B753" s="30" t="s">
        <v>11813</v>
      </c>
      <c r="C753" s="29" t="str">
        <f t="shared" si="82"/>
        <v>C06188:1</v>
      </c>
      <c r="D753" s="27" t="str">
        <f t="shared" si="81"/>
        <v>C06188 : Salicin-6P</v>
      </c>
    </row>
    <row r="754" spans="1:4">
      <c r="A754" s="11" t="s">
        <v>11814</v>
      </c>
      <c r="B754" s="30" t="s">
        <v>11815</v>
      </c>
      <c r="C754" s="29" t="str">
        <f t="shared" si="82"/>
        <v>C06196:1</v>
      </c>
      <c r="D754" s="27" t="str">
        <f t="shared" si="81"/>
        <v>C06196 : dIMP</v>
      </c>
    </row>
    <row r="755" spans="1:4">
      <c r="A755" s="11" t="s">
        <v>11816</v>
      </c>
      <c r="B755" s="30" t="s">
        <v>11817</v>
      </c>
      <c r="C755" s="29" t="str">
        <f t="shared" si="82"/>
        <v>C06206:1</v>
      </c>
      <c r="D755" s="27" t="str">
        <f t="shared" si="81"/>
        <v>C06206 : Benzoyl phosphate</v>
      </c>
    </row>
    <row r="756" spans="1:4">
      <c r="A756" s="11" t="s">
        <v>8046</v>
      </c>
      <c r="B756" s="30" t="s">
        <v>11818</v>
      </c>
      <c r="C756" s="29" t="str">
        <f t="shared" si="82"/>
        <v>C06210:1</v>
      </c>
      <c r="D756" s="27" t="str">
        <f t="shared" si="81"/>
        <v>C06210 : 2-Hydroxy-6-oxo-hept-2,4-dienoate</v>
      </c>
    </row>
    <row r="757" spans="1:4">
      <c r="A757" s="11" t="s">
        <v>11819</v>
      </c>
      <c r="B757" s="30" t="s">
        <v>11820</v>
      </c>
      <c r="C757" s="29" t="str">
        <f t="shared" si="82"/>
        <v>C06249:1</v>
      </c>
      <c r="D757" s="27" t="str">
        <f t="shared" si="81"/>
        <v>C06249 : Apo-[carboxylase]</v>
      </c>
    </row>
    <row r="758" spans="1:4">
      <c r="A758" s="11" t="s">
        <v>11821</v>
      </c>
      <c r="B758" s="30" t="s">
        <v>11822</v>
      </c>
      <c r="C758" s="29" t="str">
        <f t="shared" si="82"/>
        <v>C06250:1</v>
      </c>
      <c r="D758" s="27" t="str">
        <f t="shared" si="81"/>
        <v>C06250 : Holo-[carboxylase]</v>
      </c>
    </row>
    <row r="759" spans="1:4">
      <c r="A759" s="11" t="s">
        <v>11823</v>
      </c>
      <c r="B759" s="30" t="s">
        <v>11824</v>
      </c>
      <c r="C759" s="29" t="str">
        <f t="shared" si="82"/>
        <v>C06336:1</v>
      </c>
      <c r="D759" s="27" t="str">
        <f t="shared" si="81"/>
        <v>C06336 : 3-Sulfocatechol</v>
      </c>
    </row>
    <row r="760" spans="1:4">
      <c r="A760" s="11" t="s">
        <v>11825</v>
      </c>
      <c r="B760" s="30" t="s">
        <v>11826</v>
      </c>
      <c r="C760" s="9" t="str">
        <f>CONCATENATE(A760,":","1000")</f>
        <v>C06424:1000</v>
      </c>
      <c r="D760" s="27" t="str">
        <f t="shared" si="81"/>
        <v>C06424 : Tetradecanoic acid</v>
      </c>
    </row>
    <row r="761" spans="1:4">
      <c r="A761" s="11" t="s">
        <v>11827</v>
      </c>
      <c r="B761" s="30" t="s">
        <v>11828</v>
      </c>
      <c r="C761" s="29" t="str">
        <f t="shared" ref="C761:C790" si="83">CONCATENATE(A761,":","1")</f>
        <v>C06441:1</v>
      </c>
      <c r="D761" s="27" t="str">
        <f t="shared" si="81"/>
        <v>C06441 : L-Xylulose 1-phosphate</v>
      </c>
    </row>
    <row r="762" spans="1:4">
      <c r="A762" s="11" t="s">
        <v>11829</v>
      </c>
      <c r="B762" s="30" t="s">
        <v>11830</v>
      </c>
      <c r="C762" s="29" t="str">
        <f t="shared" si="83"/>
        <v>C06459:1</v>
      </c>
      <c r="D762" s="27" t="str">
        <f t="shared" si="81"/>
        <v>C06459 : 2-Trimethylaminoethylphosphonate</v>
      </c>
    </row>
    <row r="763" spans="1:4">
      <c r="A763" s="11" t="s">
        <v>11831</v>
      </c>
      <c r="B763" s="30" t="s">
        <v>11832</v>
      </c>
      <c r="C763" s="29" t="str">
        <f t="shared" si="83"/>
        <v>C06473:1</v>
      </c>
      <c r="D763" s="27" t="str">
        <f t="shared" si="81"/>
        <v>C06473 : 2-Keto-D-gluconic acid</v>
      </c>
    </row>
    <row r="764" spans="1:4">
      <c r="A764" s="11" t="s">
        <v>11833</v>
      </c>
      <c r="B764" s="30" t="s">
        <v>11834</v>
      </c>
      <c r="C764" s="29" t="str">
        <f t="shared" si="83"/>
        <v>C06481:1</v>
      </c>
      <c r="D764" s="27" t="str">
        <f t="shared" si="81"/>
        <v>C06481 : L-Seryl-tRNA(Sec)</v>
      </c>
    </row>
    <row r="765" spans="1:4">
      <c r="A765" s="11" t="s">
        <v>11835</v>
      </c>
      <c r="B765" s="30" t="s">
        <v>11836</v>
      </c>
      <c r="C765" s="29" t="str">
        <f t="shared" si="83"/>
        <v>C06485:1</v>
      </c>
      <c r="D765" s="27" t="str">
        <f t="shared" si="81"/>
        <v>C06485 : 1,5-Anhydro-D-fructose</v>
      </c>
    </row>
    <row r="766" spans="1:4">
      <c r="A766" s="11" t="s">
        <v>11837</v>
      </c>
      <c r="B766" s="30" t="s">
        <v>11838</v>
      </c>
      <c r="C766" s="29" t="str">
        <f t="shared" si="83"/>
        <v>C06506:1</v>
      </c>
      <c r="D766" s="27" t="str">
        <f t="shared" si="81"/>
        <v>C06506 : Adenosyl cobyrinate a,c diamide</v>
      </c>
    </row>
    <row r="767" spans="1:4">
      <c r="A767" s="11" t="s">
        <v>11839</v>
      </c>
      <c r="B767" s="30" t="s">
        <v>11840</v>
      </c>
      <c r="C767" s="29" t="str">
        <f t="shared" si="83"/>
        <v>C06507:1</v>
      </c>
      <c r="D767" s="27" t="str">
        <f t="shared" si="81"/>
        <v>C06507 : Adenosylcobyric acid</v>
      </c>
    </row>
    <row r="768" spans="1:4">
      <c r="A768" s="11" t="s">
        <v>11841</v>
      </c>
      <c r="B768" s="30" t="s">
        <v>11842</v>
      </c>
      <c r="C768" s="29" t="str">
        <f t="shared" si="83"/>
        <v>C06563:1</v>
      </c>
      <c r="D768" s="27" t="str">
        <f t="shared" si="81"/>
        <v>C06563 : Genistein</v>
      </c>
    </row>
    <row r="769" spans="1:4">
      <c r="A769" s="6" t="s">
        <v>11843</v>
      </c>
      <c r="B769" s="30" t="s">
        <v>11844</v>
      </c>
      <c r="C769" s="29" t="str">
        <f t="shared" si="83"/>
        <v>C06611:1</v>
      </c>
      <c r="D769" s="27" t="str">
        <f t="shared" si="81"/>
        <v>C06611 : trans-3-Chloroallyl alcohol</v>
      </c>
    </row>
    <row r="770" spans="1:4">
      <c r="A770" s="6" t="s">
        <v>11845</v>
      </c>
      <c r="B770" s="30" t="s">
        <v>11846</v>
      </c>
      <c r="C770" s="29" t="str">
        <f t="shared" si="83"/>
        <v>C06612:1</v>
      </c>
      <c r="D770" s="27" t="str">
        <f t="shared" si="81"/>
        <v>C06612 : cis-3-Chloroallyl alcohol</v>
      </c>
    </row>
    <row r="771" spans="1:4">
      <c r="A771" s="6" t="s">
        <v>11847</v>
      </c>
      <c r="B771" s="30" t="s">
        <v>11848</v>
      </c>
      <c r="C771" s="29" t="str">
        <f t="shared" si="83"/>
        <v>C06613:1</v>
      </c>
      <c r="D771" s="27" t="str">
        <f t="shared" ref="D771:D834" si="84">CONCATENATE(A771," : ",B771)</f>
        <v>C06613 : trans-3-Chloro-2-propenal</v>
      </c>
    </row>
    <row r="772" spans="1:4">
      <c r="A772" s="11" t="s">
        <v>11849</v>
      </c>
      <c r="B772" s="30" t="s">
        <v>11850</v>
      </c>
      <c r="C772" s="29" t="str">
        <f t="shared" si="83"/>
        <v>C06730:1</v>
      </c>
      <c r="D772" s="27" t="str">
        <f t="shared" si="84"/>
        <v>C06730 : 4-Methylcatechol</v>
      </c>
    </row>
    <row r="773" spans="1:4">
      <c r="A773" s="11" t="s">
        <v>11851</v>
      </c>
      <c r="B773" s="30" t="s">
        <v>11852</v>
      </c>
      <c r="C773" s="29" t="str">
        <f t="shared" si="83"/>
        <v>C06757:1</v>
      </c>
      <c r="D773" s="27" t="str">
        <f t="shared" si="84"/>
        <v>C06757 : 4-Tolylcarbinol</v>
      </c>
    </row>
    <row r="774" spans="1:4">
      <c r="A774" s="11" t="s">
        <v>11853</v>
      </c>
      <c r="B774" s="30" t="s">
        <v>11854</v>
      </c>
      <c r="C774" s="29" t="str">
        <f t="shared" si="83"/>
        <v>C06758:1</v>
      </c>
      <c r="D774" s="27" t="str">
        <f t="shared" si="84"/>
        <v>C06758 : p-Formyltoluene</v>
      </c>
    </row>
    <row r="775" spans="1:4" ht="29">
      <c r="A775" s="11" t="s">
        <v>8049</v>
      </c>
      <c r="B775" s="30" t="s">
        <v>11855</v>
      </c>
      <c r="C775" s="29" t="str">
        <f t="shared" si="83"/>
        <v>C06760:1</v>
      </c>
      <c r="D775" s="27" t="str">
        <f t="shared" si="84"/>
        <v>C06760 : 2-Hydroxy-5-methyl-cis,cis-muconic semialdehyde</v>
      </c>
    </row>
    <row r="776" spans="1:4">
      <c r="A776" s="6" t="s">
        <v>11856</v>
      </c>
      <c r="B776" s="30" t="s">
        <v>11857</v>
      </c>
      <c r="C776" s="29" t="str">
        <f t="shared" si="83"/>
        <v>C06899:1</v>
      </c>
      <c r="D776" s="27" t="str">
        <f t="shared" si="84"/>
        <v>C06899 : Chloral hydrate</v>
      </c>
    </row>
    <row r="777" spans="1:4">
      <c r="A777" s="11" t="s">
        <v>11858</v>
      </c>
      <c r="B777" s="30" t="s">
        <v>11859</v>
      </c>
      <c r="C777" s="29" t="str">
        <f t="shared" si="83"/>
        <v>C07085:1</v>
      </c>
      <c r="D777" s="27" t="str">
        <f t="shared" si="84"/>
        <v>C07085 : 3-Vinylcatechol</v>
      </c>
    </row>
    <row r="778" spans="1:4">
      <c r="A778" s="11" t="s">
        <v>8052</v>
      </c>
      <c r="B778" s="30" t="s">
        <v>11860</v>
      </c>
      <c r="C778" s="29" t="str">
        <f t="shared" si="83"/>
        <v>C07087:1</v>
      </c>
      <c r="D778" s="27" t="str">
        <f t="shared" si="84"/>
        <v>C07087 : 2-Hydroxy-6-oxoocta-2,4,7-trienoate</v>
      </c>
    </row>
    <row r="779" spans="1:4">
      <c r="A779" s="11" t="s">
        <v>8055</v>
      </c>
      <c r="B779" s="30" t="s">
        <v>11861</v>
      </c>
      <c r="C779" s="29" t="str">
        <f t="shared" si="83"/>
        <v>C07089:1</v>
      </c>
      <c r="D779" s="27" t="str">
        <f t="shared" si="84"/>
        <v>C07089 : 5-Chloro-2-hydroxymuconic semialdehyde</v>
      </c>
    </row>
    <row r="780" spans="1:4">
      <c r="A780" s="11" t="s">
        <v>11862</v>
      </c>
      <c r="B780" s="30" t="s">
        <v>11863</v>
      </c>
      <c r="C780" s="29" t="str">
        <f t="shared" si="83"/>
        <v>C07209:1</v>
      </c>
      <c r="D780" s="27" t="str">
        <f t="shared" si="84"/>
        <v>C07209 : 3-Methylbenzaldehyde</v>
      </c>
    </row>
    <row r="781" spans="1:4">
      <c r="A781" s="11" t="s">
        <v>11864</v>
      </c>
      <c r="B781" s="30" t="s">
        <v>11865</v>
      </c>
      <c r="C781" s="29" t="str">
        <f t="shared" si="83"/>
        <v>C07213:1</v>
      </c>
      <c r="D781" s="27" t="str">
        <f t="shared" si="84"/>
        <v>C07213 : 2-Methylbenzyl alcohol</v>
      </c>
    </row>
    <row r="782" spans="1:4">
      <c r="A782" s="11" t="s">
        <v>11866</v>
      </c>
      <c r="B782" s="30" t="s">
        <v>11867</v>
      </c>
      <c r="C782" s="29" t="str">
        <f t="shared" si="83"/>
        <v>C07214:1</v>
      </c>
      <c r="D782" s="27" t="str">
        <f t="shared" si="84"/>
        <v>C07214 : 2-Methylbenzaldehyde</v>
      </c>
    </row>
    <row r="783" spans="1:4">
      <c r="A783" s="11" t="s">
        <v>11868</v>
      </c>
      <c r="B783" s="30" t="s">
        <v>11869</v>
      </c>
      <c r="C783" s="29" t="str">
        <f t="shared" si="83"/>
        <v>C07216:1</v>
      </c>
      <c r="D783" s="27" t="str">
        <f t="shared" si="84"/>
        <v>C07216 : 3-Methylbenzyl alcohol</v>
      </c>
    </row>
    <row r="784" spans="1:4">
      <c r="A784" s="11" t="s">
        <v>11870</v>
      </c>
      <c r="B784" s="30" t="s">
        <v>11871</v>
      </c>
      <c r="C784" s="29" t="str">
        <f t="shared" si="83"/>
        <v>C07271:1</v>
      </c>
      <c r="D784" s="27" t="str">
        <f t="shared" si="84"/>
        <v>C07271 : Limonene-1,2-epoxide</v>
      </c>
    </row>
    <row r="785" spans="1:9" ht="29">
      <c r="A785" s="11" t="s">
        <v>11872</v>
      </c>
      <c r="B785" s="30" t="s">
        <v>11873</v>
      </c>
      <c r="C785" s="29" t="str">
        <f t="shared" si="83"/>
        <v>C07278:1</v>
      </c>
      <c r="D785" s="27" t="str">
        <f t="shared" si="84"/>
        <v>C07278 : beta-D-Galactosyl-(1-&gt;3)-N-acetyl-D-galactosamine</v>
      </c>
    </row>
    <row r="786" spans="1:9">
      <c r="A786" s="6" t="s">
        <v>11874</v>
      </c>
      <c r="B786" s="30" t="s">
        <v>11875</v>
      </c>
      <c r="C786" s="29" t="str">
        <f t="shared" si="83"/>
        <v>C07490:1</v>
      </c>
      <c r="D786" s="27" t="str">
        <f t="shared" si="84"/>
        <v>C07490 : Trichloroethanol</v>
      </c>
    </row>
    <row r="787" spans="1:9">
      <c r="A787" s="6" t="s">
        <v>11876</v>
      </c>
      <c r="B787" s="30" t="s">
        <v>11877</v>
      </c>
      <c r="C787" s="29" t="str">
        <f t="shared" si="83"/>
        <v>C07645:1</v>
      </c>
      <c r="D787" s="27" t="str">
        <f t="shared" si="84"/>
        <v>C07645 : Aldophosphamide</v>
      </c>
    </row>
    <row r="788" spans="1:9">
      <c r="A788" s="11" t="s">
        <v>11878</v>
      </c>
      <c r="B788" s="30" t="s">
        <v>11879</v>
      </c>
      <c r="C788" s="29" t="str">
        <f t="shared" si="83"/>
        <v>C07648:1</v>
      </c>
      <c r="D788" s="27" t="str">
        <f t="shared" si="84"/>
        <v>C07648 : Thioguanine</v>
      </c>
    </row>
    <row r="789" spans="1:9">
      <c r="A789" s="11" t="s">
        <v>11880</v>
      </c>
      <c r="B789" s="30" t="s">
        <v>11881</v>
      </c>
      <c r="C789" s="29" t="str">
        <f t="shared" si="83"/>
        <v>C08325:1</v>
      </c>
      <c r="D789" s="27" t="str">
        <f t="shared" si="84"/>
        <v>C08325 : Amygdalin</v>
      </c>
    </row>
    <row r="790" spans="1:9">
      <c r="A790" s="11" t="s">
        <v>11882</v>
      </c>
      <c r="B790" s="30" t="s">
        <v>11883</v>
      </c>
      <c r="C790" s="29" t="str">
        <f t="shared" si="83"/>
        <v>C08334:1</v>
      </c>
      <c r="D790" s="27" t="str">
        <f t="shared" si="84"/>
        <v>C08334 : Lotaustralin</v>
      </c>
    </row>
    <row r="791" spans="1:9">
      <c r="A791" s="11" t="s">
        <v>11884</v>
      </c>
      <c r="B791" s="30" t="s">
        <v>11885</v>
      </c>
      <c r="C791" s="9" t="str">
        <f>CONCATENATE(A791,":","1000")</f>
        <v>C08362:1000</v>
      </c>
      <c r="D791" s="27" t="str">
        <f t="shared" si="84"/>
        <v>C08362 : (9Z)-Hexadecenoic acid</v>
      </c>
    </row>
    <row r="792" spans="1:9">
      <c r="A792" s="6" t="s">
        <v>11886</v>
      </c>
      <c r="B792" s="30" t="s">
        <v>11887</v>
      </c>
      <c r="C792" s="29" t="str">
        <f t="shared" ref="C792:C794" si="85">CONCATENATE(A792,":","1")</f>
        <v>C08492:1</v>
      </c>
      <c r="D792" s="27" t="str">
        <f t="shared" si="84"/>
        <v>C08492 : 3-Hexenol</v>
      </c>
    </row>
    <row r="793" spans="1:9">
      <c r="A793" s="11" t="s">
        <v>11888</v>
      </c>
      <c r="B793" s="30" t="s">
        <v>11889</v>
      </c>
      <c r="C793" s="29" t="str">
        <f t="shared" si="85"/>
        <v>C09009:1</v>
      </c>
      <c r="D793" s="27" t="str">
        <f t="shared" si="84"/>
        <v>C09009 : Isobutyrylmallotochromene</v>
      </c>
    </row>
    <row r="794" spans="1:9">
      <c r="A794" s="11" t="s">
        <v>11890</v>
      </c>
      <c r="B794" s="30" t="s">
        <v>11891</v>
      </c>
      <c r="C794" s="29" t="str">
        <f t="shared" si="85"/>
        <v>C09126:1</v>
      </c>
      <c r="D794" s="27" t="str">
        <f t="shared" si="84"/>
        <v>C09126 : Genistin</v>
      </c>
    </row>
    <row r="795" spans="1:9">
      <c r="A795" s="11" t="s">
        <v>11892</v>
      </c>
      <c r="B795" s="30" t="s">
        <v>11893</v>
      </c>
      <c r="C795" s="9" t="str">
        <f>CONCATENATE(A795,":","1000")</f>
        <v>C09332:1000</v>
      </c>
      <c r="D795" s="27" t="str">
        <f t="shared" si="84"/>
        <v>C09332 : THF-L-glutamate</v>
      </c>
    </row>
    <row r="796" spans="1:9">
      <c r="A796" s="11" t="s">
        <v>11894</v>
      </c>
      <c r="B796" s="30" t="s">
        <v>11895</v>
      </c>
      <c r="C796" s="29" t="str">
        <f t="shared" ref="C796:C799" si="86">CONCATENATE(A796,":","1")</f>
        <v>C10208:1</v>
      </c>
      <c r="D796" s="27" t="str">
        <f t="shared" si="84"/>
        <v>C10208 : Daidzein</v>
      </c>
      <c r="I796" s="10"/>
    </row>
    <row r="797" spans="1:9">
      <c r="A797" s="11" t="s">
        <v>11896</v>
      </c>
      <c r="B797" s="30" t="s">
        <v>11897</v>
      </c>
      <c r="C797" s="29" t="str">
        <f t="shared" si="86"/>
        <v>C10216:1</v>
      </c>
      <c r="D797" s="27" t="str">
        <f t="shared" si="84"/>
        <v>C10216 : Daidzin</v>
      </c>
      <c r="I797" s="10"/>
    </row>
    <row r="798" spans="1:9" ht="29">
      <c r="A798" s="11" t="s">
        <v>11898</v>
      </c>
      <c r="B798" s="30" t="s">
        <v>11899</v>
      </c>
      <c r="C798" s="29" t="str">
        <f t="shared" si="86"/>
        <v>C11038:1</v>
      </c>
      <c r="D798" s="27" t="str">
        <f t="shared" si="84"/>
        <v>C11038 : 2'-Deoxy-5-hydroxymethylcytidine-5'-diphosphate</v>
      </c>
      <c r="I798" s="10"/>
    </row>
    <row r="799" spans="1:9" ht="29">
      <c r="A799" s="11" t="s">
        <v>7211</v>
      </c>
      <c r="B799" s="30" t="s">
        <v>11900</v>
      </c>
      <c r="C799" s="29" t="str">
        <f t="shared" si="86"/>
        <v>C11039:1</v>
      </c>
      <c r="D799" s="27" t="str">
        <f t="shared" si="84"/>
        <v>C11039 : 2'-Deoxy-5-hydroxymethylcytidine-5'-triphosphate</v>
      </c>
    </row>
    <row r="800" spans="1:9">
      <c r="A800" s="11" t="s">
        <v>11901</v>
      </c>
      <c r="B800" s="30" t="s">
        <v>11902</v>
      </c>
      <c r="C800" s="9" t="str">
        <f t="shared" ref="C800:C802" si="87">CONCATENATE(A800,":","1000")</f>
        <v>C11434:1000</v>
      </c>
      <c r="D800" s="27" t="str">
        <f t="shared" si="84"/>
        <v>C11434 : 2-C-Methyl-D-erythritol 4-phosphate</v>
      </c>
    </row>
    <row r="801" spans="1:9" ht="29">
      <c r="A801" s="11" t="s">
        <v>11903</v>
      </c>
      <c r="B801" s="30" t="s">
        <v>11904</v>
      </c>
      <c r="C801" s="9" t="str">
        <f t="shared" si="87"/>
        <v>C11435:1000</v>
      </c>
      <c r="D801" s="27" t="str">
        <f t="shared" si="84"/>
        <v>C11435 : 4-(Cytidine 5'-diphospho)-2-C-methyl-D-erythritol</v>
      </c>
    </row>
    <row r="802" spans="1:9">
      <c r="A802" s="11" t="s">
        <v>11905</v>
      </c>
      <c r="B802" s="30" t="s">
        <v>11906</v>
      </c>
      <c r="C802" s="9" t="str">
        <f t="shared" si="87"/>
        <v>C11437:1000</v>
      </c>
      <c r="D802" s="27" t="str">
        <f t="shared" si="84"/>
        <v>C11437 : 1-Deoxy-D-xylulose 5-phosphate</v>
      </c>
    </row>
    <row r="803" spans="1:9">
      <c r="A803" s="11" t="s">
        <v>11907</v>
      </c>
      <c r="B803" s="30" t="s">
        <v>11908</v>
      </c>
      <c r="C803" s="29" t="str">
        <f t="shared" ref="C803:C810" si="88">CONCATENATE(A803,":","1")</f>
        <v>C11439:1</v>
      </c>
      <c r="D803" s="27" t="str">
        <f t="shared" si="84"/>
        <v>C11439 : Formyl-L-methionyl peptide</v>
      </c>
      <c r="I803" s="10"/>
    </row>
    <row r="804" spans="1:9">
      <c r="A804" s="11" t="s">
        <v>11909</v>
      </c>
      <c r="B804" s="30" t="s">
        <v>11910</v>
      </c>
      <c r="C804" s="29" t="str">
        <f t="shared" si="88"/>
        <v>C11440:1</v>
      </c>
      <c r="D804" s="27" t="str">
        <f t="shared" si="84"/>
        <v>C11440 : Methionyl peptide</v>
      </c>
    </row>
    <row r="805" spans="1:9">
      <c r="A805" s="11" t="s">
        <v>11911</v>
      </c>
      <c r="B805" s="30" t="s">
        <v>11912</v>
      </c>
      <c r="C805" s="9" t="str">
        <f>CONCATENATE(A805,":","1000")</f>
        <v>C11475:1000</v>
      </c>
      <c r="D805" s="27" t="str">
        <f t="shared" si="84"/>
        <v>C11475 : DNA containing guanine</v>
      </c>
    </row>
    <row r="806" spans="1:9">
      <c r="A806" s="11" t="s">
        <v>11913</v>
      </c>
      <c r="B806" s="30" t="s">
        <v>11914</v>
      </c>
      <c r="C806" s="9" t="str">
        <f>CONCATENATE(A806,":","1000")</f>
        <v>C11477:1000</v>
      </c>
      <c r="D806" s="27" t="str">
        <f t="shared" si="84"/>
        <v>C11477 : Sugar</v>
      </c>
    </row>
    <row r="807" spans="1:9">
      <c r="A807" s="11" t="s">
        <v>11915</v>
      </c>
      <c r="B807" s="30" t="s">
        <v>11916</v>
      </c>
      <c r="C807" s="29" t="str">
        <f t="shared" si="88"/>
        <v>C11544:1</v>
      </c>
      <c r="D807" s="27" t="str">
        <f t="shared" si="84"/>
        <v>C11544 : 2-O-(alpha-D-Mannosyl)-D-glycerate</v>
      </c>
    </row>
    <row r="808" spans="1:9">
      <c r="A808" s="11" t="s">
        <v>11917</v>
      </c>
      <c r="B808" s="30" t="s">
        <v>11918</v>
      </c>
      <c r="C808" s="29" t="str">
        <f t="shared" si="88"/>
        <v>C11735:1</v>
      </c>
      <c r="D808" s="27" t="str">
        <f t="shared" si="84"/>
        <v>C11735 : N-Ethylglycine</v>
      </c>
    </row>
    <row r="809" spans="1:9">
      <c r="A809" s="11" t="s">
        <v>11919</v>
      </c>
      <c r="B809" s="30" t="s">
        <v>11920</v>
      </c>
      <c r="C809" s="29" t="str">
        <f t="shared" si="88"/>
        <v>C11736:1</v>
      </c>
      <c r="D809" s="27" t="str">
        <f t="shared" si="84"/>
        <v>C11736 : Floxuridine</v>
      </c>
    </row>
    <row r="810" spans="1:9">
      <c r="A810" s="11" t="s">
        <v>11921</v>
      </c>
      <c r="B810" s="30" t="s">
        <v>11922</v>
      </c>
      <c r="C810" s="29" t="str">
        <f t="shared" si="88"/>
        <v>C11838:1</v>
      </c>
      <c r="D810" s="27" t="str">
        <f t="shared" si="84"/>
        <v>C11838 : (S)-4,5-Dihydroxypentane-2,3-dione</v>
      </c>
    </row>
    <row r="811" spans="1:9">
      <c r="A811" s="11" t="s">
        <v>7530</v>
      </c>
      <c r="B811" s="30" t="s">
        <v>11923</v>
      </c>
      <c r="C811" s="9" t="str">
        <f>CONCATENATE(A811,":","1000")</f>
        <v>C11907:1000</v>
      </c>
      <c r="D811" s="27" t="str">
        <f t="shared" si="84"/>
        <v>C11907 : dTDP-4-oxo-6-deoxy-D-glucose</v>
      </c>
    </row>
    <row r="812" spans="1:9" ht="29">
      <c r="A812" s="11" t="s">
        <v>11924</v>
      </c>
      <c r="B812" s="30" t="s">
        <v>11925</v>
      </c>
      <c r="C812" s="29" t="str">
        <f t="shared" ref="C812:C817" si="89">CONCATENATE(A812,":","1")</f>
        <v>C11945:1</v>
      </c>
      <c r="D812" s="27" t="str">
        <f t="shared" si="84"/>
        <v>C11945 : trans-2-Methyl-5-isopropylhexa-2,5-dienoyl-CoA</v>
      </c>
    </row>
    <row r="813" spans="1:9" ht="29">
      <c r="A813" s="11" t="s">
        <v>11926</v>
      </c>
      <c r="B813" s="30" t="s">
        <v>11927</v>
      </c>
      <c r="C813" s="29" t="str">
        <f t="shared" si="89"/>
        <v>C11946:1</v>
      </c>
      <c r="D813" s="27" t="str">
        <f t="shared" si="84"/>
        <v>C11946 : cis-2-Methyl-5-isopropylhexa-2,5-dienoyl-CoA</v>
      </c>
      <c r="I813" s="10"/>
    </row>
    <row r="814" spans="1:9" ht="29">
      <c r="A814" s="11" t="s">
        <v>7436</v>
      </c>
      <c r="B814" s="30" t="s">
        <v>11928</v>
      </c>
      <c r="C814" s="29" t="str">
        <f t="shared" si="89"/>
        <v>C11947:1</v>
      </c>
      <c r="D814" s="27" t="str">
        <f t="shared" si="84"/>
        <v>C11947 : 3-Hydroxy-2,6-dimethyl-5-methylene-heptanoyl-CoA</v>
      </c>
      <c r="I814" s="10"/>
    </row>
    <row r="815" spans="1:9">
      <c r="A815" s="11" t="s">
        <v>11929</v>
      </c>
      <c r="B815" s="30" t="s">
        <v>11930</v>
      </c>
      <c r="C815" s="29" t="str">
        <f t="shared" si="89"/>
        <v>C12214:1</v>
      </c>
      <c r="D815" s="27" t="str">
        <f t="shared" si="84"/>
        <v>C12214 : Aminofructose 6-phosphate</v>
      </c>
    </row>
    <row r="816" spans="1:9">
      <c r="A816" s="11" t="s">
        <v>11931</v>
      </c>
      <c r="B816" s="30" t="s">
        <v>11932</v>
      </c>
      <c r="C816" s="29" t="str">
        <f t="shared" si="89"/>
        <v>C12215:1</v>
      </c>
      <c r="D816" s="27" t="str">
        <f t="shared" si="84"/>
        <v>C12215 : Iminoerythrose 4-phosphate</v>
      </c>
    </row>
    <row r="817" spans="1:9">
      <c r="A817" s="11" t="s">
        <v>11933</v>
      </c>
      <c r="B817" s="30" t="s">
        <v>11934</v>
      </c>
      <c r="C817" s="29" t="str">
        <f t="shared" si="89"/>
        <v>C12739:1</v>
      </c>
      <c r="D817" s="27" t="str">
        <f t="shared" si="84"/>
        <v>C12739 : Doxifluridine</v>
      </c>
    </row>
    <row r="818" spans="1:9">
      <c r="A818" s="11" t="s">
        <v>11935</v>
      </c>
      <c r="B818" s="30" t="s">
        <v>11936</v>
      </c>
      <c r="C818" s="9" t="str">
        <f>CONCATENATE(A818,":","1000")</f>
        <v>C13378:1000</v>
      </c>
      <c r="D818" s="27" t="str">
        <f t="shared" si="84"/>
        <v>C13378 : alpha,beta-Dihydroxyethyl-TPP</v>
      </c>
    </row>
    <row r="819" spans="1:9">
      <c r="A819" s="6" t="s">
        <v>11937</v>
      </c>
      <c r="B819" s="30" t="s">
        <v>11938</v>
      </c>
      <c r="C819" s="29" t="str">
        <f t="shared" ref="C819:C827" si="90">CONCATENATE(A819,":","1")</f>
        <v>C14089:1</v>
      </c>
      <c r="D819" s="27" t="str">
        <f t="shared" si="84"/>
        <v>C14089 : 1-Naphthalenemethanol</v>
      </c>
      <c r="I819" s="10"/>
    </row>
    <row r="820" spans="1:9">
      <c r="A820" s="6" t="s">
        <v>11939</v>
      </c>
      <c r="B820" s="30" t="s">
        <v>11940</v>
      </c>
      <c r="C820" s="29" t="str">
        <f t="shared" si="90"/>
        <v>C14090:1</v>
      </c>
      <c r="D820" s="27" t="str">
        <f t="shared" si="84"/>
        <v>C14090 : 1-Formylnaphthalene</v>
      </c>
    </row>
    <row r="821" spans="1:9">
      <c r="A821" s="6" t="s">
        <v>11941</v>
      </c>
      <c r="B821" s="30" t="s">
        <v>11942</v>
      </c>
      <c r="C821" s="29" t="str">
        <f t="shared" si="90"/>
        <v>C14099:1</v>
      </c>
      <c r="D821" s="27" t="str">
        <f t="shared" si="84"/>
        <v>C14099 : 2-Naphthaldehyde</v>
      </c>
    </row>
    <row r="822" spans="1:9">
      <c r="A822" s="11" t="s">
        <v>11943</v>
      </c>
      <c r="B822" s="30" t="s">
        <v>11944</v>
      </c>
      <c r="C822" s="29" t="str">
        <f t="shared" si="90"/>
        <v>C14144:1</v>
      </c>
      <c r="D822" s="27" t="str">
        <f t="shared" si="84"/>
        <v>C14144 : 2,3-Didehydroadipyl-CoA</v>
      </c>
    </row>
    <row r="823" spans="1:9">
      <c r="A823" s="11" t="s">
        <v>7441</v>
      </c>
      <c r="B823" s="30" t="s">
        <v>11945</v>
      </c>
      <c r="C823" s="29" t="str">
        <f t="shared" si="90"/>
        <v>C14145:1</v>
      </c>
      <c r="D823" s="27" t="str">
        <f t="shared" si="84"/>
        <v>C14145 : (3S)-3-Hydroxyadipyl-CoA</v>
      </c>
    </row>
    <row r="824" spans="1:9">
      <c r="A824" s="11" t="s">
        <v>7244</v>
      </c>
      <c r="B824" s="30" t="s">
        <v>11946</v>
      </c>
      <c r="C824" s="29" t="str">
        <f t="shared" si="90"/>
        <v>C14463:1</v>
      </c>
      <c r="D824" s="27" t="str">
        <f t="shared" si="84"/>
        <v>C14463 : (R)-3-Hydroxy-3-methyl-2-oxopentanoate</v>
      </c>
    </row>
    <row r="825" spans="1:9">
      <c r="A825" s="11" t="s">
        <v>11947</v>
      </c>
      <c r="B825" s="30" t="s">
        <v>11948</v>
      </c>
      <c r="C825" s="29" t="str">
        <f t="shared" si="90"/>
        <v>C14899:1</v>
      </c>
      <c r="D825" s="27" t="str">
        <f t="shared" si="84"/>
        <v>C14899 : 3-Dehydro-L-gulonate 6-phosphate</v>
      </c>
    </row>
    <row r="826" spans="1:9">
      <c r="A826" s="11" t="s">
        <v>11949</v>
      </c>
      <c r="B826" s="30" t="s">
        <v>11950</v>
      </c>
      <c r="C826" s="29" t="str">
        <f t="shared" si="90"/>
        <v>C15532:1</v>
      </c>
      <c r="D826" s="27" t="str">
        <f t="shared" si="84"/>
        <v>C15532 : N-Acetyl-L-citrulline</v>
      </c>
    </row>
    <row r="827" spans="1:9">
      <c r="A827" s="11" t="s">
        <v>11951</v>
      </c>
      <c r="B827" s="30" t="s">
        <v>11952</v>
      </c>
      <c r="C827" s="29" t="str">
        <f t="shared" si="90"/>
        <v>C15584:1</v>
      </c>
      <c r="D827" s="27" t="str">
        <f t="shared" si="84"/>
        <v>C15584 : Phenol</v>
      </c>
    </row>
    <row r="828" spans="1:9">
      <c r="A828" s="11" t="s">
        <v>11953</v>
      </c>
      <c r="B828" s="30" t="s">
        <v>11954</v>
      </c>
      <c r="C828" s="9" t="str">
        <f>CONCATENATE(A828,":","1000")</f>
        <v>C15585:1000</v>
      </c>
      <c r="D828" s="27" t="str">
        <f t="shared" si="84"/>
        <v>C15585 : myo-Inositol phosphate</v>
      </c>
    </row>
    <row r="829" spans="1:9">
      <c r="A829" s="11" t="s">
        <v>11955</v>
      </c>
      <c r="B829" s="30" t="s">
        <v>11956</v>
      </c>
      <c r="C829" s="29" t="str">
        <f t="shared" ref="C829:C853" si="91">CONCATENATE(A829,":","1")</f>
        <v>C15586:1</v>
      </c>
      <c r="D829" s="27" t="str">
        <f t="shared" si="84"/>
        <v>C15586 : N-D-Ribosylpurine</v>
      </c>
    </row>
    <row r="830" spans="1:9">
      <c r="A830" s="11" t="s">
        <v>11957</v>
      </c>
      <c r="B830" s="30" t="s">
        <v>11958</v>
      </c>
      <c r="C830" s="9" t="str">
        <f>CONCATENATE(A830,":","1000")</f>
        <v>C15587:1000</v>
      </c>
      <c r="D830" s="27" t="str">
        <f t="shared" si="84"/>
        <v>C15587 : Purine</v>
      </c>
    </row>
    <row r="831" spans="1:9" ht="29">
      <c r="A831" s="11" t="s">
        <v>8133</v>
      </c>
      <c r="B831" s="30" t="s">
        <v>11959</v>
      </c>
      <c r="C831" s="29" t="str">
        <f t="shared" si="91"/>
        <v>C15667:1</v>
      </c>
      <c r="D831" s="27" t="str">
        <f t="shared" si="84"/>
        <v>C15667 : 5-Carboxyamino-1-(5-phospho-D-ribosyl)imidazole</v>
      </c>
    </row>
    <row r="832" spans="1:9">
      <c r="A832" s="11" t="s">
        <v>11960</v>
      </c>
      <c r="B832" s="30" t="s">
        <v>11961</v>
      </c>
      <c r="C832" s="29" t="str">
        <f t="shared" si="91"/>
        <v>C15673:1</v>
      </c>
      <c r="D832" s="27" t="str">
        <f t="shared" si="84"/>
        <v>C15673 : 2-Dehydro-L-idonate</v>
      </c>
    </row>
    <row r="833" spans="1:9">
      <c r="A833" s="11" t="s">
        <v>11962</v>
      </c>
      <c r="B833" s="30" t="s">
        <v>11963</v>
      </c>
      <c r="C833" s="29" t="str">
        <f t="shared" si="91"/>
        <v>C15809:1</v>
      </c>
      <c r="D833" s="27" t="str">
        <f t="shared" si="84"/>
        <v>C15809 : Iminoglycine</v>
      </c>
    </row>
    <row r="834" spans="1:9">
      <c r="A834" s="11" t="s">
        <v>11964</v>
      </c>
      <c r="B834" s="30" t="s">
        <v>11965</v>
      </c>
      <c r="C834" s="29" t="str">
        <f t="shared" si="91"/>
        <v>C15811:1</v>
      </c>
      <c r="D834" s="27" t="str">
        <f t="shared" si="84"/>
        <v>C15811 : [Enzyme]-cysteine</v>
      </c>
    </row>
    <row r="835" spans="1:9">
      <c r="A835" s="11" t="s">
        <v>11966</v>
      </c>
      <c r="B835" s="30" t="s">
        <v>11967</v>
      </c>
      <c r="C835" s="29" t="str">
        <f t="shared" si="91"/>
        <v>C15812:1</v>
      </c>
      <c r="D835" s="27" t="str">
        <f t="shared" ref="D835:D898" si="92">CONCATENATE(A835," : ",B835)</f>
        <v>C15812 : [Enzyme]-S-sulfanylcysteine</v>
      </c>
    </row>
    <row r="836" spans="1:9">
      <c r="A836" s="11" t="s">
        <v>11968</v>
      </c>
      <c r="B836" s="30" t="s">
        <v>11969</v>
      </c>
      <c r="C836" s="29" t="str">
        <f t="shared" si="91"/>
        <v>C15813:1</v>
      </c>
      <c r="D836" s="27" t="str">
        <f t="shared" si="92"/>
        <v>C15813 : Adenylyl-[sulfur-carrier protein]</v>
      </c>
    </row>
    <row r="837" spans="1:9">
      <c r="A837" s="11" t="s">
        <v>11970</v>
      </c>
      <c r="B837" s="30" t="s">
        <v>11971</v>
      </c>
      <c r="C837" s="29" t="str">
        <f t="shared" si="91"/>
        <v>C15814:1</v>
      </c>
      <c r="D837" s="27" t="str">
        <f t="shared" si="92"/>
        <v>C15814 : Thiocarboxy-[sulfur-carrier protein]</v>
      </c>
    </row>
    <row r="838" spans="1:9">
      <c r="A838" s="11" t="s">
        <v>11972</v>
      </c>
      <c r="B838" s="30" t="s">
        <v>11973</v>
      </c>
      <c r="C838" s="29" t="str">
        <f t="shared" si="91"/>
        <v>C15972:1</v>
      </c>
      <c r="D838" s="27" t="str">
        <f t="shared" si="92"/>
        <v>C15972 : Enzyme N6-(lipoyl)lysine</v>
      </c>
    </row>
    <row r="839" spans="1:9">
      <c r="A839" s="11" t="s">
        <v>11974</v>
      </c>
      <c r="B839" s="30" t="s">
        <v>11975</v>
      </c>
      <c r="C839" s="29" t="str">
        <f t="shared" si="91"/>
        <v>C15973:1</v>
      </c>
      <c r="D839" s="27" t="str">
        <f t="shared" si="92"/>
        <v>C15973 : Enzyme N6-(dihydrolipoyl)lysine</v>
      </c>
    </row>
    <row r="840" spans="1:9">
      <c r="A840" s="11" t="s">
        <v>11976</v>
      </c>
      <c r="B840" s="30" t="s">
        <v>11977</v>
      </c>
      <c r="C840" s="29" t="str">
        <f t="shared" si="91"/>
        <v>C15974:1</v>
      </c>
      <c r="D840" s="27" t="str">
        <f t="shared" si="92"/>
        <v>C15974 : 3-Methyl-1-hydroxybutyl-ThPP</v>
      </c>
    </row>
    <row r="841" spans="1:9">
      <c r="A841" s="11" t="s">
        <v>11978</v>
      </c>
      <c r="B841" s="30" t="s">
        <v>11979</v>
      </c>
      <c r="C841" s="29" t="str">
        <f t="shared" si="91"/>
        <v>C15975:1</v>
      </c>
      <c r="D841" s="27" t="str">
        <f t="shared" si="92"/>
        <v>C15975 : S-(3-Methylbutanoyl)-dihydrolipoamide-E</v>
      </c>
    </row>
    <row r="842" spans="1:9">
      <c r="A842" s="11" t="s">
        <v>11980</v>
      </c>
      <c r="B842" s="30" t="s">
        <v>11981</v>
      </c>
      <c r="C842" s="29" t="str">
        <f t="shared" si="91"/>
        <v>C15976:1</v>
      </c>
      <c r="D842" s="27" t="str">
        <f t="shared" si="92"/>
        <v>C15976 : 2-Methyl-1-hydroxypropyl-TPP</v>
      </c>
    </row>
    <row r="843" spans="1:9" ht="43.5">
      <c r="A843" s="11" t="s">
        <v>11982</v>
      </c>
      <c r="B843" s="30" t="s">
        <v>11983</v>
      </c>
      <c r="C843" s="29" t="str">
        <f t="shared" si="91"/>
        <v>C15977:1</v>
      </c>
      <c r="D843" s="27" t="str">
        <f t="shared" si="92"/>
        <v>C15977 : [Dihydrolipoyllysine-residue (2-methylpropanoyl)transferase] S-(2-methylpropanoyl)dihydrolipoyllysine</v>
      </c>
    </row>
    <row r="844" spans="1:9">
      <c r="A844" s="11" t="s">
        <v>11984</v>
      </c>
      <c r="B844" s="30" t="s">
        <v>11985</v>
      </c>
      <c r="C844" s="29" t="str">
        <f t="shared" si="91"/>
        <v>C15978:1</v>
      </c>
      <c r="D844" s="27" t="str">
        <f t="shared" si="92"/>
        <v>C15978 : 2-Methyl-1-hydroxybutyl-TPP</v>
      </c>
    </row>
    <row r="845" spans="1:9">
      <c r="A845" s="11" t="s">
        <v>11986</v>
      </c>
      <c r="B845" s="30" t="s">
        <v>11987</v>
      </c>
      <c r="C845" s="29" t="str">
        <f t="shared" si="91"/>
        <v>C15979:1</v>
      </c>
      <c r="D845" s="27" t="str">
        <f t="shared" si="92"/>
        <v>C15979 : S-(2-Methylbutanoyl)-dihydrolipoamide-E</v>
      </c>
    </row>
    <row r="846" spans="1:9">
      <c r="A846" s="11" t="s">
        <v>11988</v>
      </c>
      <c r="B846" s="30" t="s">
        <v>11989</v>
      </c>
      <c r="C846" s="29" t="str">
        <f t="shared" si="91"/>
        <v>C15996:1</v>
      </c>
      <c r="D846" s="27" t="str">
        <f t="shared" si="92"/>
        <v>C15996 : 7-Cyano-7-carbaguanine</v>
      </c>
      <c r="I846" s="10"/>
    </row>
    <row r="847" spans="1:9">
      <c r="A847" s="11" t="s">
        <v>11990</v>
      </c>
      <c r="B847" s="30" t="s">
        <v>11991</v>
      </c>
      <c r="C847" s="29" t="str">
        <f t="shared" si="91"/>
        <v>C15998:1</v>
      </c>
      <c r="D847" s="27" t="str">
        <f t="shared" si="92"/>
        <v>C15998 : L-Methionine (R)-S-oxide</v>
      </c>
      <c r="I847" s="10"/>
    </row>
    <row r="848" spans="1:9">
      <c r="A848" s="11" t="s">
        <v>11992</v>
      </c>
      <c r="B848" s="30" t="s">
        <v>11993</v>
      </c>
      <c r="C848" s="29" t="str">
        <f t="shared" si="91"/>
        <v>C16153:1</v>
      </c>
      <c r="D848" s="27" t="str">
        <f t="shared" si="92"/>
        <v>C16153 : UDP-L-Ara4N</v>
      </c>
      <c r="I848" s="10"/>
    </row>
    <row r="849" spans="1:4">
      <c r="A849" s="11" t="s">
        <v>11994</v>
      </c>
      <c r="B849" s="30" t="s">
        <v>11995</v>
      </c>
      <c r="C849" s="29" t="str">
        <f t="shared" si="91"/>
        <v>C16155:1</v>
      </c>
      <c r="D849" s="27" t="str">
        <f t="shared" si="92"/>
        <v>C16155 : UDP-L-Ara4O</v>
      </c>
    </row>
    <row r="850" spans="1:4">
      <c r="A850" s="11" t="s">
        <v>11996</v>
      </c>
      <c r="B850" s="30" t="s">
        <v>11997</v>
      </c>
      <c r="C850" s="29" t="str">
        <f t="shared" si="91"/>
        <v>C16219:1</v>
      </c>
      <c r="D850" s="27" t="str">
        <f t="shared" si="92"/>
        <v>C16219 : 3-Oxostearoyl-[acp]</v>
      </c>
    </row>
    <row r="851" spans="1:4" ht="29">
      <c r="A851" s="11" t="s">
        <v>11998</v>
      </c>
      <c r="B851" s="30" t="s">
        <v>11999</v>
      </c>
      <c r="C851" s="29" t="str">
        <f t="shared" si="91"/>
        <v>C16220:1</v>
      </c>
      <c r="D851" s="27" t="str">
        <f t="shared" si="92"/>
        <v>C16220 : (3R)-3-Hydroxyoctadecanoyl-[acyl-carrier protein]</v>
      </c>
    </row>
    <row r="852" spans="1:4">
      <c r="A852" s="11" t="s">
        <v>12000</v>
      </c>
      <c r="B852" s="30" t="s">
        <v>12001</v>
      </c>
      <c r="C852" s="29" t="str">
        <f t="shared" si="91"/>
        <v>C16237:1</v>
      </c>
      <c r="D852" s="27" t="str">
        <f t="shared" si="92"/>
        <v>C16237 : Protein N6-(lipoyl)lysine</v>
      </c>
    </row>
    <row r="853" spans="1:4" ht="43.5">
      <c r="A853" s="11" t="s">
        <v>12002</v>
      </c>
      <c r="B853" s="30" t="s">
        <v>12003</v>
      </c>
      <c r="C853" s="29" t="str">
        <f t="shared" si="91"/>
        <v>C16255:1</v>
      </c>
      <c r="D853" s="27" t="str">
        <f t="shared" si="92"/>
        <v>C16255 : [Dihydrolipoyllysine-residue acetyltransferase] S-acetyldihydrolipoyllysine</v>
      </c>
    </row>
    <row r="854" spans="1:4">
      <c r="A854" s="6" t="s">
        <v>12004</v>
      </c>
      <c r="B854" s="30" t="s">
        <v>12005</v>
      </c>
      <c r="C854" s="9" t="str">
        <f>CONCATENATE(A854,":","1000")</f>
        <v>C16310:1000</v>
      </c>
      <c r="D854" s="27" t="str">
        <f t="shared" si="92"/>
        <v>C16310 : 3-Hexenal</v>
      </c>
    </row>
    <row r="855" spans="1:4">
      <c r="A855" s="11" t="s">
        <v>12006</v>
      </c>
      <c r="B855" s="30" t="s">
        <v>12007</v>
      </c>
      <c r="C855" s="29" t="str">
        <f t="shared" ref="C855:C860" si="93">CONCATENATE(A855,":","1")</f>
        <v>C16328:1</v>
      </c>
      <c r="D855" s="27" t="str">
        <f t="shared" si="92"/>
        <v>C16328 : trans-2-Enoyl-OPC8-CoA</v>
      </c>
    </row>
    <row r="856" spans="1:4">
      <c r="A856" s="11" t="s">
        <v>7416</v>
      </c>
      <c r="B856" s="30" t="s">
        <v>12008</v>
      </c>
      <c r="C856" s="29" t="str">
        <f t="shared" si="93"/>
        <v>C16329:1</v>
      </c>
      <c r="D856" s="27" t="str">
        <f t="shared" si="92"/>
        <v>C16329 : 3-Hydroxy-OPC8-CoA</v>
      </c>
    </row>
    <row r="857" spans="1:4">
      <c r="A857" s="11" t="s">
        <v>12009</v>
      </c>
      <c r="B857" s="30" t="s">
        <v>12010</v>
      </c>
      <c r="C857" s="29" t="str">
        <f t="shared" si="93"/>
        <v>C16332:1</v>
      </c>
      <c r="D857" s="27" t="str">
        <f t="shared" si="92"/>
        <v>C16332 : trans-2-Enoyl-OPC6-CoA</v>
      </c>
    </row>
    <row r="858" spans="1:4">
      <c r="A858" s="11" t="s">
        <v>7419</v>
      </c>
      <c r="B858" s="30" t="s">
        <v>12011</v>
      </c>
      <c r="C858" s="29" t="str">
        <f t="shared" si="93"/>
        <v>C16333:1</v>
      </c>
      <c r="D858" s="27" t="str">
        <f t="shared" si="92"/>
        <v>C16333 : 3-Hydroxy-OPC6-CoA</v>
      </c>
    </row>
    <row r="859" spans="1:4">
      <c r="A859" s="11" t="s">
        <v>12012</v>
      </c>
      <c r="B859" s="30" t="s">
        <v>12013</v>
      </c>
      <c r="C859" s="29" t="str">
        <f t="shared" si="93"/>
        <v>C16336:1</v>
      </c>
      <c r="D859" s="27" t="str">
        <f t="shared" si="92"/>
        <v>C16336 : trans-2-Enoyl-OPC4-CoA</v>
      </c>
    </row>
    <row r="860" spans="1:4">
      <c r="A860" s="11" t="s">
        <v>7422</v>
      </c>
      <c r="B860" s="30" t="s">
        <v>12014</v>
      </c>
      <c r="C860" s="29" t="str">
        <f t="shared" si="93"/>
        <v>C16337:1</v>
      </c>
      <c r="D860" s="27" t="str">
        <f t="shared" si="92"/>
        <v>C16337 : 3-Hydroxy-OPC4-CoA</v>
      </c>
    </row>
    <row r="861" spans="1:4">
      <c r="A861" s="6" t="s">
        <v>12015</v>
      </c>
      <c r="B861" s="30" t="s">
        <v>12016</v>
      </c>
      <c r="C861" s="9" t="str">
        <f t="shared" ref="C861:C872" si="94">CONCATENATE(A861,":","1000")</f>
        <v>C16348:1000</v>
      </c>
      <c r="D861" s="27" t="str">
        <f t="shared" si="92"/>
        <v>C16348 : cis-3-Chloro-2-propenal</v>
      </c>
    </row>
    <row r="862" spans="1:4">
      <c r="A862" s="11" t="s">
        <v>12017</v>
      </c>
      <c r="B862" s="30" t="s">
        <v>12018</v>
      </c>
      <c r="C862" s="29" t="str">
        <f t="shared" ref="C862:C864" si="95">CONCATENATE(A862,":","1")</f>
        <v>C16468:1</v>
      </c>
      <c r="D862" s="27" t="str">
        <f t="shared" si="92"/>
        <v>C16468 : (2E)-5-Methylhexa-2,4-dienoyl-CoA</v>
      </c>
    </row>
    <row r="863" spans="1:4">
      <c r="A863" s="11" t="s">
        <v>7444</v>
      </c>
      <c r="B863" s="30" t="s">
        <v>12019</v>
      </c>
      <c r="C863" s="29" t="str">
        <f t="shared" si="95"/>
        <v>C16469:1</v>
      </c>
      <c r="D863" s="27" t="str">
        <f t="shared" si="92"/>
        <v>C16469 : 3-Hydroxy-5-methylhex-4-enoyl-CoA</v>
      </c>
    </row>
    <row r="864" spans="1:4">
      <c r="A864" s="11" t="s">
        <v>12020</v>
      </c>
      <c r="B864" s="30" t="s">
        <v>12021</v>
      </c>
      <c r="C864" s="29" t="str">
        <f t="shared" si="95"/>
        <v>C16520:1</v>
      </c>
      <c r="D864" s="27" t="str">
        <f t="shared" si="92"/>
        <v>C16520 : Hexadecenoyl-[acyl-carrier protein]</v>
      </c>
    </row>
    <row r="865" spans="1:4">
      <c r="A865" s="11" t="s">
        <v>12022</v>
      </c>
      <c r="B865" s="30" t="s">
        <v>12023</v>
      </c>
      <c r="C865" s="9" t="str">
        <f t="shared" si="94"/>
        <v>C16538:1000</v>
      </c>
      <c r="D865" s="27" t="str">
        <f t="shared" si="92"/>
        <v>C16538 : 1,5-Anhydro-D-mannitol</v>
      </c>
    </row>
    <row r="866" spans="1:4">
      <c r="A866" s="6" t="s">
        <v>12024</v>
      </c>
      <c r="B866" s="30" t="s">
        <v>12025</v>
      </c>
      <c r="C866" s="9" t="str">
        <f t="shared" si="94"/>
        <v>C16551:1000</v>
      </c>
      <c r="D866" s="27" t="str">
        <f t="shared" si="92"/>
        <v>C16551 : Alcophosphamide</v>
      </c>
    </row>
    <row r="867" spans="1:4">
      <c r="A867" s="11" t="s">
        <v>12026</v>
      </c>
      <c r="B867" s="30" t="s">
        <v>12027</v>
      </c>
      <c r="C867" s="9" t="str">
        <f t="shared" si="94"/>
        <v>C16565:1000</v>
      </c>
      <c r="D867" s="27" t="str">
        <f t="shared" si="92"/>
        <v>C16565 : Aminopropylcadaverine</v>
      </c>
    </row>
    <row r="868" spans="1:4">
      <c r="A868" s="6" t="s">
        <v>12028</v>
      </c>
      <c r="B868" s="30" t="s">
        <v>12029</v>
      </c>
      <c r="C868" s="9" t="str">
        <f t="shared" si="94"/>
        <v>C16586:1000</v>
      </c>
      <c r="D868" s="27" t="str">
        <f t="shared" si="92"/>
        <v>C16586 : 2-Phenyl-1,3-propanediol monocarbamate</v>
      </c>
    </row>
    <row r="869" spans="1:4">
      <c r="A869" s="6" t="s">
        <v>12030</v>
      </c>
      <c r="B869" s="30" t="s">
        <v>12031</v>
      </c>
      <c r="C869" s="9" t="str">
        <f t="shared" si="94"/>
        <v>C16587:1000</v>
      </c>
      <c r="D869" s="27" t="str">
        <f t="shared" si="92"/>
        <v>C16587 : 3-Carbamoyl-2-phenylpropionaldehyde</v>
      </c>
    </row>
    <row r="870" spans="1:4" ht="29">
      <c r="A870" s="6" t="s">
        <v>12032</v>
      </c>
      <c r="B870" s="30" t="s">
        <v>12033</v>
      </c>
      <c r="C870" s="9" t="str">
        <f t="shared" si="94"/>
        <v>C16595:1000</v>
      </c>
      <c r="D870" s="27" t="str">
        <f t="shared" si="92"/>
        <v>C16595 : 4-Hydroxy-5-phenyltetrahydro-1,3-oxazin-2-one</v>
      </c>
    </row>
    <row r="871" spans="1:4">
      <c r="A871" s="6" t="s">
        <v>12034</v>
      </c>
      <c r="B871" s="30" t="s">
        <v>12035</v>
      </c>
      <c r="C871" s="9" t="str">
        <f t="shared" si="94"/>
        <v>C16596:1000</v>
      </c>
      <c r="D871" s="27" t="str">
        <f t="shared" si="92"/>
        <v>C16596 : 5-Phenyl-1,3-oxazinane-2,4-dione</v>
      </c>
    </row>
    <row r="872" spans="1:4">
      <c r="A872" s="11" t="s">
        <v>12036</v>
      </c>
      <c r="B872" s="30" t="s">
        <v>12037</v>
      </c>
      <c r="C872" s="9" t="str">
        <f t="shared" si="94"/>
        <v>C16614:1000</v>
      </c>
      <c r="D872" s="27" t="str">
        <f t="shared" si="92"/>
        <v>C16614 : Thiopurine S-methylether</v>
      </c>
    </row>
    <row r="873" spans="1:4">
      <c r="A873" s="11" t="s">
        <v>12038</v>
      </c>
      <c r="B873" s="30" t="s">
        <v>12039</v>
      </c>
      <c r="C873" s="29" t="str">
        <f t="shared" ref="C873:C875" si="96">CONCATENATE(A873,":","1")</f>
        <v>C16615:1</v>
      </c>
      <c r="D873" s="27" t="str">
        <f t="shared" si="92"/>
        <v>C16615 : 6-Methylthioinosine-5'-monophosphate</v>
      </c>
    </row>
    <row r="874" spans="1:4">
      <c r="A874" s="11" t="s">
        <v>12040</v>
      </c>
      <c r="B874" s="30" t="s">
        <v>12041</v>
      </c>
      <c r="C874" s="29" t="str">
        <f t="shared" si="96"/>
        <v>C16618:1</v>
      </c>
      <c r="D874" s="27" t="str">
        <f t="shared" si="92"/>
        <v>C16618 : 6-Thioxanthine 5'-monophosphate</v>
      </c>
    </row>
    <row r="875" spans="1:4">
      <c r="A875" s="11" t="s">
        <v>12042</v>
      </c>
      <c r="B875" s="30" t="s">
        <v>12043</v>
      </c>
      <c r="C875" s="29" t="str">
        <f t="shared" si="96"/>
        <v>C16619:1</v>
      </c>
      <c r="D875" s="27" t="str">
        <f t="shared" si="92"/>
        <v>C16619 : 6-Thioguanosine monophosphate</v>
      </c>
    </row>
    <row r="876" spans="1:4">
      <c r="A876" s="11" t="s">
        <v>12044</v>
      </c>
      <c r="B876" s="30" t="s">
        <v>12045</v>
      </c>
      <c r="C876" s="9" t="str">
        <f>CONCATENATE(A876,":","1000")</f>
        <v>C16633:1000</v>
      </c>
      <c r="D876" s="27" t="str">
        <f t="shared" si="92"/>
        <v>C16633 : 5-Fluorouridine</v>
      </c>
    </row>
    <row r="877" spans="1:4">
      <c r="A877" s="11" t="s">
        <v>12046</v>
      </c>
      <c r="B877" s="30" t="s">
        <v>12047</v>
      </c>
      <c r="C877" s="29" t="str">
        <f t="shared" ref="C877:C884" si="97">CONCATENATE(A877,":","1")</f>
        <v>C16634:1</v>
      </c>
      <c r="D877" s="27" t="str">
        <f t="shared" si="92"/>
        <v>C16634 : 5-Fluorouridine monophosphate</v>
      </c>
    </row>
    <row r="878" spans="1:4">
      <c r="A878" s="11" t="s">
        <v>12048</v>
      </c>
      <c r="B878" s="30" t="s">
        <v>12049</v>
      </c>
      <c r="C878" s="9" t="str">
        <f>CONCATENATE(A878,":","1000")</f>
        <v>C16635:1000</v>
      </c>
      <c r="D878" s="27" t="str">
        <f t="shared" si="92"/>
        <v>C16635 : 5'-Deoxy-5-fluorocytidine</v>
      </c>
    </row>
    <row r="879" spans="1:4">
      <c r="A879" s="11" t="s">
        <v>12050</v>
      </c>
      <c r="B879" s="30" t="s">
        <v>12051</v>
      </c>
      <c r="C879" s="29" t="str">
        <f t="shared" si="97"/>
        <v>C16636:1</v>
      </c>
      <c r="D879" s="27" t="str">
        <f t="shared" si="92"/>
        <v>C16636 : tRNA(Sec)</v>
      </c>
    </row>
    <row r="880" spans="1:4">
      <c r="A880" s="11" t="s">
        <v>12052</v>
      </c>
      <c r="B880" s="30" t="s">
        <v>12053</v>
      </c>
      <c r="C880" s="29" t="str">
        <f t="shared" si="97"/>
        <v>C16663:1</v>
      </c>
      <c r="D880" s="27" t="str">
        <f t="shared" si="92"/>
        <v>C16663 : Tryparedoxin</v>
      </c>
    </row>
    <row r="881" spans="1:9">
      <c r="A881" s="11" t="s">
        <v>12054</v>
      </c>
      <c r="B881" s="30" t="s">
        <v>12055</v>
      </c>
      <c r="C881" s="29" t="str">
        <f t="shared" si="97"/>
        <v>C16664:1</v>
      </c>
      <c r="D881" s="27" t="str">
        <f t="shared" si="92"/>
        <v>C16664 : Tryparedoxin disulfide</v>
      </c>
      <c r="I881" s="10"/>
    </row>
    <row r="882" spans="1:9">
      <c r="A882" s="11" t="s">
        <v>12056</v>
      </c>
      <c r="B882" s="30" t="s">
        <v>12057</v>
      </c>
      <c r="C882" s="29" t="str">
        <f t="shared" si="97"/>
        <v>C16675:1</v>
      </c>
      <c r="D882" s="27" t="str">
        <f t="shared" si="92"/>
        <v>C16675 : 7-Aminomethyl-7-carbaguanine</v>
      </c>
    </row>
    <row r="883" spans="1:9">
      <c r="A883" s="11" t="s">
        <v>12058</v>
      </c>
      <c r="B883" s="30" t="s">
        <v>12059</v>
      </c>
      <c r="C883" s="29" t="str">
        <f t="shared" si="97"/>
        <v>C16688:1</v>
      </c>
      <c r="D883" s="27" t="str">
        <f t="shared" si="92"/>
        <v>C16688 : Sucrose 6-phosphate</v>
      </c>
    </row>
    <row r="884" spans="1:9">
      <c r="A884" s="11" t="s">
        <v>12060</v>
      </c>
      <c r="B884" s="30" t="s">
        <v>12061</v>
      </c>
      <c r="C884" s="29" t="str">
        <f t="shared" si="97"/>
        <v>C16832:1</v>
      </c>
      <c r="D884" s="27" t="str">
        <f t="shared" si="92"/>
        <v>C16832 : [Protein]-N6-[(R)-dihydrolipoyl]-L-lysine</v>
      </c>
    </row>
    <row r="885" spans="1:9">
      <c r="A885" s="11" t="s">
        <v>7221</v>
      </c>
      <c r="B885" s="30" t="s">
        <v>12062</v>
      </c>
      <c r="C885" s="9" t="str">
        <f t="shared" ref="C885:C891" si="98">CONCATENATE(A885,":","1000")</f>
        <v>C17234:1000</v>
      </c>
      <c r="D885" s="27" t="str">
        <f t="shared" si="92"/>
        <v>C17234 : 2-Aminobut-2-enoate</v>
      </c>
    </row>
    <row r="886" spans="1:9">
      <c r="A886" s="11" t="s">
        <v>12063</v>
      </c>
      <c r="B886" s="30" t="s">
        <v>12064</v>
      </c>
      <c r="C886" s="29" t="str">
        <f t="shared" ref="C886:C889" si="99">CONCATENATE(A886,":","1")</f>
        <v>C17556:1</v>
      </c>
      <c r="D886" s="27" t="str">
        <f t="shared" si="92"/>
        <v>C17556 : di-trans,poly-cis-Undecaprenyl phosphate</v>
      </c>
    </row>
    <row r="887" spans="1:9">
      <c r="A887" s="11" t="s">
        <v>12065</v>
      </c>
      <c r="B887" s="30" t="s">
        <v>12066</v>
      </c>
      <c r="C887" s="29" t="str">
        <f t="shared" si="99"/>
        <v>C17558:1</v>
      </c>
      <c r="D887" s="27" t="str">
        <f t="shared" si="92"/>
        <v>C17558 : di-trans,poly-cis-Undecaprenol</v>
      </c>
    </row>
    <row r="888" spans="1:9">
      <c r="A888" s="11" t="s">
        <v>12067</v>
      </c>
      <c r="B888" s="30" t="s">
        <v>12068</v>
      </c>
      <c r="C888" s="9" t="str">
        <f t="shared" si="98"/>
        <v>C18091:1000</v>
      </c>
      <c r="D888" s="27" t="str">
        <f t="shared" si="92"/>
        <v>C18091 : Ethylnitronate</v>
      </c>
      <c r="I888" s="10"/>
    </row>
    <row r="889" spans="1:9">
      <c r="A889" s="11" t="s">
        <v>10339</v>
      </c>
      <c r="B889" s="30" t="s">
        <v>12069</v>
      </c>
      <c r="C889" s="29" t="str">
        <f t="shared" si="99"/>
        <v>C18096:1</v>
      </c>
      <c r="D889" s="27" t="str">
        <f t="shared" si="92"/>
        <v>C18096 : D-Allulose 6-phosphate</v>
      </c>
    </row>
    <row r="890" spans="1:9">
      <c r="A890" s="11" t="s">
        <v>12070</v>
      </c>
      <c r="B890" s="30" t="s">
        <v>12071</v>
      </c>
      <c r="C890" s="9" t="str">
        <f t="shared" si="98"/>
        <v>C18796:1000</v>
      </c>
      <c r="D890" s="27" t="str">
        <f t="shared" si="92"/>
        <v>C18796 : (2R)-2-Hydroxy-2-methylbutanenitrile</v>
      </c>
    </row>
    <row r="891" spans="1:9">
      <c r="A891" s="11" t="s">
        <v>12072</v>
      </c>
      <c r="B891" s="30" t="s">
        <v>12073</v>
      </c>
      <c r="C891" s="9" t="str">
        <f t="shared" si="98"/>
        <v>C18902:1000</v>
      </c>
      <c r="D891" s="27" t="str">
        <f t="shared" si="92"/>
        <v>C18902 : Methylselenic acid</v>
      </c>
    </row>
    <row r="892" spans="1:9">
      <c r="A892" s="11" t="s">
        <v>12074</v>
      </c>
      <c r="B892" s="30" t="s">
        <v>12075</v>
      </c>
      <c r="C892" s="29" t="str">
        <f t="shared" ref="C892:C899" si="100">CONCATENATE(A892,":","1")</f>
        <v>C19078:1</v>
      </c>
      <c r="D892" s="27" t="str">
        <f t="shared" si="92"/>
        <v>C19078 : tRNA with a 3' cytidine</v>
      </c>
    </row>
    <row r="893" spans="1:9">
      <c r="A893" s="11" t="s">
        <v>12076</v>
      </c>
      <c r="B893" s="30" t="s">
        <v>12077</v>
      </c>
      <c r="C893" s="29" t="str">
        <f t="shared" si="100"/>
        <v>C19080:1</v>
      </c>
      <c r="D893" s="27" t="str">
        <f t="shared" si="92"/>
        <v>C19080 : tRNA with a 3' CC end</v>
      </c>
      <c r="I893" s="10"/>
    </row>
    <row r="894" spans="1:9">
      <c r="A894" s="11" t="s">
        <v>12078</v>
      </c>
      <c r="B894" s="30" t="s">
        <v>12079</v>
      </c>
      <c r="C894" s="9" t="str">
        <f>CONCATENATE(A894,":","1000")</f>
        <v>C19081:1000</v>
      </c>
      <c r="D894" s="27" t="str">
        <f t="shared" si="92"/>
        <v>C19081 : (4S)-Limonene-1,2-epoxide</v>
      </c>
    </row>
    <row r="895" spans="1:9">
      <c r="A895" s="11" t="s">
        <v>12080</v>
      </c>
      <c r="B895" s="30" t="s">
        <v>12081</v>
      </c>
      <c r="C895" s="29" t="str">
        <f t="shared" si="100"/>
        <v>C19085:1</v>
      </c>
      <c r="D895" s="27" t="str">
        <f t="shared" si="92"/>
        <v>C19085 : tRNA with a 3' CCA end</v>
      </c>
      <c r="I895" s="10"/>
    </row>
    <row r="896" spans="1:9">
      <c r="A896" s="11" t="s">
        <v>12082</v>
      </c>
      <c r="B896" s="30" t="s">
        <v>12083</v>
      </c>
      <c r="C896" s="29" t="str">
        <f t="shared" si="100"/>
        <v>C19673:1</v>
      </c>
      <c r="D896" s="27" t="str">
        <f t="shared" si="92"/>
        <v>C19673 : Malonyl-[acp] methyl ester</v>
      </c>
      <c r="I896" s="10"/>
    </row>
    <row r="897" spans="1:9">
      <c r="A897" s="11" t="s">
        <v>12084</v>
      </c>
      <c r="B897" s="30" t="s">
        <v>12085</v>
      </c>
      <c r="C897" s="29" t="str">
        <f t="shared" si="100"/>
        <v>C19722:1</v>
      </c>
      <c r="D897" s="27" t="str">
        <f t="shared" si="92"/>
        <v>C19722 : [tRNA(Ile2)]-cytidine34</v>
      </c>
      <c r="I897" s="10"/>
    </row>
    <row r="898" spans="1:9">
      <c r="A898" s="11" t="s">
        <v>12086</v>
      </c>
      <c r="B898" s="30" t="s">
        <v>12087</v>
      </c>
      <c r="C898" s="29" t="str">
        <f t="shared" si="100"/>
        <v>C19723:1</v>
      </c>
      <c r="D898" s="27" t="str">
        <f t="shared" si="92"/>
        <v>C19723 : [tRNA(Ile2)]-lysidine34</v>
      </c>
      <c r="I898" s="10"/>
    </row>
    <row r="899" spans="1:9" ht="43.5">
      <c r="A899" s="11" t="s">
        <v>12088</v>
      </c>
      <c r="B899" s="30" t="s">
        <v>12089</v>
      </c>
      <c r="C899" s="29" t="str">
        <f t="shared" si="100"/>
        <v>C19761:1</v>
      </c>
      <c r="D899" s="27" t="str">
        <f t="shared" ref="D899:D962" si="101">CONCATENATE(A899," : ",B899)</f>
        <v>C19761 : 1-O-(2-Acetamido-2-deoxy-alpha-D-glucopyranosyl)-1D-myo-inositol 3-phosphate</v>
      </c>
    </row>
    <row r="900" spans="1:9">
      <c r="A900" s="11" t="s">
        <v>9657</v>
      </c>
      <c r="B900" s="30" t="s">
        <v>12090</v>
      </c>
      <c r="C900" s="9" t="str">
        <f>CONCATENATE(A900,":","1000")</f>
        <v>C19909:1000</v>
      </c>
      <c r="D900" s="27" t="str">
        <f t="shared" si="101"/>
        <v>C19909 : N-Acetyl-alpha-neuraminate</v>
      </c>
    </row>
    <row r="901" spans="1:9">
      <c r="A901" s="11" t="s">
        <v>9658</v>
      </c>
      <c r="B901" s="30" t="s">
        <v>12091</v>
      </c>
      <c r="C901" s="9" t="str">
        <f>CONCATENATE(A901,":","1000")</f>
        <v>C19910:1000</v>
      </c>
      <c r="D901" s="27" t="str">
        <f t="shared" si="101"/>
        <v>C19910 : N-Acetyl-beta-neuraminate</v>
      </c>
    </row>
    <row r="902" spans="1:9" ht="29">
      <c r="A902" s="11" t="s">
        <v>12092</v>
      </c>
      <c r="B902" s="30" t="s">
        <v>12093</v>
      </c>
      <c r="C902" s="29" t="str">
        <f t="shared" ref="C902:C905" si="102">CONCATENATE(A902,":","1")</f>
        <v>C19965:1</v>
      </c>
      <c r="D902" s="27" t="str">
        <f t="shared" si="101"/>
        <v>C19965 : beta-D-4-Deoxy-Delta4-GlcA-(1-&gt;4)-beta-D-Glc-(1-&gt;4)-alpha-L-Rha-(1-&gt;3)-D-Glc</v>
      </c>
    </row>
    <row r="903" spans="1:9">
      <c r="A903" s="11" t="s">
        <v>12094</v>
      </c>
      <c r="B903" s="30" t="s">
        <v>12095</v>
      </c>
      <c r="C903" s="29" t="str">
        <f t="shared" si="102"/>
        <v>C19966:1</v>
      </c>
      <c r="D903" s="27" t="str">
        <f t="shared" si="101"/>
        <v>C19966 : beta-D-Glc-(1-&gt;4)-alpha-L-Rha-(1-&gt;3)-D-Glc</v>
      </c>
    </row>
    <row r="904" spans="1:9">
      <c r="A904" s="11" t="s">
        <v>12096</v>
      </c>
      <c r="B904" s="30" t="s">
        <v>12097</v>
      </c>
      <c r="C904" s="29" t="str">
        <f t="shared" si="102"/>
        <v>C19967:1</v>
      </c>
      <c r="D904" s="27" t="str">
        <f t="shared" si="101"/>
        <v>C19967 : 8-Oxo-dGTP</v>
      </c>
    </row>
    <row r="905" spans="1:9">
      <c r="A905" s="11" t="s">
        <v>9765</v>
      </c>
      <c r="B905" s="30" t="s">
        <v>12098</v>
      </c>
      <c r="C905" s="29" t="str">
        <f t="shared" si="102"/>
        <v>C19968:1</v>
      </c>
      <c r="D905" s="27" t="str">
        <f t="shared" si="101"/>
        <v>C19968 : 8-Oxo-dGMP</v>
      </c>
    </row>
    <row r="906" spans="1:9" ht="29">
      <c r="A906" s="11" t="s">
        <v>12099</v>
      </c>
      <c r="B906" s="30" t="s">
        <v>12100</v>
      </c>
      <c r="C906" s="9" t="str">
        <f>CONCATENATE(A906,":","1000")</f>
        <v>C20258:1000</v>
      </c>
      <c r="D906" s="27" t="str">
        <f t="shared" si="101"/>
        <v>C20258 : (2S,4S)-4-Hydroxy-2,3,4,5-tetrahydrodipicolinate</v>
      </c>
    </row>
    <row r="907" spans="1:9">
      <c r="A907" s="11" t="s">
        <v>12101</v>
      </c>
      <c r="B907" s="30" t="s">
        <v>12102</v>
      </c>
      <c r="C907" s="29" t="str">
        <f t="shared" ref="C907:C912" si="103">CONCATENATE(A907,":","1")</f>
        <v>C20372:1</v>
      </c>
      <c r="D907" s="27" t="str">
        <f t="shared" si="101"/>
        <v>C20372 : 3-Ketoglutaryl-[acp] methyl ester</v>
      </c>
    </row>
    <row r="908" spans="1:9">
      <c r="A908" s="11" t="s">
        <v>12103</v>
      </c>
      <c r="B908" s="30" t="s">
        <v>12104</v>
      </c>
      <c r="C908" s="29" t="str">
        <f t="shared" si="103"/>
        <v>C20373:1</v>
      </c>
      <c r="D908" s="27" t="str">
        <f t="shared" si="101"/>
        <v>C20373 : 3-Hydroxyglutaryl-[acp] methyl ester</v>
      </c>
    </row>
    <row r="909" spans="1:9">
      <c r="A909" s="11" t="s">
        <v>12105</v>
      </c>
      <c r="B909" s="30" t="s">
        <v>12106</v>
      </c>
      <c r="C909" s="29" t="str">
        <f t="shared" si="103"/>
        <v>C20375:1</v>
      </c>
      <c r="D909" s="27" t="str">
        <f t="shared" si="101"/>
        <v>C20375 : Glutaryl-[acp] methyl ester</v>
      </c>
    </row>
    <row r="910" spans="1:9">
      <c r="A910" s="11" t="s">
        <v>12107</v>
      </c>
      <c r="B910" s="30" t="s">
        <v>12108</v>
      </c>
      <c r="C910" s="29" t="str">
        <f t="shared" si="103"/>
        <v>C20376:1</v>
      </c>
      <c r="D910" s="27" t="str">
        <f t="shared" si="101"/>
        <v>C20376 : 3-Ketopimeloyl-[acp] methyl ester</v>
      </c>
    </row>
    <row r="911" spans="1:9">
      <c r="A911" s="11" t="s">
        <v>12109</v>
      </c>
      <c r="B911" s="30" t="s">
        <v>12110</v>
      </c>
      <c r="C911" s="29" t="str">
        <f t="shared" si="103"/>
        <v>C20377:1</v>
      </c>
      <c r="D911" s="27" t="str">
        <f t="shared" si="101"/>
        <v>C20377 : 3-Hydroxypimeloyl-[acp] methyl ester</v>
      </c>
    </row>
    <row r="912" spans="1:9">
      <c r="A912" s="11" t="s">
        <v>12111</v>
      </c>
      <c r="B912" s="30" t="s">
        <v>12112</v>
      </c>
      <c r="C912" s="29" t="str">
        <f t="shared" si="103"/>
        <v>C20446:1</v>
      </c>
      <c r="D912" s="27" t="str">
        <f t="shared" si="101"/>
        <v>C20446 : tRNA 7-aminomethyl-7-carbaguanine</v>
      </c>
    </row>
    <row r="913" spans="1:4">
      <c r="A913" s="11" t="s">
        <v>12113</v>
      </c>
      <c r="B913" s="30" t="s">
        <v>12114</v>
      </c>
      <c r="C913" s="9" t="str">
        <f>CONCATENATE(A913,":","1000")</f>
        <v>C20463:1000</v>
      </c>
      <c r="D913" s="27" t="str">
        <f t="shared" si="101"/>
        <v>C20463 : Purine deoxyribonucleoside</v>
      </c>
    </row>
    <row r="914" spans="1:4">
      <c r="A914" s="11" t="s">
        <v>12115</v>
      </c>
      <c r="B914" s="30" t="s">
        <v>12116</v>
      </c>
      <c r="C914" s="29" t="str">
        <f t="shared" ref="C914:C917" si="104">CONCATENATE(A914,":","1")</f>
        <v>C20648:1</v>
      </c>
      <c r="D914" s="27" t="str">
        <f t="shared" si="101"/>
        <v>C20648 : Adenine in rRNA</v>
      </c>
    </row>
    <row r="915" spans="1:4">
      <c r="A915" s="11" t="s">
        <v>12117</v>
      </c>
      <c r="B915" s="30" t="s">
        <v>12118</v>
      </c>
      <c r="C915" s="29" t="str">
        <f t="shared" si="104"/>
        <v>C20683:1</v>
      </c>
      <c r="D915" s="27" t="str">
        <f t="shared" si="101"/>
        <v>C20683 : Long-chain acyl-[acyl-carrier protein]</v>
      </c>
    </row>
    <row r="916" spans="1:4">
      <c r="A916" s="11" t="s">
        <v>12119</v>
      </c>
      <c r="B916" s="30" t="s">
        <v>12120</v>
      </c>
      <c r="C916" s="29" t="str">
        <f t="shared" si="104"/>
        <v>C20796:1</v>
      </c>
      <c r="D916" s="27" t="str">
        <f t="shared" si="101"/>
        <v>C20796 : N6-Dimethyladenine in rRNA</v>
      </c>
    </row>
    <row r="917" spans="1:4">
      <c r="A917" s="11" t="s">
        <v>12121</v>
      </c>
      <c r="B917" s="30" t="s">
        <v>12122</v>
      </c>
      <c r="C917" s="29" t="str">
        <f t="shared" si="104"/>
        <v>C20864:1</v>
      </c>
      <c r="D917" s="27" t="str">
        <f t="shared" si="101"/>
        <v>C20864 : 5'-Triphospho-[mRNA]</v>
      </c>
    </row>
    <row r="918" spans="1:4">
      <c r="A918" s="11" t="s">
        <v>7949</v>
      </c>
      <c r="B918" s="30" t="s">
        <v>12123</v>
      </c>
      <c r="C918" s="9" t="str">
        <f>CONCATENATE(A918,":","1000")</f>
        <v>C20904:1000</v>
      </c>
      <c r="D918" s="27" t="str">
        <f t="shared" si="101"/>
        <v>C20904 : 2-Iminopropanoate</v>
      </c>
    </row>
    <row r="919" spans="1:4">
      <c r="A919" s="11" t="s">
        <v>7222</v>
      </c>
      <c r="B919" s="30" t="s">
        <v>12124</v>
      </c>
      <c r="C919" s="9" t="str">
        <f>CONCATENATE(A919,":","1000")</f>
        <v>C20905:1000</v>
      </c>
      <c r="D919" s="27" t="str">
        <f t="shared" si="101"/>
        <v>C20905 : 2-Iminobutanoate</v>
      </c>
    </row>
    <row r="920" spans="1:4">
      <c r="A920" s="11" t="s">
        <v>12125</v>
      </c>
      <c r="B920" s="30" t="s">
        <v>12126</v>
      </c>
      <c r="C920" s="29" t="str">
        <f t="shared" ref="C920:C924" si="105">CONCATENATE(A920,":","1")</f>
        <v>C20969:1</v>
      </c>
      <c r="D920" s="27" t="str">
        <f t="shared" si="101"/>
        <v>C20969 : Carboxyphosphate</v>
      </c>
    </row>
    <row r="921" spans="1:4">
      <c r="A921" s="11" t="s">
        <v>12127</v>
      </c>
      <c r="B921" s="30" t="s">
        <v>12128</v>
      </c>
      <c r="C921" s="29" t="str">
        <f t="shared" si="105"/>
        <v>C21017:1</v>
      </c>
      <c r="D921" s="27" t="str">
        <f t="shared" si="101"/>
        <v>C21017 : 2-Hydroxypropyl-ThPP</v>
      </c>
    </row>
    <row r="922" spans="1:4">
      <c r="A922" s="11" t="s">
        <v>12129</v>
      </c>
      <c r="B922" s="30" t="s">
        <v>12130</v>
      </c>
      <c r="C922" s="29" t="str">
        <f t="shared" si="105"/>
        <v>C21018:1</v>
      </c>
      <c r="D922" s="27" t="str">
        <f t="shared" si="101"/>
        <v>C21018 : S-Propyldihydrolipoamide-E</v>
      </c>
    </row>
    <row r="923" spans="1:4">
      <c r="A923" s="11" t="s">
        <v>7212</v>
      </c>
      <c r="B923" s="30" t="s">
        <v>12131</v>
      </c>
      <c r="C923" s="29" t="str">
        <f t="shared" si="105"/>
        <v>C21031:1</v>
      </c>
      <c r="D923" s="27" t="str">
        <f t="shared" si="101"/>
        <v>C21031 : DNA 5-hydroxymethylcytosine</v>
      </c>
    </row>
    <row r="924" spans="1:4">
      <c r="A924" s="11" t="s">
        <v>12132</v>
      </c>
      <c r="B924" s="30" t="s">
        <v>12133</v>
      </c>
      <c r="C924" s="29" t="str">
        <f t="shared" si="105"/>
        <v>C21440:1</v>
      </c>
      <c r="D924" s="27" t="str">
        <f t="shared" si="101"/>
        <v>C21440 : [Protein]-S-sulfanyl-L-cysteine</v>
      </c>
    </row>
    <row r="925" spans="1:4">
      <c r="A925" s="11" t="s">
        <v>12134</v>
      </c>
      <c r="B925" s="30" t="s">
        <v>12135</v>
      </c>
      <c r="C925" s="9" t="str">
        <f t="shared" ref="C925:C931" si="106">CONCATENATE(A925,":","1000")</f>
        <v>C21748:1000</v>
      </c>
      <c r="D925" s="27" t="str">
        <f t="shared" si="101"/>
        <v>C21748 : 5-Fluorouridine diphosphate</v>
      </c>
    </row>
    <row r="926" spans="1:4">
      <c r="A926" s="11" t="s">
        <v>12136</v>
      </c>
      <c r="B926" s="30" t="s">
        <v>12137</v>
      </c>
      <c r="C926" s="9" t="str">
        <f t="shared" si="106"/>
        <v>C21749:1000</v>
      </c>
      <c r="D926" s="27" t="str">
        <f t="shared" si="101"/>
        <v>C21749 : 5-Fluorouridine triphosphate</v>
      </c>
    </row>
    <row r="927" spans="1:4">
      <c r="A927" s="11" t="s">
        <v>12138</v>
      </c>
      <c r="B927" s="30" t="s">
        <v>12139</v>
      </c>
      <c r="C927" s="9" t="str">
        <f t="shared" si="106"/>
        <v>C21750:1000</v>
      </c>
      <c r="D927" s="27" t="str">
        <f t="shared" si="101"/>
        <v>C21750 : 5-Fluorodeoxyuridine diphosphate</v>
      </c>
    </row>
    <row r="928" spans="1:4">
      <c r="A928" s="11" t="s">
        <v>12140</v>
      </c>
      <c r="B928" s="30" t="s">
        <v>12141</v>
      </c>
      <c r="C928" s="9" t="str">
        <f t="shared" si="106"/>
        <v>C21751:1000</v>
      </c>
      <c r="D928" s="27" t="str">
        <f t="shared" si="101"/>
        <v>C21751 : 5-Fluorodeoxyuridine triphosphate</v>
      </c>
    </row>
    <row r="929" spans="1:4">
      <c r="A929" s="11" t="s">
        <v>12142</v>
      </c>
      <c r="B929" s="30" t="s">
        <v>12143</v>
      </c>
      <c r="C929" s="9" t="str">
        <f t="shared" si="106"/>
        <v>C22288:1000</v>
      </c>
      <c r="D929" s="27" t="str">
        <f t="shared" si="101"/>
        <v>C22288 : 5-Deoxy-D-ribose</v>
      </c>
    </row>
    <row r="930" spans="1:4">
      <c r="A930" s="11" t="s">
        <v>8394</v>
      </c>
      <c r="B930" s="30" t="s">
        <v>12144</v>
      </c>
      <c r="C930" s="9" t="str">
        <f t="shared" si="106"/>
        <v>C22337:1000</v>
      </c>
      <c r="D930" s="27" t="str">
        <f t="shared" si="101"/>
        <v>C22337 : D-Ribulose 1-phosphate</v>
      </c>
    </row>
    <row r="931" spans="1:4">
      <c r="A931" s="11" t="s">
        <v>9146</v>
      </c>
      <c r="B931" s="30" t="s">
        <v>12145</v>
      </c>
      <c r="C931" s="9" t="str">
        <f t="shared" si="106"/>
        <v>C22382:1000</v>
      </c>
      <c r="D931" s="27" t="str">
        <f t="shared" si="101"/>
        <v>C22382 : Aceneuramic acid</v>
      </c>
    </row>
    <row r="932" spans="1:4">
      <c r="A932" s="11" t="s">
        <v>8118</v>
      </c>
      <c r="B932" s="30" t="s">
        <v>12146</v>
      </c>
      <c r="C932" s="29" t="str">
        <f t="shared" ref="C932:C990" si="107">CONCATENATE(A932,":","1")</f>
        <v>C22395:1</v>
      </c>
      <c r="D932" s="27" t="str">
        <f t="shared" si="101"/>
        <v>C22395 : dSMP</v>
      </c>
    </row>
    <row r="933" spans="1:4" ht="72.5">
      <c r="A933" s="11" t="s">
        <v>12147</v>
      </c>
      <c r="B933" s="30" t="s">
        <v>12148</v>
      </c>
      <c r="C933" s="29" t="str">
        <f t="shared" si="107"/>
        <v>C22411:1</v>
      </c>
      <c r="D933" s="27" t="str">
        <f t="shared" si="101"/>
        <v>C22411 : 4-O-{Poly[(2R)-glycerophospho]-(2R)-glycerophospho}-N-acetyl-beta-D-mannosaminyl-(1-&gt;4)-N-acetyl-alpha-D-glucosaminyl-diphospho-ditrans,octacis-undecaprenol</v>
      </c>
    </row>
    <row r="934" spans="1:4" ht="29">
      <c r="A934" s="11" t="s">
        <v>12149</v>
      </c>
      <c r="B934" s="30" t="s">
        <v>12150</v>
      </c>
      <c r="C934" s="29" t="str">
        <f t="shared" si="107"/>
        <v>C22412:1</v>
      </c>
      <c r="D934" s="27" t="str">
        <f t="shared" si="101"/>
        <v>C22412 : [(2-Glc)-Gro-P]n-Gro-P-ManNAc-GlcNAc-PP-undecaprenol</v>
      </c>
    </row>
    <row r="935" spans="1:4">
      <c r="A935" s="11" t="s">
        <v>12151</v>
      </c>
      <c r="B935" s="30" t="s">
        <v>12152</v>
      </c>
      <c r="C935" s="29" t="str">
        <f t="shared" si="107"/>
        <v>C22438:1</v>
      </c>
      <c r="D935" s="27" t="str">
        <f t="shared" si="101"/>
        <v>C22438 : 3,5-Dehydroshikimate</v>
      </c>
    </row>
    <row r="936" spans="1:4">
      <c r="A936" s="11" t="s">
        <v>12153</v>
      </c>
      <c r="B936" s="30" t="s">
        <v>12154</v>
      </c>
      <c r="C936" s="29" t="str">
        <f t="shared" si="107"/>
        <v>C22441:1</v>
      </c>
      <c r="D936" s="27" t="str">
        <f t="shared" si="101"/>
        <v>C22441 : dZMP</v>
      </c>
    </row>
    <row r="937" spans="1:4">
      <c r="A937" s="11" t="s">
        <v>12155</v>
      </c>
      <c r="B937" s="30" t="s">
        <v>12156</v>
      </c>
      <c r="C937" s="29" t="str">
        <f t="shared" si="107"/>
        <v>C22442:1</v>
      </c>
      <c r="D937" s="27" t="str">
        <f t="shared" si="101"/>
        <v>C22442 : dZDP</v>
      </c>
    </row>
    <row r="938" spans="1:4">
      <c r="A938" s="11" t="s">
        <v>12157</v>
      </c>
      <c r="B938" s="30" t="s">
        <v>12158</v>
      </c>
      <c r="C938" s="29" t="str">
        <f t="shared" si="107"/>
        <v>C22443:1</v>
      </c>
      <c r="D938" s="27" t="str">
        <f t="shared" si="101"/>
        <v>C22443 : dZTP</v>
      </c>
    </row>
    <row r="939" spans="1:4">
      <c r="A939" s="11" t="s">
        <v>12159</v>
      </c>
      <c r="B939" s="30" t="s">
        <v>12160</v>
      </c>
      <c r="C939" s="29" t="str">
        <f t="shared" si="107"/>
        <v>C22467:1</v>
      </c>
      <c r="D939" s="27" t="str">
        <f t="shared" si="101"/>
        <v>C22467 : SM2a</v>
      </c>
    </row>
    <row r="940" spans="1:4">
      <c r="A940" s="11" t="s">
        <v>12161</v>
      </c>
      <c r="B940" s="30" t="s">
        <v>11582</v>
      </c>
      <c r="C940" s="29" t="str">
        <f t="shared" si="107"/>
        <v>G00024:1</v>
      </c>
      <c r="D940" s="27" t="str">
        <f t="shared" si="101"/>
        <v>G00024 : T antigen</v>
      </c>
    </row>
    <row r="941" spans="1:4">
      <c r="A941" s="11" t="s">
        <v>12162</v>
      </c>
      <c r="B941" s="30" t="s">
        <v>11161</v>
      </c>
      <c r="C941" s="29" t="str">
        <f t="shared" si="107"/>
        <v>G00092:1</v>
      </c>
      <c r="D941" s="27" t="str">
        <f t="shared" si="101"/>
        <v>G00092 : Lactosylceramide</v>
      </c>
    </row>
    <row r="942" spans="1:4">
      <c r="A942" s="11" t="s">
        <v>12163</v>
      </c>
      <c r="B942" s="30" t="s">
        <v>12164</v>
      </c>
      <c r="C942" s="29" t="str">
        <f t="shared" si="107"/>
        <v>G00093:1</v>
      </c>
      <c r="D942" s="27" t="str">
        <f t="shared" si="101"/>
        <v>G00093 : Globotriaosylceramide</v>
      </c>
    </row>
    <row r="943" spans="1:4">
      <c r="A943" s="11" t="s">
        <v>12165</v>
      </c>
      <c r="B943" s="30" t="s">
        <v>11390</v>
      </c>
      <c r="C943" s="29" t="str">
        <f t="shared" si="107"/>
        <v>G00094:1</v>
      </c>
      <c r="D943" s="27" t="str">
        <f t="shared" si="101"/>
        <v>G00094 : Globoside</v>
      </c>
    </row>
    <row r="944" spans="1:4">
      <c r="A944" s="11" t="s">
        <v>12166</v>
      </c>
      <c r="B944" s="30" t="s">
        <v>11569</v>
      </c>
      <c r="C944" s="29" t="str">
        <f t="shared" si="107"/>
        <v>G00108:1</v>
      </c>
      <c r="D944" s="27" t="str">
        <f t="shared" si="101"/>
        <v>G00108 : GM3</v>
      </c>
    </row>
    <row r="945" spans="1:4">
      <c r="A945" s="11" t="s">
        <v>12167</v>
      </c>
      <c r="B945" s="30" t="s">
        <v>12168</v>
      </c>
      <c r="C945" s="29" t="str">
        <f t="shared" si="107"/>
        <v>G00109:1</v>
      </c>
      <c r="D945" s="27" t="str">
        <f t="shared" si="101"/>
        <v>G00109 : GM2</v>
      </c>
    </row>
    <row r="946" spans="1:4">
      <c r="A946" s="11" t="s">
        <v>12169</v>
      </c>
      <c r="B946" s="30" t="s">
        <v>12170</v>
      </c>
      <c r="C946" s="29" t="str">
        <f t="shared" si="107"/>
        <v>G00110:1</v>
      </c>
      <c r="D946" s="27" t="str">
        <f t="shared" si="101"/>
        <v>G00110 : GM1</v>
      </c>
    </row>
    <row r="947" spans="1:4">
      <c r="A947" s="11" t="s">
        <v>12171</v>
      </c>
      <c r="B947" s="30" t="s">
        <v>12172</v>
      </c>
      <c r="C947" s="29" t="str">
        <f t="shared" si="107"/>
        <v>G00111:1</v>
      </c>
      <c r="D947" s="27" t="str">
        <f t="shared" si="101"/>
        <v>G00111 : GD1a</v>
      </c>
    </row>
    <row r="948" spans="1:4">
      <c r="A948" s="11" t="s">
        <v>12173</v>
      </c>
      <c r="B948" s="30" t="s">
        <v>11807</v>
      </c>
      <c r="C948" s="29" t="str">
        <f t="shared" si="107"/>
        <v>G00115:1</v>
      </c>
      <c r="D948" s="27" t="str">
        <f t="shared" si="101"/>
        <v>G00115 : GD1b</v>
      </c>
    </row>
    <row r="949" spans="1:4">
      <c r="A949" s="11" t="s">
        <v>12174</v>
      </c>
      <c r="B949" s="30" t="s">
        <v>11805</v>
      </c>
      <c r="C949" s="29" t="str">
        <f t="shared" si="107"/>
        <v>G00116:1</v>
      </c>
      <c r="D949" s="27" t="str">
        <f t="shared" si="101"/>
        <v>G00116 : GT1b</v>
      </c>
    </row>
    <row r="950" spans="1:4">
      <c r="A950" s="11" t="s">
        <v>12175</v>
      </c>
      <c r="B950" s="30" t="s">
        <v>12176</v>
      </c>
      <c r="C950" s="29" t="str">
        <f t="shared" si="107"/>
        <v>G00117:1</v>
      </c>
      <c r="D950" s="27" t="str">
        <f t="shared" si="101"/>
        <v>G00117 : GQ1b</v>
      </c>
    </row>
    <row r="951" spans="1:4">
      <c r="A951" s="11" t="s">
        <v>12177</v>
      </c>
      <c r="B951" s="30" t="s">
        <v>11799</v>
      </c>
      <c r="C951" s="29" t="str">
        <f t="shared" si="107"/>
        <v>G00123:1</v>
      </c>
      <c r="D951" s="27" t="str">
        <f t="shared" si="101"/>
        <v>G00123 : GA2</v>
      </c>
    </row>
    <row r="952" spans="1:4">
      <c r="A952" s="11" t="s">
        <v>12178</v>
      </c>
      <c r="B952" s="30" t="s">
        <v>12179</v>
      </c>
      <c r="C952" s="29" t="str">
        <f t="shared" si="107"/>
        <v>G00124:1</v>
      </c>
      <c r="D952" s="27" t="str">
        <f t="shared" si="101"/>
        <v>G00124 : Asialo-GM1</v>
      </c>
    </row>
    <row r="953" spans="1:4">
      <c r="A953" s="11" t="s">
        <v>12180</v>
      </c>
      <c r="B953" s="30" t="s">
        <v>10898</v>
      </c>
      <c r="C953" s="29" t="str">
        <f t="shared" si="107"/>
        <v>G00249:1</v>
      </c>
      <c r="D953" s="27" t="str">
        <f t="shared" si="101"/>
        <v>G00249 : Raffinose</v>
      </c>
    </row>
    <row r="954" spans="1:4">
      <c r="A954" s="11" t="s">
        <v>8499</v>
      </c>
      <c r="B954" s="30" t="s">
        <v>10690</v>
      </c>
      <c r="C954" s="29" t="str">
        <f t="shared" si="107"/>
        <v>G00275:1</v>
      </c>
      <c r="D954" s="27" t="str">
        <f t="shared" si="101"/>
        <v>G00275 : Maltose</v>
      </c>
    </row>
    <row r="955" spans="1:4">
      <c r="A955" s="11" t="s">
        <v>12181</v>
      </c>
      <c r="B955" s="30" t="s">
        <v>11200</v>
      </c>
      <c r="C955" s="29" t="str">
        <f t="shared" si="107"/>
        <v>G00278:1</v>
      </c>
      <c r="D955" s="27" t="str">
        <f t="shared" si="101"/>
        <v>G00278 : Stachyose</v>
      </c>
    </row>
    <row r="956" spans="1:4">
      <c r="A956" s="11" t="s">
        <v>12182</v>
      </c>
      <c r="B956" s="30" t="s">
        <v>10673</v>
      </c>
      <c r="C956" s="29" t="str">
        <f t="shared" si="107"/>
        <v>G00289:1</v>
      </c>
      <c r="D956" s="27" t="str">
        <f t="shared" si="101"/>
        <v>G00289 : Cellobiose</v>
      </c>
    </row>
    <row r="957" spans="1:4">
      <c r="A957" s="11" t="s">
        <v>12183</v>
      </c>
      <c r="B957" s="30" t="s">
        <v>12184</v>
      </c>
      <c r="C957" s="29" t="str">
        <f t="shared" si="107"/>
        <v>G00309:1</v>
      </c>
      <c r="D957" s="27" t="str">
        <f t="shared" si="101"/>
        <v>G00309 : (GlcNAc)1 (Man)3</v>
      </c>
    </row>
    <row r="958" spans="1:4">
      <c r="A958" s="11" t="s">
        <v>12185</v>
      </c>
      <c r="B958" s="30" t="s">
        <v>11797</v>
      </c>
      <c r="C958" s="29" t="str">
        <f t="shared" si="107"/>
        <v>G00317:1</v>
      </c>
      <c r="D958" s="27" t="str">
        <f t="shared" si="101"/>
        <v>G00317 : GM4</v>
      </c>
    </row>
    <row r="959" spans="1:4">
      <c r="A959" s="11" t="s">
        <v>12186</v>
      </c>
      <c r="B959" s="30" t="s">
        <v>12187</v>
      </c>
      <c r="C959" s="29" t="str">
        <f t="shared" si="107"/>
        <v>G00319:1</v>
      </c>
      <c r="D959" s="27" t="str">
        <f t="shared" si="101"/>
        <v>G00319 : (GlcNAc)1 (Man)2</v>
      </c>
    </row>
    <row r="960" spans="1:4">
      <c r="A960" s="11" t="s">
        <v>12188</v>
      </c>
      <c r="B960" s="30" t="s">
        <v>10564</v>
      </c>
      <c r="C960" s="29" t="str">
        <f t="shared" si="107"/>
        <v>G00370:1</v>
      </c>
      <c r="D960" s="27" t="str">
        <f t="shared" si="101"/>
        <v>G00370 : Sucrose</v>
      </c>
    </row>
    <row r="961" spans="1:4">
      <c r="A961" s="11" t="s">
        <v>12189</v>
      </c>
      <c r="B961" s="30" t="s">
        <v>12190</v>
      </c>
      <c r="C961" s="29" t="str">
        <f t="shared" si="107"/>
        <v>G00497:1</v>
      </c>
      <c r="D961" s="27" t="str">
        <f t="shared" si="101"/>
        <v>G00497 : Galabiosylceramide</v>
      </c>
    </row>
    <row r="962" spans="1:4">
      <c r="A962" s="11" t="s">
        <v>12191</v>
      </c>
      <c r="B962" s="30" t="s">
        <v>11667</v>
      </c>
      <c r="C962" s="29" t="str">
        <f t="shared" si="107"/>
        <v>G00501:1</v>
      </c>
      <c r="D962" s="27" t="str">
        <f t="shared" si="101"/>
        <v>G00501 : Manninotriose</v>
      </c>
    </row>
    <row r="963" spans="1:4">
      <c r="A963" s="11" t="s">
        <v>12192</v>
      </c>
      <c r="B963" s="30" t="s">
        <v>12187</v>
      </c>
      <c r="C963" s="29" t="str">
        <f t="shared" si="107"/>
        <v>G00595:1</v>
      </c>
      <c r="D963" s="27" t="str">
        <f t="shared" ref="D963:D1015" si="108">CONCATENATE(A963," : ",B963)</f>
        <v>G00595 : (GlcNAc)1 (Man)2</v>
      </c>
    </row>
    <row r="964" spans="1:4">
      <c r="A964" s="11" t="s">
        <v>12193</v>
      </c>
      <c r="B964" s="30" t="s">
        <v>12194</v>
      </c>
      <c r="C964" s="29" t="str">
        <f t="shared" si="107"/>
        <v>G00711:1</v>
      </c>
      <c r="D964" s="27" t="str">
        <f t="shared" si="108"/>
        <v>G00711 : (GlcA)1 (GlcNAc)2</v>
      </c>
    </row>
    <row r="965" spans="1:4">
      <c r="A965" s="11" t="s">
        <v>12195</v>
      </c>
      <c r="B965" s="30" t="s">
        <v>12196</v>
      </c>
      <c r="C965" s="29" t="str">
        <f t="shared" si="107"/>
        <v>G00971:1</v>
      </c>
      <c r="D965" s="27" t="str">
        <f t="shared" si="108"/>
        <v>G00971 : (GlcNAc)1 (Man)1</v>
      </c>
    </row>
    <row r="966" spans="1:4">
      <c r="A966" s="11" t="s">
        <v>12197</v>
      </c>
      <c r="B966" s="30" t="s">
        <v>11663</v>
      </c>
      <c r="C966" s="29" t="str">
        <f t="shared" si="107"/>
        <v>G01275:1</v>
      </c>
      <c r="D966" s="27" t="str">
        <f t="shared" si="108"/>
        <v>G01275 : Melibiose</v>
      </c>
    </row>
    <row r="967" spans="1:4">
      <c r="A967" s="11" t="s">
        <v>12198</v>
      </c>
      <c r="B967" s="30" t="s">
        <v>12199</v>
      </c>
      <c r="C967" s="29" t="str">
        <f t="shared" si="107"/>
        <v>G01391:1</v>
      </c>
      <c r="D967" s="27" t="str">
        <f t="shared" si="108"/>
        <v>G01391 : (Gal)1 (GlcNAc)1 (S)1</v>
      </c>
    </row>
    <row r="968" spans="1:4">
      <c r="A968" s="11" t="s">
        <v>12200</v>
      </c>
      <c r="B968" s="30" t="s">
        <v>12201</v>
      </c>
      <c r="C968" s="29" t="str">
        <f t="shared" si="107"/>
        <v>G01977:1</v>
      </c>
      <c r="D968" s="27" t="str">
        <f t="shared" si="108"/>
        <v>G01977 : (Gal)2 (GlcNAc)2 (S)2</v>
      </c>
    </row>
    <row r="969" spans="1:4">
      <c r="A969" s="11" t="s">
        <v>7600</v>
      </c>
      <c r="B969" s="30" t="s">
        <v>12202</v>
      </c>
      <c r="C969" s="29" t="str">
        <f t="shared" si="107"/>
        <v>G02170:1</v>
      </c>
      <c r="D969" s="27" t="str">
        <f t="shared" si="108"/>
        <v>G02170 : Hyaluronan-derived disaccharide</v>
      </c>
    </row>
    <row r="970" spans="1:4">
      <c r="A970" s="11" t="s">
        <v>12203</v>
      </c>
      <c r="B970" s="30" t="s">
        <v>12204</v>
      </c>
      <c r="C970" s="29" t="str">
        <f t="shared" si="107"/>
        <v>G05477:1</v>
      </c>
      <c r="D970" s="27" t="str">
        <f t="shared" si="108"/>
        <v>G05477 : (GlcNAc)3 (LFuc)2 (Man)3</v>
      </c>
    </row>
    <row r="971" spans="1:4">
      <c r="A971" s="11" t="s">
        <v>12205</v>
      </c>
      <c r="B971" s="30" t="s">
        <v>10993</v>
      </c>
      <c r="C971" s="29" t="str">
        <f t="shared" si="107"/>
        <v>G09795:1</v>
      </c>
      <c r="D971" s="27" t="str">
        <f t="shared" si="108"/>
        <v>G09795 : Trehalose 6-phosphate</v>
      </c>
    </row>
    <row r="972" spans="1:4">
      <c r="A972" s="11" t="s">
        <v>12206</v>
      </c>
      <c r="B972" s="30" t="s">
        <v>12207</v>
      </c>
      <c r="C972" s="29" t="str">
        <f t="shared" si="107"/>
        <v>G10008:1</v>
      </c>
      <c r="D972" s="27" t="str">
        <f t="shared" si="108"/>
        <v>G10008 : (GlcA)1 (GlcNAc)1</v>
      </c>
    </row>
    <row r="973" spans="1:4">
      <c r="A973" s="11" t="s">
        <v>12208</v>
      </c>
      <c r="B973" s="30" t="s">
        <v>11141</v>
      </c>
      <c r="C973" s="29" t="str">
        <f t="shared" si="107"/>
        <v>G10238:1</v>
      </c>
      <c r="D973" s="27" t="str">
        <f t="shared" si="108"/>
        <v>G10238 : Glucosylceramide</v>
      </c>
    </row>
    <row r="974" spans="1:4">
      <c r="A974" s="11" t="s">
        <v>12209</v>
      </c>
      <c r="B974" s="30" t="s">
        <v>11236</v>
      </c>
      <c r="C974" s="29" t="str">
        <f t="shared" si="107"/>
        <v>G10336:1</v>
      </c>
      <c r="D974" s="27" t="str">
        <f t="shared" si="108"/>
        <v>G10336 : Chitobiose</v>
      </c>
    </row>
    <row r="975" spans="1:4">
      <c r="A975" s="11" t="s">
        <v>12210</v>
      </c>
      <c r="B975" s="30" t="s">
        <v>11074</v>
      </c>
      <c r="C975" s="29" t="str">
        <f t="shared" si="107"/>
        <v>G10477:1</v>
      </c>
      <c r="D975" s="27" t="str">
        <f t="shared" si="108"/>
        <v>G10477 : 1,3-beta-D-Glucan</v>
      </c>
    </row>
    <row r="976" spans="1:4">
      <c r="A976" s="11" t="s">
        <v>12211</v>
      </c>
      <c r="B976" s="30" t="s">
        <v>12212</v>
      </c>
      <c r="C976" s="29" t="str">
        <f t="shared" si="107"/>
        <v>G10481:1</v>
      </c>
      <c r="D976" s="27" t="str">
        <f t="shared" si="108"/>
        <v>G10481 : 1,4-beta-D-Glucan</v>
      </c>
    </row>
    <row r="977" spans="1:4">
      <c r="A977" s="11" t="s">
        <v>12213</v>
      </c>
      <c r="B977" s="30" t="s">
        <v>12214</v>
      </c>
      <c r="C977" s="29" t="str">
        <f t="shared" si="107"/>
        <v>G10488:1</v>
      </c>
      <c r="D977" s="27" t="str">
        <f t="shared" si="108"/>
        <v>G10488 : Galactinol</v>
      </c>
    </row>
    <row r="978" spans="1:4">
      <c r="A978" s="11" t="s">
        <v>9879</v>
      </c>
      <c r="B978" s="30" t="s">
        <v>12215</v>
      </c>
      <c r="C978" s="29" t="str">
        <f t="shared" si="107"/>
        <v>G10495:1</v>
      </c>
      <c r="D978" s="27" t="str">
        <f t="shared" si="108"/>
        <v>G10495 : 1,4-alpha-D-Glucan</v>
      </c>
    </row>
    <row r="979" spans="1:4">
      <c r="A979" s="11" t="s">
        <v>12216</v>
      </c>
      <c r="B979" s="30" t="s">
        <v>10724</v>
      </c>
      <c r="C979" s="29" t="str">
        <f t="shared" si="107"/>
        <v>G10504:1</v>
      </c>
      <c r="D979" s="27" t="str">
        <f t="shared" si="108"/>
        <v>G10504 : Lactose</v>
      </c>
    </row>
    <row r="980" spans="1:4">
      <c r="A980" s="11" t="s">
        <v>7599</v>
      </c>
      <c r="B980" s="30" t="s">
        <v>12217</v>
      </c>
      <c r="C980" s="29" t="str">
        <f t="shared" si="107"/>
        <v>G10505:1</v>
      </c>
      <c r="D980" s="27" t="str">
        <f t="shared" si="108"/>
        <v>G10505 : Hyaluronic acid</v>
      </c>
    </row>
    <row r="981" spans="1:4">
      <c r="A981" s="11" t="s">
        <v>12218</v>
      </c>
      <c r="B981" s="30" t="s">
        <v>12219</v>
      </c>
      <c r="C981" s="29" t="str">
        <f t="shared" si="107"/>
        <v>G10508:1</v>
      </c>
      <c r="D981" s="27" t="str">
        <f t="shared" si="108"/>
        <v>G10508 : Sucrose 6'-phosphate</v>
      </c>
    </row>
    <row r="982" spans="1:4">
      <c r="A982" s="11" t="s">
        <v>12220</v>
      </c>
      <c r="B982" s="30" t="s">
        <v>11655</v>
      </c>
      <c r="C982" s="29" t="str">
        <f t="shared" si="107"/>
        <v>G10517:1</v>
      </c>
      <c r="D982" s="27" t="str">
        <f t="shared" si="108"/>
        <v>G10517 : Lactose 6'-phosphate</v>
      </c>
    </row>
    <row r="983" spans="1:4">
      <c r="A983" s="11" t="s">
        <v>12221</v>
      </c>
      <c r="B983" s="30" t="s">
        <v>12222</v>
      </c>
      <c r="C983" s="29" t="str">
        <f t="shared" si="107"/>
        <v>G10518:1</v>
      </c>
      <c r="D983" s="27" t="str">
        <f t="shared" si="108"/>
        <v>G10518 : (Glc)2 (P)1</v>
      </c>
    </row>
    <row r="984" spans="1:4">
      <c r="A984" s="11" t="s">
        <v>12223</v>
      </c>
      <c r="B984" s="30" t="s">
        <v>11659</v>
      </c>
      <c r="C984" s="29" t="str">
        <f t="shared" si="107"/>
        <v>G10529:1</v>
      </c>
      <c r="D984" s="27" t="str">
        <f t="shared" si="108"/>
        <v>G10529 : Epimelibiose</v>
      </c>
    </row>
    <row r="985" spans="1:4">
      <c r="A985" s="11" t="s">
        <v>12224</v>
      </c>
      <c r="B985" s="30" t="s">
        <v>11665</v>
      </c>
      <c r="C985" s="29" t="str">
        <f t="shared" si="107"/>
        <v>G10531:1</v>
      </c>
      <c r="D985" s="27" t="str">
        <f t="shared" si="108"/>
        <v>G10531 : 3-Ketolactose</v>
      </c>
    </row>
    <row r="986" spans="1:4">
      <c r="A986" s="11" t="s">
        <v>12225</v>
      </c>
      <c r="B986" s="30" t="s">
        <v>12226</v>
      </c>
      <c r="C986" s="29" t="str">
        <f t="shared" si="107"/>
        <v>G10534:1</v>
      </c>
      <c r="D986" s="27" t="str">
        <f t="shared" si="108"/>
        <v>G10534 : (Gal)1 (*)2</v>
      </c>
    </row>
    <row r="987" spans="1:4">
      <c r="A987" s="11" t="s">
        <v>9880</v>
      </c>
      <c r="B987" s="30" t="s">
        <v>10829</v>
      </c>
      <c r="C987" s="29" t="str">
        <f t="shared" si="107"/>
        <v>G10545:1</v>
      </c>
      <c r="D987" s="27" t="str">
        <f t="shared" si="108"/>
        <v>G10545 : Starch</v>
      </c>
    </row>
    <row r="988" spans="1:4">
      <c r="A988" s="11" t="s">
        <v>12227</v>
      </c>
      <c r="B988" s="30" t="s">
        <v>12228</v>
      </c>
      <c r="C988" s="29" t="str">
        <f t="shared" si="107"/>
        <v>G10607:1</v>
      </c>
      <c r="D988" s="27" t="str">
        <f t="shared" si="108"/>
        <v>G10607 : (Gal)1 (GalNAc)1</v>
      </c>
    </row>
    <row r="989" spans="1:4">
      <c r="A989" s="11" t="s">
        <v>12229</v>
      </c>
      <c r="B989" s="30" t="s">
        <v>12230</v>
      </c>
      <c r="C989" s="29" t="str">
        <f t="shared" si="107"/>
        <v>G10610:1</v>
      </c>
      <c r="D989" s="27" t="str">
        <f t="shared" si="108"/>
        <v>G10610 : UDP-N-acetyl-D-glucosamine</v>
      </c>
    </row>
    <row r="990" spans="1:4">
      <c r="A990" s="11" t="s">
        <v>12231</v>
      </c>
      <c r="B990" s="30" t="s">
        <v>12232</v>
      </c>
      <c r="C990" s="29" t="str">
        <f t="shared" si="107"/>
        <v>G10612:1</v>
      </c>
      <c r="D990" s="27" t="str">
        <f t="shared" si="108"/>
        <v>G10612 : UDP-D-glucuronate</v>
      </c>
    </row>
    <row r="991" spans="1:4">
      <c r="A991" s="11" t="s">
        <v>12233</v>
      </c>
      <c r="B991" s="30" t="s">
        <v>10462</v>
      </c>
      <c r="C991" s="9" t="str">
        <f>CONCATENATE(A991,":","1000")</f>
        <v>G10619:1000</v>
      </c>
      <c r="D991" s="27" t="str">
        <f t="shared" si="108"/>
        <v>G10619 : UDP</v>
      </c>
    </row>
    <row r="992" spans="1:4">
      <c r="A992" s="11" t="s">
        <v>12234</v>
      </c>
      <c r="B992" s="30" t="s">
        <v>12235</v>
      </c>
      <c r="C992" s="29" t="str">
        <f t="shared" ref="C992:C994" si="109">CONCATENATE(A992,":","1")</f>
        <v>G10665:1</v>
      </c>
      <c r="D992" s="27" t="str">
        <f t="shared" si="108"/>
        <v>G10665 : (GlcNAc)2 (LFuc)1 (Man)3 (Xyl)1 (Asn)1</v>
      </c>
    </row>
    <row r="993" spans="1:4">
      <c r="A993" s="11" t="s">
        <v>12236</v>
      </c>
      <c r="B993" s="30" t="s">
        <v>12237</v>
      </c>
      <c r="C993" s="29" t="str">
        <f t="shared" si="109"/>
        <v>G10920:1</v>
      </c>
      <c r="D993" s="27" t="str">
        <f t="shared" si="108"/>
        <v>G10920 : (GlcNAc)2 (LFuc)2 (Man)3 (Asn)1</v>
      </c>
    </row>
    <row r="994" spans="1:4">
      <c r="A994" s="11" t="s">
        <v>12238</v>
      </c>
      <c r="B994" s="30" t="s">
        <v>10902</v>
      </c>
      <c r="C994" s="29" t="str">
        <f t="shared" si="109"/>
        <v>G11109:1</v>
      </c>
      <c r="D994" s="27" t="str">
        <f t="shared" si="108"/>
        <v>G11109 : ADP-glucose</v>
      </c>
    </row>
    <row r="995" spans="1:4">
      <c r="A995" s="11" t="s">
        <v>12239</v>
      </c>
      <c r="B995" s="30" t="s">
        <v>10451</v>
      </c>
      <c r="C995" s="9" t="str">
        <f>CONCATENATE(A995,":","1000")</f>
        <v>G11113:1000</v>
      </c>
      <c r="D995" s="27" t="str">
        <f t="shared" si="108"/>
        <v>G11113 : ADP</v>
      </c>
    </row>
    <row r="996" spans="1:4">
      <c r="A996" s="11" t="s">
        <v>12240</v>
      </c>
      <c r="B996" s="30" t="s">
        <v>11318</v>
      </c>
      <c r="C996" s="29" t="str">
        <f t="shared" ref="C996:C1015" si="110">CONCATENATE(A996,":","1")</f>
        <v>G11121:1</v>
      </c>
      <c r="D996" s="27" t="str">
        <f t="shared" si="108"/>
        <v>G11121 : Galactosylceramide</v>
      </c>
    </row>
    <row r="997" spans="1:4">
      <c r="A997" s="11" t="s">
        <v>12241</v>
      </c>
      <c r="B997" s="30" t="s">
        <v>12242</v>
      </c>
      <c r="C997" s="29" t="str">
        <f t="shared" si="110"/>
        <v>G13056:1</v>
      </c>
      <c r="D997" s="27" t="str">
        <f t="shared" si="108"/>
        <v>G13056 : (GlcNAc)4 (LFuc)1 (Man)3 (Xyl)1 (Asn)1</v>
      </c>
    </row>
    <row r="998" spans="1:4">
      <c r="A998" s="11" t="s">
        <v>12243</v>
      </c>
      <c r="B998" s="30" t="s">
        <v>12244</v>
      </c>
      <c r="C998" s="29" t="str">
        <f t="shared" si="110"/>
        <v>G13057:1</v>
      </c>
      <c r="D998" s="27" t="str">
        <f t="shared" si="108"/>
        <v>G13057 : (Gal)1 (GlcNAc)3 (LFuc)1 (Man)3 (Asn)1</v>
      </c>
    </row>
    <row r="999" spans="1:4">
      <c r="A999" s="11" t="s">
        <v>12245</v>
      </c>
      <c r="B999" s="30" t="s">
        <v>12246</v>
      </c>
      <c r="C999" s="29" t="str">
        <f t="shared" si="110"/>
        <v>G13058:1</v>
      </c>
      <c r="D999" s="27" t="str">
        <f t="shared" si="108"/>
        <v>G13058 : (Gal)1 (GlcNAc)2 (LFuc)1 (Man)3 (Asn)1</v>
      </c>
    </row>
    <row r="1000" spans="1:4">
      <c r="A1000" s="11" t="s">
        <v>12247</v>
      </c>
      <c r="B1000" s="30" t="s">
        <v>12248</v>
      </c>
      <c r="C1000" s="29" t="str">
        <f t="shared" si="110"/>
        <v>G13073:1</v>
      </c>
      <c r="D1000" s="27" t="str">
        <f t="shared" si="108"/>
        <v>G13073 : (Gal)1 (GlcNAc)2 (S)2</v>
      </c>
    </row>
    <row r="1001" spans="1:4">
      <c r="A1001" s="11" t="s">
        <v>12249</v>
      </c>
      <c r="B1001" s="30" t="s">
        <v>12250</v>
      </c>
      <c r="C1001" s="29" t="str">
        <f t="shared" si="110"/>
        <v>G13074:1</v>
      </c>
      <c r="D1001" s="27" t="str">
        <f t="shared" si="108"/>
        <v>G13074 : (Gal)1 (GlcNAc)2 (S)1</v>
      </c>
    </row>
    <row r="1002" spans="1:4">
      <c r="A1002" s="11" t="s">
        <v>12251</v>
      </c>
      <c r="B1002" s="30" t="s">
        <v>12252</v>
      </c>
      <c r="C1002" s="29" t="str">
        <f t="shared" si="110"/>
        <v>G13167:1</v>
      </c>
      <c r="D1002" s="27" t="str">
        <f t="shared" si="108"/>
        <v>G13167 : alpha-Glycosylated WTA</v>
      </c>
    </row>
    <row r="1003" spans="1:4">
      <c r="A1003" s="11" t="s">
        <v>12253</v>
      </c>
      <c r="B1003" s="30" t="s">
        <v>12254</v>
      </c>
      <c r="C1003" s="29" t="str">
        <f t="shared" si="110"/>
        <v>G13170:1</v>
      </c>
      <c r="D1003" s="27" t="str">
        <f t="shared" si="108"/>
        <v>G13170 : beta-Glycosylated WTA</v>
      </c>
    </row>
    <row r="1004" spans="1:4" ht="29">
      <c r="A1004" s="11" t="s">
        <v>12255</v>
      </c>
      <c r="B1004" s="30" t="s">
        <v>12256</v>
      </c>
      <c r="C1004" s="29" t="str">
        <f t="shared" si="110"/>
        <v>G13171:1</v>
      </c>
      <c r="D1004" s="27" t="str">
        <f t="shared" si="108"/>
        <v>G13171 : (Ala)1 (Glc)1 (GlcNAc)1 (Gro)1 (ManNAc)1 (Rib-ol)2 (*)1 (P)3 (PP-Und)1</v>
      </c>
    </row>
    <row r="1005" spans="1:4" ht="43.5">
      <c r="A1005" s="11" t="s">
        <v>12257</v>
      </c>
      <c r="B1005" s="30" t="s">
        <v>12258</v>
      </c>
      <c r="C1005" s="29" t="str">
        <f t="shared" si="110"/>
        <v>G13174:1</v>
      </c>
      <c r="D1005" s="27" t="str">
        <f t="shared" si="108"/>
        <v>G13174 : alpha-O-GlcNAcylated WTA; (GlcNAc)2 (Gro)2 (ManNAc)1 (Rib-ol)1 (*)1 (P)3 (PP-Und)1</v>
      </c>
    </row>
    <row r="1006" spans="1:4" ht="29">
      <c r="A1006" s="11" t="s">
        <v>12259</v>
      </c>
      <c r="B1006" s="30" t="s">
        <v>12260</v>
      </c>
      <c r="C1006" s="29" t="str">
        <f t="shared" si="110"/>
        <v>G13175:1</v>
      </c>
      <c r="D1006" s="27" t="str">
        <f t="shared" si="108"/>
        <v>G13175 : (Ala)1 (GlcNAc)2 (Gro)2 (ManNAc)1 (Rib-ol)1 (*)1 (P)3 (PP-Und)1</v>
      </c>
    </row>
    <row r="1007" spans="1:4" ht="43.5">
      <c r="A1007" s="11" t="s">
        <v>12261</v>
      </c>
      <c r="B1007" s="30" t="s">
        <v>12262</v>
      </c>
      <c r="C1007" s="29" t="str">
        <f t="shared" si="110"/>
        <v>G13176:1</v>
      </c>
      <c r="D1007" s="27" t="str">
        <f t="shared" si="108"/>
        <v>G13176 : beta-O-GlcNAcylated WTA; (GlcNAc)2 (Gro)2 (ManNAc)1 (Rib-ol)1 (*)1 (P)3 (PP-Und)1</v>
      </c>
    </row>
    <row r="1008" spans="1:4" ht="29">
      <c r="A1008" s="11" t="s">
        <v>12263</v>
      </c>
      <c r="B1008" s="30" t="s">
        <v>12260</v>
      </c>
      <c r="C1008" s="29" t="str">
        <f t="shared" si="110"/>
        <v>G13177:1</v>
      </c>
      <c r="D1008" s="27" t="str">
        <f t="shared" si="108"/>
        <v>G13177 : (Ala)1 (GlcNAc)2 (Gro)2 (ManNAc)1 (Rib-ol)1 (*)1 (P)3 (PP-Und)1</v>
      </c>
    </row>
    <row r="1009" spans="1:4" ht="29">
      <c r="A1009" s="11" t="s">
        <v>12264</v>
      </c>
      <c r="B1009" s="30" t="s">
        <v>12265</v>
      </c>
      <c r="C1009" s="29" t="str">
        <f t="shared" si="110"/>
        <v>G13178:1</v>
      </c>
      <c r="D1009" s="27" t="str">
        <f t="shared" si="108"/>
        <v>G13178 : (GlcNAc)2 (Gro)2 (ManNAc)1 (Rib-ol)1 (*)1 (P)3 (PP-Und)1</v>
      </c>
    </row>
    <row r="1010" spans="1:4" ht="29">
      <c r="A1010" s="11" t="s">
        <v>12266</v>
      </c>
      <c r="B1010" s="30" t="s">
        <v>12260</v>
      </c>
      <c r="C1010" s="29" t="str">
        <f t="shared" si="110"/>
        <v>G13179:1</v>
      </c>
      <c r="D1010" s="27" t="str">
        <f t="shared" si="108"/>
        <v>G13179 : (Ala)1 (GlcNAc)2 (Gro)2 (ManNAc)1 (Rib-ol)1 (*)1 (P)3 (PP-Und)1</v>
      </c>
    </row>
    <row r="1011" spans="1:4" ht="29">
      <c r="A1011" s="11" t="s">
        <v>12267</v>
      </c>
      <c r="B1011" s="30" t="s">
        <v>12268</v>
      </c>
      <c r="C1011" s="29" t="str">
        <f t="shared" si="110"/>
        <v>G13180:1</v>
      </c>
      <c r="D1011" s="27" t="str">
        <f t="shared" si="108"/>
        <v>G13180 : (Ala)1 (Glc)1 (GlcNAc)1 (Gro)2 (ManNAc)1 (*)1 (P)2 (PP-Und)1</v>
      </c>
    </row>
    <row r="1012" spans="1:4">
      <c r="A1012" s="11" t="s">
        <v>12269</v>
      </c>
      <c r="B1012" s="30" t="s">
        <v>12270</v>
      </c>
      <c r="C1012" s="29" t="str">
        <f t="shared" si="110"/>
        <v>G13185:1</v>
      </c>
      <c r="D1012" s="27" t="str">
        <f t="shared" si="108"/>
        <v>G13185 : (DAG)1 (Glc)2 (GlcNAc)1 (Gro)2 (*)1 (P)2</v>
      </c>
    </row>
    <row r="1013" spans="1:4" ht="29">
      <c r="A1013" s="11" t="s">
        <v>12271</v>
      </c>
      <c r="B1013" s="30" t="s">
        <v>12272</v>
      </c>
      <c r="C1013" s="29" t="str">
        <f t="shared" si="110"/>
        <v>G13186:1</v>
      </c>
      <c r="D1013" s="27" t="str">
        <f t="shared" si="108"/>
        <v>G13186 : (Ala)1 (DAG)1 (Glc)2 (GlcNAc)1 (Gro)2 (*)1 (P)2</v>
      </c>
    </row>
    <row r="1014" spans="1:4">
      <c r="A1014" s="11" t="s">
        <v>12273</v>
      </c>
      <c r="B1014" s="30" t="s">
        <v>12274</v>
      </c>
      <c r="C1014" s="29" t="str">
        <f t="shared" si="110"/>
        <v>G13192:1</v>
      </c>
      <c r="D1014" s="27" t="str">
        <f t="shared" si="108"/>
        <v>G13192 : (DAG)1 (Gal)2 (Glc)1 (Gro)2 (*)1 (P)2</v>
      </c>
    </row>
    <row r="1015" spans="1:4">
      <c r="A1015" s="11" t="s">
        <v>12275</v>
      </c>
      <c r="B1015" s="30" t="s">
        <v>12276</v>
      </c>
      <c r="C1015" s="29" t="str">
        <f t="shared" si="110"/>
        <v>G13193:1</v>
      </c>
      <c r="D1015" s="27" t="str">
        <f t="shared" si="108"/>
        <v>G13193 : (Ala)1 (DAG)1 (Gal)2 (Glc)1 (Gro)2 (*)1 (P)2</v>
      </c>
    </row>
  </sheetData>
  <pageMargins left="0.75" right="0.75" top="1" bottom="1" header="0" footer="0"/>
  <pageSetup orientation="landscape"/>
  <ignoredErrors>
    <ignoredError sqref="A1016:I1042 E596:I1015 A1001:A1015 A1:I1 A2:C2 E2:I2 A3:C87 E3:I595 A595 A596:C1000 A89:C208 A88 C88 A210:C594 A209 C20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1" sqref="F1"/>
    </sheetView>
  </sheetViews>
  <sheetFormatPr defaultColWidth="14.453125" defaultRowHeight="14.5"/>
  <cols>
    <col min="1" max="1" width="9.08984375" style="58" customWidth="1"/>
    <col min="2" max="2" width="13.26953125" style="59" customWidth="1"/>
    <col min="3" max="3" width="21.453125" style="27" customWidth="1"/>
    <col min="4" max="4" width="18.453125" style="47" customWidth="1"/>
    <col min="5" max="5" width="27.81640625" style="48" customWidth="1"/>
    <col min="6" max="6" width="21.1796875" style="49" customWidth="1"/>
    <col min="7" max="7" width="33.453125" style="9" customWidth="1"/>
    <col min="8" max="8" width="33.453125" style="50" customWidth="1"/>
    <col min="9" max="9" width="27.7265625" style="51" customWidth="1"/>
    <col min="10" max="10" width="27.7265625" style="52" customWidth="1"/>
    <col min="11" max="11" width="43.453125" style="53" customWidth="1"/>
    <col min="12" max="12" width="56.08984375" style="54" customWidth="1"/>
    <col min="13" max="13" width="61.54296875" style="55" customWidth="1"/>
    <col min="14" max="14" width="76.26953125" style="56" customWidth="1"/>
    <col min="15" max="26" width="9.08984375" style="28" customWidth="1"/>
    <col min="27" max="16384" width="14.453125" style="28"/>
  </cols>
  <sheetData>
    <row r="1" spans="1:26" s="45" customFormat="1" ht="31">
      <c r="A1" s="31" t="s">
        <v>12277</v>
      </c>
      <c r="B1" s="21" t="s">
        <v>12278</v>
      </c>
      <c r="C1" s="32" t="s">
        <v>12279</v>
      </c>
      <c r="D1" s="33" t="s">
        <v>12280</v>
      </c>
      <c r="E1" s="34" t="s">
        <v>12281</v>
      </c>
      <c r="F1" s="35" t="s">
        <v>12282</v>
      </c>
      <c r="G1" s="36" t="s">
        <v>12283</v>
      </c>
      <c r="H1" s="37" t="s">
        <v>12284</v>
      </c>
      <c r="I1" s="38" t="s">
        <v>12285</v>
      </c>
      <c r="J1" s="39" t="s">
        <v>12286</v>
      </c>
      <c r="K1" s="40" t="s">
        <v>12287</v>
      </c>
      <c r="L1" s="41" t="s">
        <v>12288</v>
      </c>
      <c r="M1" s="42" t="s">
        <v>12289</v>
      </c>
      <c r="N1" s="43" t="s">
        <v>12290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29">
      <c r="A2" s="46">
        <v>1</v>
      </c>
      <c r="B2" s="7" t="s">
        <v>12291</v>
      </c>
      <c r="C2" s="27" t="str">
        <f t="shared" ref="C2:C256" si="0">CONCATENATE(D2,"_mRNA")</f>
        <v>E2_7_2_3_mRNA</v>
      </c>
      <c r="D2" s="47" t="str">
        <f>CONCATENATE("E",B2)</f>
        <v>E2_7_2_3</v>
      </c>
      <c r="E2" s="48" t="str">
        <f t="shared" ref="E2:E256" si="1">CONCATENATE("E",B2,"_kcat : 13.7")</f>
        <v>E2_7_2_3_kcat : 13.7</v>
      </c>
      <c r="F2" s="49" t="str">
        <f t="shared" ref="F2:F256" si="2">CONCATENATE("E",B2,"_km : 1")</f>
        <v>E2_7_2_3_km : 1</v>
      </c>
      <c r="G2" s="9" t="str">
        <f t="shared" ref="G2:H2" si="3">CONCATENATE(C2," : ",C2)</f>
        <v>E2_7_2_3_mRNA : E2_7_2_3_mRNA</v>
      </c>
      <c r="H2" s="50" t="str">
        <f t="shared" si="3"/>
        <v>E2_7_2_3 : E2_7_2_3</v>
      </c>
      <c r="I2" s="51" t="str">
        <f t="shared" ref="I2:J2" si="4">CONCATENATE(C2," : ","0")</f>
        <v>E2_7_2_3_mRNA : 0</v>
      </c>
      <c r="J2" s="52" t="str">
        <f t="shared" si="4"/>
        <v>E2_7_2_3 : 0</v>
      </c>
      <c r="K2" s="53" t="str">
        <f t="shared" ref="K2:K256" si="5">CONCATENATE("0.00292 - (0.0093 * ",C2,")")</f>
        <v>0.00292 - (0.0093 * E2_7_2_3_mRNA)</v>
      </c>
      <c r="L2" s="54" t="str">
        <f t="shared" ref="L2:L256" si="6">CONCATENATE("(0.278 * ",C2,")"," - (0.00000278 * ",D2,")")</f>
        <v>(0.278 * E2_7_2_3_mRNA) - (0.00000278 * E2_7_2_3)</v>
      </c>
      <c r="M2" s="55" t="str">
        <f t="shared" ref="M2:M256" si="7">CONCATENATE("mRNA",A2,": -&gt; ",C2," | ","0.00292"," - ","(","0.0093"," * ",C2,")")</f>
        <v>mRNA1: -&gt; E2_7_2_3_mRNA | 0.00292 - (0.0093 * E2_7_2_3_mRNA)</v>
      </c>
      <c r="N2" s="56" t="str">
        <f t="shared" ref="N2:N256" si="8">CONCATENATE("Peptide",A2,": ",C2," -&gt; ",D2," | ","(","0.278"," * ",C2,")"," - ","(","0.000000278"," * ",D2,")")</f>
        <v>Peptide1: E2_7_2_3_mRNA -&gt; E2_7_2_3 | (0.278 * E2_7_2_3_mRNA) - (0.000000278 * E2_7_2_3)</v>
      </c>
    </row>
    <row r="3" spans="1:26" ht="29">
      <c r="A3" s="46">
        <v>2</v>
      </c>
      <c r="B3" s="7" t="s">
        <v>12292</v>
      </c>
      <c r="C3" s="27" t="str">
        <f t="shared" si="0"/>
        <v>E6_3_1_2_mRNA</v>
      </c>
      <c r="D3" s="47" t="str">
        <f t="shared" ref="D3:D257" si="9">CONCATENATE("E",B3)</f>
        <v>E6_3_1_2</v>
      </c>
      <c r="E3" s="48" t="str">
        <f t="shared" si="1"/>
        <v>E6_3_1_2_kcat : 13.7</v>
      </c>
      <c r="F3" s="49" t="str">
        <f t="shared" si="2"/>
        <v>E6_3_1_2_km : 1</v>
      </c>
      <c r="G3" s="9" t="str">
        <f t="shared" ref="G3:H3" si="10">CONCATENATE(C3," : ",C3)</f>
        <v>E6_3_1_2_mRNA : E6_3_1_2_mRNA</v>
      </c>
      <c r="H3" s="50" t="str">
        <f t="shared" si="10"/>
        <v>E6_3_1_2 : E6_3_1_2</v>
      </c>
      <c r="I3" s="51" t="str">
        <f t="shared" ref="I3:J3" si="11">CONCATENATE(C3," : ","0")</f>
        <v>E6_3_1_2_mRNA : 0</v>
      </c>
      <c r="J3" s="52" t="str">
        <f t="shared" si="11"/>
        <v>E6_3_1_2 : 0</v>
      </c>
      <c r="K3" s="53" t="str">
        <f t="shared" si="5"/>
        <v>0.00292 - (0.0093 * E6_3_1_2_mRNA)</v>
      </c>
      <c r="L3" s="54" t="str">
        <f t="shared" si="6"/>
        <v>(0.278 * E6_3_1_2_mRNA) - (0.00000278 * E6_3_1_2)</v>
      </c>
      <c r="M3" s="55" t="str">
        <f t="shared" si="7"/>
        <v>mRNA2: -&gt; E6_3_1_2_mRNA | 0.00292 - (0.0093 * E6_3_1_2_mRNA)</v>
      </c>
      <c r="N3" s="56" t="str">
        <f t="shared" si="8"/>
        <v>Peptide2: E6_3_1_2_mRNA -&gt; E6_3_1_2 | (0.278 * E6_3_1_2_mRNA) - (0.000000278 * E6_3_1_2)</v>
      </c>
    </row>
    <row r="4" spans="1:26" ht="29">
      <c r="A4" s="46">
        <v>3</v>
      </c>
      <c r="B4" s="7" t="s">
        <v>12293</v>
      </c>
      <c r="C4" s="27" t="str">
        <f t="shared" si="0"/>
        <v>E3_2_1_52_mRNA</v>
      </c>
      <c r="D4" s="47" t="str">
        <f t="shared" si="9"/>
        <v>E3_2_1_52</v>
      </c>
      <c r="E4" s="48" t="str">
        <f t="shared" si="1"/>
        <v>E3_2_1_52_kcat : 13.7</v>
      </c>
      <c r="F4" s="49" t="str">
        <f t="shared" si="2"/>
        <v>E3_2_1_52_km : 1</v>
      </c>
      <c r="G4" s="9" t="str">
        <f t="shared" ref="G4:H4" si="12">CONCATENATE(C4," : ",C4)</f>
        <v>E3_2_1_52_mRNA : E3_2_1_52_mRNA</v>
      </c>
      <c r="H4" s="50" t="str">
        <f t="shared" si="12"/>
        <v>E3_2_1_52 : E3_2_1_52</v>
      </c>
      <c r="I4" s="51" t="str">
        <f t="shared" ref="I4:J4" si="13">CONCATENATE(C4," : ","0")</f>
        <v>E3_2_1_52_mRNA : 0</v>
      </c>
      <c r="J4" s="52" t="str">
        <f t="shared" si="13"/>
        <v>E3_2_1_52 : 0</v>
      </c>
      <c r="K4" s="53" t="str">
        <f t="shared" si="5"/>
        <v>0.00292 - (0.0093 * E3_2_1_52_mRNA)</v>
      </c>
      <c r="L4" s="54" t="str">
        <f t="shared" si="6"/>
        <v>(0.278 * E3_2_1_52_mRNA) - (0.00000278 * E3_2_1_52)</v>
      </c>
      <c r="M4" s="55" t="str">
        <f t="shared" si="7"/>
        <v>mRNA3: -&gt; E3_2_1_52_mRNA | 0.00292 - (0.0093 * E3_2_1_52_mRNA)</v>
      </c>
      <c r="N4" s="56" t="str">
        <f t="shared" si="8"/>
        <v>Peptide3: E3_2_1_52_mRNA -&gt; E3_2_1_52 | (0.278 * E3_2_1_52_mRNA) - (0.000000278 * E3_2_1_52)</v>
      </c>
    </row>
    <row r="5" spans="1:26" ht="29">
      <c r="A5" s="46">
        <v>4</v>
      </c>
      <c r="B5" s="7" t="s">
        <v>12294</v>
      </c>
      <c r="C5" s="27" t="str">
        <f t="shared" si="0"/>
        <v>E6_3_4_2_mRNA</v>
      </c>
      <c r="D5" s="47" t="str">
        <f t="shared" si="9"/>
        <v>E6_3_4_2</v>
      </c>
      <c r="E5" s="48" t="str">
        <f t="shared" si="1"/>
        <v>E6_3_4_2_kcat : 13.7</v>
      </c>
      <c r="F5" s="49" t="str">
        <f t="shared" si="2"/>
        <v>E6_3_4_2_km : 1</v>
      </c>
      <c r="G5" s="9" t="str">
        <f t="shared" ref="G5:H5" si="14">CONCATENATE(C5," : ",C5)</f>
        <v>E6_3_4_2_mRNA : E6_3_4_2_mRNA</v>
      </c>
      <c r="H5" s="50" t="str">
        <f t="shared" si="14"/>
        <v>E6_3_4_2 : E6_3_4_2</v>
      </c>
      <c r="I5" s="51" t="str">
        <f t="shared" ref="I5:J5" si="15">CONCATENATE(C5," : ","0")</f>
        <v>E6_3_4_2_mRNA : 0</v>
      </c>
      <c r="J5" s="52" t="str">
        <f t="shared" si="15"/>
        <v>E6_3_4_2 : 0</v>
      </c>
      <c r="K5" s="53" t="str">
        <f t="shared" si="5"/>
        <v>0.00292 - (0.0093 * E6_3_4_2_mRNA)</v>
      </c>
      <c r="L5" s="54" t="str">
        <f t="shared" si="6"/>
        <v>(0.278 * E6_3_4_2_mRNA) - (0.00000278 * E6_3_4_2)</v>
      </c>
      <c r="M5" s="55" t="str">
        <f t="shared" si="7"/>
        <v>mRNA4: -&gt; E6_3_4_2_mRNA | 0.00292 - (0.0093 * E6_3_4_2_mRNA)</v>
      </c>
      <c r="N5" s="56" t="str">
        <f t="shared" si="8"/>
        <v>Peptide4: E6_3_4_2_mRNA -&gt; E6_3_4_2 | (0.278 * E6_3_4_2_mRNA) - (0.000000278 * E6_3_4_2)</v>
      </c>
    </row>
    <row r="6" spans="1:26" ht="29">
      <c r="A6" s="46">
        <v>5</v>
      </c>
      <c r="B6" s="7" t="s">
        <v>12295</v>
      </c>
      <c r="C6" s="27" t="str">
        <f t="shared" si="0"/>
        <v>E3_6_1_27_mRNA</v>
      </c>
      <c r="D6" s="47" t="str">
        <f t="shared" si="9"/>
        <v>E3_6_1_27</v>
      </c>
      <c r="E6" s="48" t="str">
        <f t="shared" si="1"/>
        <v>E3_6_1_27_kcat : 13.7</v>
      </c>
      <c r="F6" s="49" t="str">
        <f t="shared" si="2"/>
        <v>E3_6_1_27_km : 1</v>
      </c>
      <c r="G6" s="9" t="str">
        <f t="shared" ref="G6:H6" si="16">CONCATENATE(C6," : ",C6)</f>
        <v>E3_6_1_27_mRNA : E3_6_1_27_mRNA</v>
      </c>
      <c r="H6" s="50" t="str">
        <f t="shared" si="16"/>
        <v>E3_6_1_27 : E3_6_1_27</v>
      </c>
      <c r="I6" s="51" t="str">
        <f t="shared" ref="I6:J6" si="17">CONCATENATE(C6," : ","0")</f>
        <v>E3_6_1_27_mRNA : 0</v>
      </c>
      <c r="J6" s="52" t="str">
        <f t="shared" si="17"/>
        <v>E3_6_1_27 : 0</v>
      </c>
      <c r="K6" s="53" t="str">
        <f t="shared" si="5"/>
        <v>0.00292 - (0.0093 * E3_6_1_27_mRNA)</v>
      </c>
      <c r="L6" s="54" t="str">
        <f t="shared" si="6"/>
        <v>(0.278 * E3_6_1_27_mRNA) - (0.00000278 * E3_6_1_27)</v>
      </c>
      <c r="M6" s="55" t="str">
        <f t="shared" si="7"/>
        <v>mRNA5: -&gt; E3_6_1_27_mRNA | 0.00292 - (0.0093 * E3_6_1_27_mRNA)</v>
      </c>
      <c r="N6" s="56" t="str">
        <f t="shared" si="8"/>
        <v>Peptide5: E3_6_1_27_mRNA -&gt; E3_6_1_27 | (0.278 * E3_6_1_27_mRNA) - (0.000000278 * E3_6_1_27)</v>
      </c>
    </row>
    <row r="7" spans="1:26" ht="29">
      <c r="A7" s="46">
        <v>6</v>
      </c>
      <c r="B7" s="7" t="s">
        <v>12296</v>
      </c>
      <c r="C7" s="27" t="str">
        <f t="shared" si="0"/>
        <v>E2_1_1_207_mRNA</v>
      </c>
      <c r="D7" s="47" t="str">
        <f t="shared" si="9"/>
        <v>E2_1_1_207</v>
      </c>
      <c r="E7" s="48" t="str">
        <f t="shared" si="1"/>
        <v>E2_1_1_207_kcat : 13.7</v>
      </c>
      <c r="F7" s="49" t="str">
        <f t="shared" si="2"/>
        <v>E2_1_1_207_km : 1</v>
      </c>
      <c r="G7" s="9" t="str">
        <f t="shared" ref="G7:H7" si="18">CONCATENATE(C7," : ",C7)</f>
        <v>E2_1_1_207_mRNA : E2_1_1_207_mRNA</v>
      </c>
      <c r="H7" s="50" t="str">
        <f t="shared" si="18"/>
        <v>E2_1_1_207 : E2_1_1_207</v>
      </c>
      <c r="I7" s="51" t="str">
        <f t="shared" ref="I7:J7" si="19">CONCATENATE(C7," : ","0")</f>
        <v>E2_1_1_207_mRNA : 0</v>
      </c>
      <c r="J7" s="52" t="str">
        <f t="shared" si="19"/>
        <v>E2_1_1_207 : 0</v>
      </c>
      <c r="K7" s="53" t="str">
        <f t="shared" si="5"/>
        <v>0.00292 - (0.0093 * E2_1_1_207_mRNA)</v>
      </c>
      <c r="L7" s="54" t="str">
        <f t="shared" si="6"/>
        <v>(0.278 * E2_1_1_207_mRNA) - (0.00000278 * E2_1_1_207)</v>
      </c>
      <c r="M7" s="55" t="str">
        <f t="shared" si="7"/>
        <v>mRNA6: -&gt; E2_1_1_207_mRNA | 0.00292 - (0.0093 * E2_1_1_207_mRNA)</v>
      </c>
      <c r="N7" s="56" t="str">
        <f t="shared" si="8"/>
        <v>Peptide6: E2_1_1_207_mRNA -&gt; E2_1_1_207 | (0.278 * E2_1_1_207_mRNA) - (0.000000278 * E2_1_1_207)</v>
      </c>
    </row>
    <row r="8" spans="1:26" ht="29">
      <c r="A8" s="46">
        <v>7</v>
      </c>
      <c r="B8" s="7" t="s">
        <v>12297</v>
      </c>
      <c r="C8" s="27" t="str">
        <f t="shared" si="0"/>
        <v>E2_7_1_69_mRNA</v>
      </c>
      <c r="D8" s="47" t="str">
        <f t="shared" si="9"/>
        <v>E2_7_1_69</v>
      </c>
      <c r="E8" s="48" t="str">
        <f t="shared" si="1"/>
        <v>E2_7_1_69_kcat : 13.7</v>
      </c>
      <c r="F8" s="49" t="str">
        <f t="shared" si="2"/>
        <v>E2_7_1_69_km : 1</v>
      </c>
      <c r="G8" s="9" t="str">
        <f t="shared" ref="G8:H8" si="20">CONCATENATE(C8," : ",C8)</f>
        <v>E2_7_1_69_mRNA : E2_7_1_69_mRNA</v>
      </c>
      <c r="H8" s="50" t="str">
        <f t="shared" si="20"/>
        <v>E2_7_1_69 : E2_7_1_69</v>
      </c>
      <c r="I8" s="51" t="str">
        <f t="shared" ref="I8:J8" si="21">CONCATENATE(C8," : ","0")</f>
        <v>E2_7_1_69_mRNA : 0</v>
      </c>
      <c r="J8" s="52" t="str">
        <f t="shared" si="21"/>
        <v>E2_7_1_69 : 0</v>
      </c>
      <c r="K8" s="53" t="str">
        <f t="shared" si="5"/>
        <v>0.00292 - (0.0093 * E2_7_1_69_mRNA)</v>
      </c>
      <c r="L8" s="54" t="str">
        <f t="shared" si="6"/>
        <v>(0.278 * E2_7_1_69_mRNA) - (0.00000278 * E2_7_1_69)</v>
      </c>
      <c r="M8" s="55" t="str">
        <f t="shared" si="7"/>
        <v>mRNA7: -&gt; E2_7_1_69_mRNA | 0.00292 - (0.0093 * E2_7_1_69_mRNA)</v>
      </c>
      <c r="N8" s="56" t="str">
        <f t="shared" si="8"/>
        <v>Peptide7: E2_7_1_69_mRNA -&gt; E2_7_1_69 | (0.278 * E2_7_1_69_mRNA) - (0.000000278 * E2_7_1_69)</v>
      </c>
    </row>
    <row r="9" spans="1:26" ht="29">
      <c r="A9" s="46">
        <v>8</v>
      </c>
      <c r="B9" s="7" t="s">
        <v>12298</v>
      </c>
      <c r="C9" s="27" t="str">
        <f t="shared" si="0"/>
        <v>E3_2_1_85_mRNA</v>
      </c>
      <c r="D9" s="47" t="str">
        <f t="shared" si="9"/>
        <v>E3_2_1_85</v>
      </c>
      <c r="E9" s="48" t="str">
        <f t="shared" si="1"/>
        <v>E3_2_1_85_kcat : 13.7</v>
      </c>
      <c r="F9" s="49" t="str">
        <f t="shared" si="2"/>
        <v>E3_2_1_85_km : 1</v>
      </c>
      <c r="G9" s="9" t="str">
        <f t="shared" ref="G9:H9" si="22">CONCATENATE(C9," : ",C9)</f>
        <v>E3_2_1_85_mRNA : E3_2_1_85_mRNA</v>
      </c>
      <c r="H9" s="50" t="str">
        <f t="shared" si="22"/>
        <v>E3_2_1_85 : E3_2_1_85</v>
      </c>
      <c r="I9" s="51" t="str">
        <f t="shared" ref="I9:J9" si="23">CONCATENATE(C9," : ","0")</f>
        <v>E3_2_1_85_mRNA : 0</v>
      </c>
      <c r="J9" s="52" t="str">
        <f t="shared" si="23"/>
        <v>E3_2_1_85 : 0</v>
      </c>
      <c r="K9" s="53" t="str">
        <f t="shared" si="5"/>
        <v>0.00292 - (0.0093 * E3_2_1_85_mRNA)</v>
      </c>
      <c r="L9" s="54" t="str">
        <f t="shared" si="6"/>
        <v>(0.278 * E3_2_1_85_mRNA) - (0.00000278 * E3_2_1_85)</v>
      </c>
      <c r="M9" s="55" t="str">
        <f t="shared" si="7"/>
        <v>mRNA8: -&gt; E3_2_1_85_mRNA | 0.00292 - (0.0093 * E3_2_1_85_mRNA)</v>
      </c>
      <c r="N9" s="56" t="str">
        <f t="shared" si="8"/>
        <v>Peptide8: E3_2_1_85_mRNA -&gt; E3_2_1_85 | (0.278 * E3_2_1_85_mRNA) - (0.000000278 * E3_2_1_85)</v>
      </c>
    </row>
    <row r="10" spans="1:26" ht="29">
      <c r="A10" s="46">
        <v>9</v>
      </c>
      <c r="B10" s="7" t="s">
        <v>12299</v>
      </c>
      <c r="C10" s="27" t="str">
        <f t="shared" si="0"/>
        <v>E2_3_1_54_mRNA</v>
      </c>
      <c r="D10" s="47" t="str">
        <f t="shared" si="9"/>
        <v>E2_3_1_54</v>
      </c>
      <c r="E10" s="48" t="str">
        <f t="shared" si="1"/>
        <v>E2_3_1_54_kcat : 13.7</v>
      </c>
      <c r="F10" s="49" t="str">
        <f t="shared" si="2"/>
        <v>E2_3_1_54_km : 1</v>
      </c>
      <c r="G10" s="9" t="str">
        <f t="shared" ref="G10:H10" si="24">CONCATENATE(C10," : ",C10)</f>
        <v>E2_3_1_54_mRNA : E2_3_1_54_mRNA</v>
      </c>
      <c r="H10" s="50" t="str">
        <f t="shared" si="24"/>
        <v>E2_3_1_54 : E2_3_1_54</v>
      </c>
      <c r="I10" s="51" t="str">
        <f t="shared" ref="I10:J10" si="25">CONCATENATE(C10," : ","0")</f>
        <v>E2_3_1_54_mRNA : 0</v>
      </c>
      <c r="J10" s="52" t="str">
        <f t="shared" si="25"/>
        <v>E2_3_1_54 : 0</v>
      </c>
      <c r="K10" s="53" t="str">
        <f t="shared" si="5"/>
        <v>0.00292 - (0.0093 * E2_3_1_54_mRNA)</v>
      </c>
      <c r="L10" s="54" t="str">
        <f t="shared" si="6"/>
        <v>(0.278 * E2_3_1_54_mRNA) - (0.00000278 * E2_3_1_54)</v>
      </c>
      <c r="M10" s="55" t="str">
        <f t="shared" si="7"/>
        <v>mRNA9: -&gt; E2_3_1_54_mRNA | 0.00292 - (0.0093 * E2_3_1_54_mRNA)</v>
      </c>
      <c r="N10" s="56" t="str">
        <f t="shared" si="8"/>
        <v>Peptide9: E2_3_1_54_mRNA -&gt; E2_3_1_54 | (0.278 * E2_3_1_54_mRNA) - (0.000000278 * E2_3_1_54)</v>
      </c>
    </row>
    <row r="11" spans="1:26" ht="29">
      <c r="A11" s="46">
        <v>10</v>
      </c>
      <c r="B11" s="7" t="s">
        <v>12300</v>
      </c>
      <c r="C11" s="27" t="str">
        <f t="shared" si="0"/>
        <v>E2_7_7_7_mRNA</v>
      </c>
      <c r="D11" s="47" t="str">
        <f t="shared" si="9"/>
        <v>E2_7_7_7</v>
      </c>
      <c r="E11" s="48" t="str">
        <f t="shared" si="1"/>
        <v>E2_7_7_7_kcat : 13.7</v>
      </c>
      <c r="F11" s="49" t="str">
        <f t="shared" si="2"/>
        <v>E2_7_7_7_km : 1</v>
      </c>
      <c r="G11" s="9" t="str">
        <f t="shared" ref="G11:H11" si="26">CONCATENATE(C11," : ",C11)</f>
        <v>E2_7_7_7_mRNA : E2_7_7_7_mRNA</v>
      </c>
      <c r="H11" s="50" t="str">
        <f t="shared" si="26"/>
        <v>E2_7_7_7 : E2_7_7_7</v>
      </c>
      <c r="I11" s="51" t="str">
        <f t="shared" ref="I11:J11" si="27">CONCATENATE(C11," : ","0")</f>
        <v>E2_7_7_7_mRNA : 0</v>
      </c>
      <c r="J11" s="52" t="str">
        <f t="shared" si="27"/>
        <v>E2_7_7_7 : 0</v>
      </c>
      <c r="K11" s="53" t="str">
        <f t="shared" si="5"/>
        <v>0.00292 - (0.0093 * E2_7_7_7_mRNA)</v>
      </c>
      <c r="L11" s="54" t="str">
        <f t="shared" si="6"/>
        <v>(0.278 * E2_7_7_7_mRNA) - (0.00000278 * E2_7_7_7)</v>
      </c>
      <c r="M11" s="55" t="str">
        <f t="shared" si="7"/>
        <v>mRNA10: -&gt; E2_7_7_7_mRNA | 0.00292 - (0.0093 * E2_7_7_7_mRNA)</v>
      </c>
      <c r="N11" s="56" t="str">
        <f t="shared" si="8"/>
        <v>Peptide10: E2_7_7_7_mRNA -&gt; E2_7_7_7 | (0.278 * E2_7_7_7_mRNA) - (0.000000278 * E2_7_7_7)</v>
      </c>
    </row>
    <row r="12" spans="1:26" ht="29">
      <c r="A12" s="46">
        <v>11</v>
      </c>
      <c r="B12" s="7" t="s">
        <v>12301</v>
      </c>
      <c r="C12" s="27" t="str">
        <f t="shared" si="0"/>
        <v>E4_3_1_19_mRNA</v>
      </c>
      <c r="D12" s="47" t="str">
        <f t="shared" si="9"/>
        <v>E4_3_1_19</v>
      </c>
      <c r="E12" s="48" t="str">
        <f t="shared" si="1"/>
        <v>E4_3_1_19_kcat : 13.7</v>
      </c>
      <c r="F12" s="49" t="str">
        <f t="shared" si="2"/>
        <v>E4_3_1_19_km : 1</v>
      </c>
      <c r="G12" s="9" t="str">
        <f t="shared" ref="G12:H12" si="28">CONCATENATE(C12," : ",C12)</f>
        <v>E4_3_1_19_mRNA : E4_3_1_19_mRNA</v>
      </c>
      <c r="H12" s="50" t="str">
        <f t="shared" si="28"/>
        <v>E4_3_1_19 : E4_3_1_19</v>
      </c>
      <c r="I12" s="51" t="str">
        <f t="shared" ref="I12:J12" si="29">CONCATENATE(C12," : ","0")</f>
        <v>E4_3_1_19_mRNA : 0</v>
      </c>
      <c r="J12" s="52" t="str">
        <f t="shared" si="29"/>
        <v>E4_3_1_19 : 0</v>
      </c>
      <c r="K12" s="53" t="str">
        <f t="shared" si="5"/>
        <v>0.00292 - (0.0093 * E4_3_1_19_mRNA)</v>
      </c>
      <c r="L12" s="54" t="str">
        <f t="shared" si="6"/>
        <v>(0.278 * E4_3_1_19_mRNA) - (0.00000278 * E4_3_1_19)</v>
      </c>
      <c r="M12" s="55" t="str">
        <f t="shared" si="7"/>
        <v>mRNA11: -&gt; E4_3_1_19_mRNA | 0.00292 - (0.0093 * E4_3_1_19_mRNA)</v>
      </c>
      <c r="N12" s="56" t="str">
        <f t="shared" si="8"/>
        <v>Peptide11: E4_3_1_19_mRNA -&gt; E4_3_1_19 | (0.278 * E4_3_1_19_mRNA) - (0.000000278 * E4_3_1_19)</v>
      </c>
    </row>
    <row r="13" spans="1:26" ht="29">
      <c r="A13" s="46">
        <v>12</v>
      </c>
      <c r="B13" s="7" t="s">
        <v>12302</v>
      </c>
      <c r="C13" s="27" t="str">
        <f t="shared" si="0"/>
        <v>E1_1_1_86_mRNA</v>
      </c>
      <c r="D13" s="47" t="str">
        <f t="shared" si="9"/>
        <v>E1_1_1_86</v>
      </c>
      <c r="E13" s="48" t="str">
        <f t="shared" si="1"/>
        <v>E1_1_1_86_kcat : 13.7</v>
      </c>
      <c r="F13" s="49" t="str">
        <f t="shared" si="2"/>
        <v>E1_1_1_86_km : 1</v>
      </c>
      <c r="G13" s="9" t="str">
        <f t="shared" ref="G13:H13" si="30">CONCATENATE(C13," : ",C13)</f>
        <v>E1_1_1_86_mRNA : E1_1_1_86_mRNA</v>
      </c>
      <c r="H13" s="50" t="str">
        <f t="shared" si="30"/>
        <v>E1_1_1_86 : E1_1_1_86</v>
      </c>
      <c r="I13" s="51" t="str">
        <f t="shared" ref="I13:J13" si="31">CONCATENATE(C13," : ","0")</f>
        <v>E1_1_1_86_mRNA : 0</v>
      </c>
      <c r="J13" s="52" t="str">
        <f t="shared" si="31"/>
        <v>E1_1_1_86 : 0</v>
      </c>
      <c r="K13" s="53" t="str">
        <f t="shared" si="5"/>
        <v>0.00292 - (0.0093 * E1_1_1_86_mRNA)</v>
      </c>
      <c r="L13" s="54" t="str">
        <f t="shared" si="6"/>
        <v>(0.278 * E1_1_1_86_mRNA) - (0.00000278 * E1_1_1_86)</v>
      </c>
      <c r="M13" s="55" t="str">
        <f t="shared" si="7"/>
        <v>mRNA12: -&gt; E1_1_1_86_mRNA | 0.00292 - (0.0093 * E1_1_1_86_mRNA)</v>
      </c>
      <c r="N13" s="56" t="str">
        <f t="shared" si="8"/>
        <v>Peptide12: E1_1_1_86_mRNA -&gt; E1_1_1_86 | (0.278 * E1_1_1_86_mRNA) - (0.000000278 * E1_1_1_86)</v>
      </c>
    </row>
    <row r="14" spans="1:26" ht="29">
      <c r="A14" s="46">
        <v>13</v>
      </c>
      <c r="B14" s="7" t="s">
        <v>12303</v>
      </c>
      <c r="C14" s="27" t="str">
        <f t="shared" si="0"/>
        <v>E2_2_1_6_mRNA</v>
      </c>
      <c r="D14" s="47" t="str">
        <f t="shared" si="9"/>
        <v>E2_2_1_6</v>
      </c>
      <c r="E14" s="48" t="str">
        <f t="shared" si="1"/>
        <v>E2_2_1_6_kcat : 13.7</v>
      </c>
      <c r="F14" s="49" t="str">
        <f t="shared" si="2"/>
        <v>E2_2_1_6_km : 1</v>
      </c>
      <c r="G14" s="9" t="str">
        <f t="shared" ref="G14:H14" si="32">CONCATENATE(C14," : ",C14)</f>
        <v>E2_2_1_6_mRNA : E2_2_1_6_mRNA</v>
      </c>
      <c r="H14" s="50" t="str">
        <f t="shared" si="32"/>
        <v>E2_2_1_6 : E2_2_1_6</v>
      </c>
      <c r="I14" s="51" t="str">
        <f t="shared" ref="I14:J14" si="33">CONCATENATE(C14," : ","0")</f>
        <v>E2_2_1_6_mRNA : 0</v>
      </c>
      <c r="J14" s="52" t="str">
        <f t="shared" si="33"/>
        <v>E2_2_1_6 : 0</v>
      </c>
      <c r="K14" s="53" t="str">
        <f t="shared" si="5"/>
        <v>0.00292 - (0.0093 * E2_2_1_6_mRNA)</v>
      </c>
      <c r="L14" s="54" t="str">
        <f t="shared" si="6"/>
        <v>(0.278 * E2_2_1_6_mRNA) - (0.00000278 * E2_2_1_6)</v>
      </c>
      <c r="M14" s="55" t="str">
        <f t="shared" si="7"/>
        <v>mRNA13: -&gt; E2_2_1_6_mRNA | 0.00292 - (0.0093 * E2_2_1_6_mRNA)</v>
      </c>
      <c r="N14" s="56" t="str">
        <f t="shared" si="8"/>
        <v>Peptide13: E2_2_1_6_mRNA -&gt; E2_2_1_6 | (0.278 * E2_2_1_6_mRNA) - (0.000000278 * E2_2_1_6)</v>
      </c>
    </row>
    <row r="15" spans="1:26" ht="29">
      <c r="A15" s="46">
        <v>14</v>
      </c>
      <c r="B15" s="7" t="s">
        <v>12304</v>
      </c>
      <c r="C15" s="27" t="str">
        <f t="shared" si="0"/>
        <v>E1_1_1_14_mRNA</v>
      </c>
      <c r="D15" s="47" t="str">
        <f t="shared" si="9"/>
        <v>E1_1_1_14</v>
      </c>
      <c r="E15" s="48" t="str">
        <f t="shared" si="1"/>
        <v>E1_1_1_14_kcat : 13.7</v>
      </c>
      <c r="F15" s="49" t="str">
        <f t="shared" si="2"/>
        <v>E1_1_1_14_km : 1</v>
      </c>
      <c r="G15" s="9" t="str">
        <f t="shared" ref="G15:H15" si="34">CONCATENATE(C15," : ",C15)</f>
        <v>E1_1_1_14_mRNA : E1_1_1_14_mRNA</v>
      </c>
      <c r="H15" s="50" t="str">
        <f t="shared" si="34"/>
        <v>E1_1_1_14 : E1_1_1_14</v>
      </c>
      <c r="I15" s="51" t="str">
        <f t="shared" ref="I15:J15" si="35">CONCATENATE(C15," : ","0")</f>
        <v>E1_1_1_14_mRNA : 0</v>
      </c>
      <c r="J15" s="52" t="str">
        <f t="shared" si="35"/>
        <v>E1_1_1_14 : 0</v>
      </c>
      <c r="K15" s="53" t="str">
        <f t="shared" si="5"/>
        <v>0.00292 - (0.0093 * E1_1_1_14_mRNA)</v>
      </c>
      <c r="L15" s="54" t="str">
        <f t="shared" si="6"/>
        <v>(0.278 * E1_1_1_14_mRNA) - (0.00000278 * E1_1_1_14)</v>
      </c>
      <c r="M15" s="55" t="str">
        <f t="shared" si="7"/>
        <v>mRNA14: -&gt; E1_1_1_14_mRNA | 0.00292 - (0.0093 * E1_1_1_14_mRNA)</v>
      </c>
      <c r="N15" s="56" t="str">
        <f t="shared" si="8"/>
        <v>Peptide14: E1_1_1_14_mRNA -&gt; E1_1_1_14 | (0.278 * E1_1_1_14_mRNA) - (0.000000278 * E1_1_1_14)</v>
      </c>
    </row>
    <row r="16" spans="1:26" ht="29">
      <c r="A16" s="46">
        <v>15</v>
      </c>
      <c r="B16" s="7" t="s">
        <v>12305</v>
      </c>
      <c r="C16" s="27" t="str">
        <f t="shared" si="0"/>
        <v>E6_4_1_2_mRNA</v>
      </c>
      <c r="D16" s="47" t="str">
        <f t="shared" si="9"/>
        <v>E6_4_1_2</v>
      </c>
      <c r="E16" s="48" t="str">
        <f t="shared" si="1"/>
        <v>E6_4_1_2_kcat : 13.7</v>
      </c>
      <c r="F16" s="49" t="str">
        <f t="shared" si="2"/>
        <v>E6_4_1_2_km : 1</v>
      </c>
      <c r="G16" s="9" t="str">
        <f t="shared" ref="G16:H16" si="36">CONCATENATE(C16," : ",C16)</f>
        <v>E6_4_1_2_mRNA : E6_4_1_2_mRNA</v>
      </c>
      <c r="H16" s="50" t="str">
        <f t="shared" si="36"/>
        <v>E6_4_1_2 : E6_4_1_2</v>
      </c>
      <c r="I16" s="51" t="str">
        <f t="shared" ref="I16:J16" si="37">CONCATENATE(C16," : ","0")</f>
        <v>E6_4_1_2_mRNA : 0</v>
      </c>
      <c r="J16" s="52" t="str">
        <f t="shared" si="37"/>
        <v>E6_4_1_2 : 0</v>
      </c>
      <c r="K16" s="53" t="str">
        <f t="shared" si="5"/>
        <v>0.00292 - (0.0093 * E6_4_1_2_mRNA)</v>
      </c>
      <c r="L16" s="54" t="str">
        <f t="shared" si="6"/>
        <v>(0.278 * E6_4_1_2_mRNA) - (0.00000278 * E6_4_1_2)</v>
      </c>
      <c r="M16" s="55" t="str">
        <f t="shared" si="7"/>
        <v>mRNA15: -&gt; E6_4_1_2_mRNA | 0.00292 - (0.0093 * E6_4_1_2_mRNA)</v>
      </c>
      <c r="N16" s="56" t="str">
        <f t="shared" si="8"/>
        <v>Peptide15: E6_4_1_2_mRNA -&gt; E6_4_1_2 | (0.278 * E6_4_1_2_mRNA) - (0.000000278 * E6_4_1_2)</v>
      </c>
    </row>
    <row r="17" spans="1:14" ht="29">
      <c r="A17" s="46">
        <v>16</v>
      </c>
      <c r="B17" s="7" t="s">
        <v>12306</v>
      </c>
      <c r="C17" s="27" t="str">
        <f t="shared" si="0"/>
        <v>E6_3_4_14_mRNA</v>
      </c>
      <c r="D17" s="47" t="str">
        <f t="shared" si="9"/>
        <v>E6_3_4_14</v>
      </c>
      <c r="E17" s="48" t="str">
        <f t="shared" si="1"/>
        <v>E6_3_4_14_kcat : 13.7</v>
      </c>
      <c r="F17" s="49" t="str">
        <f t="shared" si="2"/>
        <v>E6_3_4_14_km : 1</v>
      </c>
      <c r="G17" s="9" t="str">
        <f t="shared" ref="G17:H17" si="38">CONCATENATE(C17," : ",C17)</f>
        <v>E6_3_4_14_mRNA : E6_3_4_14_mRNA</v>
      </c>
      <c r="H17" s="50" t="str">
        <f t="shared" si="38"/>
        <v>E6_3_4_14 : E6_3_4_14</v>
      </c>
      <c r="I17" s="51" t="str">
        <f t="shared" ref="I17:J17" si="39">CONCATENATE(C17," : ","0")</f>
        <v>E6_3_4_14_mRNA : 0</v>
      </c>
      <c r="J17" s="52" t="str">
        <f t="shared" si="39"/>
        <v>E6_3_4_14 : 0</v>
      </c>
      <c r="K17" s="53" t="str">
        <f t="shared" si="5"/>
        <v>0.00292 - (0.0093 * E6_3_4_14_mRNA)</v>
      </c>
      <c r="L17" s="54" t="str">
        <f t="shared" si="6"/>
        <v>(0.278 * E6_3_4_14_mRNA) - (0.00000278 * E6_3_4_14)</v>
      </c>
      <c r="M17" s="55" t="str">
        <f t="shared" si="7"/>
        <v>mRNA16: -&gt; E6_3_4_14_mRNA | 0.00292 - (0.0093 * E6_3_4_14_mRNA)</v>
      </c>
      <c r="N17" s="56" t="str">
        <f t="shared" si="8"/>
        <v>Peptide16: E6_3_4_14_mRNA -&gt; E6_3_4_14 | (0.278 * E6_3_4_14_mRNA) - (0.000000278 * E6_3_4_14)</v>
      </c>
    </row>
    <row r="18" spans="1:14" ht="29">
      <c r="A18" s="46">
        <v>17</v>
      </c>
      <c r="B18" s="7" t="s">
        <v>12307</v>
      </c>
      <c r="C18" s="27" t="str">
        <f t="shared" si="0"/>
        <v>E2_3_1_179_mRNA</v>
      </c>
      <c r="D18" s="47" t="str">
        <f t="shared" si="9"/>
        <v>E2_3_1_179</v>
      </c>
      <c r="E18" s="48" t="str">
        <f t="shared" si="1"/>
        <v>E2_3_1_179_kcat : 13.7</v>
      </c>
      <c r="F18" s="49" t="str">
        <f t="shared" si="2"/>
        <v>E2_3_1_179_km : 1</v>
      </c>
      <c r="G18" s="9" t="str">
        <f t="shared" ref="G18:H18" si="40">CONCATENATE(C18," : ",C18)</f>
        <v>E2_3_1_179_mRNA : E2_3_1_179_mRNA</v>
      </c>
      <c r="H18" s="50" t="str">
        <f t="shared" si="40"/>
        <v>E2_3_1_179 : E2_3_1_179</v>
      </c>
      <c r="I18" s="51" t="str">
        <f t="shared" ref="I18:J18" si="41">CONCATENATE(C18," : ","0")</f>
        <v>E2_3_1_179_mRNA : 0</v>
      </c>
      <c r="J18" s="52" t="str">
        <f t="shared" si="41"/>
        <v>E2_3_1_179 : 0</v>
      </c>
      <c r="K18" s="53" t="str">
        <f t="shared" si="5"/>
        <v>0.00292 - (0.0093 * E2_3_1_179_mRNA)</v>
      </c>
      <c r="L18" s="54" t="str">
        <f t="shared" si="6"/>
        <v>(0.278 * E2_3_1_179_mRNA) - (0.00000278 * E2_3_1_179)</v>
      </c>
      <c r="M18" s="55" t="str">
        <f t="shared" si="7"/>
        <v>mRNA17: -&gt; E2_3_1_179_mRNA | 0.00292 - (0.0093 * E2_3_1_179_mRNA)</v>
      </c>
      <c r="N18" s="56" t="str">
        <f t="shared" si="8"/>
        <v>Peptide17: E2_3_1_179_mRNA -&gt; E2_3_1_179 | (0.278 * E2_3_1_179_mRNA) - (0.000000278 * E2_3_1_179)</v>
      </c>
    </row>
    <row r="19" spans="1:14" ht="29">
      <c r="A19" s="46">
        <v>18</v>
      </c>
      <c r="B19" s="7" t="s">
        <v>12308</v>
      </c>
      <c r="C19" s="27" t="str">
        <f t="shared" si="0"/>
        <v>E1_1_1_100_mRNA</v>
      </c>
      <c r="D19" s="47" t="str">
        <f t="shared" si="9"/>
        <v>E1_1_1_100</v>
      </c>
      <c r="E19" s="48" t="str">
        <f t="shared" si="1"/>
        <v>E1_1_1_100_kcat : 13.7</v>
      </c>
      <c r="F19" s="49" t="str">
        <f t="shared" si="2"/>
        <v>E1_1_1_100_km : 1</v>
      </c>
      <c r="G19" s="9" t="str">
        <f t="shared" ref="G19:H19" si="42">CONCATENATE(C19," : ",C19)</f>
        <v>E1_1_1_100_mRNA : E1_1_1_100_mRNA</v>
      </c>
      <c r="H19" s="50" t="str">
        <f t="shared" si="42"/>
        <v>E1_1_1_100 : E1_1_1_100</v>
      </c>
      <c r="I19" s="51" t="str">
        <f t="shared" ref="I19:J19" si="43">CONCATENATE(C19," : ","0")</f>
        <v>E1_1_1_100_mRNA : 0</v>
      </c>
      <c r="J19" s="52" t="str">
        <f t="shared" si="43"/>
        <v>E1_1_1_100 : 0</v>
      </c>
      <c r="K19" s="53" t="str">
        <f t="shared" si="5"/>
        <v>0.00292 - (0.0093 * E1_1_1_100_mRNA)</v>
      </c>
      <c r="L19" s="54" t="str">
        <f t="shared" si="6"/>
        <v>(0.278 * E1_1_1_100_mRNA) - (0.00000278 * E1_1_1_100)</v>
      </c>
      <c r="M19" s="55" t="str">
        <f t="shared" si="7"/>
        <v>mRNA18: -&gt; E1_1_1_100_mRNA | 0.00292 - (0.0093 * E1_1_1_100_mRNA)</v>
      </c>
      <c r="N19" s="56" t="str">
        <f t="shared" si="8"/>
        <v>Peptide18: E1_1_1_100_mRNA -&gt; E1_1_1_100 | (0.278 * E1_1_1_100_mRNA) - (0.000000278 * E1_1_1_100)</v>
      </c>
    </row>
    <row r="20" spans="1:14" ht="29">
      <c r="A20" s="46">
        <v>19</v>
      </c>
      <c r="B20" s="7" t="s">
        <v>12309</v>
      </c>
      <c r="C20" s="27" t="str">
        <f t="shared" si="0"/>
        <v>E2_3_1_39_mRNA</v>
      </c>
      <c r="D20" s="47" t="str">
        <f t="shared" si="9"/>
        <v>E2_3_1_39</v>
      </c>
      <c r="E20" s="48" t="str">
        <f t="shared" si="1"/>
        <v>E2_3_1_39_kcat : 13.7</v>
      </c>
      <c r="F20" s="49" t="str">
        <f t="shared" si="2"/>
        <v>E2_3_1_39_km : 1</v>
      </c>
      <c r="G20" s="9" t="str">
        <f t="shared" ref="G20:H20" si="44">CONCATENATE(C20," : ",C20)</f>
        <v>E2_3_1_39_mRNA : E2_3_1_39_mRNA</v>
      </c>
      <c r="H20" s="50" t="str">
        <f t="shared" si="44"/>
        <v>E2_3_1_39 : E2_3_1_39</v>
      </c>
      <c r="I20" s="51" t="str">
        <f t="shared" ref="I20:J20" si="45">CONCATENATE(C20," : ","0")</f>
        <v>E2_3_1_39_mRNA : 0</v>
      </c>
      <c r="J20" s="52" t="str">
        <f t="shared" si="45"/>
        <v>E2_3_1_39 : 0</v>
      </c>
      <c r="K20" s="53" t="str">
        <f t="shared" si="5"/>
        <v>0.00292 - (0.0093 * E2_3_1_39_mRNA)</v>
      </c>
      <c r="L20" s="54" t="str">
        <f t="shared" si="6"/>
        <v>(0.278 * E2_3_1_39_mRNA) - (0.00000278 * E2_3_1_39)</v>
      </c>
      <c r="M20" s="55" t="str">
        <f t="shared" si="7"/>
        <v>mRNA19: -&gt; E2_3_1_39_mRNA | 0.00292 - (0.0093 * E2_3_1_39_mRNA)</v>
      </c>
      <c r="N20" s="56" t="str">
        <f t="shared" si="8"/>
        <v>Peptide19: E2_3_1_39_mRNA -&gt; E2_3_1_39 | (0.278 * E2_3_1_39_mRNA) - (0.000000278 * E2_3_1_39)</v>
      </c>
    </row>
    <row r="21" spans="1:14" ht="29">
      <c r="A21" s="46">
        <v>20</v>
      </c>
      <c r="B21" s="7" t="s">
        <v>12310</v>
      </c>
      <c r="C21" s="27" t="str">
        <f t="shared" si="0"/>
        <v>E1_13_12_16_mRNA</v>
      </c>
      <c r="D21" s="47" t="str">
        <f t="shared" si="9"/>
        <v>E1_13_12_16</v>
      </c>
      <c r="E21" s="48" t="str">
        <f t="shared" si="1"/>
        <v>E1_13_12_16_kcat : 13.7</v>
      </c>
      <c r="F21" s="49" t="str">
        <f t="shared" si="2"/>
        <v>E1_13_12_16_km : 1</v>
      </c>
      <c r="G21" s="9" t="str">
        <f t="shared" ref="G21:H21" si="46">CONCATENATE(C21," : ",C21)</f>
        <v>E1_13_12_16_mRNA : E1_13_12_16_mRNA</v>
      </c>
      <c r="H21" s="50" t="str">
        <f t="shared" si="46"/>
        <v>E1_13_12_16 : E1_13_12_16</v>
      </c>
      <c r="I21" s="51" t="str">
        <f t="shared" ref="I21:J21" si="47">CONCATENATE(C21," : ","0")</f>
        <v>E1_13_12_16_mRNA : 0</v>
      </c>
      <c r="J21" s="52" t="str">
        <f t="shared" si="47"/>
        <v>E1_13_12_16 : 0</v>
      </c>
      <c r="K21" s="53" t="str">
        <f t="shared" si="5"/>
        <v>0.00292 - (0.0093 * E1_13_12_16_mRNA)</v>
      </c>
      <c r="L21" s="54" t="str">
        <f t="shared" si="6"/>
        <v>(0.278 * E1_13_12_16_mRNA) - (0.00000278 * E1_13_12_16)</v>
      </c>
      <c r="M21" s="55" t="str">
        <f t="shared" si="7"/>
        <v>mRNA20: -&gt; E1_13_12_16_mRNA | 0.00292 - (0.0093 * E1_13_12_16_mRNA)</v>
      </c>
      <c r="N21" s="56" t="str">
        <f t="shared" si="8"/>
        <v>Peptide20: E1_13_12_16_mRNA -&gt; E1_13_12_16 | (0.278 * E1_13_12_16_mRNA) - (0.000000278 * E1_13_12_16)</v>
      </c>
    </row>
    <row r="22" spans="1:14" ht="29">
      <c r="A22" s="46">
        <v>21</v>
      </c>
      <c r="B22" s="7" t="s">
        <v>12311</v>
      </c>
      <c r="C22" s="27" t="str">
        <f t="shared" si="0"/>
        <v>E2_3_1_180_mRNA</v>
      </c>
      <c r="D22" s="47" t="str">
        <f t="shared" si="9"/>
        <v>E2_3_1_180</v>
      </c>
      <c r="E22" s="48" t="str">
        <f t="shared" si="1"/>
        <v>E2_3_1_180_kcat : 13.7</v>
      </c>
      <c r="F22" s="49" t="str">
        <f t="shared" si="2"/>
        <v>E2_3_1_180_km : 1</v>
      </c>
      <c r="G22" s="9" t="str">
        <f t="shared" ref="G22:H22" si="48">CONCATENATE(C22," : ",C22)</f>
        <v>E2_3_1_180_mRNA : E2_3_1_180_mRNA</v>
      </c>
      <c r="H22" s="50" t="str">
        <f t="shared" si="48"/>
        <v>E2_3_1_180 : E2_3_1_180</v>
      </c>
      <c r="I22" s="51" t="str">
        <f t="shared" ref="I22:J22" si="49">CONCATENATE(C22," : ","0")</f>
        <v>E2_3_1_180_mRNA : 0</v>
      </c>
      <c r="J22" s="52" t="str">
        <f t="shared" si="49"/>
        <v>E2_3_1_180 : 0</v>
      </c>
      <c r="K22" s="53" t="str">
        <f t="shared" si="5"/>
        <v>0.00292 - (0.0093 * E2_3_1_180_mRNA)</v>
      </c>
      <c r="L22" s="54" t="str">
        <f t="shared" si="6"/>
        <v>(0.278 * E2_3_1_180_mRNA) - (0.00000278 * E2_3_1_180)</v>
      </c>
      <c r="M22" s="55" t="str">
        <f t="shared" si="7"/>
        <v>mRNA21: -&gt; E2_3_1_180_mRNA | 0.00292 - (0.0093 * E2_3_1_180_mRNA)</v>
      </c>
      <c r="N22" s="56" t="str">
        <f t="shared" si="8"/>
        <v>Peptide21: E2_3_1_180_mRNA -&gt; E2_3_1_180 | (0.278 * E2_3_1_180_mRNA) - (0.000000278 * E2_3_1_180)</v>
      </c>
    </row>
    <row r="23" spans="1:14" ht="29">
      <c r="A23" s="46">
        <v>22</v>
      </c>
      <c r="B23" s="7" t="s">
        <v>12312</v>
      </c>
      <c r="C23" s="27" t="str">
        <f t="shared" si="0"/>
        <v>E2_3_1_41_mRNA</v>
      </c>
      <c r="D23" s="47" t="str">
        <f t="shared" si="9"/>
        <v>E2_3_1_41</v>
      </c>
      <c r="E23" s="48" t="str">
        <f t="shared" si="1"/>
        <v>E2_3_1_41_kcat : 13.7</v>
      </c>
      <c r="F23" s="49" t="str">
        <f t="shared" si="2"/>
        <v>E2_3_1_41_km : 1</v>
      </c>
      <c r="G23" s="9" t="str">
        <f t="shared" ref="G23:H23" si="50">CONCATENATE(C23," : ",C23)</f>
        <v>E2_3_1_41_mRNA : E2_3_1_41_mRNA</v>
      </c>
      <c r="H23" s="50" t="str">
        <f t="shared" si="50"/>
        <v>E2_3_1_41 : E2_3_1_41</v>
      </c>
      <c r="I23" s="51" t="str">
        <f t="shared" ref="I23:J23" si="51">CONCATENATE(C23," : ","0")</f>
        <v>E2_3_1_41_mRNA : 0</v>
      </c>
      <c r="J23" s="52" t="str">
        <f t="shared" si="51"/>
        <v>E2_3_1_41 : 0</v>
      </c>
      <c r="K23" s="53" t="str">
        <f t="shared" si="5"/>
        <v>0.00292 - (0.0093 * E2_3_1_41_mRNA)</v>
      </c>
      <c r="L23" s="54" t="str">
        <f t="shared" si="6"/>
        <v>(0.278 * E2_3_1_41_mRNA) - (0.00000278 * E2_3_1_41)</v>
      </c>
      <c r="M23" s="55" t="str">
        <f t="shared" si="7"/>
        <v>mRNA22: -&gt; E2_3_1_41_mRNA | 0.00292 - (0.0093 * E2_3_1_41_mRNA)</v>
      </c>
      <c r="N23" s="56" t="str">
        <f t="shared" si="8"/>
        <v>Peptide22: E2_3_1_41_mRNA -&gt; E2_3_1_41 | (0.278 * E2_3_1_41_mRNA) - (0.000000278 * E2_3_1_41)</v>
      </c>
    </row>
    <row r="24" spans="1:14" ht="29">
      <c r="A24" s="46">
        <v>23</v>
      </c>
      <c r="B24" s="7" t="s">
        <v>12313</v>
      </c>
      <c r="C24" s="27" t="str">
        <f t="shared" si="0"/>
        <v>E4_2_1_17_mRNA</v>
      </c>
      <c r="D24" s="47" t="str">
        <f t="shared" si="9"/>
        <v>E4_2_1_17</v>
      </c>
      <c r="E24" s="48" t="str">
        <f t="shared" si="1"/>
        <v>E4_2_1_17_kcat : 13.7</v>
      </c>
      <c r="F24" s="49" t="str">
        <f t="shared" si="2"/>
        <v>E4_2_1_17_km : 1</v>
      </c>
      <c r="G24" s="9" t="str">
        <f t="shared" ref="G24:H24" si="52">CONCATENATE(C24," : ",C24)</f>
        <v>E4_2_1_17_mRNA : E4_2_1_17_mRNA</v>
      </c>
      <c r="H24" s="50" t="str">
        <f t="shared" si="52"/>
        <v>E4_2_1_17 : E4_2_1_17</v>
      </c>
      <c r="I24" s="51" t="str">
        <f t="shared" ref="I24:J24" si="53">CONCATENATE(C24," : ","0")</f>
        <v>E4_2_1_17_mRNA : 0</v>
      </c>
      <c r="J24" s="52" t="str">
        <f t="shared" si="53"/>
        <v>E4_2_1_17 : 0</v>
      </c>
      <c r="K24" s="53" t="str">
        <f t="shared" si="5"/>
        <v>0.00292 - (0.0093 * E4_2_1_17_mRNA)</v>
      </c>
      <c r="L24" s="54" t="str">
        <f t="shared" si="6"/>
        <v>(0.278 * E4_2_1_17_mRNA) - (0.00000278 * E4_2_1_17)</v>
      </c>
      <c r="M24" s="55" t="str">
        <f t="shared" si="7"/>
        <v>mRNA23: -&gt; E4_2_1_17_mRNA | 0.00292 - (0.0093 * E4_2_1_17_mRNA)</v>
      </c>
      <c r="N24" s="56" t="str">
        <f t="shared" si="8"/>
        <v>Peptide23: E4_2_1_17_mRNA -&gt; E4_2_1_17 | (0.278 * E4_2_1_17_mRNA) - (0.000000278 * E4_2_1_17)</v>
      </c>
    </row>
    <row r="25" spans="1:14" ht="29">
      <c r="A25" s="46">
        <v>24</v>
      </c>
      <c r="B25" s="7" t="s">
        <v>12314</v>
      </c>
      <c r="C25" s="27" t="str">
        <f t="shared" si="0"/>
        <v>E1_1_1_3_mRNA</v>
      </c>
      <c r="D25" s="47" t="str">
        <f t="shared" si="9"/>
        <v>E1_1_1_3</v>
      </c>
      <c r="E25" s="48" t="str">
        <f t="shared" si="1"/>
        <v>E1_1_1_3_kcat : 13.7</v>
      </c>
      <c r="F25" s="49" t="str">
        <f t="shared" si="2"/>
        <v>E1_1_1_3_km : 1</v>
      </c>
      <c r="G25" s="9" t="str">
        <f t="shared" ref="G25:H25" si="54">CONCATENATE(C25," : ",C25)</f>
        <v>E1_1_1_3_mRNA : E1_1_1_3_mRNA</v>
      </c>
      <c r="H25" s="50" t="str">
        <f t="shared" si="54"/>
        <v>E1_1_1_3 : E1_1_1_3</v>
      </c>
      <c r="I25" s="51" t="str">
        <f t="shared" ref="I25:J25" si="55">CONCATENATE(C25," : ","0")</f>
        <v>E1_1_1_3_mRNA : 0</v>
      </c>
      <c r="J25" s="52" t="str">
        <f t="shared" si="55"/>
        <v>E1_1_1_3 : 0</v>
      </c>
      <c r="K25" s="53" t="str">
        <f t="shared" si="5"/>
        <v>0.00292 - (0.0093 * E1_1_1_3_mRNA)</v>
      </c>
      <c r="L25" s="54" t="str">
        <f t="shared" si="6"/>
        <v>(0.278 * E1_1_1_3_mRNA) - (0.00000278 * E1_1_1_3)</v>
      </c>
      <c r="M25" s="55" t="str">
        <f t="shared" si="7"/>
        <v>mRNA24: -&gt; E1_1_1_3_mRNA | 0.00292 - (0.0093 * E1_1_1_3_mRNA)</v>
      </c>
      <c r="N25" s="56" t="str">
        <f t="shared" si="8"/>
        <v>Peptide24: E1_1_1_3_mRNA -&gt; E1_1_1_3 | (0.278 * E1_1_1_3_mRNA) - (0.000000278 * E1_1_1_3)</v>
      </c>
    </row>
    <row r="26" spans="1:14" ht="29">
      <c r="A26" s="46">
        <v>25</v>
      </c>
      <c r="B26" s="7" t="s">
        <v>12315</v>
      </c>
      <c r="C26" s="27" t="str">
        <f t="shared" si="0"/>
        <v>E6_1_1_11_mRNA</v>
      </c>
      <c r="D26" s="47" t="str">
        <f t="shared" si="9"/>
        <v>E6_1_1_11</v>
      </c>
      <c r="E26" s="48" t="str">
        <f t="shared" si="1"/>
        <v>E6_1_1_11_kcat : 13.7</v>
      </c>
      <c r="F26" s="49" t="str">
        <f t="shared" si="2"/>
        <v>E6_1_1_11_km : 1</v>
      </c>
      <c r="G26" s="9" t="str">
        <f t="shared" ref="G26:H26" si="56">CONCATENATE(C26," : ",C26)</f>
        <v>E6_1_1_11_mRNA : E6_1_1_11_mRNA</v>
      </c>
      <c r="H26" s="50" t="str">
        <f t="shared" si="56"/>
        <v>E6_1_1_11 : E6_1_1_11</v>
      </c>
      <c r="I26" s="51" t="str">
        <f t="shared" ref="I26:J26" si="57">CONCATENATE(C26," : ","0")</f>
        <v>E6_1_1_11_mRNA : 0</v>
      </c>
      <c r="J26" s="52" t="str">
        <f t="shared" si="57"/>
        <v>E6_1_1_11 : 0</v>
      </c>
      <c r="K26" s="53" t="str">
        <f t="shared" si="5"/>
        <v>0.00292 - (0.0093 * E6_1_1_11_mRNA)</v>
      </c>
      <c r="L26" s="54" t="str">
        <f t="shared" si="6"/>
        <v>(0.278 * E6_1_1_11_mRNA) - (0.00000278 * E6_1_1_11)</v>
      </c>
      <c r="M26" s="55" t="str">
        <f t="shared" si="7"/>
        <v>mRNA25: -&gt; E6_1_1_11_mRNA | 0.00292 - (0.0093 * E6_1_1_11_mRNA)</v>
      </c>
      <c r="N26" s="56" t="str">
        <f t="shared" si="8"/>
        <v>Peptide25: E6_1_1_11_mRNA -&gt; E6_1_1_11 | (0.278 * E6_1_1_11_mRNA) - (0.000000278 * E6_1_1_11)</v>
      </c>
    </row>
    <row r="27" spans="1:14" ht="29">
      <c r="A27" s="46">
        <v>26</v>
      </c>
      <c r="B27" s="7" t="s">
        <v>12316</v>
      </c>
      <c r="C27" s="27" t="str">
        <f t="shared" si="0"/>
        <v>E3_1_26_4_mRNA</v>
      </c>
      <c r="D27" s="47" t="str">
        <f t="shared" si="9"/>
        <v>E3_1_26_4</v>
      </c>
      <c r="E27" s="48" t="str">
        <f t="shared" si="1"/>
        <v>E3_1_26_4_kcat : 13.7</v>
      </c>
      <c r="F27" s="49" t="str">
        <f t="shared" si="2"/>
        <v>E3_1_26_4_km : 1</v>
      </c>
      <c r="G27" s="9" t="str">
        <f t="shared" ref="G27:H27" si="58">CONCATENATE(C27," : ",C27)</f>
        <v>E3_1_26_4_mRNA : E3_1_26_4_mRNA</v>
      </c>
      <c r="H27" s="50" t="str">
        <f t="shared" si="58"/>
        <v>E3_1_26_4 : E3_1_26_4</v>
      </c>
      <c r="I27" s="51" t="str">
        <f t="shared" ref="I27:J27" si="59">CONCATENATE(C27," : ","0")</f>
        <v>E3_1_26_4_mRNA : 0</v>
      </c>
      <c r="J27" s="52" t="str">
        <f t="shared" si="59"/>
        <v>E3_1_26_4 : 0</v>
      </c>
      <c r="K27" s="53" t="str">
        <f t="shared" si="5"/>
        <v>0.00292 - (0.0093 * E3_1_26_4_mRNA)</v>
      </c>
      <c r="L27" s="54" t="str">
        <f t="shared" si="6"/>
        <v>(0.278 * E3_1_26_4_mRNA) - (0.00000278 * E3_1_26_4)</v>
      </c>
      <c r="M27" s="55" t="str">
        <f t="shared" si="7"/>
        <v>mRNA26: -&gt; E3_1_26_4_mRNA | 0.00292 - (0.0093 * E3_1_26_4_mRNA)</v>
      </c>
      <c r="N27" s="56" t="str">
        <f t="shared" si="8"/>
        <v>Peptide26: E3_1_26_4_mRNA -&gt; E3_1_26_4 | (0.278 * E3_1_26_4_mRNA) - (0.000000278 * E3_1_26_4)</v>
      </c>
    </row>
    <row r="28" spans="1:14" ht="29">
      <c r="A28" s="46">
        <v>27</v>
      </c>
      <c r="B28" s="7" t="s">
        <v>12317</v>
      </c>
      <c r="C28" s="27" t="str">
        <f t="shared" si="0"/>
        <v>E3_4_21_89_mRNA</v>
      </c>
      <c r="D28" s="47" t="str">
        <f t="shared" si="9"/>
        <v>E3_4_21_89</v>
      </c>
      <c r="E28" s="48" t="str">
        <f t="shared" si="1"/>
        <v>E3_4_21_89_kcat : 13.7</v>
      </c>
      <c r="F28" s="49" t="str">
        <f t="shared" si="2"/>
        <v>E3_4_21_89_km : 1</v>
      </c>
      <c r="G28" s="9" t="str">
        <f t="shared" ref="G28:H28" si="60">CONCATENATE(C28," : ",C28)</f>
        <v>E3_4_21_89_mRNA : E3_4_21_89_mRNA</v>
      </c>
      <c r="H28" s="50" t="str">
        <f t="shared" si="60"/>
        <v>E3_4_21_89 : E3_4_21_89</v>
      </c>
      <c r="I28" s="51" t="str">
        <f t="shared" ref="I28:J28" si="61">CONCATENATE(C28," : ","0")</f>
        <v>E3_4_21_89_mRNA : 0</v>
      </c>
      <c r="J28" s="52" t="str">
        <f t="shared" si="61"/>
        <v>E3_4_21_89 : 0</v>
      </c>
      <c r="K28" s="53" t="str">
        <f t="shared" si="5"/>
        <v>0.00292 - (0.0093 * E3_4_21_89_mRNA)</v>
      </c>
      <c r="L28" s="54" t="str">
        <f t="shared" si="6"/>
        <v>(0.278 * E3_4_21_89_mRNA) - (0.00000278 * E3_4_21_89)</v>
      </c>
      <c r="M28" s="55" t="str">
        <f t="shared" si="7"/>
        <v>mRNA27: -&gt; E3_4_21_89_mRNA | 0.00292 - (0.0093 * E3_4_21_89_mRNA)</v>
      </c>
      <c r="N28" s="56" t="str">
        <f t="shared" si="8"/>
        <v>Peptide27: E3_4_21_89_mRNA -&gt; E3_4_21_89 | (0.278 * E3_4_21_89_mRNA) - (0.000000278 * E3_4_21_89)</v>
      </c>
    </row>
    <row r="29" spans="1:14" ht="29">
      <c r="A29" s="46">
        <v>28</v>
      </c>
      <c r="B29" s="7" t="s">
        <v>12318</v>
      </c>
      <c r="C29" s="27" t="str">
        <f t="shared" si="0"/>
        <v>E3_1_11_5_mRNA</v>
      </c>
      <c r="D29" s="47" t="str">
        <f t="shared" si="9"/>
        <v>E3_1_11_5</v>
      </c>
      <c r="E29" s="48" t="str">
        <f t="shared" si="1"/>
        <v>E3_1_11_5_kcat : 13.7</v>
      </c>
      <c r="F29" s="49" t="str">
        <f t="shared" si="2"/>
        <v>E3_1_11_5_km : 1</v>
      </c>
      <c r="G29" s="9" t="str">
        <f t="shared" ref="G29:H29" si="62">CONCATENATE(C29," : ",C29)</f>
        <v>E3_1_11_5_mRNA : E3_1_11_5_mRNA</v>
      </c>
      <c r="H29" s="50" t="str">
        <f t="shared" si="62"/>
        <v>E3_1_11_5 : E3_1_11_5</v>
      </c>
      <c r="I29" s="51" t="str">
        <f t="shared" ref="I29:J29" si="63">CONCATENATE(C29," : ","0")</f>
        <v>E3_1_11_5_mRNA : 0</v>
      </c>
      <c r="J29" s="52" t="str">
        <f t="shared" si="63"/>
        <v>E3_1_11_5 : 0</v>
      </c>
      <c r="K29" s="53" t="str">
        <f t="shared" si="5"/>
        <v>0.00292 - (0.0093 * E3_1_11_5_mRNA)</v>
      </c>
      <c r="L29" s="54" t="str">
        <f t="shared" si="6"/>
        <v>(0.278 * E3_1_11_5_mRNA) - (0.00000278 * E3_1_11_5)</v>
      </c>
      <c r="M29" s="55" t="str">
        <f t="shared" si="7"/>
        <v>mRNA28: -&gt; E3_1_11_5_mRNA | 0.00292 - (0.0093 * E3_1_11_5_mRNA)</v>
      </c>
      <c r="N29" s="56" t="str">
        <f t="shared" si="8"/>
        <v>Peptide28: E3_1_11_5_mRNA -&gt; E3_1_11_5 | (0.278 * E3_1_11_5_mRNA) - (0.000000278 * E3_1_11_5)</v>
      </c>
    </row>
    <row r="30" spans="1:14" ht="29">
      <c r="A30" s="46">
        <v>29</v>
      </c>
      <c r="B30" s="7" t="s">
        <v>12319</v>
      </c>
      <c r="C30" s="27" t="str">
        <f t="shared" si="0"/>
        <v>E5_2_1_8_mRNA</v>
      </c>
      <c r="D30" s="47" t="str">
        <f t="shared" si="9"/>
        <v>E5_2_1_8</v>
      </c>
      <c r="E30" s="48" t="str">
        <f t="shared" si="1"/>
        <v>E5_2_1_8_kcat : 13.7</v>
      </c>
      <c r="F30" s="49" t="str">
        <f t="shared" si="2"/>
        <v>E5_2_1_8_km : 1</v>
      </c>
      <c r="G30" s="9" t="str">
        <f t="shared" ref="G30:H30" si="64">CONCATENATE(C30," : ",C30)</f>
        <v>E5_2_1_8_mRNA : E5_2_1_8_mRNA</v>
      </c>
      <c r="H30" s="50" t="str">
        <f t="shared" si="64"/>
        <v>E5_2_1_8 : E5_2_1_8</v>
      </c>
      <c r="I30" s="51" t="str">
        <f t="shared" ref="I30:J30" si="65">CONCATENATE(C30," : ","0")</f>
        <v>E5_2_1_8_mRNA : 0</v>
      </c>
      <c r="J30" s="52" t="str">
        <f t="shared" si="65"/>
        <v>E5_2_1_8 : 0</v>
      </c>
      <c r="K30" s="53" t="str">
        <f t="shared" si="5"/>
        <v>0.00292 - (0.0093 * E5_2_1_8_mRNA)</v>
      </c>
      <c r="L30" s="54" t="str">
        <f t="shared" si="6"/>
        <v>(0.278 * E5_2_1_8_mRNA) - (0.00000278 * E5_2_1_8)</v>
      </c>
      <c r="M30" s="55" t="str">
        <f t="shared" si="7"/>
        <v>mRNA29: -&gt; E5_2_1_8_mRNA | 0.00292 - (0.0093 * E5_2_1_8_mRNA)</v>
      </c>
      <c r="N30" s="56" t="str">
        <f t="shared" si="8"/>
        <v>Peptide29: E5_2_1_8_mRNA -&gt; E5_2_1_8 | (0.278 * E5_2_1_8_mRNA) - (0.000000278 * E5_2_1_8)</v>
      </c>
    </row>
    <row r="31" spans="1:14" ht="29">
      <c r="A31" s="46">
        <v>30</v>
      </c>
      <c r="B31" s="7" t="s">
        <v>12320</v>
      </c>
      <c r="C31" s="27" t="str">
        <f t="shared" si="0"/>
        <v>E3_4_21_19_mRNA</v>
      </c>
      <c r="D31" s="47" t="str">
        <f t="shared" si="9"/>
        <v>E3_4_21_19</v>
      </c>
      <c r="E31" s="48" t="str">
        <f t="shared" si="1"/>
        <v>E3_4_21_19_kcat : 13.7</v>
      </c>
      <c r="F31" s="49" t="str">
        <f t="shared" si="2"/>
        <v>E3_4_21_19_km : 1</v>
      </c>
      <c r="G31" s="9" t="str">
        <f t="shared" ref="G31:H31" si="66">CONCATENATE(C31," : ",C31)</f>
        <v>E3_4_21_19_mRNA : E3_4_21_19_mRNA</v>
      </c>
      <c r="H31" s="50" t="str">
        <f t="shared" si="66"/>
        <v>E3_4_21_19 : E3_4_21_19</v>
      </c>
      <c r="I31" s="51" t="str">
        <f t="shared" ref="I31:J31" si="67">CONCATENATE(C31," : ","0")</f>
        <v>E3_4_21_19_mRNA : 0</v>
      </c>
      <c r="J31" s="52" t="str">
        <f t="shared" si="67"/>
        <v>E3_4_21_19 : 0</v>
      </c>
      <c r="K31" s="53" t="str">
        <f t="shared" si="5"/>
        <v>0.00292 - (0.0093 * E3_4_21_19_mRNA)</v>
      </c>
      <c r="L31" s="54" t="str">
        <f t="shared" si="6"/>
        <v>(0.278 * E3_4_21_19_mRNA) - (0.00000278 * E3_4_21_19)</v>
      </c>
      <c r="M31" s="55" t="str">
        <f t="shared" si="7"/>
        <v>mRNA30: -&gt; E3_4_21_19_mRNA | 0.00292 - (0.0093 * E3_4_21_19_mRNA)</v>
      </c>
      <c r="N31" s="56" t="str">
        <f t="shared" si="8"/>
        <v>Peptide30: E3_4_21_19_mRNA -&gt; E3_4_21_19 | (0.278 * E3_4_21_19_mRNA) - (0.000000278 * E3_4_21_19)</v>
      </c>
    </row>
    <row r="32" spans="1:14" ht="29">
      <c r="A32" s="46">
        <v>31</v>
      </c>
      <c r="B32" s="7" t="s">
        <v>12321</v>
      </c>
      <c r="C32" s="27" t="str">
        <f t="shared" si="0"/>
        <v>E2_7_13_3_mRNA</v>
      </c>
      <c r="D32" s="47" t="str">
        <f t="shared" si="9"/>
        <v>E2_7_13_3</v>
      </c>
      <c r="E32" s="48" t="str">
        <f t="shared" si="1"/>
        <v>E2_7_13_3_kcat : 13.7</v>
      </c>
      <c r="F32" s="49" t="str">
        <f t="shared" si="2"/>
        <v>E2_7_13_3_km : 1</v>
      </c>
      <c r="G32" s="9" t="str">
        <f t="shared" ref="G32:H32" si="68">CONCATENATE(C32," : ",C32)</f>
        <v>E2_7_13_3_mRNA : E2_7_13_3_mRNA</v>
      </c>
      <c r="H32" s="50" t="str">
        <f t="shared" si="68"/>
        <v>E2_7_13_3 : E2_7_13_3</v>
      </c>
      <c r="I32" s="51" t="str">
        <f t="shared" ref="I32:J32" si="69">CONCATENATE(C32," : ","0")</f>
        <v>E2_7_13_3_mRNA : 0</v>
      </c>
      <c r="J32" s="52" t="str">
        <f t="shared" si="69"/>
        <v>E2_7_13_3 : 0</v>
      </c>
      <c r="K32" s="53" t="str">
        <f t="shared" si="5"/>
        <v>0.00292 - (0.0093 * E2_7_13_3_mRNA)</v>
      </c>
      <c r="L32" s="54" t="str">
        <f t="shared" si="6"/>
        <v>(0.278 * E2_7_13_3_mRNA) - (0.00000278 * E2_7_13_3)</v>
      </c>
      <c r="M32" s="55" t="str">
        <f t="shared" si="7"/>
        <v>mRNA31: -&gt; E2_7_13_3_mRNA | 0.00292 - (0.0093 * E2_7_13_3_mRNA)</v>
      </c>
      <c r="N32" s="56" t="str">
        <f t="shared" si="8"/>
        <v>Peptide31: E2_7_13_3_mRNA -&gt; E2_7_13_3 | (0.278 * E2_7_13_3_mRNA) - (0.000000278 * E2_7_13_3)</v>
      </c>
    </row>
    <row r="33" spans="1:14" ht="29">
      <c r="A33" s="46">
        <v>32</v>
      </c>
      <c r="B33" s="7" t="s">
        <v>12322</v>
      </c>
      <c r="C33" s="27" t="str">
        <f t="shared" si="0"/>
        <v>E5_3_3_2_mRNA</v>
      </c>
      <c r="D33" s="47" t="str">
        <f t="shared" si="9"/>
        <v>E5_3_3_2</v>
      </c>
      <c r="E33" s="48" t="str">
        <f t="shared" si="1"/>
        <v>E5_3_3_2_kcat : 13.7</v>
      </c>
      <c r="F33" s="49" t="str">
        <f t="shared" si="2"/>
        <v>E5_3_3_2_km : 1</v>
      </c>
      <c r="G33" s="9" t="str">
        <f t="shared" ref="G33:H33" si="70">CONCATENATE(C33," : ",C33)</f>
        <v>E5_3_3_2_mRNA : E5_3_3_2_mRNA</v>
      </c>
      <c r="H33" s="50" t="str">
        <f t="shared" si="70"/>
        <v>E5_3_3_2 : E5_3_3_2</v>
      </c>
      <c r="I33" s="51" t="str">
        <f t="shared" ref="I33:J33" si="71">CONCATENATE(C33," : ","0")</f>
        <v>E5_3_3_2_mRNA : 0</v>
      </c>
      <c r="J33" s="52" t="str">
        <f t="shared" si="71"/>
        <v>E5_3_3_2 : 0</v>
      </c>
      <c r="K33" s="53" t="str">
        <f t="shared" si="5"/>
        <v>0.00292 - (0.0093 * E5_3_3_2_mRNA)</v>
      </c>
      <c r="L33" s="54" t="str">
        <f t="shared" si="6"/>
        <v>(0.278 * E5_3_3_2_mRNA) - (0.00000278 * E5_3_3_2)</v>
      </c>
      <c r="M33" s="55" t="str">
        <f t="shared" si="7"/>
        <v>mRNA32: -&gt; E5_3_3_2_mRNA | 0.00292 - (0.0093 * E5_3_3_2_mRNA)</v>
      </c>
      <c r="N33" s="56" t="str">
        <f t="shared" si="8"/>
        <v>Peptide32: E5_3_3_2_mRNA -&gt; E5_3_3_2 | (0.278 * E5_3_3_2_mRNA) - (0.000000278 * E5_3_3_2)</v>
      </c>
    </row>
    <row r="34" spans="1:14" ht="29">
      <c r="A34" s="46">
        <v>33</v>
      </c>
      <c r="B34" s="7" t="s">
        <v>12323</v>
      </c>
      <c r="C34" s="27" t="str">
        <f t="shared" si="0"/>
        <v>E2_7_4_2_mRNA</v>
      </c>
      <c r="D34" s="47" t="str">
        <f t="shared" si="9"/>
        <v>E2_7_4_2</v>
      </c>
      <c r="E34" s="48" t="str">
        <f t="shared" si="1"/>
        <v>E2_7_4_2_kcat : 13.7</v>
      </c>
      <c r="F34" s="49" t="str">
        <f t="shared" si="2"/>
        <v>E2_7_4_2_km : 1</v>
      </c>
      <c r="G34" s="9" t="str">
        <f t="shared" ref="G34:H34" si="72">CONCATENATE(C34," : ",C34)</f>
        <v>E2_7_4_2_mRNA : E2_7_4_2_mRNA</v>
      </c>
      <c r="H34" s="50" t="str">
        <f t="shared" si="72"/>
        <v>E2_7_4_2 : E2_7_4_2</v>
      </c>
      <c r="I34" s="51" t="str">
        <f t="shared" ref="I34:J34" si="73">CONCATENATE(C34," : ","0")</f>
        <v>E2_7_4_2_mRNA : 0</v>
      </c>
      <c r="J34" s="52" t="str">
        <f t="shared" si="73"/>
        <v>E2_7_4_2 : 0</v>
      </c>
      <c r="K34" s="53" t="str">
        <f t="shared" si="5"/>
        <v>0.00292 - (0.0093 * E2_7_4_2_mRNA)</v>
      </c>
      <c r="L34" s="54" t="str">
        <f t="shared" si="6"/>
        <v>(0.278 * E2_7_4_2_mRNA) - (0.00000278 * E2_7_4_2)</v>
      </c>
      <c r="M34" s="55" t="str">
        <f t="shared" si="7"/>
        <v>mRNA33: -&gt; E2_7_4_2_mRNA | 0.00292 - (0.0093 * E2_7_4_2_mRNA)</v>
      </c>
      <c r="N34" s="56" t="str">
        <f t="shared" si="8"/>
        <v>Peptide33: E2_7_4_2_mRNA -&gt; E2_7_4_2 | (0.278 * E2_7_4_2_mRNA) - (0.000000278 * E2_7_4_2)</v>
      </c>
    </row>
    <row r="35" spans="1:14" ht="29">
      <c r="A35" s="46">
        <v>34</v>
      </c>
      <c r="B35" s="7" t="s">
        <v>12324</v>
      </c>
      <c r="C35" s="27" t="str">
        <f t="shared" si="0"/>
        <v>E4_1_1_33_mRNA</v>
      </c>
      <c r="D35" s="47" t="str">
        <f t="shared" si="9"/>
        <v>E4_1_1_33</v>
      </c>
      <c r="E35" s="48" t="str">
        <f t="shared" si="1"/>
        <v>E4_1_1_33_kcat : 13.7</v>
      </c>
      <c r="F35" s="49" t="str">
        <f t="shared" si="2"/>
        <v>E4_1_1_33_km : 1</v>
      </c>
      <c r="G35" s="9" t="str">
        <f t="shared" ref="G35:H35" si="74">CONCATENATE(C35," : ",C35)</f>
        <v>E4_1_1_33_mRNA : E4_1_1_33_mRNA</v>
      </c>
      <c r="H35" s="50" t="str">
        <f t="shared" si="74"/>
        <v>E4_1_1_33 : E4_1_1_33</v>
      </c>
      <c r="I35" s="51" t="str">
        <f t="shared" ref="I35:J35" si="75">CONCATENATE(C35," : ","0")</f>
        <v>E4_1_1_33_mRNA : 0</v>
      </c>
      <c r="J35" s="52" t="str">
        <f t="shared" si="75"/>
        <v>E4_1_1_33 : 0</v>
      </c>
      <c r="K35" s="53" t="str">
        <f t="shared" si="5"/>
        <v>0.00292 - (0.0093 * E4_1_1_33_mRNA)</v>
      </c>
      <c r="L35" s="54" t="str">
        <f t="shared" si="6"/>
        <v>(0.278 * E4_1_1_33_mRNA) - (0.00000278 * E4_1_1_33)</v>
      </c>
      <c r="M35" s="55" t="str">
        <f t="shared" si="7"/>
        <v>mRNA34: -&gt; E4_1_1_33_mRNA | 0.00292 - (0.0093 * E4_1_1_33_mRNA)</v>
      </c>
      <c r="N35" s="56" t="str">
        <f t="shared" si="8"/>
        <v>Peptide34: E4_1_1_33_mRNA -&gt; E4_1_1_33 | (0.278 * E4_1_1_33_mRNA) - (0.000000278 * E4_1_1_33)</v>
      </c>
    </row>
    <row r="36" spans="1:14" ht="29">
      <c r="A36" s="46">
        <v>35</v>
      </c>
      <c r="B36" s="7" t="s">
        <v>12325</v>
      </c>
      <c r="C36" s="27" t="str">
        <f t="shared" si="0"/>
        <v>E3_5_1_28_mRNA</v>
      </c>
      <c r="D36" s="47" t="str">
        <f t="shared" si="9"/>
        <v>E3_5_1_28</v>
      </c>
      <c r="E36" s="48" t="str">
        <f t="shared" si="1"/>
        <v>E3_5_1_28_kcat : 13.7</v>
      </c>
      <c r="F36" s="49" t="str">
        <f t="shared" si="2"/>
        <v>E3_5_1_28_km : 1</v>
      </c>
      <c r="G36" s="9" t="str">
        <f t="shared" ref="G36:H36" si="76">CONCATENATE(C36," : ",C36)</f>
        <v>E3_5_1_28_mRNA : E3_5_1_28_mRNA</v>
      </c>
      <c r="H36" s="50" t="str">
        <f t="shared" si="76"/>
        <v>E3_5_1_28 : E3_5_1_28</v>
      </c>
      <c r="I36" s="51" t="str">
        <f t="shared" ref="I36:J36" si="77">CONCATENATE(C36," : ","0")</f>
        <v>E3_5_1_28_mRNA : 0</v>
      </c>
      <c r="J36" s="52" t="str">
        <f t="shared" si="77"/>
        <v>E3_5_1_28 : 0</v>
      </c>
      <c r="K36" s="53" t="str">
        <f t="shared" si="5"/>
        <v>0.00292 - (0.0093 * E3_5_1_28_mRNA)</v>
      </c>
      <c r="L36" s="54" t="str">
        <f t="shared" si="6"/>
        <v>(0.278 * E3_5_1_28_mRNA) - (0.00000278 * E3_5_1_28)</v>
      </c>
      <c r="M36" s="55" t="str">
        <f t="shared" si="7"/>
        <v>mRNA35: -&gt; E3_5_1_28_mRNA | 0.00292 - (0.0093 * E3_5_1_28_mRNA)</v>
      </c>
      <c r="N36" s="56" t="str">
        <f t="shared" si="8"/>
        <v>Peptide35: E3_5_1_28_mRNA -&gt; E3_5_1_28 | (0.278 * E3_5_1_28_mRNA) - (0.000000278 * E3_5_1_28)</v>
      </c>
    </row>
    <row r="37" spans="1:14" ht="29">
      <c r="A37" s="46">
        <v>36</v>
      </c>
      <c r="B37" s="7" t="s">
        <v>12326</v>
      </c>
      <c r="C37" s="27" t="str">
        <f t="shared" si="0"/>
        <v>E1_1_1_44_mRNA</v>
      </c>
      <c r="D37" s="47" t="str">
        <f t="shared" si="9"/>
        <v>E1_1_1_44</v>
      </c>
      <c r="E37" s="48" t="str">
        <f t="shared" si="1"/>
        <v>E1_1_1_44_kcat : 13.7</v>
      </c>
      <c r="F37" s="49" t="str">
        <f t="shared" si="2"/>
        <v>E1_1_1_44_km : 1</v>
      </c>
      <c r="G37" s="9" t="str">
        <f t="shared" ref="G37:H37" si="78">CONCATENATE(C37," : ",C37)</f>
        <v>E1_1_1_44_mRNA : E1_1_1_44_mRNA</v>
      </c>
      <c r="H37" s="50" t="str">
        <f t="shared" si="78"/>
        <v>E1_1_1_44 : E1_1_1_44</v>
      </c>
      <c r="I37" s="51" t="str">
        <f t="shared" ref="I37:J37" si="79">CONCATENATE(C37," : ","0")</f>
        <v>E1_1_1_44_mRNA : 0</v>
      </c>
      <c r="J37" s="52" t="str">
        <f t="shared" si="79"/>
        <v>E1_1_1_44 : 0</v>
      </c>
      <c r="K37" s="53" t="str">
        <f t="shared" si="5"/>
        <v>0.00292 - (0.0093 * E1_1_1_44_mRNA)</v>
      </c>
      <c r="L37" s="54" t="str">
        <f t="shared" si="6"/>
        <v>(0.278 * E1_1_1_44_mRNA) - (0.00000278 * E1_1_1_44)</v>
      </c>
      <c r="M37" s="55" t="str">
        <f t="shared" si="7"/>
        <v>mRNA36: -&gt; E1_1_1_44_mRNA | 0.00292 - (0.0093 * E1_1_1_44_mRNA)</v>
      </c>
      <c r="N37" s="56" t="str">
        <f t="shared" si="8"/>
        <v>Peptide36: E1_1_1_44_mRNA -&gt; E1_1_1_44 | (0.278 * E1_1_1_44_mRNA) - (0.000000278 * E1_1_1_44)</v>
      </c>
    </row>
    <row r="38" spans="1:14" ht="29">
      <c r="A38" s="46">
        <v>37</v>
      </c>
      <c r="B38" s="7" t="s">
        <v>12327</v>
      </c>
      <c r="C38" s="27" t="str">
        <f t="shared" si="0"/>
        <v>E3_1_22_4_mRNA</v>
      </c>
      <c r="D38" s="47" t="str">
        <f t="shared" si="9"/>
        <v>E3_1_22_4</v>
      </c>
      <c r="E38" s="48" t="str">
        <f t="shared" si="1"/>
        <v>E3_1_22_4_kcat : 13.7</v>
      </c>
      <c r="F38" s="49" t="str">
        <f t="shared" si="2"/>
        <v>E3_1_22_4_km : 1</v>
      </c>
      <c r="G38" s="9" t="str">
        <f t="shared" ref="G38:H38" si="80">CONCATENATE(C38," : ",C38)</f>
        <v>E3_1_22_4_mRNA : E3_1_22_4_mRNA</v>
      </c>
      <c r="H38" s="50" t="str">
        <f t="shared" si="80"/>
        <v>E3_1_22_4 : E3_1_22_4</v>
      </c>
      <c r="I38" s="51" t="str">
        <f t="shared" ref="I38:J38" si="81">CONCATENATE(C38," : ","0")</f>
        <v>E3_1_22_4_mRNA : 0</v>
      </c>
      <c r="J38" s="52" t="str">
        <f t="shared" si="81"/>
        <v>E3_1_22_4 : 0</v>
      </c>
      <c r="K38" s="53" t="str">
        <f t="shared" si="5"/>
        <v>0.00292 - (0.0093 * E3_1_22_4_mRNA)</v>
      </c>
      <c r="L38" s="54" t="str">
        <f t="shared" si="6"/>
        <v>(0.278 * E3_1_22_4_mRNA) - (0.00000278 * E3_1_22_4)</v>
      </c>
      <c r="M38" s="55" t="str">
        <f t="shared" si="7"/>
        <v>mRNA37: -&gt; E3_1_22_4_mRNA | 0.00292 - (0.0093 * E3_1_22_4_mRNA)</v>
      </c>
      <c r="N38" s="56" t="str">
        <f t="shared" si="8"/>
        <v>Peptide37: E3_1_22_4_mRNA -&gt; E3_1_22_4 | (0.278 * E3_1_22_4_mRNA) - (0.000000278 * E3_1_22_4)</v>
      </c>
    </row>
    <row r="39" spans="1:14" ht="29">
      <c r="A39" s="46">
        <v>38</v>
      </c>
      <c r="B39" s="7" t="s">
        <v>12328</v>
      </c>
      <c r="C39" s="27" t="str">
        <f t="shared" si="0"/>
        <v>E2_1_1_173_mRNA</v>
      </c>
      <c r="D39" s="47" t="str">
        <f t="shared" si="9"/>
        <v>E2_1_1_173</v>
      </c>
      <c r="E39" s="48" t="str">
        <f t="shared" si="1"/>
        <v>E2_1_1_173_kcat : 13.7</v>
      </c>
      <c r="F39" s="49" t="str">
        <f t="shared" si="2"/>
        <v>E2_1_1_173_km : 1</v>
      </c>
      <c r="G39" s="9" t="str">
        <f t="shared" ref="G39:H39" si="82">CONCATENATE(C39," : ",C39)</f>
        <v>E2_1_1_173_mRNA : E2_1_1_173_mRNA</v>
      </c>
      <c r="H39" s="50" t="str">
        <f t="shared" si="82"/>
        <v>E2_1_1_173 : E2_1_1_173</v>
      </c>
      <c r="I39" s="51" t="str">
        <f t="shared" ref="I39:J39" si="83">CONCATENATE(C39," : ","0")</f>
        <v>E2_1_1_173_mRNA : 0</v>
      </c>
      <c r="J39" s="52" t="str">
        <f t="shared" si="83"/>
        <v>E2_1_1_173 : 0</v>
      </c>
      <c r="K39" s="53" t="str">
        <f t="shared" si="5"/>
        <v>0.00292 - (0.0093 * E2_1_1_173_mRNA)</v>
      </c>
      <c r="L39" s="54" t="str">
        <f t="shared" si="6"/>
        <v>(0.278 * E2_1_1_173_mRNA) - (0.00000278 * E2_1_1_173)</v>
      </c>
      <c r="M39" s="55" t="str">
        <f t="shared" si="7"/>
        <v>mRNA38: -&gt; E2_1_1_173_mRNA | 0.00292 - (0.0093 * E2_1_1_173_mRNA)</v>
      </c>
      <c r="N39" s="56" t="str">
        <f t="shared" si="8"/>
        <v>Peptide38: E2_1_1_173_mRNA -&gt; E2_1_1_173 | (0.278 * E2_1_1_173_mRNA) - (0.000000278 * E2_1_1_173)</v>
      </c>
    </row>
    <row r="40" spans="1:14" ht="29">
      <c r="A40" s="46">
        <v>39</v>
      </c>
      <c r="B40" s="7" t="s">
        <v>12329</v>
      </c>
      <c r="C40" s="27" t="str">
        <f t="shared" si="0"/>
        <v>E3_2_1_97_mRNA</v>
      </c>
      <c r="D40" s="47" t="str">
        <f t="shared" si="9"/>
        <v>E3_2_1_97</v>
      </c>
      <c r="E40" s="48" t="str">
        <f t="shared" si="1"/>
        <v>E3_2_1_97_kcat : 13.7</v>
      </c>
      <c r="F40" s="49" t="str">
        <f t="shared" si="2"/>
        <v>E3_2_1_97_km : 1</v>
      </c>
      <c r="G40" s="9" t="str">
        <f t="shared" ref="G40:H40" si="84">CONCATENATE(C40," : ",C40)</f>
        <v>E3_2_1_97_mRNA : E3_2_1_97_mRNA</v>
      </c>
      <c r="H40" s="50" t="str">
        <f t="shared" si="84"/>
        <v>E3_2_1_97 : E3_2_1_97</v>
      </c>
      <c r="I40" s="51" t="str">
        <f t="shared" ref="I40:J40" si="85">CONCATENATE(C40," : ","0")</f>
        <v>E3_2_1_97_mRNA : 0</v>
      </c>
      <c r="J40" s="52" t="str">
        <f t="shared" si="85"/>
        <v>E3_2_1_97 : 0</v>
      </c>
      <c r="K40" s="53" t="str">
        <f t="shared" si="5"/>
        <v>0.00292 - (0.0093 * E3_2_1_97_mRNA)</v>
      </c>
      <c r="L40" s="54" t="str">
        <f t="shared" si="6"/>
        <v>(0.278 * E3_2_1_97_mRNA) - (0.00000278 * E3_2_1_97)</v>
      </c>
      <c r="M40" s="55" t="str">
        <f t="shared" si="7"/>
        <v>mRNA39: -&gt; E3_2_1_97_mRNA | 0.00292 - (0.0093 * E3_2_1_97_mRNA)</v>
      </c>
      <c r="N40" s="56" t="str">
        <f t="shared" si="8"/>
        <v>Peptide39: E3_2_1_97_mRNA -&gt; E3_2_1_97 | (0.278 * E3_2_1_97_mRNA) - (0.000000278 * E3_2_1_97)</v>
      </c>
    </row>
    <row r="41" spans="1:14" ht="29">
      <c r="A41" s="46">
        <v>40</v>
      </c>
      <c r="B41" s="7" t="s">
        <v>12330</v>
      </c>
      <c r="C41" s="27" t="str">
        <f t="shared" si="0"/>
        <v>E1_1_1_133_mRNA</v>
      </c>
      <c r="D41" s="47" t="str">
        <f t="shared" si="9"/>
        <v>E1_1_1_133</v>
      </c>
      <c r="E41" s="48" t="str">
        <f t="shared" si="1"/>
        <v>E1_1_1_133_kcat : 13.7</v>
      </c>
      <c r="F41" s="49" t="str">
        <f t="shared" si="2"/>
        <v>E1_1_1_133_km : 1</v>
      </c>
      <c r="G41" s="9" t="str">
        <f t="shared" ref="G41:H41" si="86">CONCATENATE(C41," : ",C41)</f>
        <v>E1_1_1_133_mRNA : E1_1_1_133_mRNA</v>
      </c>
      <c r="H41" s="50" t="str">
        <f t="shared" si="86"/>
        <v>E1_1_1_133 : E1_1_1_133</v>
      </c>
      <c r="I41" s="51" t="str">
        <f t="shared" ref="I41:J41" si="87">CONCATENATE(C41," : ","0")</f>
        <v>E1_1_1_133_mRNA : 0</v>
      </c>
      <c r="J41" s="52" t="str">
        <f t="shared" si="87"/>
        <v>E1_1_1_133 : 0</v>
      </c>
      <c r="K41" s="53" t="str">
        <f t="shared" si="5"/>
        <v>0.00292 - (0.0093 * E1_1_1_133_mRNA)</v>
      </c>
      <c r="L41" s="54" t="str">
        <f t="shared" si="6"/>
        <v>(0.278 * E1_1_1_133_mRNA) - (0.00000278 * E1_1_1_133)</v>
      </c>
      <c r="M41" s="55" t="str">
        <f t="shared" si="7"/>
        <v>mRNA40: -&gt; E1_1_1_133_mRNA | 0.00292 - (0.0093 * E1_1_1_133_mRNA)</v>
      </c>
      <c r="N41" s="56" t="str">
        <f t="shared" si="8"/>
        <v>Peptide40: E1_1_1_133_mRNA -&gt; E1_1_1_133 | (0.278 * E1_1_1_133_mRNA) - (0.000000278 * E1_1_1_133)</v>
      </c>
    </row>
    <row r="42" spans="1:14" ht="29">
      <c r="A42" s="46">
        <v>41</v>
      </c>
      <c r="B42" s="7" t="s">
        <v>12331</v>
      </c>
      <c r="C42" s="27" t="str">
        <f t="shared" si="0"/>
        <v>E4_2_1_46_mRNA</v>
      </c>
      <c r="D42" s="47" t="str">
        <f t="shared" si="9"/>
        <v>E4_2_1_46</v>
      </c>
      <c r="E42" s="48" t="str">
        <f t="shared" si="1"/>
        <v>E4_2_1_46_kcat : 13.7</v>
      </c>
      <c r="F42" s="49" t="str">
        <f t="shared" si="2"/>
        <v>E4_2_1_46_km : 1</v>
      </c>
      <c r="G42" s="9" t="str">
        <f t="shared" ref="G42:H42" si="88">CONCATENATE(C42," : ",C42)</f>
        <v>E4_2_1_46_mRNA : E4_2_1_46_mRNA</v>
      </c>
      <c r="H42" s="50" t="str">
        <f t="shared" si="88"/>
        <v>E4_2_1_46 : E4_2_1_46</v>
      </c>
      <c r="I42" s="51" t="str">
        <f t="shared" ref="I42:J42" si="89">CONCATENATE(C42," : ","0")</f>
        <v>E4_2_1_46_mRNA : 0</v>
      </c>
      <c r="J42" s="52" t="str">
        <f t="shared" si="89"/>
        <v>E4_2_1_46 : 0</v>
      </c>
      <c r="K42" s="53" t="str">
        <f t="shared" si="5"/>
        <v>0.00292 - (0.0093 * E4_2_1_46_mRNA)</v>
      </c>
      <c r="L42" s="54" t="str">
        <f t="shared" si="6"/>
        <v>(0.278 * E4_2_1_46_mRNA) - (0.00000278 * E4_2_1_46)</v>
      </c>
      <c r="M42" s="55" t="str">
        <f t="shared" si="7"/>
        <v>mRNA41: -&gt; E4_2_1_46_mRNA | 0.00292 - (0.0093 * E4_2_1_46_mRNA)</v>
      </c>
      <c r="N42" s="56" t="str">
        <f t="shared" si="8"/>
        <v>Peptide41: E4_2_1_46_mRNA -&gt; E4_2_1_46 | (0.278 * E4_2_1_46_mRNA) - (0.000000278 * E4_2_1_46)</v>
      </c>
    </row>
    <row r="43" spans="1:14" ht="29">
      <c r="A43" s="46">
        <v>42</v>
      </c>
      <c r="B43" s="7" t="s">
        <v>12332</v>
      </c>
      <c r="C43" s="27" t="str">
        <f t="shared" si="0"/>
        <v>E5_1_3_13_mRNA</v>
      </c>
      <c r="D43" s="47" t="str">
        <f t="shared" si="9"/>
        <v>E5_1_3_13</v>
      </c>
      <c r="E43" s="48" t="str">
        <f t="shared" si="1"/>
        <v>E5_1_3_13_kcat : 13.7</v>
      </c>
      <c r="F43" s="49" t="str">
        <f t="shared" si="2"/>
        <v>E5_1_3_13_km : 1</v>
      </c>
      <c r="G43" s="9" t="str">
        <f t="shared" ref="G43:H43" si="90">CONCATENATE(C43," : ",C43)</f>
        <v>E5_1_3_13_mRNA : E5_1_3_13_mRNA</v>
      </c>
      <c r="H43" s="50" t="str">
        <f t="shared" si="90"/>
        <v>E5_1_3_13 : E5_1_3_13</v>
      </c>
      <c r="I43" s="51" t="str">
        <f t="shared" ref="I43:J43" si="91">CONCATENATE(C43," : ","0")</f>
        <v>E5_1_3_13_mRNA : 0</v>
      </c>
      <c r="J43" s="52" t="str">
        <f t="shared" si="91"/>
        <v>E5_1_3_13 : 0</v>
      </c>
      <c r="K43" s="53" t="str">
        <f t="shared" si="5"/>
        <v>0.00292 - (0.0093 * E5_1_3_13_mRNA)</v>
      </c>
      <c r="L43" s="54" t="str">
        <f t="shared" si="6"/>
        <v>(0.278 * E5_1_3_13_mRNA) - (0.00000278 * E5_1_3_13)</v>
      </c>
      <c r="M43" s="55" t="str">
        <f t="shared" si="7"/>
        <v>mRNA42: -&gt; E5_1_3_13_mRNA | 0.00292 - (0.0093 * E5_1_3_13_mRNA)</v>
      </c>
      <c r="N43" s="56" t="str">
        <f t="shared" si="8"/>
        <v>Peptide42: E5_1_3_13_mRNA -&gt; E5_1_3_13 | (0.278 * E5_1_3_13_mRNA) - (0.000000278 * E5_1_3_13)</v>
      </c>
    </row>
    <row r="44" spans="1:14" ht="29">
      <c r="A44" s="46">
        <v>43</v>
      </c>
      <c r="B44" s="7" t="s">
        <v>12333</v>
      </c>
      <c r="C44" s="27" t="str">
        <f t="shared" si="0"/>
        <v>E2_7_7_24_mRNA</v>
      </c>
      <c r="D44" s="47" t="str">
        <f t="shared" si="9"/>
        <v>E2_7_7_24</v>
      </c>
      <c r="E44" s="48" t="str">
        <f t="shared" si="1"/>
        <v>E2_7_7_24_kcat : 13.7</v>
      </c>
      <c r="F44" s="49" t="str">
        <f t="shared" si="2"/>
        <v>E2_7_7_24_km : 1</v>
      </c>
      <c r="G44" s="9" t="str">
        <f t="shared" ref="G44:H44" si="92">CONCATENATE(C44," : ",C44)</f>
        <v>E2_7_7_24_mRNA : E2_7_7_24_mRNA</v>
      </c>
      <c r="H44" s="50" t="str">
        <f t="shared" si="92"/>
        <v>E2_7_7_24 : E2_7_7_24</v>
      </c>
      <c r="I44" s="51" t="str">
        <f t="shared" ref="I44:J44" si="93">CONCATENATE(C44," : ","0")</f>
        <v>E2_7_7_24_mRNA : 0</v>
      </c>
      <c r="J44" s="52" t="str">
        <f t="shared" si="93"/>
        <v>E2_7_7_24 : 0</v>
      </c>
      <c r="K44" s="53" t="str">
        <f t="shared" si="5"/>
        <v>0.00292 - (0.0093 * E2_7_7_24_mRNA)</v>
      </c>
      <c r="L44" s="54" t="str">
        <f t="shared" si="6"/>
        <v>(0.278 * E2_7_7_24_mRNA) - (0.00000278 * E2_7_7_24)</v>
      </c>
      <c r="M44" s="55" t="str">
        <f t="shared" si="7"/>
        <v>mRNA43: -&gt; E2_7_7_24_mRNA | 0.00292 - (0.0093 * E2_7_7_24_mRNA)</v>
      </c>
      <c r="N44" s="56" t="str">
        <f t="shared" si="8"/>
        <v>Peptide43: E2_7_7_24_mRNA -&gt; E2_7_7_24 | (0.278 * E2_7_7_24_mRNA) - (0.000000278 * E2_7_7_24)</v>
      </c>
    </row>
    <row r="45" spans="1:14" ht="29">
      <c r="A45" s="46">
        <v>44</v>
      </c>
      <c r="B45" s="7" t="s">
        <v>12334</v>
      </c>
      <c r="C45" s="27" t="str">
        <f t="shared" si="0"/>
        <v>E1_1_1_22_mRNA</v>
      </c>
      <c r="D45" s="47" t="str">
        <f t="shared" si="9"/>
        <v>E1_1_1_22</v>
      </c>
      <c r="E45" s="48" t="str">
        <f t="shared" si="1"/>
        <v>E1_1_1_22_kcat : 13.7</v>
      </c>
      <c r="F45" s="49" t="str">
        <f t="shared" si="2"/>
        <v>E1_1_1_22_km : 1</v>
      </c>
      <c r="G45" s="9" t="str">
        <f t="shared" ref="G45:H45" si="94">CONCATENATE(C45," : ",C45)</f>
        <v>E1_1_1_22_mRNA : E1_1_1_22_mRNA</v>
      </c>
      <c r="H45" s="50" t="str">
        <f t="shared" si="94"/>
        <v>E1_1_1_22 : E1_1_1_22</v>
      </c>
      <c r="I45" s="51" t="str">
        <f t="shared" ref="I45:J45" si="95">CONCATENATE(C45," : ","0")</f>
        <v>E1_1_1_22_mRNA : 0</v>
      </c>
      <c r="J45" s="52" t="str">
        <f t="shared" si="95"/>
        <v>E1_1_1_22 : 0</v>
      </c>
      <c r="K45" s="53" t="str">
        <f t="shared" si="5"/>
        <v>0.00292 - (0.0093 * E1_1_1_22_mRNA)</v>
      </c>
      <c r="L45" s="54" t="str">
        <f t="shared" si="6"/>
        <v>(0.278 * E1_1_1_22_mRNA) - (0.00000278 * E1_1_1_22)</v>
      </c>
      <c r="M45" s="55" t="str">
        <f t="shared" si="7"/>
        <v>mRNA44: -&gt; E1_1_1_22_mRNA | 0.00292 - (0.0093 * E1_1_1_22_mRNA)</v>
      </c>
      <c r="N45" s="56" t="str">
        <f t="shared" si="8"/>
        <v>Peptide44: E1_1_1_22_mRNA -&gt; E1_1_1_22 | (0.278 * E1_1_1_22_mRNA) - (0.000000278 * E1_1_1_22)</v>
      </c>
    </row>
    <row r="46" spans="1:14" ht="29">
      <c r="A46" s="46">
        <v>45</v>
      </c>
      <c r="B46" s="7" t="s">
        <v>12335</v>
      </c>
      <c r="C46" s="27" t="str">
        <f t="shared" si="0"/>
        <v>E3_6_3_1_mRNA</v>
      </c>
      <c r="D46" s="47" t="str">
        <f t="shared" si="9"/>
        <v>E3_6_3_1</v>
      </c>
      <c r="E46" s="48" t="str">
        <f t="shared" si="1"/>
        <v>E3_6_3_1_kcat : 13.7</v>
      </c>
      <c r="F46" s="49" t="str">
        <f t="shared" si="2"/>
        <v>E3_6_3_1_km : 1</v>
      </c>
      <c r="G46" s="9" t="str">
        <f t="shared" ref="G46:H46" si="96">CONCATENATE(C46," : ",C46)</f>
        <v>E3_6_3_1_mRNA : E3_6_3_1_mRNA</v>
      </c>
      <c r="H46" s="50" t="str">
        <f t="shared" si="96"/>
        <v>E3_6_3_1 : E3_6_3_1</v>
      </c>
      <c r="I46" s="51" t="str">
        <f t="shared" ref="I46:J46" si="97">CONCATENATE(C46," : ","0")</f>
        <v>E3_6_3_1_mRNA : 0</v>
      </c>
      <c r="J46" s="52" t="str">
        <f t="shared" si="97"/>
        <v>E3_6_3_1 : 0</v>
      </c>
      <c r="K46" s="53" t="str">
        <f t="shared" si="5"/>
        <v>0.00292 - (0.0093 * E3_6_3_1_mRNA)</v>
      </c>
      <c r="L46" s="54" t="str">
        <f t="shared" si="6"/>
        <v>(0.278 * E3_6_3_1_mRNA) - (0.00000278 * E3_6_3_1)</v>
      </c>
      <c r="M46" s="55" t="str">
        <f t="shared" si="7"/>
        <v>mRNA45: -&gt; E3_6_3_1_mRNA | 0.00292 - (0.0093 * E3_6_3_1_mRNA)</v>
      </c>
      <c r="N46" s="56" t="str">
        <f t="shared" si="8"/>
        <v>Peptide45: E3_6_3_1_mRNA -&gt; E3_6_3_1 | (0.278 * E3_6_3_1_mRNA) - (0.000000278 * E3_6_3_1)</v>
      </c>
    </row>
    <row r="47" spans="1:14" ht="29">
      <c r="A47" s="46">
        <v>46</v>
      </c>
      <c r="B47" s="7" t="s">
        <v>12336</v>
      </c>
      <c r="C47" s="27" t="str">
        <f t="shared" si="0"/>
        <v>E2_7_10_2_mRNA</v>
      </c>
      <c r="D47" s="47" t="str">
        <f t="shared" si="9"/>
        <v>E2_7_10_2</v>
      </c>
      <c r="E47" s="48" t="str">
        <f t="shared" si="1"/>
        <v>E2_7_10_2_kcat : 13.7</v>
      </c>
      <c r="F47" s="49" t="str">
        <f t="shared" si="2"/>
        <v>E2_7_10_2_km : 1</v>
      </c>
      <c r="G47" s="9" t="str">
        <f t="shared" ref="G47:H47" si="98">CONCATENATE(C47," : ",C47)</f>
        <v>E2_7_10_2_mRNA : E2_7_10_2_mRNA</v>
      </c>
      <c r="H47" s="50" t="str">
        <f t="shared" si="98"/>
        <v>E2_7_10_2 : E2_7_10_2</v>
      </c>
      <c r="I47" s="51" t="str">
        <f t="shared" ref="I47:J47" si="99">CONCATENATE(C47," : ","0")</f>
        <v>E2_7_10_2_mRNA : 0</v>
      </c>
      <c r="J47" s="52" t="str">
        <f t="shared" si="99"/>
        <v>E2_7_10_2 : 0</v>
      </c>
      <c r="K47" s="53" t="str">
        <f t="shared" si="5"/>
        <v>0.00292 - (0.0093 * E2_7_10_2_mRNA)</v>
      </c>
      <c r="L47" s="54" t="str">
        <f t="shared" si="6"/>
        <v>(0.278 * E2_7_10_2_mRNA) - (0.00000278 * E2_7_10_2)</v>
      </c>
      <c r="M47" s="55" t="str">
        <f t="shared" si="7"/>
        <v>mRNA46: -&gt; E2_7_10_2_mRNA | 0.00292 - (0.0093 * E2_7_10_2_mRNA)</v>
      </c>
      <c r="N47" s="56" t="str">
        <f t="shared" si="8"/>
        <v>Peptide46: E2_7_10_2_mRNA -&gt; E2_7_10_2 | (0.278 * E2_7_10_2_mRNA) - (0.000000278 * E2_7_10_2)</v>
      </c>
    </row>
    <row r="48" spans="1:14" ht="29">
      <c r="A48" s="46">
        <v>47</v>
      </c>
      <c r="B48" s="7" t="s">
        <v>12337</v>
      </c>
      <c r="C48" s="27" t="str">
        <f t="shared" si="0"/>
        <v>E3_1_3_48_mRNA</v>
      </c>
      <c r="D48" s="47" t="str">
        <f t="shared" si="9"/>
        <v>E3_1_3_48</v>
      </c>
      <c r="E48" s="48" t="str">
        <f t="shared" si="1"/>
        <v>E3_1_3_48_kcat : 13.7</v>
      </c>
      <c r="F48" s="49" t="str">
        <f t="shared" si="2"/>
        <v>E3_1_3_48_km : 1</v>
      </c>
      <c r="G48" s="9" t="str">
        <f t="shared" ref="G48:H48" si="100">CONCATENATE(C48," : ",C48)</f>
        <v>E3_1_3_48_mRNA : E3_1_3_48_mRNA</v>
      </c>
      <c r="H48" s="50" t="str">
        <f t="shared" si="100"/>
        <v>E3_1_3_48 : E3_1_3_48</v>
      </c>
      <c r="I48" s="51" t="str">
        <f t="shared" ref="I48:J48" si="101">CONCATENATE(C48," : ","0")</f>
        <v>E3_1_3_48_mRNA : 0</v>
      </c>
      <c r="J48" s="52" t="str">
        <f t="shared" si="101"/>
        <v>E3_1_3_48 : 0</v>
      </c>
      <c r="K48" s="53" t="str">
        <f t="shared" si="5"/>
        <v>0.00292 - (0.0093 * E3_1_3_48_mRNA)</v>
      </c>
      <c r="L48" s="54" t="str">
        <f t="shared" si="6"/>
        <v>(0.278 * E3_1_3_48_mRNA) - (0.00000278 * E3_1_3_48)</v>
      </c>
      <c r="M48" s="55" t="str">
        <f t="shared" si="7"/>
        <v>mRNA47: -&gt; E3_1_3_48_mRNA | 0.00292 - (0.0093 * E3_1_3_48_mRNA)</v>
      </c>
      <c r="N48" s="56" t="str">
        <f t="shared" si="8"/>
        <v>Peptide47: E3_1_3_48_mRNA -&gt; E3_1_3_48 | (0.278 * E3_1_3_48_mRNA) - (0.000000278 * E3_1_3_48)</v>
      </c>
    </row>
    <row r="49" spans="1:14" ht="29">
      <c r="A49" s="46">
        <v>48</v>
      </c>
      <c r="B49" s="7" t="s">
        <v>12338</v>
      </c>
      <c r="C49" s="27" t="str">
        <f t="shared" si="0"/>
        <v>E3_2_1_70_mRNA</v>
      </c>
      <c r="D49" s="47" t="str">
        <f t="shared" si="9"/>
        <v>E3_2_1_70</v>
      </c>
      <c r="E49" s="48" t="str">
        <f t="shared" si="1"/>
        <v>E3_2_1_70_kcat : 13.7</v>
      </c>
      <c r="F49" s="49" t="str">
        <f t="shared" si="2"/>
        <v>E3_2_1_70_km : 1</v>
      </c>
      <c r="G49" s="9" t="str">
        <f t="shared" ref="G49:H49" si="102">CONCATENATE(C49," : ",C49)</f>
        <v>E3_2_1_70_mRNA : E3_2_1_70_mRNA</v>
      </c>
      <c r="H49" s="50" t="str">
        <f t="shared" si="102"/>
        <v>E3_2_1_70 : E3_2_1_70</v>
      </c>
      <c r="I49" s="51" t="str">
        <f t="shared" ref="I49:J49" si="103">CONCATENATE(C49," : ","0")</f>
        <v>E3_2_1_70_mRNA : 0</v>
      </c>
      <c r="J49" s="52" t="str">
        <f t="shared" si="103"/>
        <v>E3_2_1_70 : 0</v>
      </c>
      <c r="K49" s="53" t="str">
        <f t="shared" si="5"/>
        <v>0.00292 - (0.0093 * E3_2_1_70_mRNA)</v>
      </c>
      <c r="L49" s="54" t="str">
        <f t="shared" si="6"/>
        <v>(0.278 * E3_2_1_70_mRNA) - (0.00000278 * E3_2_1_70)</v>
      </c>
      <c r="M49" s="55" t="str">
        <f t="shared" si="7"/>
        <v>mRNA48: -&gt; E3_2_1_70_mRNA | 0.00292 - (0.0093 * E3_2_1_70_mRNA)</v>
      </c>
      <c r="N49" s="56" t="str">
        <f t="shared" si="8"/>
        <v>Peptide48: E3_2_1_70_mRNA -&gt; E3_2_1_70 | (0.278 * E3_2_1_70_mRNA) - (0.000000278 * E3_2_1_70)</v>
      </c>
    </row>
    <row r="50" spans="1:14" ht="29">
      <c r="A50" s="46">
        <v>49</v>
      </c>
      <c r="B50" s="7" t="s">
        <v>12339</v>
      </c>
      <c r="C50" s="27" t="str">
        <f t="shared" si="0"/>
        <v>E4_4_1_21_mRNA</v>
      </c>
      <c r="D50" s="47" t="str">
        <f t="shared" si="9"/>
        <v>E4_4_1_21</v>
      </c>
      <c r="E50" s="48" t="str">
        <f t="shared" si="1"/>
        <v>E4_4_1_21_kcat : 13.7</v>
      </c>
      <c r="F50" s="49" t="str">
        <f t="shared" si="2"/>
        <v>E4_4_1_21_km : 1</v>
      </c>
      <c r="G50" s="9" t="str">
        <f t="shared" ref="G50:H50" si="104">CONCATENATE(C50," : ",C50)</f>
        <v>E4_4_1_21_mRNA : E4_4_1_21_mRNA</v>
      </c>
      <c r="H50" s="50" t="str">
        <f t="shared" si="104"/>
        <v>E4_4_1_21 : E4_4_1_21</v>
      </c>
      <c r="I50" s="51" t="str">
        <f t="shared" ref="I50:J50" si="105">CONCATENATE(C50," : ","0")</f>
        <v>E4_4_1_21_mRNA : 0</v>
      </c>
      <c r="J50" s="52" t="str">
        <f t="shared" si="105"/>
        <v>E4_4_1_21 : 0</v>
      </c>
      <c r="K50" s="53" t="str">
        <f t="shared" si="5"/>
        <v>0.00292 - (0.0093 * E4_4_1_21_mRNA)</v>
      </c>
      <c r="L50" s="54" t="str">
        <f t="shared" si="6"/>
        <v>(0.278 * E4_4_1_21_mRNA) - (0.00000278 * E4_4_1_21)</v>
      </c>
      <c r="M50" s="55" t="str">
        <f t="shared" si="7"/>
        <v>mRNA49: -&gt; E4_4_1_21_mRNA | 0.00292 - (0.0093 * E4_4_1_21_mRNA)</v>
      </c>
      <c r="N50" s="56" t="str">
        <f t="shared" si="8"/>
        <v>Peptide49: E4_4_1_21_mRNA -&gt; E4_4_1_21 | (0.278 * E4_4_1_21_mRNA) - (0.000000278 * E4_4_1_21)</v>
      </c>
    </row>
    <row r="51" spans="1:14" ht="29">
      <c r="A51" s="46">
        <v>50</v>
      </c>
      <c r="B51" s="7" t="s">
        <v>12340</v>
      </c>
      <c r="C51" s="27" t="str">
        <f t="shared" si="0"/>
        <v>E2_7_8_13_mRNA</v>
      </c>
      <c r="D51" s="47" t="str">
        <f t="shared" si="9"/>
        <v>E2_7_8_13</v>
      </c>
      <c r="E51" s="48" t="str">
        <f t="shared" si="1"/>
        <v>E2_7_8_13_kcat : 13.7</v>
      </c>
      <c r="F51" s="49" t="str">
        <f t="shared" si="2"/>
        <v>E2_7_8_13_km : 1</v>
      </c>
      <c r="G51" s="9" t="str">
        <f t="shared" ref="G51:H51" si="106">CONCATENATE(C51," : ",C51)</f>
        <v>E2_7_8_13_mRNA : E2_7_8_13_mRNA</v>
      </c>
      <c r="H51" s="50" t="str">
        <f t="shared" si="106"/>
        <v>E2_7_8_13 : E2_7_8_13</v>
      </c>
      <c r="I51" s="51" t="str">
        <f t="shared" ref="I51:J51" si="107">CONCATENATE(C51," : ","0")</f>
        <v>E2_7_8_13_mRNA : 0</v>
      </c>
      <c r="J51" s="52" t="str">
        <f t="shared" si="107"/>
        <v>E2_7_8_13 : 0</v>
      </c>
      <c r="K51" s="53" t="str">
        <f t="shared" si="5"/>
        <v>0.00292 - (0.0093 * E2_7_8_13_mRNA)</v>
      </c>
      <c r="L51" s="54" t="str">
        <f t="shared" si="6"/>
        <v>(0.278 * E2_7_8_13_mRNA) - (0.00000278 * E2_7_8_13)</v>
      </c>
      <c r="M51" s="55" t="str">
        <f t="shared" si="7"/>
        <v>mRNA50: -&gt; E2_7_8_13_mRNA | 0.00292 - (0.0093 * E2_7_8_13_mRNA)</v>
      </c>
      <c r="N51" s="56" t="str">
        <f t="shared" si="8"/>
        <v>Peptide50: E2_7_8_13_mRNA -&gt; E2_7_8_13 | (0.278 * E2_7_8_13_mRNA) - (0.000000278 * E2_7_8_13)</v>
      </c>
    </row>
    <row r="52" spans="1:14" ht="29">
      <c r="A52" s="46">
        <v>51</v>
      </c>
      <c r="B52" s="7" t="s">
        <v>12341</v>
      </c>
      <c r="C52" s="27" t="str">
        <f t="shared" si="0"/>
        <v>E2_1_1_199_mRNA</v>
      </c>
      <c r="D52" s="47" t="str">
        <f t="shared" si="9"/>
        <v>E2_1_1_199</v>
      </c>
      <c r="E52" s="48" t="str">
        <f t="shared" si="1"/>
        <v>E2_1_1_199_kcat : 13.7</v>
      </c>
      <c r="F52" s="49" t="str">
        <f t="shared" si="2"/>
        <v>E2_1_1_199_km : 1</v>
      </c>
      <c r="G52" s="9" t="str">
        <f t="shared" ref="G52:H52" si="108">CONCATENATE(C52," : ",C52)</f>
        <v>E2_1_1_199_mRNA : E2_1_1_199_mRNA</v>
      </c>
      <c r="H52" s="50" t="str">
        <f t="shared" si="108"/>
        <v>E2_1_1_199 : E2_1_1_199</v>
      </c>
      <c r="I52" s="51" t="str">
        <f t="shared" ref="I52:J52" si="109">CONCATENATE(C52," : ","0")</f>
        <v>E2_1_1_199_mRNA : 0</v>
      </c>
      <c r="J52" s="52" t="str">
        <f t="shared" si="109"/>
        <v>E2_1_1_199 : 0</v>
      </c>
      <c r="K52" s="53" t="str">
        <f t="shared" si="5"/>
        <v>0.00292 - (0.0093 * E2_1_1_199_mRNA)</v>
      </c>
      <c r="L52" s="54" t="str">
        <f t="shared" si="6"/>
        <v>(0.278 * E2_1_1_199_mRNA) - (0.00000278 * E2_1_1_199)</v>
      </c>
      <c r="M52" s="55" t="str">
        <f t="shared" si="7"/>
        <v>mRNA51: -&gt; E2_1_1_199_mRNA | 0.00292 - (0.0093 * E2_1_1_199_mRNA)</v>
      </c>
      <c r="N52" s="56" t="str">
        <f t="shared" si="8"/>
        <v>Peptide51: E2_1_1_199_mRNA -&gt; E2_1_1_199 | (0.278 * E2_1_1_199_mRNA) - (0.000000278 * E2_1_1_199)</v>
      </c>
    </row>
    <row r="53" spans="1:14" ht="29">
      <c r="A53" s="46">
        <v>52</v>
      </c>
      <c r="B53" s="7" t="s">
        <v>12342</v>
      </c>
      <c r="C53" s="27" t="str">
        <f t="shared" si="0"/>
        <v>E3_2_1_86_mRNA</v>
      </c>
      <c r="D53" s="47" t="str">
        <f t="shared" si="9"/>
        <v>E3_2_1_86</v>
      </c>
      <c r="E53" s="48" t="str">
        <f t="shared" si="1"/>
        <v>E3_2_1_86_kcat : 13.7</v>
      </c>
      <c r="F53" s="49" t="str">
        <f t="shared" si="2"/>
        <v>E3_2_1_86_km : 1</v>
      </c>
      <c r="G53" s="9" t="str">
        <f t="shared" ref="G53:H53" si="110">CONCATENATE(C53," : ",C53)</f>
        <v>E3_2_1_86_mRNA : E3_2_1_86_mRNA</v>
      </c>
      <c r="H53" s="50" t="str">
        <f t="shared" si="110"/>
        <v>E3_2_1_86 : E3_2_1_86</v>
      </c>
      <c r="I53" s="51" t="str">
        <f t="shared" ref="I53:J53" si="111">CONCATENATE(C53," : ","0")</f>
        <v>E3_2_1_86_mRNA : 0</v>
      </c>
      <c r="J53" s="52" t="str">
        <f t="shared" si="111"/>
        <v>E3_2_1_86 : 0</v>
      </c>
      <c r="K53" s="53" t="str">
        <f t="shared" si="5"/>
        <v>0.00292 - (0.0093 * E3_2_1_86_mRNA)</v>
      </c>
      <c r="L53" s="54" t="str">
        <f t="shared" si="6"/>
        <v>(0.278 * E3_2_1_86_mRNA) - (0.00000278 * E3_2_1_86)</v>
      </c>
      <c r="M53" s="55" t="str">
        <f t="shared" si="7"/>
        <v>mRNA52: -&gt; E3_2_1_86_mRNA | 0.00292 - (0.0093 * E3_2_1_86_mRNA)</v>
      </c>
      <c r="N53" s="56" t="str">
        <f t="shared" si="8"/>
        <v>Peptide52: E3_2_1_86_mRNA -&gt; E3_2_1_86 | (0.278 * E3_2_1_86_mRNA) - (0.000000278 * E3_2_1_86)</v>
      </c>
    </row>
    <row r="54" spans="1:14" ht="29">
      <c r="A54" s="46">
        <v>53</v>
      </c>
      <c r="B54" s="7" t="s">
        <v>12343</v>
      </c>
      <c r="C54" s="27" t="str">
        <f t="shared" si="0"/>
        <v>E1_1_1_69_mRNA</v>
      </c>
      <c r="D54" s="47" t="str">
        <f t="shared" si="9"/>
        <v>E1_1_1_69</v>
      </c>
      <c r="E54" s="48" t="str">
        <f t="shared" si="1"/>
        <v>E1_1_1_69_kcat : 13.7</v>
      </c>
      <c r="F54" s="49" t="str">
        <f t="shared" si="2"/>
        <v>E1_1_1_69_km : 1</v>
      </c>
      <c r="G54" s="9" t="str">
        <f t="shared" ref="G54:H54" si="112">CONCATENATE(C54," : ",C54)</f>
        <v>E1_1_1_69_mRNA : E1_1_1_69_mRNA</v>
      </c>
      <c r="H54" s="50" t="str">
        <f t="shared" si="112"/>
        <v>E1_1_1_69 : E1_1_1_69</v>
      </c>
      <c r="I54" s="51" t="str">
        <f t="shared" ref="I54:J54" si="113">CONCATENATE(C54," : ","0")</f>
        <v>E1_1_1_69_mRNA : 0</v>
      </c>
      <c r="J54" s="52" t="str">
        <f t="shared" si="113"/>
        <v>E1_1_1_69 : 0</v>
      </c>
      <c r="K54" s="53" t="str">
        <f t="shared" si="5"/>
        <v>0.00292 - (0.0093 * E1_1_1_69_mRNA)</v>
      </c>
      <c r="L54" s="54" t="str">
        <f t="shared" si="6"/>
        <v>(0.278 * E1_1_1_69_mRNA) - (0.00000278 * E1_1_1_69)</v>
      </c>
      <c r="M54" s="55" t="str">
        <f t="shared" si="7"/>
        <v>mRNA53: -&gt; E1_1_1_69_mRNA | 0.00292 - (0.0093 * E1_1_1_69_mRNA)</v>
      </c>
      <c r="N54" s="56" t="str">
        <f t="shared" si="8"/>
        <v>Peptide53: E1_1_1_69_mRNA -&gt; E1_1_1_69 | (0.278 * E1_1_1_69_mRNA) - (0.000000278 * E1_1_1_69)</v>
      </c>
    </row>
    <row r="55" spans="1:14" ht="29">
      <c r="A55" s="46">
        <v>54</v>
      </c>
      <c r="B55" s="7" t="s">
        <v>12344</v>
      </c>
      <c r="C55" s="27" t="str">
        <f t="shared" si="0"/>
        <v>E4_1_2_21_mRNA</v>
      </c>
      <c r="D55" s="47" t="str">
        <f t="shared" si="9"/>
        <v>E4_1_2_21</v>
      </c>
      <c r="E55" s="48" t="str">
        <f t="shared" si="1"/>
        <v>E4_1_2_21_kcat : 13.7</v>
      </c>
      <c r="F55" s="49" t="str">
        <f t="shared" si="2"/>
        <v>E4_1_2_21_km : 1</v>
      </c>
      <c r="G55" s="9" t="str">
        <f t="shared" ref="G55:H55" si="114">CONCATENATE(C55," : ",C55)</f>
        <v>E4_1_2_21_mRNA : E4_1_2_21_mRNA</v>
      </c>
      <c r="H55" s="50" t="str">
        <f t="shared" si="114"/>
        <v>E4_1_2_21 : E4_1_2_21</v>
      </c>
      <c r="I55" s="51" t="str">
        <f t="shared" ref="I55:J55" si="115">CONCATENATE(C55," : ","0")</f>
        <v>E4_1_2_21_mRNA : 0</v>
      </c>
      <c r="J55" s="52" t="str">
        <f t="shared" si="115"/>
        <v>E4_1_2_21 : 0</v>
      </c>
      <c r="K55" s="53" t="str">
        <f t="shared" si="5"/>
        <v>0.00292 - (0.0093 * E4_1_2_21_mRNA)</v>
      </c>
      <c r="L55" s="54" t="str">
        <f t="shared" si="6"/>
        <v>(0.278 * E4_1_2_21_mRNA) - (0.00000278 * E4_1_2_21)</v>
      </c>
      <c r="M55" s="55" t="str">
        <f t="shared" si="7"/>
        <v>mRNA54: -&gt; E4_1_2_21_mRNA | 0.00292 - (0.0093 * E4_1_2_21_mRNA)</v>
      </c>
      <c r="N55" s="56" t="str">
        <f t="shared" si="8"/>
        <v>Peptide54: E4_1_2_21_mRNA -&gt; E4_1_2_21 | (0.278 * E4_1_2_21_mRNA) - (0.000000278 * E4_1_2_21)</v>
      </c>
    </row>
    <row r="56" spans="1:14" ht="29">
      <c r="A56" s="46">
        <v>55</v>
      </c>
      <c r="B56" s="7" t="s">
        <v>12345</v>
      </c>
      <c r="C56" s="27" t="str">
        <f t="shared" si="0"/>
        <v>E4_2_2_1_mRNA</v>
      </c>
      <c r="D56" s="47" t="str">
        <f t="shared" si="9"/>
        <v>E4_2_2_1</v>
      </c>
      <c r="E56" s="48" t="str">
        <f t="shared" si="1"/>
        <v>E4_2_2_1_kcat : 13.7</v>
      </c>
      <c r="F56" s="49" t="str">
        <f t="shared" si="2"/>
        <v>E4_2_2_1_km : 1</v>
      </c>
      <c r="G56" s="9" t="str">
        <f t="shared" ref="G56:H56" si="116">CONCATENATE(C56," : ",C56)</f>
        <v>E4_2_2_1_mRNA : E4_2_2_1_mRNA</v>
      </c>
      <c r="H56" s="50" t="str">
        <f t="shared" si="116"/>
        <v>E4_2_2_1 : E4_2_2_1</v>
      </c>
      <c r="I56" s="51" t="str">
        <f t="shared" ref="I56:J56" si="117">CONCATENATE(C56," : ","0")</f>
        <v>E4_2_2_1_mRNA : 0</v>
      </c>
      <c r="J56" s="52" t="str">
        <f t="shared" si="117"/>
        <v>E4_2_2_1 : 0</v>
      </c>
      <c r="K56" s="53" t="str">
        <f t="shared" si="5"/>
        <v>0.00292 - (0.0093 * E4_2_2_1_mRNA)</v>
      </c>
      <c r="L56" s="54" t="str">
        <f t="shared" si="6"/>
        <v>(0.278 * E4_2_2_1_mRNA) - (0.00000278 * E4_2_2_1)</v>
      </c>
      <c r="M56" s="55" t="str">
        <f t="shared" si="7"/>
        <v>mRNA55: -&gt; E4_2_2_1_mRNA | 0.00292 - (0.0093 * E4_2_2_1_mRNA)</v>
      </c>
      <c r="N56" s="56" t="str">
        <f t="shared" si="8"/>
        <v>Peptide55: E4_2_2_1_mRNA -&gt; E4_2_2_1 | (0.278 * E4_2_2_1_mRNA) - (0.000000278 * E4_2_2_1)</v>
      </c>
    </row>
    <row r="57" spans="1:14" ht="29">
      <c r="A57" s="46">
        <v>56</v>
      </c>
      <c r="B57" s="7" t="s">
        <v>12346</v>
      </c>
      <c r="C57" s="27" t="str">
        <f t="shared" si="0"/>
        <v>E1_11_1_9_mRNA</v>
      </c>
      <c r="D57" s="47" t="str">
        <f t="shared" si="9"/>
        <v>E1_11_1_9</v>
      </c>
      <c r="E57" s="48" t="str">
        <f t="shared" si="1"/>
        <v>E1_11_1_9_kcat : 13.7</v>
      </c>
      <c r="F57" s="49" t="str">
        <f t="shared" si="2"/>
        <v>E1_11_1_9_km : 1</v>
      </c>
      <c r="G57" s="9" t="str">
        <f t="shared" ref="G57:H57" si="118">CONCATENATE(C57," : ",C57)</f>
        <v>E1_11_1_9_mRNA : E1_11_1_9_mRNA</v>
      </c>
      <c r="H57" s="50" t="str">
        <f t="shared" si="118"/>
        <v>E1_11_1_9 : E1_11_1_9</v>
      </c>
      <c r="I57" s="51" t="str">
        <f t="shared" ref="I57:J57" si="119">CONCATENATE(C57," : ","0")</f>
        <v>E1_11_1_9_mRNA : 0</v>
      </c>
      <c r="J57" s="52" t="str">
        <f t="shared" si="119"/>
        <v>E1_11_1_9 : 0</v>
      </c>
      <c r="K57" s="53" t="str">
        <f t="shared" si="5"/>
        <v>0.00292 - (0.0093 * E1_11_1_9_mRNA)</v>
      </c>
      <c r="L57" s="54" t="str">
        <f t="shared" si="6"/>
        <v>(0.278 * E1_11_1_9_mRNA) - (0.00000278 * E1_11_1_9)</v>
      </c>
      <c r="M57" s="55" t="str">
        <f t="shared" si="7"/>
        <v>mRNA56: -&gt; E1_11_1_9_mRNA | 0.00292 - (0.0093 * E1_11_1_9_mRNA)</v>
      </c>
      <c r="N57" s="56" t="str">
        <f t="shared" si="8"/>
        <v>Peptide56: E1_11_1_9_mRNA -&gt; E1_11_1_9 | (0.278 * E1_11_1_9_mRNA) - (0.000000278 * E1_11_1_9)</v>
      </c>
    </row>
    <row r="58" spans="1:14" ht="29">
      <c r="A58" s="46">
        <v>57</v>
      </c>
      <c r="B58" s="7" t="s">
        <v>12347</v>
      </c>
      <c r="C58" s="27" t="str">
        <f t="shared" si="0"/>
        <v>E3_2_1_177_mRNA</v>
      </c>
      <c r="D58" s="47" t="str">
        <f t="shared" si="9"/>
        <v>E3_2_1_177</v>
      </c>
      <c r="E58" s="48" t="str">
        <f t="shared" si="1"/>
        <v>E3_2_1_177_kcat : 13.7</v>
      </c>
      <c r="F58" s="49" t="str">
        <f t="shared" si="2"/>
        <v>E3_2_1_177_km : 1</v>
      </c>
      <c r="G58" s="9" t="str">
        <f t="shared" ref="G58:H58" si="120">CONCATENATE(C58," : ",C58)</f>
        <v>E3_2_1_177_mRNA : E3_2_1_177_mRNA</v>
      </c>
      <c r="H58" s="50" t="str">
        <f t="shared" si="120"/>
        <v>E3_2_1_177 : E3_2_1_177</v>
      </c>
      <c r="I58" s="51" t="str">
        <f t="shared" ref="I58:J58" si="121">CONCATENATE(C58," : ","0")</f>
        <v>E3_2_1_177_mRNA : 0</v>
      </c>
      <c r="J58" s="52" t="str">
        <f t="shared" si="121"/>
        <v>E3_2_1_177 : 0</v>
      </c>
      <c r="K58" s="53" t="str">
        <f t="shared" si="5"/>
        <v>0.00292 - (0.0093 * E3_2_1_177_mRNA)</v>
      </c>
      <c r="L58" s="54" t="str">
        <f t="shared" si="6"/>
        <v>(0.278 * E3_2_1_177_mRNA) - (0.00000278 * E3_2_1_177)</v>
      </c>
      <c r="M58" s="55" t="str">
        <f t="shared" si="7"/>
        <v>mRNA57: -&gt; E3_2_1_177_mRNA | 0.00292 - (0.0093 * E3_2_1_177_mRNA)</v>
      </c>
      <c r="N58" s="56" t="str">
        <f t="shared" si="8"/>
        <v>Peptide57: E3_2_1_177_mRNA -&gt; E3_2_1_177 | (0.278 * E3_2_1_177_mRNA) - (0.000000278 * E3_2_1_177)</v>
      </c>
    </row>
    <row r="59" spans="1:14" ht="29">
      <c r="A59" s="46">
        <v>58</v>
      </c>
      <c r="B59" s="7" t="s">
        <v>12348</v>
      </c>
      <c r="C59" s="27" t="str">
        <f t="shared" si="0"/>
        <v>E2_7_6_3_mRNA</v>
      </c>
      <c r="D59" s="47" t="str">
        <f t="shared" si="9"/>
        <v>E2_7_6_3</v>
      </c>
      <c r="E59" s="48" t="str">
        <f t="shared" si="1"/>
        <v>E2_7_6_3_kcat : 13.7</v>
      </c>
      <c r="F59" s="49" t="str">
        <f t="shared" si="2"/>
        <v>E2_7_6_3_km : 1</v>
      </c>
      <c r="G59" s="9" t="str">
        <f t="shared" ref="G59:H59" si="122">CONCATENATE(C59," : ",C59)</f>
        <v>E2_7_6_3_mRNA : E2_7_6_3_mRNA</v>
      </c>
      <c r="H59" s="50" t="str">
        <f t="shared" si="122"/>
        <v>E2_7_6_3 : E2_7_6_3</v>
      </c>
      <c r="I59" s="51" t="str">
        <f t="shared" ref="I59:J59" si="123">CONCATENATE(C59," : ","0")</f>
        <v>E2_7_6_3_mRNA : 0</v>
      </c>
      <c r="J59" s="52" t="str">
        <f t="shared" si="123"/>
        <v>E2_7_6_3 : 0</v>
      </c>
      <c r="K59" s="53" t="str">
        <f t="shared" si="5"/>
        <v>0.00292 - (0.0093 * E2_7_6_3_mRNA)</v>
      </c>
      <c r="L59" s="54" t="str">
        <f t="shared" si="6"/>
        <v>(0.278 * E2_7_6_3_mRNA) - (0.00000278 * E2_7_6_3)</v>
      </c>
      <c r="M59" s="55" t="str">
        <f t="shared" si="7"/>
        <v>mRNA58: -&gt; E2_7_6_3_mRNA | 0.00292 - (0.0093 * E2_7_6_3_mRNA)</v>
      </c>
      <c r="N59" s="56" t="str">
        <f t="shared" si="8"/>
        <v>Peptide58: E2_7_6_3_mRNA -&gt; E2_7_6_3 | (0.278 * E2_7_6_3_mRNA) - (0.000000278 * E2_7_6_3)</v>
      </c>
    </row>
    <row r="60" spans="1:14" ht="29">
      <c r="A60" s="46">
        <v>59</v>
      </c>
      <c r="B60" s="7" t="s">
        <v>12349</v>
      </c>
      <c r="C60" s="27" t="str">
        <f t="shared" si="0"/>
        <v>E3_5_4_16_mRNA</v>
      </c>
      <c r="D60" s="47" t="str">
        <f t="shared" si="9"/>
        <v>E3_5_4_16</v>
      </c>
      <c r="E60" s="48" t="str">
        <f t="shared" si="1"/>
        <v>E3_5_4_16_kcat : 13.7</v>
      </c>
      <c r="F60" s="49" t="str">
        <f t="shared" si="2"/>
        <v>E3_5_4_16_km : 1</v>
      </c>
      <c r="G60" s="9" t="str">
        <f t="shared" ref="G60:H60" si="124">CONCATENATE(C60," : ",C60)</f>
        <v>E3_5_4_16_mRNA : E3_5_4_16_mRNA</v>
      </c>
      <c r="H60" s="50" t="str">
        <f t="shared" si="124"/>
        <v>E3_5_4_16 : E3_5_4_16</v>
      </c>
      <c r="I60" s="51" t="str">
        <f t="shared" ref="I60:J60" si="125">CONCATENATE(C60," : ","0")</f>
        <v>E3_5_4_16_mRNA : 0</v>
      </c>
      <c r="J60" s="52" t="str">
        <f t="shared" si="125"/>
        <v>E3_5_4_16 : 0</v>
      </c>
      <c r="K60" s="53" t="str">
        <f t="shared" si="5"/>
        <v>0.00292 - (0.0093 * E3_5_4_16_mRNA)</v>
      </c>
      <c r="L60" s="54" t="str">
        <f t="shared" si="6"/>
        <v>(0.278 * E3_5_4_16_mRNA) - (0.00000278 * E3_5_4_16)</v>
      </c>
      <c r="M60" s="55" t="str">
        <f t="shared" si="7"/>
        <v>mRNA59: -&gt; E3_5_4_16_mRNA | 0.00292 - (0.0093 * E3_5_4_16_mRNA)</v>
      </c>
      <c r="N60" s="56" t="str">
        <f t="shared" si="8"/>
        <v>Peptide59: E3_5_4_16_mRNA -&gt; E3_5_4_16 | (0.278 * E3_5_4_16_mRNA) - (0.000000278 * E3_5_4_16)</v>
      </c>
    </row>
    <row r="61" spans="1:14" ht="29">
      <c r="A61" s="46">
        <v>60</v>
      </c>
      <c r="B61" s="7" t="s">
        <v>12350</v>
      </c>
      <c r="C61" s="27" t="str">
        <f t="shared" si="0"/>
        <v>E6_3_2_17_mRNA</v>
      </c>
      <c r="D61" s="47" t="str">
        <f t="shared" si="9"/>
        <v>E6_3_2_17</v>
      </c>
      <c r="E61" s="48" t="str">
        <f t="shared" si="1"/>
        <v>E6_3_2_17_kcat : 13.7</v>
      </c>
      <c r="F61" s="49" t="str">
        <f t="shared" si="2"/>
        <v>E6_3_2_17_km : 1</v>
      </c>
      <c r="G61" s="9" t="str">
        <f t="shared" ref="G61:H61" si="126">CONCATENATE(C61," : ",C61)</f>
        <v>E6_3_2_17_mRNA : E6_3_2_17_mRNA</v>
      </c>
      <c r="H61" s="50" t="str">
        <f t="shared" si="126"/>
        <v>E6_3_2_17 : E6_3_2_17</v>
      </c>
      <c r="I61" s="51" t="str">
        <f t="shared" ref="I61:J61" si="127">CONCATENATE(C61," : ","0")</f>
        <v>E6_3_2_17_mRNA : 0</v>
      </c>
      <c r="J61" s="52" t="str">
        <f t="shared" si="127"/>
        <v>E6_3_2_17 : 0</v>
      </c>
      <c r="K61" s="53" t="str">
        <f t="shared" si="5"/>
        <v>0.00292 - (0.0093 * E6_3_2_17_mRNA)</v>
      </c>
      <c r="L61" s="54" t="str">
        <f t="shared" si="6"/>
        <v>(0.278 * E6_3_2_17_mRNA) - (0.00000278 * E6_3_2_17)</v>
      </c>
      <c r="M61" s="55" t="str">
        <f t="shared" si="7"/>
        <v>mRNA60: -&gt; E6_3_2_17_mRNA | 0.00292 - (0.0093 * E6_3_2_17_mRNA)</v>
      </c>
      <c r="N61" s="56" t="str">
        <f t="shared" si="8"/>
        <v>Peptide60: E6_3_2_17_mRNA -&gt; E6_3_2_17 | (0.278 * E6_3_2_17_mRNA) - (0.000000278 * E6_3_2_17)</v>
      </c>
    </row>
    <row r="62" spans="1:14" ht="29">
      <c r="A62" s="46">
        <v>61</v>
      </c>
      <c r="B62" s="7" t="s">
        <v>12351</v>
      </c>
      <c r="C62" s="27" t="str">
        <f t="shared" si="0"/>
        <v>E6_3_2_12_mRNA</v>
      </c>
      <c r="D62" s="47" t="str">
        <f t="shared" si="9"/>
        <v>E6_3_2_12</v>
      </c>
      <c r="E62" s="48" t="str">
        <f t="shared" si="1"/>
        <v>E6_3_2_12_kcat : 13.7</v>
      </c>
      <c r="F62" s="49" t="str">
        <f t="shared" si="2"/>
        <v>E6_3_2_12_km : 1</v>
      </c>
      <c r="G62" s="9" t="str">
        <f t="shared" ref="G62:H62" si="128">CONCATENATE(C62," : ",C62)</f>
        <v>E6_3_2_12_mRNA : E6_3_2_12_mRNA</v>
      </c>
      <c r="H62" s="50" t="str">
        <f t="shared" si="128"/>
        <v>E6_3_2_12 : E6_3_2_12</v>
      </c>
      <c r="I62" s="51" t="str">
        <f t="shared" ref="I62:J62" si="129">CONCATENATE(C62," : ","0")</f>
        <v>E6_3_2_12_mRNA : 0</v>
      </c>
      <c r="J62" s="52" t="str">
        <f t="shared" si="129"/>
        <v>E6_3_2_12 : 0</v>
      </c>
      <c r="K62" s="53" t="str">
        <f t="shared" si="5"/>
        <v>0.00292 - (0.0093 * E6_3_2_12_mRNA)</v>
      </c>
      <c r="L62" s="54" t="str">
        <f t="shared" si="6"/>
        <v>(0.278 * E6_3_2_12_mRNA) - (0.00000278 * E6_3_2_12)</v>
      </c>
      <c r="M62" s="55" t="str">
        <f t="shared" si="7"/>
        <v>mRNA61: -&gt; E6_3_2_12_mRNA | 0.00292 - (0.0093 * E6_3_2_12_mRNA)</v>
      </c>
      <c r="N62" s="56" t="str">
        <f t="shared" si="8"/>
        <v>Peptide61: E6_3_2_12_mRNA -&gt; E6_3_2_12 | (0.278 * E6_3_2_12_mRNA) - (0.000000278 * E6_3_2_12)</v>
      </c>
    </row>
    <row r="63" spans="1:14" ht="29">
      <c r="A63" s="46">
        <v>62</v>
      </c>
      <c r="B63" s="7" t="s">
        <v>12352</v>
      </c>
      <c r="C63" s="27" t="str">
        <f t="shared" si="0"/>
        <v>E2_5_1_15_mRNA</v>
      </c>
      <c r="D63" s="47" t="str">
        <f t="shared" si="9"/>
        <v>E2_5_1_15</v>
      </c>
      <c r="E63" s="48" t="str">
        <f t="shared" si="1"/>
        <v>E2_5_1_15_kcat : 13.7</v>
      </c>
      <c r="F63" s="49" t="str">
        <f t="shared" si="2"/>
        <v>E2_5_1_15_km : 1</v>
      </c>
      <c r="G63" s="9" t="str">
        <f t="shared" ref="G63:H63" si="130">CONCATENATE(C63," : ",C63)</f>
        <v>E2_5_1_15_mRNA : E2_5_1_15_mRNA</v>
      </c>
      <c r="H63" s="50" t="str">
        <f t="shared" si="130"/>
        <v>E2_5_1_15 : E2_5_1_15</v>
      </c>
      <c r="I63" s="51" t="str">
        <f t="shared" ref="I63:J63" si="131">CONCATENATE(C63," : ","0")</f>
        <v>E2_5_1_15_mRNA : 0</v>
      </c>
      <c r="J63" s="52" t="str">
        <f t="shared" si="131"/>
        <v>E2_5_1_15 : 0</v>
      </c>
      <c r="K63" s="53" t="str">
        <f t="shared" si="5"/>
        <v>0.00292 - (0.0093 * E2_5_1_15_mRNA)</v>
      </c>
      <c r="L63" s="54" t="str">
        <f t="shared" si="6"/>
        <v>(0.278 * E2_5_1_15_mRNA) - (0.00000278 * E2_5_1_15)</v>
      </c>
      <c r="M63" s="55" t="str">
        <f t="shared" si="7"/>
        <v>mRNA62: -&gt; E2_5_1_15_mRNA | 0.00292 - (0.0093 * E2_5_1_15_mRNA)</v>
      </c>
      <c r="N63" s="56" t="str">
        <f t="shared" si="8"/>
        <v>Peptide62: E2_5_1_15_mRNA -&gt; E2_5_1_15 | (0.278 * E2_5_1_15_mRNA) - (0.000000278 * E2_5_1_15)</v>
      </c>
    </row>
    <row r="64" spans="1:14" ht="29">
      <c r="A64" s="46">
        <v>63</v>
      </c>
      <c r="B64" s="7" t="s">
        <v>12353</v>
      </c>
      <c r="C64" s="27" t="str">
        <f t="shared" si="0"/>
        <v>E1_1_1_1_mRNA</v>
      </c>
      <c r="D64" s="47" t="str">
        <f t="shared" si="9"/>
        <v>E1_1_1_1</v>
      </c>
      <c r="E64" s="48" t="str">
        <f t="shared" si="1"/>
        <v>E1_1_1_1_kcat : 13.7</v>
      </c>
      <c r="F64" s="49" t="str">
        <f t="shared" si="2"/>
        <v>E1_1_1_1_km : 1</v>
      </c>
      <c r="G64" s="9" t="str">
        <f t="shared" ref="G64:H64" si="132">CONCATENATE(C64," : ",C64)</f>
        <v>E1_1_1_1_mRNA : E1_1_1_1_mRNA</v>
      </c>
      <c r="H64" s="50" t="str">
        <f t="shared" si="132"/>
        <v>E1_1_1_1 : E1_1_1_1</v>
      </c>
      <c r="I64" s="51" t="str">
        <f t="shared" ref="I64:J64" si="133">CONCATENATE(C64," : ","0")</f>
        <v>E1_1_1_1_mRNA : 0</v>
      </c>
      <c r="J64" s="52" t="str">
        <f t="shared" si="133"/>
        <v>E1_1_1_1 : 0</v>
      </c>
      <c r="K64" s="53" t="str">
        <f t="shared" si="5"/>
        <v>0.00292 - (0.0093 * E1_1_1_1_mRNA)</v>
      </c>
      <c r="L64" s="54" t="str">
        <f t="shared" si="6"/>
        <v>(0.278 * E1_1_1_1_mRNA) - (0.00000278 * E1_1_1_1)</v>
      </c>
      <c r="M64" s="55" t="str">
        <f t="shared" si="7"/>
        <v>mRNA63: -&gt; E1_1_1_1_mRNA | 0.00292 - (0.0093 * E1_1_1_1_mRNA)</v>
      </c>
      <c r="N64" s="56" t="str">
        <f t="shared" si="8"/>
        <v>Peptide63: E1_1_1_1_mRNA -&gt; E1_1_1_1 | (0.278 * E1_1_1_1_mRNA) - (0.000000278 * E1_1_1_1)</v>
      </c>
    </row>
    <row r="65" spans="1:14" ht="29">
      <c r="A65" s="46">
        <v>64</v>
      </c>
      <c r="B65" s="7" t="s">
        <v>12354</v>
      </c>
      <c r="C65" s="27" t="str">
        <f t="shared" si="0"/>
        <v>E3_4_22_40_mRNA</v>
      </c>
      <c r="D65" s="47" t="str">
        <f t="shared" si="9"/>
        <v>E3_4_22_40</v>
      </c>
      <c r="E65" s="48" t="str">
        <f t="shared" si="1"/>
        <v>E3_4_22_40_kcat : 13.7</v>
      </c>
      <c r="F65" s="49" t="str">
        <f t="shared" si="2"/>
        <v>E3_4_22_40_km : 1</v>
      </c>
      <c r="G65" s="9" t="str">
        <f t="shared" ref="G65:H65" si="134">CONCATENATE(C65," : ",C65)</f>
        <v>E3_4_22_40_mRNA : E3_4_22_40_mRNA</v>
      </c>
      <c r="H65" s="50" t="str">
        <f t="shared" si="134"/>
        <v>E3_4_22_40 : E3_4_22_40</v>
      </c>
      <c r="I65" s="51" t="str">
        <f t="shared" ref="I65:J65" si="135">CONCATENATE(C65," : ","0")</f>
        <v>E3_4_22_40_mRNA : 0</v>
      </c>
      <c r="J65" s="52" t="str">
        <f t="shared" si="135"/>
        <v>E3_4_22_40 : 0</v>
      </c>
      <c r="K65" s="53" t="str">
        <f t="shared" si="5"/>
        <v>0.00292 - (0.0093 * E3_4_22_40_mRNA)</v>
      </c>
      <c r="L65" s="54" t="str">
        <f t="shared" si="6"/>
        <v>(0.278 * E3_4_22_40_mRNA) - (0.00000278 * E3_4_22_40)</v>
      </c>
      <c r="M65" s="55" t="str">
        <f t="shared" si="7"/>
        <v>mRNA64: -&gt; E3_4_22_40_mRNA | 0.00292 - (0.0093 * E3_4_22_40_mRNA)</v>
      </c>
      <c r="N65" s="56" t="str">
        <f t="shared" si="8"/>
        <v>Peptide64: E3_4_22_40_mRNA -&gt; E3_4_22_40 | (0.278 * E3_4_22_40_mRNA) - (0.000000278 * E3_4_22_40)</v>
      </c>
    </row>
    <row r="66" spans="1:14" ht="29">
      <c r="A66" s="46">
        <v>65</v>
      </c>
      <c r="B66" s="7" t="s">
        <v>12355</v>
      </c>
      <c r="C66" s="27" t="str">
        <f t="shared" si="0"/>
        <v>E4_2_1_70_mRNA</v>
      </c>
      <c r="D66" s="47" t="str">
        <f t="shared" si="9"/>
        <v>E4_2_1_70</v>
      </c>
      <c r="E66" s="48" t="str">
        <f t="shared" si="1"/>
        <v>E4_2_1_70_kcat : 13.7</v>
      </c>
      <c r="F66" s="49" t="str">
        <f t="shared" si="2"/>
        <v>E4_2_1_70_km : 1</v>
      </c>
      <c r="G66" s="9" t="str">
        <f t="shared" ref="G66:H66" si="136">CONCATENATE(C66," : ",C66)</f>
        <v>E4_2_1_70_mRNA : E4_2_1_70_mRNA</v>
      </c>
      <c r="H66" s="50" t="str">
        <f t="shared" si="136"/>
        <v>E4_2_1_70 : E4_2_1_70</v>
      </c>
      <c r="I66" s="51" t="str">
        <f t="shared" ref="I66:J66" si="137">CONCATENATE(C66," : ","0")</f>
        <v>E4_2_1_70_mRNA : 0</v>
      </c>
      <c r="J66" s="52" t="str">
        <f t="shared" si="137"/>
        <v>E4_2_1_70 : 0</v>
      </c>
      <c r="K66" s="53" t="str">
        <f t="shared" si="5"/>
        <v>0.00292 - (0.0093 * E4_2_1_70_mRNA)</v>
      </c>
      <c r="L66" s="54" t="str">
        <f t="shared" si="6"/>
        <v>(0.278 * E4_2_1_70_mRNA) - (0.00000278 * E4_2_1_70)</v>
      </c>
      <c r="M66" s="55" t="str">
        <f t="shared" si="7"/>
        <v>mRNA65: -&gt; E4_2_1_70_mRNA | 0.00292 - (0.0093 * E4_2_1_70_mRNA)</v>
      </c>
      <c r="N66" s="56" t="str">
        <f t="shared" si="8"/>
        <v>Peptide65: E4_2_1_70_mRNA -&gt; E4_2_1_70 | (0.278 * E4_2_1_70_mRNA) - (0.000000278 * E4_2_1_70)</v>
      </c>
    </row>
    <row r="67" spans="1:14" ht="29">
      <c r="A67" s="46">
        <v>66</v>
      </c>
      <c r="B67" s="7" t="s">
        <v>12356</v>
      </c>
      <c r="C67" s="27" t="str">
        <f t="shared" si="0"/>
        <v>E5_4_99_19_mRNA</v>
      </c>
      <c r="D67" s="47" t="str">
        <f t="shared" si="9"/>
        <v>E5_4_99_19</v>
      </c>
      <c r="E67" s="48" t="str">
        <f t="shared" si="1"/>
        <v>E5_4_99_19_kcat : 13.7</v>
      </c>
      <c r="F67" s="49" t="str">
        <f t="shared" si="2"/>
        <v>E5_4_99_19_km : 1</v>
      </c>
      <c r="G67" s="9" t="str">
        <f t="shared" ref="G67:H67" si="138">CONCATENATE(C67," : ",C67)</f>
        <v>E5_4_99_19_mRNA : E5_4_99_19_mRNA</v>
      </c>
      <c r="H67" s="50" t="str">
        <f t="shared" si="138"/>
        <v>E5_4_99_19 : E5_4_99_19</v>
      </c>
      <c r="I67" s="51" t="str">
        <f t="shared" ref="I67:J67" si="139">CONCATENATE(C67," : ","0")</f>
        <v>E5_4_99_19_mRNA : 0</v>
      </c>
      <c r="J67" s="52" t="str">
        <f t="shared" si="139"/>
        <v>E5_4_99_19 : 0</v>
      </c>
      <c r="K67" s="53" t="str">
        <f t="shared" si="5"/>
        <v>0.00292 - (0.0093 * E5_4_99_19_mRNA)</v>
      </c>
      <c r="L67" s="54" t="str">
        <f t="shared" si="6"/>
        <v>(0.278 * E5_4_99_19_mRNA) - (0.00000278 * E5_4_99_19)</v>
      </c>
      <c r="M67" s="55" t="str">
        <f t="shared" si="7"/>
        <v>mRNA66: -&gt; E5_4_99_19_mRNA | 0.00292 - (0.0093 * E5_4_99_19_mRNA)</v>
      </c>
      <c r="N67" s="56" t="str">
        <f t="shared" si="8"/>
        <v>Peptide66: E5_4_99_19_mRNA -&gt; E5_4_99_19 | (0.278 * E5_4_99_19_mRNA) - (0.000000278 * E5_4_99_19)</v>
      </c>
    </row>
    <row r="68" spans="1:14" ht="29">
      <c r="A68" s="46">
        <v>67</v>
      </c>
      <c r="B68" s="7" t="s">
        <v>12357</v>
      </c>
      <c r="C68" s="27" t="str">
        <f t="shared" si="0"/>
        <v>E3_6_5_3_mRNA</v>
      </c>
      <c r="D68" s="47" t="str">
        <f t="shared" si="9"/>
        <v>E3_6_5_3</v>
      </c>
      <c r="E68" s="48" t="str">
        <f t="shared" si="1"/>
        <v>E3_6_5_3_kcat : 13.7</v>
      </c>
      <c r="F68" s="49" t="str">
        <f t="shared" si="2"/>
        <v>E3_6_5_3_km : 1</v>
      </c>
      <c r="G68" s="9" t="str">
        <f t="shared" ref="G68:H68" si="140">CONCATENATE(C68," : ",C68)</f>
        <v>E3_6_5_3_mRNA : E3_6_5_3_mRNA</v>
      </c>
      <c r="H68" s="50" t="str">
        <f t="shared" si="140"/>
        <v>E3_6_5_3 : E3_6_5_3</v>
      </c>
      <c r="I68" s="51" t="str">
        <f t="shared" ref="I68:J68" si="141">CONCATENATE(C68," : ","0")</f>
        <v>E3_6_5_3_mRNA : 0</v>
      </c>
      <c r="J68" s="52" t="str">
        <f t="shared" si="141"/>
        <v>E3_6_5_3 : 0</v>
      </c>
      <c r="K68" s="53" t="str">
        <f t="shared" si="5"/>
        <v>0.00292 - (0.0093 * E3_6_5_3_mRNA)</v>
      </c>
      <c r="L68" s="54" t="str">
        <f t="shared" si="6"/>
        <v>(0.278 * E3_6_5_3_mRNA) - (0.00000278 * E3_6_5_3)</v>
      </c>
      <c r="M68" s="55" t="str">
        <f t="shared" si="7"/>
        <v>mRNA67: -&gt; E3_6_5_3_mRNA | 0.00292 - (0.0093 * E3_6_5_3_mRNA)</v>
      </c>
      <c r="N68" s="56" t="str">
        <f t="shared" si="8"/>
        <v>Peptide67: E3_6_5_3_mRNA -&gt; E3_6_5_3 | (0.278 * E3_6_5_3_mRNA) - (0.000000278 * E3_6_5_3)</v>
      </c>
    </row>
    <row r="69" spans="1:14" ht="29">
      <c r="A69" s="46">
        <v>68</v>
      </c>
      <c r="B69" s="7" t="s">
        <v>12358</v>
      </c>
      <c r="C69" s="27" t="str">
        <f t="shared" si="0"/>
        <v>E1_14_13_107_mRNA</v>
      </c>
      <c r="D69" s="47" t="str">
        <f t="shared" si="9"/>
        <v>E1_14_13_107</v>
      </c>
      <c r="E69" s="48" t="str">
        <f t="shared" si="1"/>
        <v>E1_14_13_107_kcat : 13.7</v>
      </c>
      <c r="F69" s="49" t="str">
        <f t="shared" si="2"/>
        <v>E1_14_13_107_km : 1</v>
      </c>
      <c r="G69" s="9" t="str">
        <f t="shared" ref="G69:H69" si="142">CONCATENATE(C69," : ",C69)</f>
        <v>E1_14_13_107_mRNA : E1_14_13_107_mRNA</v>
      </c>
      <c r="H69" s="50" t="str">
        <f t="shared" si="142"/>
        <v>E1_14_13_107 : E1_14_13_107</v>
      </c>
      <c r="I69" s="51" t="str">
        <f t="shared" ref="I69:J69" si="143">CONCATENATE(C69," : ","0")</f>
        <v>E1_14_13_107_mRNA : 0</v>
      </c>
      <c r="J69" s="52" t="str">
        <f t="shared" si="143"/>
        <v>E1_14_13_107 : 0</v>
      </c>
      <c r="K69" s="53" t="str">
        <f t="shared" si="5"/>
        <v>0.00292 - (0.0093 * E1_14_13_107_mRNA)</v>
      </c>
      <c r="L69" s="54" t="str">
        <f t="shared" si="6"/>
        <v>(0.278 * E1_14_13_107_mRNA) - (0.00000278 * E1_14_13_107)</v>
      </c>
      <c r="M69" s="55" t="str">
        <f t="shared" si="7"/>
        <v>mRNA68: -&gt; E1_14_13_107_mRNA | 0.00292 - (0.0093 * E1_14_13_107_mRNA)</v>
      </c>
      <c r="N69" s="56" t="str">
        <f t="shared" si="8"/>
        <v>Peptide68: E1_14_13_107_mRNA -&gt; E1_14_13_107 | (0.278 * E1_14_13_107_mRNA) - (0.000000278 * E1_14_13_107)</v>
      </c>
    </row>
    <row r="70" spans="1:14" ht="29">
      <c r="A70" s="46">
        <v>69</v>
      </c>
      <c r="B70" s="7" t="s">
        <v>12359</v>
      </c>
      <c r="C70" s="27" t="str">
        <f t="shared" si="0"/>
        <v>E2_6_1_16_mRNA</v>
      </c>
      <c r="D70" s="47" t="str">
        <f t="shared" si="9"/>
        <v>E2_6_1_16</v>
      </c>
      <c r="E70" s="48" t="str">
        <f t="shared" si="1"/>
        <v>E2_6_1_16_kcat : 13.7</v>
      </c>
      <c r="F70" s="49" t="str">
        <f t="shared" si="2"/>
        <v>E2_6_1_16_km : 1</v>
      </c>
      <c r="G70" s="9" t="str">
        <f t="shared" ref="G70:H70" si="144">CONCATENATE(C70," : ",C70)</f>
        <v>E2_6_1_16_mRNA : E2_6_1_16_mRNA</v>
      </c>
      <c r="H70" s="50" t="str">
        <f t="shared" si="144"/>
        <v>E2_6_1_16 : E2_6_1_16</v>
      </c>
      <c r="I70" s="51" t="str">
        <f t="shared" ref="I70:J70" si="145">CONCATENATE(C70," : ","0")</f>
        <v>E2_6_1_16_mRNA : 0</v>
      </c>
      <c r="J70" s="52" t="str">
        <f t="shared" si="145"/>
        <v>E2_6_1_16 : 0</v>
      </c>
      <c r="K70" s="53" t="str">
        <f t="shared" si="5"/>
        <v>0.00292 - (0.0093 * E2_6_1_16_mRNA)</v>
      </c>
      <c r="L70" s="54" t="str">
        <f t="shared" si="6"/>
        <v>(0.278 * E2_6_1_16_mRNA) - (0.00000278 * E2_6_1_16)</v>
      </c>
      <c r="M70" s="55" t="str">
        <f t="shared" si="7"/>
        <v>mRNA69: -&gt; E2_6_1_16_mRNA | 0.00292 - (0.0093 * E2_6_1_16_mRNA)</v>
      </c>
      <c r="N70" s="56" t="str">
        <f t="shared" si="8"/>
        <v>Peptide69: E2_6_1_16_mRNA -&gt; E2_6_1_16 | (0.278 * E2_6_1_16_mRNA) - (0.000000278 * E2_6_1_16)</v>
      </c>
    </row>
    <row r="71" spans="1:14" ht="29">
      <c r="A71" s="46">
        <v>70</v>
      </c>
      <c r="B71" s="7" t="s">
        <v>12360</v>
      </c>
      <c r="C71" s="27" t="str">
        <f t="shared" si="0"/>
        <v>E3_2_1_21_mRNA</v>
      </c>
      <c r="D71" s="47" t="str">
        <f t="shared" si="9"/>
        <v>E3_2_1_21</v>
      </c>
      <c r="E71" s="48" t="str">
        <f t="shared" si="1"/>
        <v>E3_2_1_21_kcat : 13.7</v>
      </c>
      <c r="F71" s="49" t="str">
        <f t="shared" si="2"/>
        <v>E3_2_1_21_km : 1</v>
      </c>
      <c r="G71" s="9" t="str">
        <f t="shared" ref="G71:H71" si="146">CONCATENATE(C71," : ",C71)</f>
        <v>E3_2_1_21_mRNA : E3_2_1_21_mRNA</v>
      </c>
      <c r="H71" s="50" t="str">
        <f t="shared" si="146"/>
        <v>E3_2_1_21 : E3_2_1_21</v>
      </c>
      <c r="I71" s="51" t="str">
        <f t="shared" ref="I71:J71" si="147">CONCATENATE(C71," : ","0")</f>
        <v>E3_2_1_21_mRNA : 0</v>
      </c>
      <c r="J71" s="52" t="str">
        <f t="shared" si="147"/>
        <v>E3_2_1_21 : 0</v>
      </c>
      <c r="K71" s="53" t="str">
        <f t="shared" si="5"/>
        <v>0.00292 - (0.0093 * E3_2_1_21_mRNA)</v>
      </c>
      <c r="L71" s="54" t="str">
        <f t="shared" si="6"/>
        <v>(0.278 * E3_2_1_21_mRNA) - (0.00000278 * E3_2_1_21)</v>
      </c>
      <c r="M71" s="55" t="str">
        <f t="shared" si="7"/>
        <v>mRNA70: -&gt; E3_2_1_21_mRNA | 0.00292 - (0.0093 * E3_2_1_21_mRNA)</v>
      </c>
      <c r="N71" s="56" t="str">
        <f t="shared" si="8"/>
        <v>Peptide70: E3_2_1_21_mRNA -&gt; E3_2_1_21 | (0.278 * E3_2_1_21_mRNA) - (0.000000278 * E3_2_1_21)</v>
      </c>
    </row>
    <row r="72" spans="1:14" ht="29">
      <c r="A72" s="46">
        <v>71</v>
      </c>
      <c r="B72" s="7" t="s">
        <v>12361</v>
      </c>
      <c r="C72" s="27" t="str">
        <f t="shared" si="0"/>
        <v>E6_1_1_15_mRNA</v>
      </c>
      <c r="D72" s="47" t="str">
        <f t="shared" si="9"/>
        <v>E6_1_1_15</v>
      </c>
      <c r="E72" s="48" t="str">
        <f t="shared" si="1"/>
        <v>E6_1_1_15_kcat : 13.7</v>
      </c>
      <c r="F72" s="49" t="str">
        <f t="shared" si="2"/>
        <v>E6_1_1_15_km : 1</v>
      </c>
      <c r="G72" s="9" t="str">
        <f t="shared" ref="G72:H72" si="148">CONCATENATE(C72," : ",C72)</f>
        <v>E6_1_1_15_mRNA : E6_1_1_15_mRNA</v>
      </c>
      <c r="H72" s="50" t="str">
        <f t="shared" si="148"/>
        <v>E6_1_1_15 : E6_1_1_15</v>
      </c>
      <c r="I72" s="51" t="str">
        <f t="shared" ref="I72:J72" si="149">CONCATENATE(C72," : ","0")</f>
        <v>E6_1_1_15_mRNA : 0</v>
      </c>
      <c r="J72" s="52" t="str">
        <f t="shared" si="149"/>
        <v>E6_1_1_15 : 0</v>
      </c>
      <c r="K72" s="53" t="str">
        <f t="shared" si="5"/>
        <v>0.00292 - (0.0093 * E6_1_1_15_mRNA)</v>
      </c>
      <c r="L72" s="54" t="str">
        <f t="shared" si="6"/>
        <v>(0.278 * E6_1_1_15_mRNA) - (0.00000278 * E6_1_1_15)</v>
      </c>
      <c r="M72" s="55" t="str">
        <f t="shared" si="7"/>
        <v>mRNA71: -&gt; E6_1_1_15_mRNA | 0.00292 - (0.0093 * E6_1_1_15_mRNA)</v>
      </c>
      <c r="N72" s="56" t="str">
        <f t="shared" si="8"/>
        <v>Peptide71: E6_1_1_15_mRNA -&gt; E6_1_1_15 | (0.278 * E6_1_1_15_mRNA) - (0.000000278 * E6_1_1_15)</v>
      </c>
    </row>
    <row r="73" spans="1:14" ht="29">
      <c r="A73" s="46">
        <v>72</v>
      </c>
      <c r="B73" s="7" t="s">
        <v>12362</v>
      </c>
      <c r="C73" s="27" t="str">
        <f t="shared" si="0"/>
        <v>E2_7_7_41_mRNA</v>
      </c>
      <c r="D73" s="47" t="str">
        <f t="shared" si="9"/>
        <v>E2_7_7_41</v>
      </c>
      <c r="E73" s="48" t="str">
        <f t="shared" si="1"/>
        <v>E2_7_7_41_kcat : 13.7</v>
      </c>
      <c r="F73" s="49" t="str">
        <f t="shared" si="2"/>
        <v>E2_7_7_41_km : 1</v>
      </c>
      <c r="G73" s="9" t="str">
        <f t="shared" ref="G73:H73" si="150">CONCATENATE(C73," : ",C73)</f>
        <v>E2_7_7_41_mRNA : E2_7_7_41_mRNA</v>
      </c>
      <c r="H73" s="50" t="str">
        <f t="shared" si="150"/>
        <v>E2_7_7_41 : E2_7_7_41</v>
      </c>
      <c r="I73" s="51" t="str">
        <f t="shared" ref="I73:J73" si="151">CONCATENATE(C73," : ","0")</f>
        <v>E2_7_7_41_mRNA : 0</v>
      </c>
      <c r="J73" s="52" t="str">
        <f t="shared" si="151"/>
        <v>E2_7_7_41 : 0</v>
      </c>
      <c r="K73" s="53" t="str">
        <f t="shared" si="5"/>
        <v>0.00292 - (0.0093 * E2_7_7_41_mRNA)</v>
      </c>
      <c r="L73" s="54" t="str">
        <f t="shared" si="6"/>
        <v>(0.278 * E2_7_7_41_mRNA) - (0.00000278 * E2_7_7_41)</v>
      </c>
      <c r="M73" s="55" t="str">
        <f t="shared" si="7"/>
        <v>mRNA72: -&gt; E2_7_7_41_mRNA | 0.00292 - (0.0093 * E2_7_7_41_mRNA)</v>
      </c>
      <c r="N73" s="56" t="str">
        <f t="shared" si="8"/>
        <v>Peptide72: E2_7_7_41_mRNA -&gt; E2_7_7_41 | (0.278 * E2_7_7_41_mRNA) - (0.000000278 * E2_7_7_41)</v>
      </c>
    </row>
    <row r="74" spans="1:14" ht="29">
      <c r="A74" s="46">
        <v>73</v>
      </c>
      <c r="B74" s="7" t="s">
        <v>12363</v>
      </c>
      <c r="C74" s="27" t="str">
        <f t="shared" si="0"/>
        <v>E2_5_1_31_mRNA</v>
      </c>
      <c r="D74" s="47" t="str">
        <f t="shared" si="9"/>
        <v>E2_5_1_31</v>
      </c>
      <c r="E74" s="48" t="str">
        <f t="shared" si="1"/>
        <v>E2_5_1_31_kcat : 13.7</v>
      </c>
      <c r="F74" s="49" t="str">
        <f t="shared" si="2"/>
        <v>E2_5_1_31_km : 1</v>
      </c>
      <c r="G74" s="9" t="str">
        <f t="shared" ref="G74:H74" si="152">CONCATENATE(C74," : ",C74)</f>
        <v>E2_5_1_31_mRNA : E2_5_1_31_mRNA</v>
      </c>
      <c r="H74" s="50" t="str">
        <f t="shared" si="152"/>
        <v>E2_5_1_31 : E2_5_1_31</v>
      </c>
      <c r="I74" s="51" t="str">
        <f t="shared" ref="I74:J74" si="153">CONCATENATE(C74," : ","0")</f>
        <v>E2_5_1_31_mRNA : 0</v>
      </c>
      <c r="J74" s="52" t="str">
        <f t="shared" si="153"/>
        <v>E2_5_1_31 : 0</v>
      </c>
      <c r="K74" s="53" t="str">
        <f t="shared" si="5"/>
        <v>0.00292 - (0.0093 * E2_5_1_31_mRNA)</v>
      </c>
      <c r="L74" s="54" t="str">
        <f t="shared" si="6"/>
        <v>(0.278 * E2_5_1_31_mRNA) - (0.00000278 * E2_5_1_31)</v>
      </c>
      <c r="M74" s="55" t="str">
        <f t="shared" si="7"/>
        <v>mRNA73: -&gt; E2_5_1_31_mRNA | 0.00292 - (0.0093 * E2_5_1_31_mRNA)</v>
      </c>
      <c r="N74" s="56" t="str">
        <f t="shared" si="8"/>
        <v>Peptide73: E2_5_1_31_mRNA -&gt; E2_5_1_31 | (0.278 * E2_5_1_31_mRNA) - (0.000000278 * E2_5_1_31)</v>
      </c>
    </row>
    <row r="75" spans="1:14" ht="29">
      <c r="A75" s="46">
        <v>74</v>
      </c>
      <c r="B75" s="7" t="s">
        <v>12364</v>
      </c>
      <c r="C75" s="27" t="str">
        <f t="shared" si="0"/>
        <v>E3_6_4_12_mRNA</v>
      </c>
      <c r="D75" s="47" t="str">
        <f t="shared" si="9"/>
        <v>E3_6_4_12</v>
      </c>
      <c r="E75" s="48" t="str">
        <f t="shared" si="1"/>
        <v>E3_6_4_12_kcat : 13.7</v>
      </c>
      <c r="F75" s="49" t="str">
        <f t="shared" si="2"/>
        <v>E3_6_4_12_km : 1</v>
      </c>
      <c r="G75" s="9" t="str">
        <f t="shared" ref="G75:H75" si="154">CONCATENATE(C75," : ",C75)</f>
        <v>E3_6_4_12_mRNA : E3_6_4_12_mRNA</v>
      </c>
      <c r="H75" s="50" t="str">
        <f t="shared" si="154"/>
        <v>E3_6_4_12 : E3_6_4_12</v>
      </c>
      <c r="I75" s="51" t="str">
        <f t="shared" ref="I75:J75" si="155">CONCATENATE(C75," : ","0")</f>
        <v>E3_6_4_12_mRNA : 0</v>
      </c>
      <c r="J75" s="52" t="str">
        <f t="shared" si="155"/>
        <v>E3_6_4_12 : 0</v>
      </c>
      <c r="K75" s="53" t="str">
        <f t="shared" si="5"/>
        <v>0.00292 - (0.0093 * E3_6_4_12_mRNA)</v>
      </c>
      <c r="L75" s="54" t="str">
        <f t="shared" si="6"/>
        <v>(0.278 * E3_6_4_12_mRNA) - (0.00000278 * E3_6_4_12)</v>
      </c>
      <c r="M75" s="55" t="str">
        <f t="shared" si="7"/>
        <v>mRNA74: -&gt; E3_6_4_12_mRNA | 0.00292 - (0.0093 * E3_6_4_12_mRNA)</v>
      </c>
      <c r="N75" s="56" t="str">
        <f t="shared" si="8"/>
        <v>Peptide74: E3_6_4_12_mRNA -&gt; E3_6_4_12 | (0.278 * E3_6_4_12_mRNA) - (0.000000278 * E3_6_4_12)</v>
      </c>
    </row>
    <row r="76" spans="1:14" ht="29">
      <c r="A76" s="46">
        <v>75</v>
      </c>
      <c r="B76" s="7" t="s">
        <v>12365</v>
      </c>
      <c r="C76" s="27" t="str">
        <f t="shared" si="0"/>
        <v>E6_1_1_4_mRNA</v>
      </c>
      <c r="D76" s="47" t="str">
        <f t="shared" si="9"/>
        <v>E6_1_1_4</v>
      </c>
      <c r="E76" s="48" t="str">
        <f t="shared" si="1"/>
        <v>E6_1_1_4_kcat : 13.7</v>
      </c>
      <c r="F76" s="49" t="str">
        <f t="shared" si="2"/>
        <v>E6_1_1_4_km : 1</v>
      </c>
      <c r="G76" s="9" t="str">
        <f t="shared" ref="G76:H76" si="156">CONCATENATE(C76," : ",C76)</f>
        <v>E6_1_1_4_mRNA : E6_1_1_4_mRNA</v>
      </c>
      <c r="H76" s="50" t="str">
        <f t="shared" si="156"/>
        <v>E6_1_1_4 : E6_1_1_4</v>
      </c>
      <c r="I76" s="51" t="str">
        <f t="shared" ref="I76:J76" si="157">CONCATENATE(C76," : ","0")</f>
        <v>E6_1_1_4_mRNA : 0</v>
      </c>
      <c r="J76" s="52" t="str">
        <f t="shared" si="157"/>
        <v>E6_1_1_4 : 0</v>
      </c>
      <c r="K76" s="53" t="str">
        <f t="shared" si="5"/>
        <v>0.00292 - (0.0093 * E6_1_1_4_mRNA)</v>
      </c>
      <c r="L76" s="54" t="str">
        <f t="shared" si="6"/>
        <v>(0.278 * E6_1_1_4_mRNA) - (0.00000278 * E6_1_1_4)</v>
      </c>
      <c r="M76" s="55" t="str">
        <f t="shared" si="7"/>
        <v>mRNA75: -&gt; E6_1_1_4_mRNA | 0.00292 - (0.0093 * E6_1_1_4_mRNA)</v>
      </c>
      <c r="N76" s="56" t="str">
        <f t="shared" si="8"/>
        <v>Peptide75: E6_1_1_4_mRNA -&gt; E6_1_1_4 | (0.278 * E6_1_1_4_mRNA) - (0.000000278 * E6_1_1_4)</v>
      </c>
    </row>
    <row r="77" spans="1:14" ht="29">
      <c r="A77" s="46">
        <v>76</v>
      </c>
      <c r="B77" s="7" t="s">
        <v>12366</v>
      </c>
      <c r="C77" s="27" t="str">
        <f t="shared" si="0"/>
        <v>E1_1_1_6_mRNA</v>
      </c>
      <c r="D77" s="47" t="str">
        <f t="shared" si="9"/>
        <v>E1_1_1_6</v>
      </c>
      <c r="E77" s="48" t="str">
        <f t="shared" si="1"/>
        <v>E1_1_1_6_kcat : 13.7</v>
      </c>
      <c r="F77" s="49" t="str">
        <f t="shared" si="2"/>
        <v>E1_1_1_6_km : 1</v>
      </c>
      <c r="G77" s="9" t="str">
        <f t="shared" ref="G77:H77" si="158">CONCATENATE(C77," : ",C77)</f>
        <v>E1_1_1_6_mRNA : E1_1_1_6_mRNA</v>
      </c>
      <c r="H77" s="50" t="str">
        <f t="shared" si="158"/>
        <v>E1_1_1_6 : E1_1_1_6</v>
      </c>
      <c r="I77" s="51" t="str">
        <f t="shared" ref="I77:J77" si="159">CONCATENATE(C77," : ","0")</f>
        <v>E1_1_1_6_mRNA : 0</v>
      </c>
      <c r="J77" s="52" t="str">
        <f t="shared" si="159"/>
        <v>E1_1_1_6 : 0</v>
      </c>
      <c r="K77" s="53" t="str">
        <f t="shared" si="5"/>
        <v>0.00292 - (0.0093 * E1_1_1_6_mRNA)</v>
      </c>
      <c r="L77" s="54" t="str">
        <f t="shared" si="6"/>
        <v>(0.278 * E1_1_1_6_mRNA) - (0.00000278 * E1_1_1_6)</v>
      </c>
      <c r="M77" s="55" t="str">
        <f t="shared" si="7"/>
        <v>mRNA76: -&gt; E1_1_1_6_mRNA | 0.00292 - (0.0093 * E1_1_1_6_mRNA)</v>
      </c>
      <c r="N77" s="56" t="str">
        <f t="shared" si="8"/>
        <v>Peptide76: E1_1_1_6_mRNA -&gt; E1_1_1_6 | (0.278 * E1_1_1_6_mRNA) - (0.000000278 * E1_1_1_6)</v>
      </c>
    </row>
    <row r="78" spans="1:14" ht="29">
      <c r="A78" s="46">
        <v>77</v>
      </c>
      <c r="B78" s="7" t="s">
        <v>12367</v>
      </c>
      <c r="C78" s="27" t="str">
        <f t="shared" si="0"/>
        <v>E4_1_1_83_mRNA</v>
      </c>
      <c r="D78" s="47" t="str">
        <f t="shared" si="9"/>
        <v>E4_1_1_83</v>
      </c>
      <c r="E78" s="48" t="str">
        <f t="shared" si="1"/>
        <v>E4_1_1_83_kcat : 13.7</v>
      </c>
      <c r="F78" s="49" t="str">
        <f t="shared" si="2"/>
        <v>E4_1_1_83_km : 1</v>
      </c>
      <c r="G78" s="9" t="str">
        <f t="shared" ref="G78:H78" si="160">CONCATENATE(C78," : ",C78)</f>
        <v>E4_1_1_83_mRNA : E4_1_1_83_mRNA</v>
      </c>
      <c r="H78" s="50" t="str">
        <f t="shared" si="160"/>
        <v>E4_1_1_83 : E4_1_1_83</v>
      </c>
      <c r="I78" s="51" t="str">
        <f t="shared" ref="I78:J78" si="161">CONCATENATE(C78," : ","0")</f>
        <v>E4_1_1_83_mRNA : 0</v>
      </c>
      <c r="J78" s="52" t="str">
        <f t="shared" si="161"/>
        <v>E4_1_1_83 : 0</v>
      </c>
      <c r="K78" s="53" t="str">
        <f t="shared" si="5"/>
        <v>0.00292 - (0.0093 * E4_1_1_83_mRNA)</v>
      </c>
      <c r="L78" s="54" t="str">
        <f t="shared" si="6"/>
        <v>(0.278 * E4_1_1_83_mRNA) - (0.00000278 * E4_1_1_83)</v>
      </c>
      <c r="M78" s="55" t="str">
        <f t="shared" si="7"/>
        <v>mRNA77: -&gt; E4_1_1_83_mRNA | 0.00292 - (0.0093 * E4_1_1_83_mRNA)</v>
      </c>
      <c r="N78" s="56" t="str">
        <f t="shared" si="8"/>
        <v>Peptide77: E4_1_1_83_mRNA -&gt; E4_1_1_83 | (0.278 * E4_1_1_83_mRNA) - (0.000000278 * E4_1_1_83)</v>
      </c>
    </row>
    <row r="79" spans="1:14" ht="29">
      <c r="A79" s="46">
        <v>78</v>
      </c>
      <c r="B79" s="7" t="s">
        <v>12368</v>
      </c>
      <c r="C79" s="27" t="str">
        <f t="shared" si="0"/>
        <v>E2_7_7_6_mRNA</v>
      </c>
      <c r="D79" s="47" t="str">
        <f t="shared" si="9"/>
        <v>E2_7_7_6</v>
      </c>
      <c r="E79" s="48" t="str">
        <f t="shared" si="1"/>
        <v>E2_7_7_6_kcat : 13.7</v>
      </c>
      <c r="F79" s="49" t="str">
        <f t="shared" si="2"/>
        <v>E2_7_7_6_km : 1</v>
      </c>
      <c r="G79" s="9" t="str">
        <f t="shared" ref="G79:H79" si="162">CONCATENATE(C79," : ",C79)</f>
        <v>E2_7_7_6_mRNA : E2_7_7_6_mRNA</v>
      </c>
      <c r="H79" s="50" t="str">
        <f t="shared" si="162"/>
        <v>E2_7_7_6 : E2_7_7_6</v>
      </c>
      <c r="I79" s="51" t="str">
        <f t="shared" ref="I79:J79" si="163">CONCATENATE(C79," : ","0")</f>
        <v>E2_7_7_6_mRNA : 0</v>
      </c>
      <c r="J79" s="52" t="str">
        <f t="shared" si="163"/>
        <v>E2_7_7_6 : 0</v>
      </c>
      <c r="K79" s="53" t="str">
        <f t="shared" si="5"/>
        <v>0.00292 - (0.0093 * E2_7_7_6_mRNA)</v>
      </c>
      <c r="L79" s="54" t="str">
        <f t="shared" si="6"/>
        <v>(0.278 * E2_7_7_6_mRNA) - (0.00000278 * E2_7_7_6)</v>
      </c>
      <c r="M79" s="55" t="str">
        <f t="shared" si="7"/>
        <v>mRNA78: -&gt; E2_7_7_6_mRNA | 0.00292 - (0.0093 * E2_7_7_6_mRNA)</v>
      </c>
      <c r="N79" s="56" t="str">
        <f t="shared" si="8"/>
        <v>Peptide78: E2_7_7_6_mRNA -&gt; E2_7_7_6 | (0.278 * E2_7_7_6_mRNA) - (0.000000278 * E2_7_7_6)</v>
      </c>
    </row>
    <row r="80" spans="1:14" ht="29">
      <c r="A80" s="46">
        <v>79</v>
      </c>
      <c r="B80" s="7" t="s">
        <v>12369</v>
      </c>
      <c r="C80" s="27" t="str">
        <f t="shared" si="0"/>
        <v>E2_7_4_3_mRNA</v>
      </c>
      <c r="D80" s="47" t="str">
        <f t="shared" si="9"/>
        <v>E2_7_4_3</v>
      </c>
      <c r="E80" s="48" t="str">
        <f t="shared" si="1"/>
        <v>E2_7_4_3_kcat : 13.7</v>
      </c>
      <c r="F80" s="49" t="str">
        <f t="shared" si="2"/>
        <v>E2_7_4_3_km : 1</v>
      </c>
      <c r="G80" s="9" t="str">
        <f t="shared" ref="G80:H80" si="164">CONCATENATE(C80," : ",C80)</f>
        <v>E2_7_4_3_mRNA : E2_7_4_3_mRNA</v>
      </c>
      <c r="H80" s="50" t="str">
        <f t="shared" si="164"/>
        <v>E2_7_4_3 : E2_7_4_3</v>
      </c>
      <c r="I80" s="51" t="str">
        <f t="shared" ref="I80:J80" si="165">CONCATENATE(C80," : ","0")</f>
        <v>E2_7_4_3_mRNA : 0</v>
      </c>
      <c r="J80" s="52" t="str">
        <f t="shared" si="165"/>
        <v>E2_7_4_3 : 0</v>
      </c>
      <c r="K80" s="53" t="str">
        <f t="shared" si="5"/>
        <v>0.00292 - (0.0093 * E2_7_4_3_mRNA)</v>
      </c>
      <c r="L80" s="54" t="str">
        <f t="shared" si="6"/>
        <v>(0.278 * E2_7_4_3_mRNA) - (0.00000278 * E2_7_4_3)</v>
      </c>
      <c r="M80" s="55" t="str">
        <f t="shared" si="7"/>
        <v>mRNA79: -&gt; E2_7_4_3_mRNA | 0.00292 - (0.0093 * E2_7_4_3_mRNA)</v>
      </c>
      <c r="N80" s="56" t="str">
        <f t="shared" si="8"/>
        <v>Peptide79: E2_7_4_3_mRNA -&gt; E2_7_4_3 | (0.278 * E2_7_4_3_mRNA) - (0.000000278 * E2_7_4_3)</v>
      </c>
    </row>
    <row r="81" spans="1:14" ht="29">
      <c r="A81" s="46">
        <v>80</v>
      </c>
      <c r="B81" s="7" t="s">
        <v>12370</v>
      </c>
      <c r="C81" s="27" t="str">
        <f t="shared" si="0"/>
        <v>E1_17_4_2_mRNA</v>
      </c>
      <c r="D81" s="47" t="str">
        <f t="shared" si="9"/>
        <v>E1_17_4_2</v>
      </c>
      <c r="E81" s="48" t="str">
        <f t="shared" si="1"/>
        <v>E1_17_4_2_kcat : 13.7</v>
      </c>
      <c r="F81" s="49" t="str">
        <f t="shared" si="2"/>
        <v>E1_17_4_2_km : 1</v>
      </c>
      <c r="G81" s="9" t="str">
        <f t="shared" ref="G81:H81" si="166">CONCATENATE(C81," : ",C81)</f>
        <v>E1_17_4_2_mRNA : E1_17_4_2_mRNA</v>
      </c>
      <c r="H81" s="50" t="str">
        <f t="shared" si="166"/>
        <v>E1_17_4_2 : E1_17_4_2</v>
      </c>
      <c r="I81" s="51" t="str">
        <f t="shared" ref="I81:J81" si="167">CONCATENATE(C81," : ","0")</f>
        <v>E1_17_4_2_mRNA : 0</v>
      </c>
      <c r="J81" s="52" t="str">
        <f t="shared" si="167"/>
        <v>E1_17_4_2 : 0</v>
      </c>
      <c r="K81" s="53" t="str">
        <f t="shared" si="5"/>
        <v>0.00292 - (0.0093 * E1_17_4_2_mRNA)</v>
      </c>
      <c r="L81" s="54" t="str">
        <f t="shared" si="6"/>
        <v>(0.278 * E1_17_4_2_mRNA) - (0.00000278 * E1_17_4_2)</v>
      </c>
      <c r="M81" s="55" t="str">
        <f t="shared" si="7"/>
        <v>mRNA80: -&gt; E1_17_4_2_mRNA | 0.00292 - (0.0093 * E1_17_4_2_mRNA)</v>
      </c>
      <c r="N81" s="56" t="str">
        <f t="shared" si="8"/>
        <v>Peptide80: E1_17_4_2_mRNA -&gt; E1_17_4_2 | (0.278 * E1_17_4_2_mRNA) - (0.000000278 * E1_17_4_2)</v>
      </c>
    </row>
    <row r="82" spans="1:14" ht="29">
      <c r="A82" s="46">
        <v>81</v>
      </c>
      <c r="B82" s="7" t="s">
        <v>12371</v>
      </c>
      <c r="C82" s="27" t="str">
        <f t="shared" si="0"/>
        <v>E3_4_11_9_mRNA</v>
      </c>
      <c r="D82" s="47" t="str">
        <f t="shared" si="9"/>
        <v>E3_4_11_9</v>
      </c>
      <c r="E82" s="48" t="str">
        <f t="shared" si="1"/>
        <v>E3_4_11_9_kcat : 13.7</v>
      </c>
      <c r="F82" s="49" t="str">
        <f t="shared" si="2"/>
        <v>E3_4_11_9_km : 1</v>
      </c>
      <c r="G82" s="9" t="str">
        <f t="shared" ref="G82:H82" si="168">CONCATENATE(C82," : ",C82)</f>
        <v>E3_4_11_9_mRNA : E3_4_11_9_mRNA</v>
      </c>
      <c r="H82" s="50" t="str">
        <f t="shared" si="168"/>
        <v>E3_4_11_9 : E3_4_11_9</v>
      </c>
      <c r="I82" s="51" t="str">
        <f t="shared" ref="I82:J82" si="169">CONCATENATE(C82," : ","0")</f>
        <v>E3_4_11_9_mRNA : 0</v>
      </c>
      <c r="J82" s="52" t="str">
        <f t="shared" si="169"/>
        <v>E3_4_11_9 : 0</v>
      </c>
      <c r="K82" s="53" t="str">
        <f t="shared" si="5"/>
        <v>0.00292 - (0.0093 * E3_4_11_9_mRNA)</v>
      </c>
      <c r="L82" s="54" t="str">
        <f t="shared" si="6"/>
        <v>(0.278 * E3_4_11_9_mRNA) - (0.00000278 * E3_4_11_9)</v>
      </c>
      <c r="M82" s="55" t="str">
        <f t="shared" si="7"/>
        <v>mRNA81: -&gt; E3_4_11_9_mRNA | 0.00292 - (0.0093 * E3_4_11_9_mRNA)</v>
      </c>
      <c r="N82" s="56" t="str">
        <f t="shared" si="8"/>
        <v>Peptide81: E3_4_11_9_mRNA -&gt; E3_4_11_9 | (0.278 * E3_4_11_9_mRNA) - (0.000000278 * E3_4_11_9)</v>
      </c>
    </row>
    <row r="83" spans="1:14" ht="29">
      <c r="A83" s="46">
        <v>82</v>
      </c>
      <c r="B83" s="7" t="s">
        <v>12372</v>
      </c>
      <c r="C83" s="27" t="str">
        <f t="shared" si="0"/>
        <v>E3_2_2_20_mRNA</v>
      </c>
      <c r="D83" s="47" t="str">
        <f t="shared" si="9"/>
        <v>E3_2_2_20</v>
      </c>
      <c r="E83" s="48" t="str">
        <f t="shared" si="1"/>
        <v>E3_2_2_20_kcat : 13.7</v>
      </c>
      <c r="F83" s="49" t="str">
        <f t="shared" si="2"/>
        <v>E3_2_2_20_km : 1</v>
      </c>
      <c r="G83" s="9" t="str">
        <f t="shared" ref="G83:H83" si="170">CONCATENATE(C83," : ",C83)</f>
        <v>E3_2_2_20_mRNA : E3_2_2_20_mRNA</v>
      </c>
      <c r="H83" s="50" t="str">
        <f t="shared" si="170"/>
        <v>E3_2_2_20 : E3_2_2_20</v>
      </c>
      <c r="I83" s="51" t="str">
        <f t="shared" ref="I83:J83" si="171">CONCATENATE(C83," : ","0")</f>
        <v>E3_2_2_20_mRNA : 0</v>
      </c>
      <c r="J83" s="52" t="str">
        <f t="shared" si="171"/>
        <v>E3_2_2_20 : 0</v>
      </c>
      <c r="K83" s="53" t="str">
        <f t="shared" si="5"/>
        <v>0.00292 - (0.0093 * E3_2_2_20_mRNA)</v>
      </c>
      <c r="L83" s="54" t="str">
        <f t="shared" si="6"/>
        <v>(0.278 * E3_2_2_20_mRNA) - (0.00000278 * E3_2_2_20)</v>
      </c>
      <c r="M83" s="55" t="str">
        <f t="shared" si="7"/>
        <v>mRNA82: -&gt; E3_2_2_20_mRNA | 0.00292 - (0.0093 * E3_2_2_20_mRNA)</v>
      </c>
      <c r="N83" s="56" t="str">
        <f t="shared" si="8"/>
        <v>Peptide82: E3_2_2_20_mRNA -&gt; E3_2_2_20 | (0.278 * E3_2_2_20_mRNA) - (0.000000278 * E3_2_2_20)</v>
      </c>
    </row>
    <row r="84" spans="1:14" ht="29">
      <c r="A84" s="46">
        <v>83</v>
      </c>
      <c r="B84" s="7" t="s">
        <v>12373</v>
      </c>
      <c r="C84" s="27" t="str">
        <f t="shared" si="0"/>
        <v>E2_5_1_9_mRNA</v>
      </c>
      <c r="D84" s="47" t="str">
        <f t="shared" si="9"/>
        <v>E2_5_1_9</v>
      </c>
      <c r="E84" s="48" t="str">
        <f t="shared" si="1"/>
        <v>E2_5_1_9_kcat : 13.7</v>
      </c>
      <c r="F84" s="49" t="str">
        <f t="shared" si="2"/>
        <v>E2_5_1_9_km : 1</v>
      </c>
      <c r="G84" s="9" t="str">
        <f t="shared" ref="G84:H84" si="172">CONCATENATE(C84," : ",C84)</f>
        <v>E2_5_1_9_mRNA : E2_5_1_9_mRNA</v>
      </c>
      <c r="H84" s="50" t="str">
        <f t="shared" si="172"/>
        <v>E2_5_1_9 : E2_5_1_9</v>
      </c>
      <c r="I84" s="51" t="str">
        <f t="shared" ref="I84:J84" si="173">CONCATENATE(C84," : ","0")</f>
        <v>E2_5_1_9_mRNA : 0</v>
      </c>
      <c r="J84" s="52" t="str">
        <f t="shared" si="173"/>
        <v>E2_5_1_9 : 0</v>
      </c>
      <c r="K84" s="53" t="str">
        <f t="shared" si="5"/>
        <v>0.00292 - (0.0093 * E2_5_1_9_mRNA)</v>
      </c>
      <c r="L84" s="54" t="str">
        <f t="shared" si="6"/>
        <v>(0.278 * E2_5_1_9_mRNA) - (0.00000278 * E2_5_1_9)</v>
      </c>
      <c r="M84" s="55" t="str">
        <f t="shared" si="7"/>
        <v>mRNA83: -&gt; E2_5_1_9_mRNA | 0.00292 - (0.0093 * E2_5_1_9_mRNA)</v>
      </c>
      <c r="N84" s="56" t="str">
        <f t="shared" si="8"/>
        <v>Peptide83: E2_5_1_9_mRNA -&gt; E2_5_1_9 | (0.278 * E2_5_1_9_mRNA) - (0.000000278 * E2_5_1_9)</v>
      </c>
    </row>
    <row r="85" spans="1:14" ht="29">
      <c r="A85" s="46">
        <v>84</v>
      </c>
      <c r="B85" s="7" t="s">
        <v>12374</v>
      </c>
      <c r="C85" s="27" t="str">
        <f t="shared" si="0"/>
        <v>E3_5_1_16_mRNA</v>
      </c>
      <c r="D85" s="47" t="str">
        <f t="shared" si="9"/>
        <v>E3_5_1_16</v>
      </c>
      <c r="E85" s="48" t="str">
        <f t="shared" si="1"/>
        <v>E3_5_1_16_kcat : 13.7</v>
      </c>
      <c r="F85" s="49" t="str">
        <f t="shared" si="2"/>
        <v>E3_5_1_16_km : 1</v>
      </c>
      <c r="G85" s="9" t="str">
        <f t="shared" ref="G85:H85" si="174">CONCATENATE(C85," : ",C85)</f>
        <v>E3_5_1_16_mRNA : E3_5_1_16_mRNA</v>
      </c>
      <c r="H85" s="50" t="str">
        <f t="shared" si="174"/>
        <v>E3_5_1_16 : E3_5_1_16</v>
      </c>
      <c r="I85" s="51" t="str">
        <f t="shared" ref="I85:J85" si="175">CONCATENATE(C85," : ","0")</f>
        <v>E3_5_1_16_mRNA : 0</v>
      </c>
      <c r="J85" s="52" t="str">
        <f t="shared" si="175"/>
        <v>E3_5_1_16 : 0</v>
      </c>
      <c r="K85" s="53" t="str">
        <f t="shared" si="5"/>
        <v>0.00292 - (0.0093 * E3_5_1_16_mRNA)</v>
      </c>
      <c r="L85" s="54" t="str">
        <f t="shared" si="6"/>
        <v>(0.278 * E3_5_1_16_mRNA) - (0.00000278 * E3_5_1_16)</v>
      </c>
      <c r="M85" s="55" t="str">
        <f t="shared" si="7"/>
        <v>mRNA84: -&gt; E3_5_1_16_mRNA | 0.00292 - (0.0093 * E3_5_1_16_mRNA)</v>
      </c>
      <c r="N85" s="56" t="str">
        <f t="shared" si="8"/>
        <v>Peptide84: E3_5_1_16_mRNA -&gt; E3_5_1_16 | (0.278 * E3_5_1_16_mRNA) - (0.000000278 * E3_5_1_16)</v>
      </c>
    </row>
    <row r="86" spans="1:14" ht="29">
      <c r="A86" s="46">
        <v>85</v>
      </c>
      <c r="B86" s="7" t="s">
        <v>12375</v>
      </c>
      <c r="C86" s="27" t="str">
        <f t="shared" si="0"/>
        <v>E4_3_1_17_mRNA</v>
      </c>
      <c r="D86" s="47" t="str">
        <f t="shared" si="9"/>
        <v>E4_3_1_17</v>
      </c>
      <c r="E86" s="48" t="str">
        <f t="shared" si="1"/>
        <v>E4_3_1_17_kcat : 13.7</v>
      </c>
      <c r="F86" s="49" t="str">
        <f t="shared" si="2"/>
        <v>E4_3_1_17_km : 1</v>
      </c>
      <c r="G86" s="9" t="str">
        <f t="shared" ref="G86:H86" si="176">CONCATENATE(C86," : ",C86)</f>
        <v>E4_3_1_17_mRNA : E4_3_1_17_mRNA</v>
      </c>
      <c r="H86" s="50" t="str">
        <f t="shared" si="176"/>
        <v>E4_3_1_17 : E4_3_1_17</v>
      </c>
      <c r="I86" s="51" t="str">
        <f t="shared" ref="I86:J86" si="177">CONCATENATE(C86," : ","0")</f>
        <v>E4_3_1_17_mRNA : 0</v>
      </c>
      <c r="J86" s="52" t="str">
        <f t="shared" si="177"/>
        <v>E4_3_1_17 : 0</v>
      </c>
      <c r="K86" s="53" t="str">
        <f t="shared" si="5"/>
        <v>0.00292 - (0.0093 * E4_3_1_17_mRNA)</v>
      </c>
      <c r="L86" s="54" t="str">
        <f t="shared" si="6"/>
        <v>(0.278 * E4_3_1_17_mRNA) - (0.00000278 * E4_3_1_17)</v>
      </c>
      <c r="M86" s="55" t="str">
        <f t="shared" si="7"/>
        <v>mRNA85: -&gt; E4_3_1_17_mRNA | 0.00292 - (0.0093 * E4_3_1_17_mRNA)</v>
      </c>
      <c r="N86" s="56" t="str">
        <f t="shared" si="8"/>
        <v>Peptide85: E4_3_1_17_mRNA -&gt; E4_3_1_17 | (0.278 * E4_3_1_17_mRNA) - (0.000000278 * E4_3_1_17)</v>
      </c>
    </row>
    <row r="87" spans="1:14" ht="29">
      <c r="A87" s="46">
        <v>86</v>
      </c>
      <c r="B87" s="7" t="s">
        <v>12376</v>
      </c>
      <c r="C87" s="27" t="str">
        <f t="shared" si="0"/>
        <v>E3_1_3_5_mRNA</v>
      </c>
      <c r="D87" s="47" t="str">
        <f t="shared" si="9"/>
        <v>E3_1_3_5</v>
      </c>
      <c r="E87" s="48" t="str">
        <f t="shared" si="1"/>
        <v>E3_1_3_5_kcat : 13.7</v>
      </c>
      <c r="F87" s="49" t="str">
        <f t="shared" si="2"/>
        <v>E3_1_3_5_km : 1</v>
      </c>
      <c r="G87" s="9" t="str">
        <f t="shared" ref="G87:H87" si="178">CONCATENATE(C87," : ",C87)</f>
        <v>E3_1_3_5_mRNA : E3_1_3_5_mRNA</v>
      </c>
      <c r="H87" s="50" t="str">
        <f t="shared" si="178"/>
        <v>E3_1_3_5 : E3_1_3_5</v>
      </c>
      <c r="I87" s="51" t="str">
        <f t="shared" ref="I87:J87" si="179">CONCATENATE(C87," : ","0")</f>
        <v>E3_1_3_5_mRNA : 0</v>
      </c>
      <c r="J87" s="52" t="str">
        <f t="shared" si="179"/>
        <v>E3_1_3_5 : 0</v>
      </c>
      <c r="K87" s="53" t="str">
        <f t="shared" si="5"/>
        <v>0.00292 - (0.0093 * E3_1_3_5_mRNA)</v>
      </c>
      <c r="L87" s="54" t="str">
        <f t="shared" si="6"/>
        <v>(0.278 * E3_1_3_5_mRNA) - (0.00000278 * E3_1_3_5)</v>
      </c>
      <c r="M87" s="55" t="str">
        <f t="shared" si="7"/>
        <v>mRNA86: -&gt; E3_1_3_5_mRNA | 0.00292 - (0.0093 * E3_1_3_5_mRNA)</v>
      </c>
      <c r="N87" s="56" t="str">
        <f t="shared" si="8"/>
        <v>Peptide86: E3_1_3_5_mRNA -&gt; E3_1_3_5 | (0.278 * E3_1_3_5_mRNA) - (0.000000278 * E3_1_3_5)</v>
      </c>
    </row>
    <row r="88" spans="1:14" ht="29">
      <c r="A88" s="46">
        <v>87</v>
      </c>
      <c r="B88" s="7" t="s">
        <v>12377</v>
      </c>
      <c r="C88" s="27" t="str">
        <f t="shared" si="0"/>
        <v>E5_1_3_2_mRNA</v>
      </c>
      <c r="D88" s="47" t="str">
        <f t="shared" si="9"/>
        <v>E5_1_3_2</v>
      </c>
      <c r="E88" s="48" t="str">
        <f t="shared" si="1"/>
        <v>E5_1_3_2_kcat : 13.7</v>
      </c>
      <c r="F88" s="49" t="str">
        <f t="shared" si="2"/>
        <v>E5_1_3_2_km : 1</v>
      </c>
      <c r="G88" s="9" t="str">
        <f t="shared" ref="G88:H88" si="180">CONCATENATE(C88," : ",C88)</f>
        <v>E5_1_3_2_mRNA : E5_1_3_2_mRNA</v>
      </c>
      <c r="H88" s="50" t="str">
        <f t="shared" si="180"/>
        <v>E5_1_3_2 : E5_1_3_2</v>
      </c>
      <c r="I88" s="51" t="str">
        <f t="shared" ref="I88:J88" si="181">CONCATENATE(C88," : ","0")</f>
        <v>E5_1_3_2_mRNA : 0</v>
      </c>
      <c r="J88" s="52" t="str">
        <f t="shared" si="181"/>
        <v>E5_1_3_2 : 0</v>
      </c>
      <c r="K88" s="53" t="str">
        <f t="shared" si="5"/>
        <v>0.00292 - (0.0093 * E5_1_3_2_mRNA)</v>
      </c>
      <c r="L88" s="54" t="str">
        <f t="shared" si="6"/>
        <v>(0.278 * E5_1_3_2_mRNA) - (0.00000278 * E5_1_3_2)</v>
      </c>
      <c r="M88" s="55" t="str">
        <f t="shared" si="7"/>
        <v>mRNA87: -&gt; E5_1_3_2_mRNA | 0.00292 - (0.0093 * E5_1_3_2_mRNA)</v>
      </c>
      <c r="N88" s="56" t="str">
        <f t="shared" si="8"/>
        <v>Peptide87: E5_1_3_2_mRNA -&gt; E5_1_3_2 | (0.278 * E5_1_3_2_mRNA) - (0.000000278 * E5_1_3_2)</v>
      </c>
    </row>
    <row r="89" spans="1:14" ht="29">
      <c r="A89" s="46">
        <v>88</v>
      </c>
      <c r="B89" s="7" t="s">
        <v>12378</v>
      </c>
      <c r="C89" s="27" t="str">
        <f t="shared" si="0"/>
        <v>E2_4_2_1_mRNA</v>
      </c>
      <c r="D89" s="47" t="str">
        <f t="shared" si="9"/>
        <v>E2_4_2_1</v>
      </c>
      <c r="E89" s="48" t="str">
        <f t="shared" si="1"/>
        <v>E2_4_2_1_kcat : 13.7</v>
      </c>
      <c r="F89" s="49" t="str">
        <f t="shared" si="2"/>
        <v>E2_4_2_1_km : 1</v>
      </c>
      <c r="G89" s="9" t="str">
        <f t="shared" ref="G89:H89" si="182">CONCATENATE(C89," : ",C89)</f>
        <v>E2_4_2_1_mRNA : E2_4_2_1_mRNA</v>
      </c>
      <c r="H89" s="50" t="str">
        <f t="shared" si="182"/>
        <v>E2_4_2_1 : E2_4_2_1</v>
      </c>
      <c r="I89" s="51" t="str">
        <f t="shared" ref="I89:J89" si="183">CONCATENATE(C89," : ","0")</f>
        <v>E2_4_2_1_mRNA : 0</v>
      </c>
      <c r="J89" s="52" t="str">
        <f t="shared" si="183"/>
        <v>E2_4_2_1 : 0</v>
      </c>
      <c r="K89" s="53" t="str">
        <f t="shared" si="5"/>
        <v>0.00292 - (0.0093 * E2_4_2_1_mRNA)</v>
      </c>
      <c r="L89" s="54" t="str">
        <f t="shared" si="6"/>
        <v>(0.278 * E2_4_2_1_mRNA) - (0.00000278 * E2_4_2_1)</v>
      </c>
      <c r="M89" s="55" t="str">
        <f t="shared" si="7"/>
        <v>mRNA88: -&gt; E2_4_2_1_mRNA | 0.00292 - (0.0093 * E2_4_2_1_mRNA)</v>
      </c>
      <c r="N89" s="56" t="str">
        <f t="shared" si="8"/>
        <v>Peptide88: E2_4_2_1_mRNA -&gt; E2_4_2_1 | (0.278 * E2_4_2_1_mRNA) - (0.000000278 * E2_4_2_1)</v>
      </c>
    </row>
    <row r="90" spans="1:14" ht="29">
      <c r="A90" s="46">
        <v>89</v>
      </c>
      <c r="B90" s="7" t="s">
        <v>12379</v>
      </c>
      <c r="C90" s="27" t="str">
        <f t="shared" si="0"/>
        <v>E2_4_2_14_mRNA</v>
      </c>
      <c r="D90" s="47" t="str">
        <f t="shared" si="9"/>
        <v>E2_4_2_14</v>
      </c>
      <c r="E90" s="48" t="str">
        <f t="shared" si="1"/>
        <v>E2_4_2_14_kcat : 13.7</v>
      </c>
      <c r="F90" s="49" t="str">
        <f t="shared" si="2"/>
        <v>E2_4_2_14_km : 1</v>
      </c>
      <c r="G90" s="9" t="str">
        <f t="shared" ref="G90:H90" si="184">CONCATENATE(C90," : ",C90)</f>
        <v>E2_4_2_14_mRNA : E2_4_2_14_mRNA</v>
      </c>
      <c r="H90" s="50" t="str">
        <f t="shared" si="184"/>
        <v>E2_4_2_14 : E2_4_2_14</v>
      </c>
      <c r="I90" s="51" t="str">
        <f t="shared" ref="I90:J90" si="185">CONCATENATE(C90," : ","0")</f>
        <v>E2_4_2_14_mRNA : 0</v>
      </c>
      <c r="J90" s="52" t="str">
        <f t="shared" si="185"/>
        <v>E2_4_2_14 : 0</v>
      </c>
      <c r="K90" s="53" t="str">
        <f t="shared" si="5"/>
        <v>0.00292 - (0.0093 * E2_4_2_14_mRNA)</v>
      </c>
      <c r="L90" s="54" t="str">
        <f t="shared" si="6"/>
        <v>(0.278 * E2_4_2_14_mRNA) - (0.00000278 * E2_4_2_14)</v>
      </c>
      <c r="M90" s="55" t="str">
        <f t="shared" si="7"/>
        <v>mRNA89: -&gt; E2_4_2_14_mRNA | 0.00292 - (0.0093 * E2_4_2_14_mRNA)</v>
      </c>
      <c r="N90" s="56" t="str">
        <f t="shared" si="8"/>
        <v>Peptide89: E2_4_2_14_mRNA -&gt; E2_4_2_14 | (0.278 * E2_4_2_14_mRNA) - (0.000000278 * E2_4_2_14)</v>
      </c>
    </row>
    <row r="91" spans="1:14" ht="29">
      <c r="A91" s="46">
        <v>90</v>
      </c>
      <c r="B91" s="7" t="s">
        <v>12380</v>
      </c>
      <c r="C91" s="27" t="str">
        <f t="shared" si="0"/>
        <v>E6_3_5_3_mRNA</v>
      </c>
      <c r="D91" s="47" t="str">
        <f t="shared" si="9"/>
        <v>E6_3_5_3</v>
      </c>
      <c r="E91" s="48" t="str">
        <f t="shared" si="1"/>
        <v>E6_3_5_3_kcat : 13.7</v>
      </c>
      <c r="F91" s="49" t="str">
        <f t="shared" si="2"/>
        <v>E6_3_5_3_km : 1</v>
      </c>
      <c r="G91" s="9" t="str">
        <f t="shared" ref="G91:H91" si="186">CONCATENATE(C91," : ",C91)</f>
        <v>E6_3_5_3_mRNA : E6_3_5_3_mRNA</v>
      </c>
      <c r="H91" s="50" t="str">
        <f t="shared" si="186"/>
        <v>E6_3_5_3 : E6_3_5_3</v>
      </c>
      <c r="I91" s="51" t="str">
        <f t="shared" ref="I91:J91" si="187">CONCATENATE(C91," : ","0")</f>
        <v>E6_3_5_3_mRNA : 0</v>
      </c>
      <c r="J91" s="52" t="str">
        <f t="shared" si="187"/>
        <v>E6_3_5_3 : 0</v>
      </c>
      <c r="K91" s="53" t="str">
        <f t="shared" si="5"/>
        <v>0.00292 - (0.0093 * E6_3_5_3_mRNA)</v>
      </c>
      <c r="L91" s="54" t="str">
        <f t="shared" si="6"/>
        <v>(0.278 * E6_3_5_3_mRNA) - (0.00000278 * E6_3_5_3)</v>
      </c>
      <c r="M91" s="55" t="str">
        <f t="shared" si="7"/>
        <v>mRNA90: -&gt; E6_3_5_3_mRNA | 0.00292 - (0.0093 * E6_3_5_3_mRNA)</v>
      </c>
      <c r="N91" s="56" t="str">
        <f t="shared" si="8"/>
        <v>Peptide90: E6_3_5_3_mRNA -&gt; E6_3_5_3 | (0.278 * E6_3_5_3_mRNA) - (0.000000278 * E6_3_5_3)</v>
      </c>
    </row>
    <row r="92" spans="1:14" ht="29">
      <c r="A92" s="46">
        <v>91</v>
      </c>
      <c r="B92" s="7" t="s">
        <v>12381</v>
      </c>
      <c r="C92" s="27" t="str">
        <f t="shared" si="0"/>
        <v>E6_3_2_6_mRNA</v>
      </c>
      <c r="D92" s="47" t="str">
        <f t="shared" si="9"/>
        <v>E6_3_2_6</v>
      </c>
      <c r="E92" s="48" t="str">
        <f t="shared" si="1"/>
        <v>E6_3_2_6_kcat : 13.7</v>
      </c>
      <c r="F92" s="49" t="str">
        <f t="shared" si="2"/>
        <v>E6_3_2_6_km : 1</v>
      </c>
      <c r="G92" s="9" t="str">
        <f t="shared" ref="G92:H92" si="188">CONCATENATE(C92," : ",C92)</f>
        <v>E6_3_2_6_mRNA : E6_3_2_6_mRNA</v>
      </c>
      <c r="H92" s="50" t="str">
        <f t="shared" si="188"/>
        <v>E6_3_2_6 : E6_3_2_6</v>
      </c>
      <c r="I92" s="51" t="str">
        <f t="shared" ref="I92:J92" si="189">CONCATENATE(C92," : ","0")</f>
        <v>E6_3_2_6_mRNA : 0</v>
      </c>
      <c r="J92" s="52" t="str">
        <f t="shared" si="189"/>
        <v>E6_3_2_6 : 0</v>
      </c>
      <c r="K92" s="53" t="str">
        <f t="shared" si="5"/>
        <v>0.00292 - (0.0093 * E6_3_2_6_mRNA)</v>
      </c>
      <c r="L92" s="54" t="str">
        <f t="shared" si="6"/>
        <v>(0.278 * E6_3_2_6_mRNA) - (0.00000278 * E6_3_2_6)</v>
      </c>
      <c r="M92" s="55" t="str">
        <f t="shared" si="7"/>
        <v>mRNA91: -&gt; E6_3_2_6_mRNA | 0.00292 - (0.0093 * E6_3_2_6_mRNA)</v>
      </c>
      <c r="N92" s="56" t="str">
        <f t="shared" si="8"/>
        <v>Peptide91: E6_3_2_6_mRNA -&gt; E6_3_2_6 | (0.278 * E6_3_2_6_mRNA) - (0.000000278 * E6_3_2_6)</v>
      </c>
    </row>
    <row r="93" spans="1:14" ht="29">
      <c r="A93" s="46">
        <v>92</v>
      </c>
      <c r="B93" s="7" t="s">
        <v>12382</v>
      </c>
      <c r="C93" s="27" t="str">
        <f t="shared" si="0"/>
        <v>E2_6_1_1_mRNA</v>
      </c>
      <c r="D93" s="47" t="str">
        <f t="shared" si="9"/>
        <v>E2_6_1_1</v>
      </c>
      <c r="E93" s="48" t="str">
        <f t="shared" si="1"/>
        <v>E2_6_1_1_kcat : 13.7</v>
      </c>
      <c r="F93" s="49" t="str">
        <f t="shared" si="2"/>
        <v>E2_6_1_1_km : 1</v>
      </c>
      <c r="G93" s="9" t="str">
        <f t="shared" ref="G93:H93" si="190">CONCATENATE(C93," : ",C93)</f>
        <v>E2_6_1_1_mRNA : E2_6_1_1_mRNA</v>
      </c>
      <c r="H93" s="50" t="str">
        <f t="shared" si="190"/>
        <v>E2_6_1_1 : E2_6_1_1</v>
      </c>
      <c r="I93" s="51" t="str">
        <f t="shared" ref="I93:J93" si="191">CONCATENATE(C93," : ","0")</f>
        <v>E2_6_1_1_mRNA : 0</v>
      </c>
      <c r="J93" s="52" t="str">
        <f t="shared" si="191"/>
        <v>E2_6_1_1 : 0</v>
      </c>
      <c r="K93" s="53" t="str">
        <f t="shared" si="5"/>
        <v>0.00292 - (0.0093 * E2_6_1_1_mRNA)</v>
      </c>
      <c r="L93" s="54" t="str">
        <f t="shared" si="6"/>
        <v>(0.278 * E2_6_1_1_mRNA) - (0.00000278 * E2_6_1_1)</v>
      </c>
      <c r="M93" s="55" t="str">
        <f t="shared" si="7"/>
        <v>mRNA92: -&gt; E2_6_1_1_mRNA | 0.00292 - (0.0093 * E2_6_1_1_mRNA)</v>
      </c>
      <c r="N93" s="56" t="str">
        <f t="shared" si="8"/>
        <v>Peptide92: E2_6_1_1_mRNA -&gt; E2_6_1_1 | (0.278 * E2_6_1_1_mRNA) - (0.000000278 * E2_6_1_1)</v>
      </c>
    </row>
    <row r="94" spans="1:14" ht="29">
      <c r="A94" s="46">
        <v>93</v>
      </c>
      <c r="B94" s="7" t="s">
        <v>12383</v>
      </c>
      <c r="C94" s="27" t="str">
        <f t="shared" si="0"/>
        <v>E2_7_6_1_mRNA</v>
      </c>
      <c r="D94" s="47" t="str">
        <f t="shared" si="9"/>
        <v>E2_7_6_1</v>
      </c>
      <c r="E94" s="48" t="str">
        <f t="shared" si="1"/>
        <v>E2_7_6_1_kcat : 13.7</v>
      </c>
      <c r="F94" s="49" t="str">
        <f t="shared" si="2"/>
        <v>E2_7_6_1_km : 1</v>
      </c>
      <c r="G94" s="9" t="str">
        <f t="shared" ref="G94:H94" si="192">CONCATENATE(C94," : ",C94)</f>
        <v>E2_7_6_1_mRNA : E2_7_6_1_mRNA</v>
      </c>
      <c r="H94" s="50" t="str">
        <f t="shared" si="192"/>
        <v>E2_7_6_1 : E2_7_6_1</v>
      </c>
      <c r="I94" s="51" t="str">
        <f t="shared" ref="I94:J94" si="193">CONCATENATE(C94," : ","0")</f>
        <v>E2_7_6_1_mRNA : 0</v>
      </c>
      <c r="J94" s="52" t="str">
        <f t="shared" si="193"/>
        <v>E2_7_6_1 : 0</v>
      </c>
      <c r="K94" s="53" t="str">
        <f t="shared" si="5"/>
        <v>0.00292 - (0.0093 * E2_7_6_1_mRNA)</v>
      </c>
      <c r="L94" s="54" t="str">
        <f t="shared" si="6"/>
        <v>(0.278 * E2_7_6_1_mRNA) - (0.00000278 * E2_7_6_1)</v>
      </c>
      <c r="M94" s="55" t="str">
        <f t="shared" si="7"/>
        <v>mRNA93: -&gt; E2_7_6_1_mRNA | 0.00292 - (0.0093 * E2_7_6_1_mRNA)</v>
      </c>
      <c r="N94" s="56" t="str">
        <f t="shared" si="8"/>
        <v>Peptide93: E2_7_6_1_mRNA -&gt; E2_7_6_1 | (0.278 * E2_7_6_1_mRNA) - (0.000000278 * E2_7_6_1)</v>
      </c>
    </row>
    <row r="95" spans="1:14" ht="29">
      <c r="A95" s="46">
        <v>94</v>
      </c>
      <c r="B95" s="7" t="s">
        <v>12384</v>
      </c>
      <c r="C95" s="27" t="str">
        <f t="shared" si="0"/>
        <v>E3_5_1_25_mRNA</v>
      </c>
      <c r="D95" s="47" t="str">
        <f t="shared" si="9"/>
        <v>E3_5_1_25</v>
      </c>
      <c r="E95" s="48" t="str">
        <f t="shared" si="1"/>
        <v>E3_5_1_25_kcat : 13.7</v>
      </c>
      <c r="F95" s="49" t="str">
        <f t="shared" si="2"/>
        <v>E3_5_1_25_km : 1</v>
      </c>
      <c r="G95" s="9" t="str">
        <f t="shared" ref="G95:H95" si="194">CONCATENATE(C95," : ",C95)</f>
        <v>E3_5_1_25_mRNA : E3_5_1_25_mRNA</v>
      </c>
      <c r="H95" s="50" t="str">
        <f t="shared" si="194"/>
        <v>E3_5_1_25 : E3_5_1_25</v>
      </c>
      <c r="I95" s="51" t="str">
        <f t="shared" ref="I95:J95" si="195">CONCATENATE(C95," : ","0")</f>
        <v>E3_5_1_25_mRNA : 0</v>
      </c>
      <c r="J95" s="52" t="str">
        <f t="shared" si="195"/>
        <v>E3_5_1_25 : 0</v>
      </c>
      <c r="K95" s="53" t="str">
        <f t="shared" si="5"/>
        <v>0.00292 - (0.0093 * E3_5_1_25_mRNA)</v>
      </c>
      <c r="L95" s="54" t="str">
        <f t="shared" si="6"/>
        <v>(0.278 * E3_5_1_25_mRNA) - (0.00000278 * E3_5_1_25)</v>
      </c>
      <c r="M95" s="55" t="str">
        <f t="shared" si="7"/>
        <v>mRNA94: -&gt; E3_5_1_25_mRNA | 0.00292 - (0.0093 * E3_5_1_25_mRNA)</v>
      </c>
      <c r="N95" s="56" t="str">
        <f t="shared" si="8"/>
        <v>Peptide94: E3_5_1_25_mRNA -&gt; E3_5_1_25 | (0.278 * E3_5_1_25_mRNA) - (0.000000278 * E3_5_1_25)</v>
      </c>
    </row>
    <row r="96" spans="1:14" ht="29">
      <c r="A96" s="46">
        <v>95</v>
      </c>
      <c r="B96" s="7" t="s">
        <v>12385</v>
      </c>
      <c r="C96" s="27" t="str">
        <f t="shared" si="0"/>
        <v>E3_4_19_3_mRNA</v>
      </c>
      <c r="D96" s="47" t="str">
        <f t="shared" si="9"/>
        <v>E3_4_19_3</v>
      </c>
      <c r="E96" s="48" t="str">
        <f t="shared" si="1"/>
        <v>E3_4_19_3_kcat : 13.7</v>
      </c>
      <c r="F96" s="49" t="str">
        <f t="shared" si="2"/>
        <v>E3_4_19_3_km : 1</v>
      </c>
      <c r="G96" s="9" t="str">
        <f t="shared" ref="G96:H96" si="196">CONCATENATE(C96," : ",C96)</f>
        <v>E3_4_19_3_mRNA : E3_4_19_3_mRNA</v>
      </c>
      <c r="H96" s="50" t="str">
        <f t="shared" si="196"/>
        <v>E3_4_19_3 : E3_4_19_3</v>
      </c>
      <c r="I96" s="51" t="str">
        <f t="shared" ref="I96:J96" si="197">CONCATENATE(C96," : ","0")</f>
        <v>E3_4_19_3_mRNA : 0</v>
      </c>
      <c r="J96" s="52" t="str">
        <f t="shared" si="197"/>
        <v>E3_4_19_3 : 0</v>
      </c>
      <c r="K96" s="53" t="str">
        <f t="shared" si="5"/>
        <v>0.00292 - (0.0093 * E3_4_19_3_mRNA)</v>
      </c>
      <c r="L96" s="54" t="str">
        <f t="shared" si="6"/>
        <v>(0.278 * E3_4_19_3_mRNA) - (0.00000278 * E3_4_19_3)</v>
      </c>
      <c r="M96" s="55" t="str">
        <f t="shared" si="7"/>
        <v>mRNA95: -&gt; E3_4_19_3_mRNA | 0.00292 - (0.0093 * E3_4_19_3_mRNA)</v>
      </c>
      <c r="N96" s="56" t="str">
        <f t="shared" si="8"/>
        <v>Peptide95: E3_4_19_3_mRNA -&gt; E3_4_19_3 | (0.278 * E3_4_19_3_mRNA) - (0.000000278 * E3_4_19_3)</v>
      </c>
    </row>
    <row r="97" spans="1:14" ht="29">
      <c r="A97" s="46">
        <v>96</v>
      </c>
      <c r="B97" s="7" t="s">
        <v>12386</v>
      </c>
      <c r="C97" s="27" t="str">
        <f t="shared" si="0"/>
        <v>E2_3_1_57_mRNA</v>
      </c>
      <c r="D97" s="47" t="str">
        <f t="shared" si="9"/>
        <v>E2_3_1_57</v>
      </c>
      <c r="E97" s="48" t="str">
        <f t="shared" si="1"/>
        <v>E2_3_1_57_kcat : 13.7</v>
      </c>
      <c r="F97" s="49" t="str">
        <f t="shared" si="2"/>
        <v>E2_3_1_57_km : 1</v>
      </c>
      <c r="G97" s="9" t="str">
        <f t="shared" ref="G97:H97" si="198">CONCATENATE(C97," : ",C97)</f>
        <v>E2_3_1_57_mRNA : E2_3_1_57_mRNA</v>
      </c>
      <c r="H97" s="50" t="str">
        <f t="shared" si="198"/>
        <v>E2_3_1_57 : E2_3_1_57</v>
      </c>
      <c r="I97" s="51" t="str">
        <f t="shared" ref="I97:J97" si="199">CONCATENATE(C97," : ","0")</f>
        <v>E2_3_1_57_mRNA : 0</v>
      </c>
      <c r="J97" s="52" t="str">
        <f t="shared" si="199"/>
        <v>E2_3_1_57 : 0</v>
      </c>
      <c r="K97" s="53" t="str">
        <f t="shared" si="5"/>
        <v>0.00292 - (0.0093 * E2_3_1_57_mRNA)</v>
      </c>
      <c r="L97" s="54" t="str">
        <f t="shared" si="6"/>
        <v>(0.278 * E2_3_1_57_mRNA) - (0.00000278 * E2_3_1_57)</v>
      </c>
      <c r="M97" s="55" t="str">
        <f t="shared" si="7"/>
        <v>mRNA96: -&gt; E2_3_1_57_mRNA | 0.00292 - (0.0093 * E2_3_1_57_mRNA)</v>
      </c>
      <c r="N97" s="56" t="str">
        <f t="shared" si="8"/>
        <v>Peptide96: E2_3_1_57_mRNA -&gt; E2_3_1_57 | (0.278 * E2_3_1_57_mRNA) - (0.000000278 * E2_3_1_57)</v>
      </c>
    </row>
    <row r="98" spans="1:14" ht="29">
      <c r="A98" s="46">
        <v>97</v>
      </c>
      <c r="B98" s="7" t="s">
        <v>12387</v>
      </c>
      <c r="C98" s="27" t="str">
        <f t="shared" si="0"/>
        <v>E3_5_4_1_mRNA</v>
      </c>
      <c r="D98" s="47" t="str">
        <f t="shared" si="9"/>
        <v>E3_5_4_1</v>
      </c>
      <c r="E98" s="48" t="str">
        <f t="shared" si="1"/>
        <v>E3_5_4_1_kcat : 13.7</v>
      </c>
      <c r="F98" s="49" t="str">
        <f t="shared" si="2"/>
        <v>E3_5_4_1_km : 1</v>
      </c>
      <c r="G98" s="9" t="str">
        <f t="shared" ref="G98:H98" si="200">CONCATENATE(C98," : ",C98)</f>
        <v>E3_5_4_1_mRNA : E3_5_4_1_mRNA</v>
      </c>
      <c r="H98" s="50" t="str">
        <f t="shared" si="200"/>
        <v>E3_5_4_1 : E3_5_4_1</v>
      </c>
      <c r="I98" s="51" t="str">
        <f t="shared" ref="I98:J98" si="201">CONCATENATE(C98," : ","0")</f>
        <v>E3_5_4_1_mRNA : 0</v>
      </c>
      <c r="J98" s="52" t="str">
        <f t="shared" si="201"/>
        <v>E3_5_4_1 : 0</v>
      </c>
      <c r="K98" s="53" t="str">
        <f t="shared" si="5"/>
        <v>0.00292 - (0.0093 * E3_5_4_1_mRNA)</v>
      </c>
      <c r="L98" s="54" t="str">
        <f t="shared" si="6"/>
        <v>(0.278 * E3_5_4_1_mRNA) - (0.00000278 * E3_5_4_1)</v>
      </c>
      <c r="M98" s="55" t="str">
        <f t="shared" si="7"/>
        <v>mRNA97: -&gt; E3_5_4_1_mRNA | 0.00292 - (0.0093 * E3_5_4_1_mRNA)</v>
      </c>
      <c r="N98" s="56" t="str">
        <f t="shared" si="8"/>
        <v>Peptide97: E3_5_4_1_mRNA -&gt; E3_5_4_1 | (0.278 * E3_5_4_1_mRNA) - (0.000000278 * E3_5_4_1)</v>
      </c>
    </row>
    <row r="99" spans="1:14" ht="29">
      <c r="A99" s="46">
        <v>98</v>
      </c>
      <c r="B99" s="7" t="s">
        <v>12388</v>
      </c>
      <c r="C99" s="27" t="str">
        <f t="shared" si="0"/>
        <v>E3_5_4_5_mRNA</v>
      </c>
      <c r="D99" s="47" t="str">
        <f t="shared" si="9"/>
        <v>E3_5_4_5</v>
      </c>
      <c r="E99" s="48" t="str">
        <f t="shared" si="1"/>
        <v>E3_5_4_5_kcat : 13.7</v>
      </c>
      <c r="F99" s="49" t="str">
        <f t="shared" si="2"/>
        <v>E3_5_4_5_km : 1</v>
      </c>
      <c r="G99" s="9" t="str">
        <f t="shared" ref="G99:H99" si="202">CONCATENATE(C99," : ",C99)</f>
        <v>E3_5_4_5_mRNA : E3_5_4_5_mRNA</v>
      </c>
      <c r="H99" s="50" t="str">
        <f t="shared" si="202"/>
        <v>E3_5_4_5 : E3_5_4_5</v>
      </c>
      <c r="I99" s="51" t="str">
        <f t="shared" ref="I99:J99" si="203">CONCATENATE(C99," : ","0")</f>
        <v>E3_5_4_5_mRNA : 0</v>
      </c>
      <c r="J99" s="52" t="str">
        <f t="shared" si="203"/>
        <v>E3_5_4_5 : 0</v>
      </c>
      <c r="K99" s="53" t="str">
        <f t="shared" si="5"/>
        <v>0.00292 - (0.0093 * E3_5_4_5_mRNA)</v>
      </c>
      <c r="L99" s="54" t="str">
        <f t="shared" si="6"/>
        <v>(0.278 * E3_5_4_5_mRNA) - (0.00000278 * E3_5_4_5)</v>
      </c>
      <c r="M99" s="55" t="str">
        <f t="shared" si="7"/>
        <v>mRNA98: -&gt; E3_5_4_5_mRNA | 0.00292 - (0.0093 * E3_5_4_5_mRNA)</v>
      </c>
      <c r="N99" s="56" t="str">
        <f t="shared" si="8"/>
        <v>Peptide98: E3_5_4_5_mRNA -&gt; E3_5_4_5 | (0.278 * E3_5_4_5_mRNA) - (0.000000278 * E3_5_4_5)</v>
      </c>
    </row>
    <row r="100" spans="1:14" ht="29">
      <c r="A100" s="46">
        <v>99</v>
      </c>
      <c r="B100" s="7" t="s">
        <v>12389</v>
      </c>
      <c r="C100" s="27" t="str">
        <f t="shared" si="0"/>
        <v>E4_2_3_1_mRNA</v>
      </c>
      <c r="D100" s="47" t="str">
        <f t="shared" si="9"/>
        <v>E4_2_3_1</v>
      </c>
      <c r="E100" s="48" t="str">
        <f t="shared" si="1"/>
        <v>E4_2_3_1_kcat : 13.7</v>
      </c>
      <c r="F100" s="49" t="str">
        <f t="shared" si="2"/>
        <v>E4_2_3_1_km : 1</v>
      </c>
      <c r="G100" s="9" t="str">
        <f t="shared" ref="G100:H100" si="204">CONCATENATE(C100," : ",C100)</f>
        <v>E4_2_3_1_mRNA : E4_2_3_1_mRNA</v>
      </c>
      <c r="H100" s="50" t="str">
        <f t="shared" si="204"/>
        <v>E4_2_3_1 : E4_2_3_1</v>
      </c>
      <c r="I100" s="51" t="str">
        <f t="shared" ref="I100:J100" si="205">CONCATENATE(C100," : ","0")</f>
        <v>E4_2_3_1_mRNA : 0</v>
      </c>
      <c r="J100" s="52" t="str">
        <f t="shared" si="205"/>
        <v>E4_2_3_1 : 0</v>
      </c>
      <c r="K100" s="53" t="str">
        <f t="shared" si="5"/>
        <v>0.00292 - (0.0093 * E4_2_3_1_mRNA)</v>
      </c>
      <c r="L100" s="54" t="str">
        <f t="shared" si="6"/>
        <v>(0.278 * E4_2_3_1_mRNA) - (0.00000278 * E4_2_3_1)</v>
      </c>
      <c r="M100" s="55" t="str">
        <f t="shared" si="7"/>
        <v>mRNA99: -&gt; E4_2_3_1_mRNA | 0.00292 - (0.0093 * E4_2_3_1_mRNA)</v>
      </c>
      <c r="N100" s="56" t="str">
        <f t="shared" si="8"/>
        <v>Peptide99: E4_2_3_1_mRNA -&gt; E4_2_3_1 | (0.278 * E4_2_3_1_mRNA) - (0.000000278 * E4_2_3_1)</v>
      </c>
    </row>
    <row r="101" spans="1:14" ht="29">
      <c r="A101" s="46">
        <v>100</v>
      </c>
      <c r="B101" s="7" t="s">
        <v>12390</v>
      </c>
      <c r="C101" s="27" t="str">
        <f t="shared" si="0"/>
        <v>E2_5_1_54_mRNA</v>
      </c>
      <c r="D101" s="47" t="str">
        <f t="shared" si="9"/>
        <v>E2_5_1_54</v>
      </c>
      <c r="E101" s="48" t="str">
        <f t="shared" si="1"/>
        <v>E2_5_1_54_kcat : 13.7</v>
      </c>
      <c r="F101" s="49" t="str">
        <f t="shared" si="2"/>
        <v>E2_5_1_54_km : 1</v>
      </c>
      <c r="G101" s="9" t="str">
        <f t="shared" ref="G101:H101" si="206">CONCATENATE(C101," : ",C101)</f>
        <v>E2_5_1_54_mRNA : E2_5_1_54_mRNA</v>
      </c>
      <c r="H101" s="50" t="str">
        <f t="shared" si="206"/>
        <v>E2_5_1_54 : E2_5_1_54</v>
      </c>
      <c r="I101" s="51" t="str">
        <f t="shared" ref="I101:J101" si="207">CONCATENATE(C101," : ","0")</f>
        <v>E2_5_1_54_mRNA : 0</v>
      </c>
      <c r="J101" s="52" t="str">
        <f t="shared" si="207"/>
        <v>E2_5_1_54 : 0</v>
      </c>
      <c r="K101" s="53" t="str">
        <f t="shared" si="5"/>
        <v>0.00292 - (0.0093 * E2_5_1_54_mRNA)</v>
      </c>
      <c r="L101" s="54" t="str">
        <f t="shared" si="6"/>
        <v>(0.278 * E2_5_1_54_mRNA) - (0.00000278 * E2_5_1_54)</v>
      </c>
      <c r="M101" s="55" t="str">
        <f t="shared" si="7"/>
        <v>mRNA100: -&gt; E2_5_1_54_mRNA | 0.00292 - (0.0093 * E2_5_1_54_mRNA)</v>
      </c>
      <c r="N101" s="56" t="str">
        <f t="shared" si="8"/>
        <v>Peptide100: E2_5_1_54_mRNA -&gt; E2_5_1_54 | (0.278 * E2_5_1_54_mRNA) - (0.000000278 * E2_5_1_54)</v>
      </c>
    </row>
    <row r="102" spans="1:14" ht="29">
      <c r="A102" s="46">
        <v>101</v>
      </c>
      <c r="B102" s="7" t="s">
        <v>12391</v>
      </c>
      <c r="C102" s="27" t="str">
        <f t="shared" si="0"/>
        <v>E3_6_3_27_mRNA</v>
      </c>
      <c r="D102" s="47" t="str">
        <f t="shared" si="9"/>
        <v>E3_6_3_27</v>
      </c>
      <c r="E102" s="48" t="str">
        <f t="shared" si="1"/>
        <v>E3_6_3_27_kcat : 13.7</v>
      </c>
      <c r="F102" s="49" t="str">
        <f t="shared" si="2"/>
        <v>E3_6_3_27_km : 1</v>
      </c>
      <c r="G102" s="9" t="str">
        <f t="shared" ref="G102:H102" si="208">CONCATENATE(C102," : ",C102)</f>
        <v>E3_6_3_27_mRNA : E3_6_3_27_mRNA</v>
      </c>
      <c r="H102" s="50" t="str">
        <f t="shared" si="208"/>
        <v>E3_6_3_27 : E3_6_3_27</v>
      </c>
      <c r="I102" s="51" t="str">
        <f t="shared" ref="I102:J102" si="209">CONCATENATE(C102," : ","0")</f>
        <v>E3_6_3_27_mRNA : 0</v>
      </c>
      <c r="J102" s="52" t="str">
        <f t="shared" si="209"/>
        <v>E3_6_3_27 : 0</v>
      </c>
      <c r="K102" s="53" t="str">
        <f t="shared" si="5"/>
        <v>0.00292 - (0.0093 * E3_6_3_27_mRNA)</v>
      </c>
      <c r="L102" s="54" t="str">
        <f t="shared" si="6"/>
        <v>(0.278 * E3_6_3_27_mRNA) - (0.00000278 * E3_6_3_27)</v>
      </c>
      <c r="M102" s="55" t="str">
        <f t="shared" si="7"/>
        <v>mRNA101: -&gt; E3_6_3_27_mRNA | 0.00292 - (0.0093 * E3_6_3_27_mRNA)</v>
      </c>
      <c r="N102" s="56" t="str">
        <f t="shared" si="8"/>
        <v>Peptide101: E3_6_3_27_mRNA -&gt; E3_6_3_27 | (0.278 * E3_6_3_27_mRNA) - (0.000000278 * E3_6_3_27)</v>
      </c>
    </row>
    <row r="103" spans="1:14" ht="29">
      <c r="A103" s="46">
        <v>102</v>
      </c>
      <c r="B103" s="7" t="s">
        <v>12392</v>
      </c>
      <c r="C103" s="27" t="str">
        <f t="shared" si="0"/>
        <v>E6_3_1_1_mRNA</v>
      </c>
      <c r="D103" s="47" t="str">
        <f t="shared" si="9"/>
        <v>E6_3_1_1</v>
      </c>
      <c r="E103" s="48" t="str">
        <f t="shared" si="1"/>
        <v>E6_3_1_1_kcat : 13.7</v>
      </c>
      <c r="F103" s="49" t="str">
        <f t="shared" si="2"/>
        <v>E6_3_1_1_km : 1</v>
      </c>
      <c r="G103" s="9" t="str">
        <f t="shared" ref="G103:H103" si="210">CONCATENATE(C103," : ",C103)</f>
        <v>E6_3_1_1_mRNA : E6_3_1_1_mRNA</v>
      </c>
      <c r="H103" s="50" t="str">
        <f t="shared" si="210"/>
        <v>E6_3_1_1 : E6_3_1_1</v>
      </c>
      <c r="I103" s="51" t="str">
        <f t="shared" ref="I103:J103" si="211">CONCATENATE(C103," : ","0")</f>
        <v>E6_3_1_1_mRNA : 0</v>
      </c>
      <c r="J103" s="52" t="str">
        <f t="shared" si="211"/>
        <v>E6_3_1_1 : 0</v>
      </c>
      <c r="K103" s="53" t="str">
        <f t="shared" si="5"/>
        <v>0.00292 - (0.0093 * E6_3_1_1_mRNA)</v>
      </c>
      <c r="L103" s="54" t="str">
        <f t="shared" si="6"/>
        <v>(0.278 * E6_3_1_1_mRNA) - (0.00000278 * E6_3_1_1)</v>
      </c>
      <c r="M103" s="55" t="str">
        <f t="shared" si="7"/>
        <v>mRNA102: -&gt; E6_3_1_1_mRNA | 0.00292 - (0.0093 * E6_3_1_1_mRNA)</v>
      </c>
      <c r="N103" s="56" t="str">
        <f t="shared" si="8"/>
        <v>Peptide102: E6_3_1_1_mRNA -&gt; E6_3_1_1 | (0.278 * E6_3_1_1_mRNA) - (0.000000278 * E6_3_1_1)</v>
      </c>
    </row>
    <row r="104" spans="1:14" ht="29">
      <c r="A104" s="46">
        <v>103</v>
      </c>
      <c r="B104" s="7" t="s">
        <v>12393</v>
      </c>
      <c r="C104" s="27" t="str">
        <f t="shared" si="0"/>
        <v>E2_1_1_171_mRNA</v>
      </c>
      <c r="D104" s="47" t="str">
        <f t="shared" si="9"/>
        <v>E2_1_1_171</v>
      </c>
      <c r="E104" s="48" t="str">
        <f t="shared" si="1"/>
        <v>E2_1_1_171_kcat : 13.7</v>
      </c>
      <c r="F104" s="49" t="str">
        <f t="shared" si="2"/>
        <v>E2_1_1_171_km : 1</v>
      </c>
      <c r="G104" s="9" t="str">
        <f t="shared" ref="G104:H104" si="212">CONCATENATE(C104," : ",C104)</f>
        <v>E2_1_1_171_mRNA : E2_1_1_171_mRNA</v>
      </c>
      <c r="H104" s="50" t="str">
        <f t="shared" si="212"/>
        <v>E2_1_1_171 : E2_1_1_171</v>
      </c>
      <c r="I104" s="51" t="str">
        <f t="shared" ref="I104:J104" si="213">CONCATENATE(C104," : ","0")</f>
        <v>E2_1_1_171_mRNA : 0</v>
      </c>
      <c r="J104" s="52" t="str">
        <f t="shared" si="213"/>
        <v>E2_1_1_171 : 0</v>
      </c>
      <c r="K104" s="53" t="str">
        <f t="shared" si="5"/>
        <v>0.00292 - (0.0093 * E2_1_1_171_mRNA)</v>
      </c>
      <c r="L104" s="54" t="str">
        <f t="shared" si="6"/>
        <v>(0.278 * E2_1_1_171_mRNA) - (0.00000278 * E2_1_1_171)</v>
      </c>
      <c r="M104" s="55" t="str">
        <f t="shared" si="7"/>
        <v>mRNA103: -&gt; E2_1_1_171_mRNA | 0.00292 - (0.0093 * E2_1_1_171_mRNA)</v>
      </c>
      <c r="N104" s="56" t="str">
        <f t="shared" si="8"/>
        <v>Peptide103: E2_1_1_171_mRNA -&gt; E2_1_1_171 | (0.278 * E2_1_1_171_mRNA) - (0.000000278 * E2_1_1_171)</v>
      </c>
    </row>
    <row r="105" spans="1:14" ht="29">
      <c r="A105" s="46">
        <v>104</v>
      </c>
      <c r="B105" s="7" t="s">
        <v>12394</v>
      </c>
      <c r="C105" s="27" t="str">
        <f t="shared" si="0"/>
        <v>E2_5_1_7_mRNA</v>
      </c>
      <c r="D105" s="47" t="str">
        <f t="shared" si="9"/>
        <v>E2_5_1_7</v>
      </c>
      <c r="E105" s="48" t="str">
        <f t="shared" si="1"/>
        <v>E2_5_1_7_kcat : 13.7</v>
      </c>
      <c r="F105" s="49" t="str">
        <f t="shared" si="2"/>
        <v>E2_5_1_7_km : 1</v>
      </c>
      <c r="G105" s="9" t="str">
        <f t="shared" ref="G105:H105" si="214">CONCATENATE(C105," : ",C105)</f>
        <v>E2_5_1_7_mRNA : E2_5_1_7_mRNA</v>
      </c>
      <c r="H105" s="50" t="str">
        <f t="shared" si="214"/>
        <v>E2_5_1_7 : E2_5_1_7</v>
      </c>
      <c r="I105" s="51" t="str">
        <f t="shared" ref="I105:J105" si="215">CONCATENATE(C105," : ","0")</f>
        <v>E2_5_1_7_mRNA : 0</v>
      </c>
      <c r="J105" s="52" t="str">
        <f t="shared" si="215"/>
        <v>E2_5_1_7 : 0</v>
      </c>
      <c r="K105" s="53" t="str">
        <f t="shared" si="5"/>
        <v>0.00292 - (0.0093 * E2_5_1_7_mRNA)</v>
      </c>
      <c r="L105" s="54" t="str">
        <f t="shared" si="6"/>
        <v>(0.278 * E2_5_1_7_mRNA) - (0.00000278 * E2_5_1_7)</v>
      </c>
      <c r="M105" s="55" t="str">
        <f t="shared" si="7"/>
        <v>mRNA104: -&gt; E2_5_1_7_mRNA | 0.00292 - (0.0093 * E2_5_1_7_mRNA)</v>
      </c>
      <c r="N105" s="56" t="str">
        <f t="shared" si="8"/>
        <v>Peptide104: E2_5_1_7_mRNA -&gt; E2_5_1_7 | (0.278 * E2_5_1_7_mRNA) - (0.000000278 * E2_5_1_7)</v>
      </c>
    </row>
    <row r="106" spans="1:14" ht="29">
      <c r="A106" s="46">
        <v>105</v>
      </c>
      <c r="B106" s="7" t="s">
        <v>12395</v>
      </c>
      <c r="C106" s="27" t="str">
        <f t="shared" si="0"/>
        <v>E2_7_4_6_mRNA</v>
      </c>
      <c r="D106" s="47" t="str">
        <f t="shared" si="9"/>
        <v>E2_7_4_6</v>
      </c>
      <c r="E106" s="48" t="str">
        <f t="shared" si="1"/>
        <v>E2_7_4_6_kcat : 13.7</v>
      </c>
      <c r="F106" s="49" t="str">
        <f t="shared" si="2"/>
        <v>E2_7_4_6_km : 1</v>
      </c>
      <c r="G106" s="9" t="str">
        <f t="shared" ref="G106:H106" si="216">CONCATENATE(C106," : ",C106)</f>
        <v>E2_7_4_6_mRNA : E2_7_4_6_mRNA</v>
      </c>
      <c r="H106" s="50" t="str">
        <f t="shared" si="216"/>
        <v>E2_7_4_6 : E2_7_4_6</v>
      </c>
      <c r="I106" s="51" t="str">
        <f t="shared" ref="I106:J106" si="217">CONCATENATE(C106," : ","0")</f>
        <v>E2_7_4_6_mRNA : 0</v>
      </c>
      <c r="J106" s="52" t="str">
        <f t="shared" si="217"/>
        <v>E2_7_4_6 : 0</v>
      </c>
      <c r="K106" s="53" t="str">
        <f t="shared" si="5"/>
        <v>0.00292 - (0.0093 * E2_7_4_6_mRNA)</v>
      </c>
      <c r="L106" s="54" t="str">
        <f t="shared" si="6"/>
        <v>(0.278 * E2_7_4_6_mRNA) - (0.00000278 * E2_7_4_6)</v>
      </c>
      <c r="M106" s="55" t="str">
        <f t="shared" si="7"/>
        <v>mRNA105: -&gt; E2_7_4_6_mRNA | 0.00292 - (0.0093 * E2_7_4_6_mRNA)</v>
      </c>
      <c r="N106" s="56" t="str">
        <f t="shared" si="8"/>
        <v>Peptide105: E2_7_4_6_mRNA -&gt; E2_7_4_6 | (0.278 * E2_7_4_6_mRNA) - (0.000000278 * E2_7_4_6)</v>
      </c>
    </row>
    <row r="107" spans="1:14" ht="29">
      <c r="A107" s="46">
        <v>106</v>
      </c>
      <c r="B107" s="7" t="s">
        <v>12396</v>
      </c>
      <c r="C107" s="27" t="str">
        <f t="shared" si="0"/>
        <v>E3_4_21_107_mRNA</v>
      </c>
      <c r="D107" s="47" t="str">
        <f t="shared" si="9"/>
        <v>E3_4_21_107</v>
      </c>
      <c r="E107" s="48" t="str">
        <f t="shared" si="1"/>
        <v>E3_4_21_107_kcat : 13.7</v>
      </c>
      <c r="F107" s="49" t="str">
        <f t="shared" si="2"/>
        <v>E3_4_21_107_km : 1</v>
      </c>
      <c r="G107" s="9" t="str">
        <f t="shared" ref="G107:H107" si="218">CONCATENATE(C107," : ",C107)</f>
        <v>E3_4_21_107_mRNA : E3_4_21_107_mRNA</v>
      </c>
      <c r="H107" s="50" t="str">
        <f t="shared" si="218"/>
        <v>E3_4_21_107 : E3_4_21_107</v>
      </c>
      <c r="I107" s="51" t="str">
        <f t="shared" ref="I107:J107" si="219">CONCATENATE(C107," : ","0")</f>
        <v>E3_4_21_107_mRNA : 0</v>
      </c>
      <c r="J107" s="52" t="str">
        <f t="shared" si="219"/>
        <v>E3_4_21_107 : 0</v>
      </c>
      <c r="K107" s="53" t="str">
        <f t="shared" si="5"/>
        <v>0.00292 - (0.0093 * E3_4_21_107_mRNA)</v>
      </c>
      <c r="L107" s="54" t="str">
        <f t="shared" si="6"/>
        <v>(0.278 * E3_4_21_107_mRNA) - (0.00000278 * E3_4_21_107)</v>
      </c>
      <c r="M107" s="55" t="str">
        <f t="shared" si="7"/>
        <v>mRNA106: -&gt; E3_4_21_107_mRNA | 0.00292 - (0.0093 * E3_4_21_107_mRNA)</v>
      </c>
      <c r="N107" s="56" t="str">
        <f t="shared" si="8"/>
        <v>Peptide106: E3_4_21_107_mRNA -&gt; E3_4_21_107 | (0.278 * E3_4_21_107_mRNA) - (0.000000278 * E3_4_21_107)</v>
      </c>
    </row>
    <row r="108" spans="1:14" ht="29">
      <c r="A108" s="46">
        <v>107</v>
      </c>
      <c r="B108" s="7" t="s">
        <v>12397</v>
      </c>
      <c r="C108" s="27" t="str">
        <f t="shared" si="0"/>
        <v>E2_1_1_177_mRNA</v>
      </c>
      <c r="D108" s="47" t="str">
        <f t="shared" si="9"/>
        <v>E2_1_1_177</v>
      </c>
      <c r="E108" s="48" t="str">
        <f t="shared" si="1"/>
        <v>E2_1_1_177_kcat : 13.7</v>
      </c>
      <c r="F108" s="49" t="str">
        <f t="shared" si="2"/>
        <v>E2_1_1_177_km : 1</v>
      </c>
      <c r="G108" s="9" t="str">
        <f t="shared" ref="G108:H108" si="220">CONCATENATE(C108," : ",C108)</f>
        <v>E2_1_1_177_mRNA : E2_1_1_177_mRNA</v>
      </c>
      <c r="H108" s="50" t="str">
        <f t="shared" si="220"/>
        <v>E2_1_1_177 : E2_1_1_177</v>
      </c>
      <c r="I108" s="51" t="str">
        <f t="shared" ref="I108:J108" si="221">CONCATENATE(C108," : ","0")</f>
        <v>E2_1_1_177_mRNA : 0</v>
      </c>
      <c r="J108" s="52" t="str">
        <f t="shared" si="221"/>
        <v>E2_1_1_177 : 0</v>
      </c>
      <c r="K108" s="53" t="str">
        <f t="shared" si="5"/>
        <v>0.00292 - (0.0093 * E2_1_1_177_mRNA)</v>
      </c>
      <c r="L108" s="54" t="str">
        <f t="shared" si="6"/>
        <v>(0.278 * E2_1_1_177_mRNA) - (0.00000278 * E2_1_1_177)</v>
      </c>
      <c r="M108" s="55" t="str">
        <f t="shared" si="7"/>
        <v>mRNA107: -&gt; E2_1_1_177_mRNA | 0.00292 - (0.0093 * E2_1_1_177_mRNA)</v>
      </c>
      <c r="N108" s="56" t="str">
        <f t="shared" si="8"/>
        <v>Peptide107: E2_1_1_177_mRNA -&gt; E2_1_1_177 | (0.278 * E2_1_1_177_mRNA) - (0.000000278 * E2_1_1_177)</v>
      </c>
    </row>
    <row r="109" spans="1:14" ht="29">
      <c r="A109" s="46">
        <v>108</v>
      </c>
      <c r="B109" s="7" t="s">
        <v>12398</v>
      </c>
      <c r="C109" s="27" t="str">
        <f t="shared" si="0"/>
        <v>E6_1_1_2_mRNA</v>
      </c>
      <c r="D109" s="47" t="str">
        <f t="shared" si="9"/>
        <v>E6_1_1_2</v>
      </c>
      <c r="E109" s="48" t="str">
        <f t="shared" si="1"/>
        <v>E6_1_1_2_kcat : 13.7</v>
      </c>
      <c r="F109" s="49" t="str">
        <f t="shared" si="2"/>
        <v>E6_1_1_2_km : 1</v>
      </c>
      <c r="G109" s="9" t="str">
        <f t="shared" ref="G109:H109" si="222">CONCATENATE(C109," : ",C109)</f>
        <v>E6_1_1_2_mRNA : E6_1_1_2_mRNA</v>
      </c>
      <c r="H109" s="50" t="str">
        <f t="shared" si="222"/>
        <v>E6_1_1_2 : E6_1_1_2</v>
      </c>
      <c r="I109" s="51" t="str">
        <f t="shared" ref="I109:J109" si="223">CONCATENATE(C109," : ","0")</f>
        <v>E6_1_1_2_mRNA : 0</v>
      </c>
      <c r="J109" s="52" t="str">
        <f t="shared" si="223"/>
        <v>E6_1_1_2 : 0</v>
      </c>
      <c r="K109" s="53" t="str">
        <f t="shared" si="5"/>
        <v>0.00292 - (0.0093 * E6_1_1_2_mRNA)</v>
      </c>
      <c r="L109" s="54" t="str">
        <f t="shared" si="6"/>
        <v>(0.278 * E6_1_1_2_mRNA) - (0.00000278 * E6_1_1_2)</v>
      </c>
      <c r="M109" s="55" t="str">
        <f t="shared" si="7"/>
        <v>mRNA108: -&gt; E6_1_1_2_mRNA | 0.00292 - (0.0093 * E6_1_1_2_mRNA)</v>
      </c>
      <c r="N109" s="56" t="str">
        <f t="shared" si="8"/>
        <v>Peptide108: E6_1_1_2_mRNA -&gt; E6_1_1_2 | (0.278 * E6_1_1_2_mRNA) - (0.000000278 * E6_1_1_2)</v>
      </c>
    </row>
    <row r="110" spans="1:14" ht="29">
      <c r="A110" s="46">
        <v>109</v>
      </c>
      <c r="B110" s="7" t="s">
        <v>12399</v>
      </c>
      <c r="C110" s="27" t="str">
        <f t="shared" si="0"/>
        <v>E1_1_1_205_mRNA</v>
      </c>
      <c r="D110" s="47" t="str">
        <f t="shared" si="9"/>
        <v>E1_1_1_205</v>
      </c>
      <c r="E110" s="48" t="str">
        <f t="shared" si="1"/>
        <v>E1_1_1_205_kcat : 13.7</v>
      </c>
      <c r="F110" s="49" t="str">
        <f t="shared" si="2"/>
        <v>E1_1_1_205_km : 1</v>
      </c>
      <c r="G110" s="9" t="str">
        <f t="shared" ref="G110:H110" si="224">CONCATENATE(C110," : ",C110)</f>
        <v>E1_1_1_205_mRNA : E1_1_1_205_mRNA</v>
      </c>
      <c r="H110" s="50" t="str">
        <f t="shared" si="224"/>
        <v>E1_1_1_205 : E1_1_1_205</v>
      </c>
      <c r="I110" s="51" t="str">
        <f t="shared" ref="I110:J110" si="225">CONCATENATE(C110," : ","0")</f>
        <v>E1_1_1_205_mRNA : 0</v>
      </c>
      <c r="J110" s="52" t="str">
        <f t="shared" si="225"/>
        <v>E1_1_1_205 : 0</v>
      </c>
      <c r="K110" s="53" t="str">
        <f t="shared" si="5"/>
        <v>0.00292 - (0.0093 * E1_1_1_205_mRNA)</v>
      </c>
      <c r="L110" s="54" t="str">
        <f t="shared" si="6"/>
        <v>(0.278 * E1_1_1_205_mRNA) - (0.00000278 * E1_1_1_205)</v>
      </c>
      <c r="M110" s="55" t="str">
        <f t="shared" si="7"/>
        <v>mRNA109: -&gt; E1_1_1_205_mRNA | 0.00292 - (0.0093 * E1_1_1_205_mRNA)</v>
      </c>
      <c r="N110" s="56" t="str">
        <f t="shared" si="8"/>
        <v>Peptide109: E1_1_1_205_mRNA -&gt; E1_1_1_205 | (0.278 * E1_1_1_205_mRNA) - (0.000000278 * E1_1_1_205)</v>
      </c>
    </row>
    <row r="111" spans="1:14" ht="29">
      <c r="A111" s="46">
        <v>110</v>
      </c>
      <c r="B111" s="7" t="s">
        <v>12400</v>
      </c>
      <c r="C111" s="27" t="str">
        <f t="shared" si="0"/>
        <v>E2_7_8_5_mRNA</v>
      </c>
      <c r="D111" s="47" t="str">
        <f t="shared" si="9"/>
        <v>E2_7_8_5</v>
      </c>
      <c r="E111" s="48" t="str">
        <f t="shared" si="1"/>
        <v>E2_7_8_5_kcat : 13.7</v>
      </c>
      <c r="F111" s="49" t="str">
        <f t="shared" si="2"/>
        <v>E2_7_8_5_km : 1</v>
      </c>
      <c r="G111" s="9" t="str">
        <f t="shared" ref="G111:H111" si="226">CONCATENATE(C111," : ",C111)</f>
        <v>E2_7_8_5_mRNA : E2_7_8_5_mRNA</v>
      </c>
      <c r="H111" s="50" t="str">
        <f t="shared" si="226"/>
        <v>E2_7_8_5 : E2_7_8_5</v>
      </c>
      <c r="I111" s="51" t="str">
        <f t="shared" ref="I111:J111" si="227">CONCATENATE(C111," : ","0")</f>
        <v>E2_7_8_5_mRNA : 0</v>
      </c>
      <c r="J111" s="52" t="str">
        <f t="shared" si="227"/>
        <v>E2_7_8_5 : 0</v>
      </c>
      <c r="K111" s="53" t="str">
        <f t="shared" si="5"/>
        <v>0.00292 - (0.0093 * E2_7_8_5_mRNA)</v>
      </c>
      <c r="L111" s="54" t="str">
        <f t="shared" si="6"/>
        <v>(0.278 * E2_7_8_5_mRNA) - (0.00000278 * E2_7_8_5)</v>
      </c>
      <c r="M111" s="55" t="str">
        <f t="shared" si="7"/>
        <v>mRNA110: -&gt; E2_7_8_5_mRNA | 0.00292 - (0.0093 * E2_7_8_5_mRNA)</v>
      </c>
      <c r="N111" s="56" t="str">
        <f t="shared" si="8"/>
        <v>Peptide110: E2_7_8_5_mRNA -&gt; E2_7_8_5 | (0.278 * E2_7_8_5_mRNA) - (0.000000278 * E2_7_8_5)</v>
      </c>
    </row>
    <row r="112" spans="1:14" ht="29">
      <c r="A112" s="46">
        <v>111</v>
      </c>
      <c r="B112" s="7" t="s">
        <v>12401</v>
      </c>
      <c r="C112" s="27" t="str">
        <f t="shared" si="0"/>
        <v>E2_5_1_47_mRNA</v>
      </c>
      <c r="D112" s="47" t="str">
        <f t="shared" si="9"/>
        <v>E2_5_1_47</v>
      </c>
      <c r="E112" s="48" t="str">
        <f t="shared" si="1"/>
        <v>E2_5_1_47_kcat : 13.7</v>
      </c>
      <c r="F112" s="49" t="str">
        <f t="shared" si="2"/>
        <v>E2_5_1_47_km : 1</v>
      </c>
      <c r="G112" s="9" t="str">
        <f t="shared" ref="G112:H112" si="228">CONCATENATE(C112," : ",C112)</f>
        <v>E2_5_1_47_mRNA : E2_5_1_47_mRNA</v>
      </c>
      <c r="H112" s="50" t="str">
        <f t="shared" si="228"/>
        <v>E2_5_1_47 : E2_5_1_47</v>
      </c>
      <c r="I112" s="51" t="str">
        <f t="shared" ref="I112:J112" si="229">CONCATENATE(C112," : ","0")</f>
        <v>E2_5_1_47_mRNA : 0</v>
      </c>
      <c r="J112" s="52" t="str">
        <f t="shared" si="229"/>
        <v>E2_5_1_47 : 0</v>
      </c>
      <c r="K112" s="53" t="str">
        <f t="shared" si="5"/>
        <v>0.00292 - (0.0093 * E2_5_1_47_mRNA)</v>
      </c>
      <c r="L112" s="54" t="str">
        <f t="shared" si="6"/>
        <v>(0.278 * E2_5_1_47_mRNA) - (0.00000278 * E2_5_1_47)</v>
      </c>
      <c r="M112" s="55" t="str">
        <f t="shared" si="7"/>
        <v>mRNA111: -&gt; E2_5_1_47_mRNA | 0.00292 - (0.0093 * E2_5_1_47_mRNA)</v>
      </c>
      <c r="N112" s="56" t="str">
        <f t="shared" si="8"/>
        <v>Peptide111: E2_5_1_47_mRNA -&gt; E2_5_1_47 | (0.278 * E2_5_1_47_mRNA) - (0.000000278 * E2_5_1_47)</v>
      </c>
    </row>
    <row r="113" spans="1:14" ht="29">
      <c r="A113" s="46">
        <v>112</v>
      </c>
      <c r="B113" s="7" t="s">
        <v>12402</v>
      </c>
      <c r="C113" s="27" t="str">
        <f t="shared" si="0"/>
        <v>E3_6_3_31_mRNA</v>
      </c>
      <c r="D113" s="47" t="str">
        <f t="shared" si="9"/>
        <v>E3_6_3_31</v>
      </c>
      <c r="E113" s="48" t="str">
        <f t="shared" si="1"/>
        <v>E3_6_3_31_kcat : 13.7</v>
      </c>
      <c r="F113" s="49" t="str">
        <f t="shared" si="2"/>
        <v>E3_6_3_31_km : 1</v>
      </c>
      <c r="G113" s="9" t="str">
        <f t="shared" ref="G113:H113" si="230">CONCATENATE(C113," : ",C113)</f>
        <v>E3_6_3_31_mRNA : E3_6_3_31_mRNA</v>
      </c>
      <c r="H113" s="50" t="str">
        <f t="shared" si="230"/>
        <v>E3_6_3_31 : E3_6_3_31</v>
      </c>
      <c r="I113" s="51" t="str">
        <f t="shared" ref="I113:J113" si="231">CONCATENATE(C113," : ","0")</f>
        <v>E3_6_3_31_mRNA : 0</v>
      </c>
      <c r="J113" s="52" t="str">
        <f t="shared" si="231"/>
        <v>E3_6_3_31 : 0</v>
      </c>
      <c r="K113" s="53" t="str">
        <f t="shared" si="5"/>
        <v>0.00292 - (0.0093 * E3_6_3_31_mRNA)</v>
      </c>
      <c r="L113" s="54" t="str">
        <f t="shared" si="6"/>
        <v>(0.278 * E3_6_3_31_mRNA) - (0.00000278 * E3_6_3_31)</v>
      </c>
      <c r="M113" s="55" t="str">
        <f t="shared" si="7"/>
        <v>mRNA112: -&gt; E3_6_3_31_mRNA | 0.00292 - (0.0093 * E3_6_3_31_mRNA)</v>
      </c>
      <c r="N113" s="56" t="str">
        <f t="shared" si="8"/>
        <v>Peptide112: E3_6_3_31_mRNA -&gt; E3_6_3_31 | (0.278 * E3_6_3_31_mRNA) - (0.000000278 * E3_6_3_31)</v>
      </c>
    </row>
    <row r="114" spans="1:14" ht="29">
      <c r="A114" s="46">
        <v>113</v>
      </c>
      <c r="B114" s="7" t="s">
        <v>12403</v>
      </c>
      <c r="C114" s="27" t="str">
        <f t="shared" si="0"/>
        <v>E3_6_3_19_mRNA</v>
      </c>
      <c r="D114" s="47" t="str">
        <f t="shared" si="9"/>
        <v>E3_6_3_19</v>
      </c>
      <c r="E114" s="48" t="str">
        <f t="shared" si="1"/>
        <v>E3_6_3_19_kcat : 13.7</v>
      </c>
      <c r="F114" s="49" t="str">
        <f t="shared" si="2"/>
        <v>E3_6_3_19_km : 1</v>
      </c>
      <c r="G114" s="9" t="str">
        <f t="shared" ref="G114:H114" si="232">CONCATENATE(C114," : ",C114)</f>
        <v>E3_6_3_19_mRNA : E3_6_3_19_mRNA</v>
      </c>
      <c r="H114" s="50" t="str">
        <f t="shared" si="232"/>
        <v>E3_6_3_19 : E3_6_3_19</v>
      </c>
      <c r="I114" s="51" t="str">
        <f t="shared" ref="I114:J114" si="233">CONCATENATE(C114," : ","0")</f>
        <v>E3_6_3_19_mRNA : 0</v>
      </c>
      <c r="J114" s="52" t="str">
        <f t="shared" si="233"/>
        <v>E3_6_3_19 : 0</v>
      </c>
      <c r="K114" s="53" t="str">
        <f t="shared" si="5"/>
        <v>0.00292 - (0.0093 * E3_6_3_19_mRNA)</v>
      </c>
      <c r="L114" s="54" t="str">
        <f t="shared" si="6"/>
        <v>(0.278 * E3_6_3_19_mRNA) - (0.00000278 * E3_6_3_19)</v>
      </c>
      <c r="M114" s="55" t="str">
        <f t="shared" si="7"/>
        <v>mRNA113: -&gt; E3_6_3_19_mRNA | 0.00292 - (0.0093 * E3_6_3_19_mRNA)</v>
      </c>
      <c r="N114" s="56" t="str">
        <f t="shared" si="8"/>
        <v>Peptide113: E3_6_3_19_mRNA -&gt; E3_6_3_19 | (0.278 * E3_6_3_19_mRNA) - (0.000000278 * E3_6_3_19)</v>
      </c>
    </row>
    <row r="115" spans="1:14" ht="29">
      <c r="A115" s="46">
        <v>114</v>
      </c>
      <c r="B115" s="7" t="s">
        <v>12404</v>
      </c>
      <c r="C115" s="27" t="str">
        <f t="shared" si="0"/>
        <v>E4_1_3_27_mRNA</v>
      </c>
      <c r="D115" s="47" t="str">
        <f t="shared" si="9"/>
        <v>E4_1_3_27</v>
      </c>
      <c r="E115" s="48" t="str">
        <f t="shared" si="1"/>
        <v>E4_1_3_27_kcat : 13.7</v>
      </c>
      <c r="F115" s="49" t="str">
        <f t="shared" si="2"/>
        <v>E4_1_3_27_km : 1</v>
      </c>
      <c r="G115" s="9" t="str">
        <f t="shared" ref="G115:H115" si="234">CONCATENATE(C115," : ",C115)</f>
        <v>E4_1_3_27_mRNA : E4_1_3_27_mRNA</v>
      </c>
      <c r="H115" s="50" t="str">
        <f t="shared" si="234"/>
        <v>E4_1_3_27 : E4_1_3_27</v>
      </c>
      <c r="I115" s="51" t="str">
        <f t="shared" ref="I115:J115" si="235">CONCATENATE(C115," : ","0")</f>
        <v>E4_1_3_27_mRNA : 0</v>
      </c>
      <c r="J115" s="52" t="str">
        <f t="shared" si="235"/>
        <v>E4_1_3_27 : 0</v>
      </c>
      <c r="K115" s="53" t="str">
        <f t="shared" si="5"/>
        <v>0.00292 - (0.0093 * E4_1_3_27_mRNA)</v>
      </c>
      <c r="L115" s="54" t="str">
        <f t="shared" si="6"/>
        <v>(0.278 * E4_1_3_27_mRNA) - (0.00000278 * E4_1_3_27)</v>
      </c>
      <c r="M115" s="55" t="str">
        <f t="shared" si="7"/>
        <v>mRNA114: -&gt; E4_1_3_27_mRNA | 0.00292 - (0.0093 * E4_1_3_27_mRNA)</v>
      </c>
      <c r="N115" s="56" t="str">
        <f t="shared" si="8"/>
        <v>Peptide114: E4_1_3_27_mRNA -&gt; E4_1_3_27 | (0.278 * E4_1_3_27_mRNA) - (0.000000278 * E4_1_3_27)</v>
      </c>
    </row>
    <row r="116" spans="1:14" ht="29">
      <c r="A116" s="46">
        <v>115</v>
      </c>
      <c r="B116" s="7" t="s">
        <v>12405</v>
      </c>
      <c r="C116" s="27" t="str">
        <f t="shared" si="0"/>
        <v>E4_1_1_48_mRNA</v>
      </c>
      <c r="D116" s="47" t="str">
        <f t="shared" si="9"/>
        <v>E4_1_1_48</v>
      </c>
      <c r="E116" s="48" t="str">
        <f t="shared" si="1"/>
        <v>E4_1_1_48_kcat : 13.7</v>
      </c>
      <c r="F116" s="49" t="str">
        <f t="shared" si="2"/>
        <v>E4_1_1_48_km : 1</v>
      </c>
      <c r="G116" s="9" t="str">
        <f t="shared" ref="G116:H116" si="236">CONCATENATE(C116," : ",C116)</f>
        <v>E4_1_1_48_mRNA : E4_1_1_48_mRNA</v>
      </c>
      <c r="H116" s="50" t="str">
        <f t="shared" si="236"/>
        <v>E4_1_1_48 : E4_1_1_48</v>
      </c>
      <c r="I116" s="51" t="str">
        <f t="shared" ref="I116:J116" si="237">CONCATENATE(C116," : ","0")</f>
        <v>E4_1_1_48_mRNA : 0</v>
      </c>
      <c r="J116" s="52" t="str">
        <f t="shared" si="237"/>
        <v>E4_1_1_48 : 0</v>
      </c>
      <c r="K116" s="53" t="str">
        <f t="shared" si="5"/>
        <v>0.00292 - (0.0093 * E4_1_1_48_mRNA)</v>
      </c>
      <c r="L116" s="54" t="str">
        <f t="shared" si="6"/>
        <v>(0.278 * E4_1_1_48_mRNA) - (0.00000278 * E4_1_1_48)</v>
      </c>
      <c r="M116" s="55" t="str">
        <f t="shared" si="7"/>
        <v>mRNA115: -&gt; E4_1_1_48_mRNA | 0.00292 - (0.0093 * E4_1_1_48_mRNA)</v>
      </c>
      <c r="N116" s="56" t="str">
        <f t="shared" si="8"/>
        <v>Peptide115: E4_1_1_48_mRNA -&gt; E4_1_1_48 | (0.278 * E4_1_1_48_mRNA) - (0.000000278 * E4_1_1_48)</v>
      </c>
    </row>
    <row r="117" spans="1:14" ht="29">
      <c r="A117" s="46">
        <v>116</v>
      </c>
      <c r="B117" s="7" t="s">
        <v>12406</v>
      </c>
      <c r="C117" s="27" t="str">
        <f t="shared" si="0"/>
        <v>E5_3_1_24_mRNA</v>
      </c>
      <c r="D117" s="47" t="str">
        <f t="shared" si="9"/>
        <v>E5_3_1_24</v>
      </c>
      <c r="E117" s="48" t="str">
        <f t="shared" si="1"/>
        <v>E5_3_1_24_kcat : 13.7</v>
      </c>
      <c r="F117" s="49" t="str">
        <f t="shared" si="2"/>
        <v>E5_3_1_24_km : 1</v>
      </c>
      <c r="G117" s="9" t="str">
        <f t="shared" ref="G117:H117" si="238">CONCATENATE(C117," : ",C117)</f>
        <v>E5_3_1_24_mRNA : E5_3_1_24_mRNA</v>
      </c>
      <c r="H117" s="50" t="str">
        <f t="shared" si="238"/>
        <v>E5_3_1_24 : E5_3_1_24</v>
      </c>
      <c r="I117" s="51" t="str">
        <f t="shared" ref="I117:J117" si="239">CONCATENATE(C117," : ","0")</f>
        <v>E5_3_1_24_mRNA : 0</v>
      </c>
      <c r="J117" s="52" t="str">
        <f t="shared" si="239"/>
        <v>E5_3_1_24 : 0</v>
      </c>
      <c r="K117" s="53" t="str">
        <f t="shared" si="5"/>
        <v>0.00292 - (0.0093 * E5_3_1_24_mRNA)</v>
      </c>
      <c r="L117" s="54" t="str">
        <f t="shared" si="6"/>
        <v>(0.278 * E5_3_1_24_mRNA) - (0.00000278 * E5_3_1_24)</v>
      </c>
      <c r="M117" s="55" t="str">
        <f t="shared" si="7"/>
        <v>mRNA116: -&gt; E5_3_1_24_mRNA | 0.00292 - (0.0093 * E5_3_1_24_mRNA)</v>
      </c>
      <c r="N117" s="56" t="str">
        <f t="shared" si="8"/>
        <v>Peptide116: E5_3_1_24_mRNA -&gt; E5_3_1_24 | (0.278 * E5_3_1_24_mRNA) - (0.000000278 * E5_3_1_24)</v>
      </c>
    </row>
    <row r="118" spans="1:14" ht="29">
      <c r="A118" s="46">
        <v>117</v>
      </c>
      <c r="B118" s="7" t="s">
        <v>12407</v>
      </c>
      <c r="C118" s="27" t="str">
        <f t="shared" si="0"/>
        <v>E4_2_1_20_mRNA</v>
      </c>
      <c r="D118" s="47" t="str">
        <f t="shared" si="9"/>
        <v>E4_2_1_20</v>
      </c>
      <c r="E118" s="48" t="str">
        <f t="shared" si="1"/>
        <v>E4_2_1_20_kcat : 13.7</v>
      </c>
      <c r="F118" s="49" t="str">
        <f t="shared" si="2"/>
        <v>E4_2_1_20_km : 1</v>
      </c>
      <c r="G118" s="9" t="str">
        <f t="shared" ref="G118:H118" si="240">CONCATENATE(C118," : ",C118)</f>
        <v>E4_2_1_20_mRNA : E4_2_1_20_mRNA</v>
      </c>
      <c r="H118" s="50" t="str">
        <f t="shared" si="240"/>
        <v>E4_2_1_20 : E4_2_1_20</v>
      </c>
      <c r="I118" s="51" t="str">
        <f t="shared" ref="I118:J118" si="241">CONCATENATE(C118," : ","0")</f>
        <v>E4_2_1_20_mRNA : 0</v>
      </c>
      <c r="J118" s="52" t="str">
        <f t="shared" si="241"/>
        <v>E4_2_1_20 : 0</v>
      </c>
      <c r="K118" s="53" t="str">
        <f t="shared" si="5"/>
        <v>0.00292 - (0.0093 * E4_2_1_20_mRNA)</v>
      </c>
      <c r="L118" s="54" t="str">
        <f t="shared" si="6"/>
        <v>(0.278 * E4_2_1_20_mRNA) - (0.00000278 * E4_2_1_20)</v>
      </c>
      <c r="M118" s="55" t="str">
        <f t="shared" si="7"/>
        <v>mRNA117: -&gt; E4_2_1_20_mRNA | 0.00292 - (0.0093 * E4_2_1_20_mRNA)</v>
      </c>
      <c r="N118" s="56" t="str">
        <f t="shared" si="8"/>
        <v>Peptide117: E4_2_1_20_mRNA -&gt; E4_2_1_20 | (0.278 * E4_2_1_20_mRNA) - (0.000000278 * E4_2_1_20)</v>
      </c>
    </row>
    <row r="119" spans="1:14" ht="29">
      <c r="A119" s="46">
        <v>118</v>
      </c>
      <c r="B119" s="7" t="s">
        <v>12408</v>
      </c>
      <c r="C119" s="27" t="str">
        <f t="shared" si="0"/>
        <v>E3_4_24_57_mRNA</v>
      </c>
      <c r="D119" s="47" t="str">
        <f t="shared" si="9"/>
        <v>E3_4_24_57</v>
      </c>
      <c r="E119" s="48" t="str">
        <f t="shared" si="1"/>
        <v>E3_4_24_57_kcat : 13.7</v>
      </c>
      <c r="F119" s="49" t="str">
        <f t="shared" si="2"/>
        <v>E3_4_24_57_km : 1</v>
      </c>
      <c r="G119" s="9" t="str">
        <f t="shared" ref="G119:H119" si="242">CONCATENATE(C119," : ",C119)</f>
        <v>E3_4_24_57_mRNA : E3_4_24_57_mRNA</v>
      </c>
      <c r="H119" s="50" t="str">
        <f t="shared" si="242"/>
        <v>E3_4_24_57 : E3_4_24_57</v>
      </c>
      <c r="I119" s="51" t="str">
        <f t="shared" ref="I119:J119" si="243">CONCATENATE(C119," : ","0")</f>
        <v>E3_4_24_57_mRNA : 0</v>
      </c>
      <c r="J119" s="52" t="str">
        <f t="shared" si="243"/>
        <v>E3_4_24_57 : 0</v>
      </c>
      <c r="K119" s="53" t="str">
        <f t="shared" si="5"/>
        <v>0.00292 - (0.0093 * E3_4_24_57_mRNA)</v>
      </c>
      <c r="L119" s="54" t="str">
        <f t="shared" si="6"/>
        <v>(0.278 * E3_4_24_57_mRNA) - (0.00000278 * E3_4_24_57)</v>
      </c>
      <c r="M119" s="55" t="str">
        <f t="shared" si="7"/>
        <v>mRNA118: -&gt; E3_4_24_57_mRNA | 0.00292 - (0.0093 * E3_4_24_57_mRNA)</v>
      </c>
      <c r="N119" s="56" t="str">
        <f t="shared" si="8"/>
        <v>Peptide118: E3_4_24_57_mRNA -&gt; E3_4_24_57 | (0.278 * E3_4_24_57_mRNA) - (0.000000278 * E3_4_24_57)</v>
      </c>
    </row>
    <row r="120" spans="1:14" ht="29">
      <c r="A120" s="46">
        <v>119</v>
      </c>
      <c r="B120" s="7" t="s">
        <v>12409</v>
      </c>
      <c r="C120" s="27" t="str">
        <f t="shared" si="0"/>
        <v>E2_8_1_1_mRNA</v>
      </c>
      <c r="D120" s="47" t="str">
        <f t="shared" si="9"/>
        <v>E2_8_1_1</v>
      </c>
      <c r="E120" s="48" t="str">
        <f t="shared" si="1"/>
        <v>E2_8_1_1_kcat : 13.7</v>
      </c>
      <c r="F120" s="49" t="str">
        <f t="shared" si="2"/>
        <v>E2_8_1_1_km : 1</v>
      </c>
      <c r="G120" s="9" t="str">
        <f t="shared" ref="G120:H120" si="244">CONCATENATE(C120," : ",C120)</f>
        <v>E2_8_1_1_mRNA : E2_8_1_1_mRNA</v>
      </c>
      <c r="H120" s="50" t="str">
        <f t="shared" si="244"/>
        <v>E2_8_1_1 : E2_8_1_1</v>
      </c>
      <c r="I120" s="51" t="str">
        <f t="shared" ref="I120:J120" si="245">CONCATENATE(C120," : ","0")</f>
        <v>E2_8_1_1_mRNA : 0</v>
      </c>
      <c r="J120" s="52" t="str">
        <f t="shared" si="245"/>
        <v>E2_8_1_1 : 0</v>
      </c>
      <c r="K120" s="53" t="str">
        <f t="shared" si="5"/>
        <v>0.00292 - (0.0093 * E2_8_1_1_mRNA)</v>
      </c>
      <c r="L120" s="54" t="str">
        <f t="shared" si="6"/>
        <v>(0.278 * E2_8_1_1_mRNA) - (0.00000278 * E2_8_1_1)</v>
      </c>
      <c r="M120" s="55" t="str">
        <f t="shared" si="7"/>
        <v>mRNA119: -&gt; E2_8_1_1_mRNA | 0.00292 - (0.0093 * E2_8_1_1_mRNA)</v>
      </c>
      <c r="N120" s="56" t="str">
        <f t="shared" si="8"/>
        <v>Peptide119: E2_8_1_1_mRNA -&gt; E2_8_1_1 | (0.278 * E2_8_1_1_mRNA) - (0.000000278 * E2_8_1_1)</v>
      </c>
    </row>
    <row r="121" spans="1:14" ht="29">
      <c r="A121" s="46">
        <v>120</v>
      </c>
      <c r="B121" s="7" t="s">
        <v>12410</v>
      </c>
      <c r="C121" s="27" t="str">
        <f t="shared" si="0"/>
        <v>E1_13_11_2_mRNA</v>
      </c>
      <c r="D121" s="47" t="str">
        <f t="shared" si="9"/>
        <v>E1_13_11_2</v>
      </c>
      <c r="E121" s="48" t="str">
        <f t="shared" si="1"/>
        <v>E1_13_11_2_kcat : 13.7</v>
      </c>
      <c r="F121" s="49" t="str">
        <f t="shared" si="2"/>
        <v>E1_13_11_2_km : 1</v>
      </c>
      <c r="G121" s="9" t="str">
        <f t="shared" ref="G121:H121" si="246">CONCATENATE(C121," : ",C121)</f>
        <v>E1_13_11_2_mRNA : E1_13_11_2_mRNA</v>
      </c>
      <c r="H121" s="50" t="str">
        <f t="shared" si="246"/>
        <v>E1_13_11_2 : E1_13_11_2</v>
      </c>
      <c r="I121" s="51" t="str">
        <f t="shared" ref="I121:J121" si="247">CONCATENATE(C121," : ","0")</f>
        <v>E1_13_11_2_mRNA : 0</v>
      </c>
      <c r="J121" s="52" t="str">
        <f t="shared" si="247"/>
        <v>E1_13_11_2 : 0</v>
      </c>
      <c r="K121" s="53" t="str">
        <f t="shared" si="5"/>
        <v>0.00292 - (0.0093 * E1_13_11_2_mRNA)</v>
      </c>
      <c r="L121" s="54" t="str">
        <f t="shared" si="6"/>
        <v>(0.278 * E1_13_11_2_mRNA) - (0.00000278 * E1_13_11_2)</v>
      </c>
      <c r="M121" s="55" t="str">
        <f t="shared" si="7"/>
        <v>mRNA120: -&gt; E1_13_11_2_mRNA | 0.00292 - (0.0093 * E1_13_11_2_mRNA)</v>
      </c>
      <c r="N121" s="56" t="str">
        <f t="shared" si="8"/>
        <v>Peptide120: E1_13_11_2_mRNA -&gt; E1_13_11_2 | (0.278 * E1_13_11_2_mRNA) - (0.000000278 * E1_13_11_2)</v>
      </c>
    </row>
    <row r="122" spans="1:14" ht="29">
      <c r="A122" s="46">
        <v>121</v>
      </c>
      <c r="B122" s="7" t="s">
        <v>12411</v>
      </c>
      <c r="C122" s="27" t="str">
        <f t="shared" si="0"/>
        <v>E5_1_3_3_mRNA</v>
      </c>
      <c r="D122" s="47" t="str">
        <f t="shared" si="9"/>
        <v>E5_1_3_3</v>
      </c>
      <c r="E122" s="48" t="str">
        <f t="shared" si="1"/>
        <v>E5_1_3_3_kcat : 13.7</v>
      </c>
      <c r="F122" s="49" t="str">
        <f t="shared" si="2"/>
        <v>E5_1_3_3_km : 1</v>
      </c>
      <c r="G122" s="9" t="str">
        <f t="shared" ref="G122:H122" si="248">CONCATENATE(C122," : ",C122)</f>
        <v>E5_1_3_3_mRNA : E5_1_3_3_mRNA</v>
      </c>
      <c r="H122" s="50" t="str">
        <f t="shared" si="248"/>
        <v>E5_1_3_3 : E5_1_3_3</v>
      </c>
      <c r="I122" s="51" t="str">
        <f t="shared" ref="I122:J122" si="249">CONCATENATE(C122," : ","0")</f>
        <v>E5_1_3_3_mRNA : 0</v>
      </c>
      <c r="J122" s="52" t="str">
        <f t="shared" si="249"/>
        <v>E5_1_3_3 : 0</v>
      </c>
      <c r="K122" s="53" t="str">
        <f t="shared" si="5"/>
        <v>0.00292 - (0.0093 * E5_1_3_3_mRNA)</v>
      </c>
      <c r="L122" s="54" t="str">
        <f t="shared" si="6"/>
        <v>(0.278 * E5_1_3_3_mRNA) - (0.00000278 * E5_1_3_3)</v>
      </c>
      <c r="M122" s="55" t="str">
        <f t="shared" si="7"/>
        <v>mRNA121: -&gt; E5_1_3_3_mRNA | 0.00292 - (0.0093 * E5_1_3_3_mRNA)</v>
      </c>
      <c r="N122" s="56" t="str">
        <f t="shared" si="8"/>
        <v>Peptide121: E5_1_3_3_mRNA -&gt; E5_1_3_3 | (0.278 * E5_1_3_3_mRNA) - (0.000000278 * E5_1_3_3)</v>
      </c>
    </row>
    <row r="123" spans="1:14" ht="29">
      <c r="A123" s="46">
        <v>122</v>
      </c>
      <c r="B123" s="7" t="s">
        <v>12412</v>
      </c>
      <c r="C123" s="27" t="str">
        <f t="shared" si="0"/>
        <v>E2_7_2_2_mRNA</v>
      </c>
      <c r="D123" s="47" t="str">
        <f t="shared" si="9"/>
        <v>E2_7_2_2</v>
      </c>
      <c r="E123" s="48" t="str">
        <f t="shared" si="1"/>
        <v>E2_7_2_2_kcat : 13.7</v>
      </c>
      <c r="F123" s="49" t="str">
        <f t="shared" si="2"/>
        <v>E2_7_2_2_km : 1</v>
      </c>
      <c r="G123" s="9" t="str">
        <f t="shared" ref="G123:H123" si="250">CONCATENATE(C123," : ",C123)</f>
        <v>E2_7_2_2_mRNA : E2_7_2_2_mRNA</v>
      </c>
      <c r="H123" s="50" t="str">
        <f t="shared" si="250"/>
        <v>E2_7_2_2 : E2_7_2_2</v>
      </c>
      <c r="I123" s="51" t="str">
        <f t="shared" ref="I123:J123" si="251">CONCATENATE(C123," : ","0")</f>
        <v>E2_7_2_2_mRNA : 0</v>
      </c>
      <c r="J123" s="52" t="str">
        <f t="shared" si="251"/>
        <v>E2_7_2_2 : 0</v>
      </c>
      <c r="K123" s="53" t="str">
        <f t="shared" si="5"/>
        <v>0.00292 - (0.0093 * E2_7_2_2_mRNA)</v>
      </c>
      <c r="L123" s="54" t="str">
        <f t="shared" si="6"/>
        <v>(0.278 * E2_7_2_2_mRNA) - (0.00000278 * E2_7_2_2)</v>
      </c>
      <c r="M123" s="55" t="str">
        <f t="shared" si="7"/>
        <v>mRNA122: -&gt; E2_7_2_2_mRNA | 0.00292 - (0.0093 * E2_7_2_2_mRNA)</v>
      </c>
      <c r="N123" s="56" t="str">
        <f t="shared" si="8"/>
        <v>Peptide122: E2_7_2_2_mRNA -&gt; E2_7_2_2 | (0.278 * E2_7_2_2_mRNA) - (0.000000278 * E2_7_2_2)</v>
      </c>
    </row>
    <row r="124" spans="1:14" ht="29">
      <c r="A124" s="46">
        <v>123</v>
      </c>
      <c r="B124" s="7" t="s">
        <v>12413</v>
      </c>
      <c r="C124" s="27" t="str">
        <f t="shared" si="0"/>
        <v>E3_5_3_6_mRNA</v>
      </c>
      <c r="D124" s="47" t="str">
        <f t="shared" si="9"/>
        <v>E3_5_3_6</v>
      </c>
      <c r="E124" s="48" t="str">
        <f t="shared" si="1"/>
        <v>E3_5_3_6_kcat : 13.7</v>
      </c>
      <c r="F124" s="49" t="str">
        <f t="shared" si="2"/>
        <v>E3_5_3_6_km : 1</v>
      </c>
      <c r="G124" s="9" t="str">
        <f t="shared" ref="G124:H124" si="252">CONCATENATE(C124," : ",C124)</f>
        <v>E3_5_3_6_mRNA : E3_5_3_6_mRNA</v>
      </c>
      <c r="H124" s="50" t="str">
        <f t="shared" si="252"/>
        <v>E3_5_3_6 : E3_5_3_6</v>
      </c>
      <c r="I124" s="51" t="str">
        <f t="shared" ref="I124:J124" si="253">CONCATENATE(C124," : ","0")</f>
        <v>E3_5_3_6_mRNA : 0</v>
      </c>
      <c r="J124" s="52" t="str">
        <f t="shared" si="253"/>
        <v>E3_5_3_6 : 0</v>
      </c>
      <c r="K124" s="53" t="str">
        <f t="shared" si="5"/>
        <v>0.00292 - (0.0093 * E3_5_3_6_mRNA)</v>
      </c>
      <c r="L124" s="54" t="str">
        <f t="shared" si="6"/>
        <v>(0.278 * E3_5_3_6_mRNA) - (0.00000278 * E3_5_3_6)</v>
      </c>
      <c r="M124" s="55" t="str">
        <f t="shared" si="7"/>
        <v>mRNA123: -&gt; E3_5_3_6_mRNA | 0.00292 - (0.0093 * E3_5_3_6_mRNA)</v>
      </c>
      <c r="N124" s="56" t="str">
        <f t="shared" si="8"/>
        <v>Peptide123: E3_5_3_6_mRNA -&gt; E3_5_3_6 | (0.278 * E3_5_3_6_mRNA) - (0.000000278 * E3_5_3_6)</v>
      </c>
    </row>
    <row r="125" spans="1:14" ht="29">
      <c r="A125" s="46">
        <v>124</v>
      </c>
      <c r="B125" s="7" t="s">
        <v>12414</v>
      </c>
      <c r="C125" s="27" t="str">
        <f t="shared" si="0"/>
        <v>E3_2_1_170_mRNA</v>
      </c>
      <c r="D125" s="47" t="str">
        <f t="shared" si="9"/>
        <v>E3_2_1_170</v>
      </c>
      <c r="E125" s="48" t="str">
        <f t="shared" si="1"/>
        <v>E3_2_1_170_kcat : 13.7</v>
      </c>
      <c r="F125" s="49" t="str">
        <f t="shared" si="2"/>
        <v>E3_2_1_170_km : 1</v>
      </c>
      <c r="G125" s="9" t="str">
        <f t="shared" ref="G125:H125" si="254">CONCATENATE(C125," : ",C125)</f>
        <v>E3_2_1_170_mRNA : E3_2_1_170_mRNA</v>
      </c>
      <c r="H125" s="50" t="str">
        <f t="shared" si="254"/>
        <v>E3_2_1_170 : E3_2_1_170</v>
      </c>
      <c r="I125" s="51" t="str">
        <f t="shared" ref="I125:J125" si="255">CONCATENATE(C125," : ","0")</f>
        <v>E3_2_1_170_mRNA : 0</v>
      </c>
      <c r="J125" s="52" t="str">
        <f t="shared" si="255"/>
        <v>E3_2_1_170 : 0</v>
      </c>
      <c r="K125" s="53" t="str">
        <f t="shared" si="5"/>
        <v>0.00292 - (0.0093 * E3_2_1_170_mRNA)</v>
      </c>
      <c r="L125" s="54" t="str">
        <f t="shared" si="6"/>
        <v>(0.278 * E3_2_1_170_mRNA) - (0.00000278 * E3_2_1_170)</v>
      </c>
      <c r="M125" s="55" t="str">
        <f t="shared" si="7"/>
        <v>mRNA124: -&gt; E3_2_1_170_mRNA | 0.00292 - (0.0093 * E3_2_1_170_mRNA)</v>
      </c>
      <c r="N125" s="56" t="str">
        <f t="shared" si="8"/>
        <v>Peptide124: E3_2_1_170_mRNA -&gt; E3_2_1_170 | (0.278 * E3_2_1_170_mRNA) - (0.000000278 * E3_2_1_170)</v>
      </c>
    </row>
    <row r="126" spans="1:14" ht="29">
      <c r="A126" s="46">
        <v>125</v>
      </c>
      <c r="B126" s="7" t="s">
        <v>12415</v>
      </c>
      <c r="C126" s="27" t="str">
        <f t="shared" si="0"/>
        <v>E3_2_1_24_mRNA</v>
      </c>
      <c r="D126" s="47" t="str">
        <f t="shared" si="9"/>
        <v>E3_2_1_24</v>
      </c>
      <c r="E126" s="48" t="str">
        <f t="shared" si="1"/>
        <v>E3_2_1_24_kcat : 13.7</v>
      </c>
      <c r="F126" s="49" t="str">
        <f t="shared" si="2"/>
        <v>E3_2_1_24_km : 1</v>
      </c>
      <c r="G126" s="9" t="str">
        <f t="shared" ref="G126:H126" si="256">CONCATENATE(C126," : ",C126)</f>
        <v>E3_2_1_24_mRNA : E3_2_1_24_mRNA</v>
      </c>
      <c r="H126" s="50" t="str">
        <f t="shared" si="256"/>
        <v>E3_2_1_24 : E3_2_1_24</v>
      </c>
      <c r="I126" s="51" t="str">
        <f t="shared" ref="I126:J126" si="257">CONCATENATE(C126," : ","0")</f>
        <v>E3_2_1_24_mRNA : 0</v>
      </c>
      <c r="J126" s="52" t="str">
        <f t="shared" si="257"/>
        <v>E3_2_1_24 : 0</v>
      </c>
      <c r="K126" s="53" t="str">
        <f t="shared" si="5"/>
        <v>0.00292 - (0.0093 * E3_2_1_24_mRNA)</v>
      </c>
      <c r="L126" s="54" t="str">
        <f t="shared" si="6"/>
        <v>(0.278 * E3_2_1_24_mRNA) - (0.00000278 * E3_2_1_24)</v>
      </c>
      <c r="M126" s="55" t="str">
        <f t="shared" si="7"/>
        <v>mRNA125: -&gt; E3_2_1_24_mRNA | 0.00292 - (0.0093 * E3_2_1_24_mRNA)</v>
      </c>
      <c r="N126" s="56" t="str">
        <f t="shared" si="8"/>
        <v>Peptide125: E3_2_1_24_mRNA -&gt; E3_2_1_24 | (0.278 * E3_2_1_24_mRNA) - (0.000000278 * E3_2_1_24)</v>
      </c>
    </row>
    <row r="127" spans="1:14" ht="29">
      <c r="A127" s="46">
        <v>126</v>
      </c>
      <c r="B127" s="7" t="s">
        <v>12416</v>
      </c>
      <c r="C127" s="27" t="str">
        <f t="shared" si="0"/>
        <v>E2_7_1_85_mRNA</v>
      </c>
      <c r="D127" s="47" t="str">
        <f t="shared" si="9"/>
        <v>E2_7_1_85</v>
      </c>
      <c r="E127" s="48" t="str">
        <f t="shared" si="1"/>
        <v>E2_7_1_85_kcat : 13.7</v>
      </c>
      <c r="F127" s="49" t="str">
        <f t="shared" si="2"/>
        <v>E2_7_1_85_km : 1</v>
      </c>
      <c r="G127" s="9" t="str">
        <f t="shared" ref="G127:H127" si="258">CONCATENATE(C127," : ",C127)</f>
        <v>E2_7_1_85_mRNA : E2_7_1_85_mRNA</v>
      </c>
      <c r="H127" s="50" t="str">
        <f t="shared" si="258"/>
        <v>E2_7_1_85 : E2_7_1_85</v>
      </c>
      <c r="I127" s="51" t="str">
        <f t="shared" ref="I127:J127" si="259">CONCATENATE(C127," : ","0")</f>
        <v>E2_7_1_85_mRNA : 0</v>
      </c>
      <c r="J127" s="52" t="str">
        <f t="shared" si="259"/>
        <v>E2_7_1_85 : 0</v>
      </c>
      <c r="K127" s="53" t="str">
        <f t="shared" si="5"/>
        <v>0.00292 - (0.0093 * E2_7_1_85_mRNA)</v>
      </c>
      <c r="L127" s="54" t="str">
        <f t="shared" si="6"/>
        <v>(0.278 * E2_7_1_85_mRNA) - (0.00000278 * E2_7_1_85)</v>
      </c>
      <c r="M127" s="55" t="str">
        <f t="shared" si="7"/>
        <v>mRNA126: -&gt; E2_7_1_85_mRNA | 0.00292 - (0.0093 * E2_7_1_85_mRNA)</v>
      </c>
      <c r="N127" s="56" t="str">
        <f t="shared" si="8"/>
        <v>Peptide126: E2_7_1_85_mRNA -&gt; E2_7_1_85 | (0.278 * E2_7_1_85_mRNA) - (0.000000278 * E2_7_1_85)</v>
      </c>
    </row>
    <row r="128" spans="1:14" ht="29">
      <c r="A128" s="46">
        <v>127</v>
      </c>
      <c r="B128" s="7" t="s">
        <v>12417</v>
      </c>
      <c r="C128" s="27" t="str">
        <f t="shared" si="0"/>
        <v>E2_2_1_1_mRNA</v>
      </c>
      <c r="D128" s="47" t="str">
        <f t="shared" si="9"/>
        <v>E2_2_1_1</v>
      </c>
      <c r="E128" s="48" t="str">
        <f t="shared" si="1"/>
        <v>E2_2_1_1_kcat : 13.7</v>
      </c>
      <c r="F128" s="49" t="str">
        <f t="shared" si="2"/>
        <v>E2_2_1_1_km : 1</v>
      </c>
      <c r="G128" s="9" t="str">
        <f t="shared" ref="G128:H128" si="260">CONCATENATE(C128," : ",C128)</f>
        <v>E2_2_1_1_mRNA : E2_2_1_1_mRNA</v>
      </c>
      <c r="H128" s="50" t="str">
        <f t="shared" si="260"/>
        <v>E2_2_1_1 : E2_2_1_1</v>
      </c>
      <c r="I128" s="51" t="str">
        <f t="shared" ref="I128:J128" si="261">CONCATENATE(C128," : ","0")</f>
        <v>E2_2_1_1_mRNA : 0</v>
      </c>
      <c r="J128" s="52" t="str">
        <f t="shared" si="261"/>
        <v>E2_2_1_1 : 0</v>
      </c>
      <c r="K128" s="53" t="str">
        <f t="shared" si="5"/>
        <v>0.00292 - (0.0093 * E2_2_1_1_mRNA)</v>
      </c>
      <c r="L128" s="54" t="str">
        <f t="shared" si="6"/>
        <v>(0.278 * E2_2_1_1_mRNA) - (0.00000278 * E2_2_1_1)</v>
      </c>
      <c r="M128" s="55" t="str">
        <f t="shared" si="7"/>
        <v>mRNA127: -&gt; E2_2_1_1_mRNA | 0.00292 - (0.0093 * E2_2_1_1_mRNA)</v>
      </c>
      <c r="N128" s="56" t="str">
        <f t="shared" si="8"/>
        <v>Peptide127: E2_2_1_1_mRNA -&gt; E2_2_1_1 | (0.278 * E2_2_1_1_mRNA) - (0.000000278 * E2_2_1_1)</v>
      </c>
    </row>
    <row r="129" spans="1:14" ht="29">
      <c r="A129" s="46">
        <v>128</v>
      </c>
      <c r="B129" s="7" t="s">
        <v>12418</v>
      </c>
      <c r="C129" s="27" t="str">
        <f t="shared" si="0"/>
        <v>E2_2_1_7_mRNA</v>
      </c>
      <c r="D129" s="47" t="str">
        <f t="shared" si="9"/>
        <v>E2_2_1_7</v>
      </c>
      <c r="E129" s="48" t="str">
        <f t="shared" si="1"/>
        <v>E2_2_1_7_kcat : 13.7</v>
      </c>
      <c r="F129" s="49" t="str">
        <f t="shared" si="2"/>
        <v>E2_2_1_7_km : 1</v>
      </c>
      <c r="G129" s="9" t="str">
        <f t="shared" ref="G129:H129" si="262">CONCATENATE(C129," : ",C129)</f>
        <v>E2_2_1_7_mRNA : E2_2_1_7_mRNA</v>
      </c>
      <c r="H129" s="50" t="str">
        <f t="shared" si="262"/>
        <v>E2_2_1_7 : E2_2_1_7</v>
      </c>
      <c r="I129" s="51" t="str">
        <f t="shared" ref="I129:J129" si="263">CONCATENATE(C129," : ","0")</f>
        <v>E2_2_1_7_mRNA : 0</v>
      </c>
      <c r="J129" s="52" t="str">
        <f t="shared" si="263"/>
        <v>E2_2_1_7 : 0</v>
      </c>
      <c r="K129" s="53" t="str">
        <f t="shared" si="5"/>
        <v>0.00292 - (0.0093 * E2_2_1_7_mRNA)</v>
      </c>
      <c r="L129" s="54" t="str">
        <f t="shared" si="6"/>
        <v>(0.278 * E2_2_1_7_mRNA) - (0.00000278 * E2_2_1_7)</v>
      </c>
      <c r="M129" s="55" t="str">
        <f t="shared" si="7"/>
        <v>mRNA128: -&gt; E2_2_1_7_mRNA | 0.00292 - (0.0093 * E2_2_1_7_mRNA)</v>
      </c>
      <c r="N129" s="56" t="str">
        <f t="shared" si="8"/>
        <v>Peptide128: E2_2_1_7_mRNA -&gt; E2_2_1_7 | (0.278 * E2_2_1_7_mRNA) - (0.000000278 * E2_2_1_7)</v>
      </c>
    </row>
    <row r="130" spans="1:14" ht="29">
      <c r="A130" s="46">
        <v>129</v>
      </c>
      <c r="B130" s="7" t="s">
        <v>12419</v>
      </c>
      <c r="C130" s="27" t="str">
        <f t="shared" si="0"/>
        <v>E4_2_1_9_mRNA</v>
      </c>
      <c r="D130" s="47" t="str">
        <f t="shared" si="9"/>
        <v>E4_2_1_9</v>
      </c>
      <c r="E130" s="48" t="str">
        <f t="shared" si="1"/>
        <v>E4_2_1_9_kcat : 13.7</v>
      </c>
      <c r="F130" s="49" t="str">
        <f t="shared" si="2"/>
        <v>E4_2_1_9_km : 1</v>
      </c>
      <c r="G130" s="9" t="str">
        <f t="shared" ref="G130:H130" si="264">CONCATENATE(C130," : ",C130)</f>
        <v>E4_2_1_9_mRNA : E4_2_1_9_mRNA</v>
      </c>
      <c r="H130" s="50" t="str">
        <f t="shared" si="264"/>
        <v>E4_2_1_9 : E4_2_1_9</v>
      </c>
      <c r="I130" s="51" t="str">
        <f t="shared" ref="I130:J130" si="265">CONCATENATE(C130," : ","0")</f>
        <v>E4_2_1_9_mRNA : 0</v>
      </c>
      <c r="J130" s="52" t="str">
        <f t="shared" si="265"/>
        <v>E4_2_1_9 : 0</v>
      </c>
      <c r="K130" s="53" t="str">
        <f t="shared" si="5"/>
        <v>0.00292 - (0.0093 * E4_2_1_9_mRNA)</v>
      </c>
      <c r="L130" s="54" t="str">
        <f t="shared" si="6"/>
        <v>(0.278 * E4_2_1_9_mRNA) - (0.00000278 * E4_2_1_9)</v>
      </c>
      <c r="M130" s="55" t="str">
        <f t="shared" si="7"/>
        <v>mRNA129: -&gt; E4_2_1_9_mRNA | 0.00292 - (0.0093 * E4_2_1_9_mRNA)</v>
      </c>
      <c r="N130" s="56" t="str">
        <f t="shared" si="8"/>
        <v>Peptide129: E4_2_1_9_mRNA -&gt; E4_2_1_9 | (0.278 * E4_2_1_9_mRNA) - (0.000000278 * E4_2_1_9)</v>
      </c>
    </row>
    <row r="131" spans="1:14" ht="29">
      <c r="A131" s="46">
        <v>130</v>
      </c>
      <c r="B131" s="7" t="s">
        <v>12420</v>
      </c>
      <c r="C131" s="27" t="str">
        <f t="shared" si="0"/>
        <v>E6_1_1_21_mRNA</v>
      </c>
      <c r="D131" s="47" t="str">
        <f t="shared" si="9"/>
        <v>E6_1_1_21</v>
      </c>
      <c r="E131" s="48" t="str">
        <f t="shared" si="1"/>
        <v>E6_1_1_21_kcat : 13.7</v>
      </c>
      <c r="F131" s="49" t="str">
        <f t="shared" si="2"/>
        <v>E6_1_1_21_km : 1</v>
      </c>
      <c r="G131" s="9" t="str">
        <f t="shared" ref="G131:H131" si="266">CONCATENATE(C131," : ",C131)</f>
        <v>E6_1_1_21_mRNA : E6_1_1_21_mRNA</v>
      </c>
      <c r="H131" s="50" t="str">
        <f t="shared" si="266"/>
        <v>E6_1_1_21 : E6_1_1_21</v>
      </c>
      <c r="I131" s="51" t="str">
        <f t="shared" ref="I131:J131" si="267">CONCATENATE(C131," : ","0")</f>
        <v>E6_1_1_21_mRNA : 0</v>
      </c>
      <c r="J131" s="52" t="str">
        <f t="shared" si="267"/>
        <v>E6_1_1_21 : 0</v>
      </c>
      <c r="K131" s="53" t="str">
        <f t="shared" si="5"/>
        <v>0.00292 - (0.0093 * E6_1_1_21_mRNA)</v>
      </c>
      <c r="L131" s="54" t="str">
        <f t="shared" si="6"/>
        <v>(0.278 * E6_1_1_21_mRNA) - (0.00000278 * E6_1_1_21)</v>
      </c>
      <c r="M131" s="55" t="str">
        <f t="shared" si="7"/>
        <v>mRNA130: -&gt; E6_1_1_21_mRNA | 0.00292 - (0.0093 * E6_1_1_21_mRNA)</v>
      </c>
      <c r="N131" s="56" t="str">
        <f t="shared" si="8"/>
        <v>Peptide130: E6_1_1_21_mRNA -&gt; E6_1_1_21 | (0.278 * E6_1_1_21_mRNA) - (0.000000278 * E6_1_1_21)</v>
      </c>
    </row>
    <row r="132" spans="1:14" ht="29">
      <c r="A132" s="46">
        <v>131</v>
      </c>
      <c r="B132" s="7" t="s">
        <v>12421</v>
      </c>
      <c r="C132" s="27" t="str">
        <f t="shared" si="0"/>
        <v>E1_14_99_36_mRNA</v>
      </c>
      <c r="D132" s="47" t="str">
        <f t="shared" si="9"/>
        <v>E1_14_99_36</v>
      </c>
      <c r="E132" s="48" t="str">
        <f t="shared" si="1"/>
        <v>E1_14_99_36_kcat : 13.7</v>
      </c>
      <c r="F132" s="49" t="str">
        <f t="shared" si="2"/>
        <v>E1_14_99_36_km : 1</v>
      </c>
      <c r="G132" s="9" t="str">
        <f t="shared" ref="G132:H132" si="268">CONCATENATE(C132," : ",C132)</f>
        <v>E1_14_99_36_mRNA : E1_14_99_36_mRNA</v>
      </c>
      <c r="H132" s="50" t="str">
        <f t="shared" si="268"/>
        <v>E1_14_99_36 : E1_14_99_36</v>
      </c>
      <c r="I132" s="51" t="str">
        <f t="shared" ref="I132:J132" si="269">CONCATENATE(C132," : ","0")</f>
        <v>E1_14_99_36_mRNA : 0</v>
      </c>
      <c r="J132" s="52" t="str">
        <f t="shared" si="269"/>
        <v>E1_14_99_36 : 0</v>
      </c>
      <c r="K132" s="53" t="str">
        <f t="shared" si="5"/>
        <v>0.00292 - (0.0093 * E1_14_99_36_mRNA)</v>
      </c>
      <c r="L132" s="54" t="str">
        <f t="shared" si="6"/>
        <v>(0.278 * E1_14_99_36_mRNA) - (0.00000278 * E1_14_99_36)</v>
      </c>
      <c r="M132" s="55" t="str">
        <f t="shared" si="7"/>
        <v>mRNA131: -&gt; E1_14_99_36_mRNA | 0.00292 - (0.0093 * E1_14_99_36_mRNA)</v>
      </c>
      <c r="N132" s="56" t="str">
        <f t="shared" si="8"/>
        <v>Peptide131: E1_14_99_36_mRNA -&gt; E1_14_99_36 | (0.278 * E1_14_99_36_mRNA) - (0.000000278 * E1_14_99_36)</v>
      </c>
    </row>
    <row r="133" spans="1:14" ht="29">
      <c r="A133" s="46">
        <v>132</v>
      </c>
      <c r="B133" s="7" t="s">
        <v>12422</v>
      </c>
      <c r="C133" s="27" t="str">
        <f t="shared" si="0"/>
        <v>E6_1_1_12_mRNA</v>
      </c>
      <c r="D133" s="47" t="str">
        <f t="shared" si="9"/>
        <v>E6_1_1_12</v>
      </c>
      <c r="E133" s="48" t="str">
        <f t="shared" si="1"/>
        <v>E6_1_1_12_kcat : 13.7</v>
      </c>
      <c r="F133" s="49" t="str">
        <f t="shared" si="2"/>
        <v>E6_1_1_12_km : 1</v>
      </c>
      <c r="G133" s="9" t="str">
        <f t="shared" ref="G133:H133" si="270">CONCATENATE(C133," : ",C133)</f>
        <v>E6_1_1_12_mRNA : E6_1_1_12_mRNA</v>
      </c>
      <c r="H133" s="50" t="str">
        <f t="shared" si="270"/>
        <v>E6_1_1_12 : E6_1_1_12</v>
      </c>
      <c r="I133" s="51" t="str">
        <f t="shared" ref="I133:J133" si="271">CONCATENATE(C133," : ","0")</f>
        <v>E6_1_1_12_mRNA : 0</v>
      </c>
      <c r="J133" s="52" t="str">
        <f t="shared" si="271"/>
        <v>E6_1_1_12 : 0</v>
      </c>
      <c r="K133" s="53" t="str">
        <f t="shared" si="5"/>
        <v>0.00292 - (0.0093 * E6_1_1_12_mRNA)</v>
      </c>
      <c r="L133" s="54" t="str">
        <f t="shared" si="6"/>
        <v>(0.278 * E6_1_1_12_mRNA) - (0.00000278 * E6_1_1_12)</v>
      </c>
      <c r="M133" s="55" t="str">
        <f t="shared" si="7"/>
        <v>mRNA132: -&gt; E6_1_1_12_mRNA | 0.00292 - (0.0093 * E6_1_1_12_mRNA)</v>
      </c>
      <c r="N133" s="56" t="str">
        <f t="shared" si="8"/>
        <v>Peptide132: E6_1_1_12_mRNA -&gt; E6_1_1_12 | (0.278 * E6_1_1_12_mRNA) - (0.000000278 * E6_1_1_12)</v>
      </c>
    </row>
    <row r="134" spans="1:14" ht="29">
      <c r="A134" s="46">
        <v>133</v>
      </c>
      <c r="B134" s="7" t="s">
        <v>12423</v>
      </c>
      <c r="C134" s="27" t="str">
        <f t="shared" si="0"/>
        <v>E2_4_1_25_mRNA</v>
      </c>
      <c r="D134" s="47" t="str">
        <f t="shared" si="9"/>
        <v>E2_4_1_25</v>
      </c>
      <c r="E134" s="48" t="str">
        <f t="shared" si="1"/>
        <v>E2_4_1_25_kcat : 13.7</v>
      </c>
      <c r="F134" s="49" t="str">
        <f t="shared" si="2"/>
        <v>E2_4_1_25_km : 1</v>
      </c>
      <c r="G134" s="9" t="str">
        <f t="shared" ref="G134:H134" si="272">CONCATENATE(C134," : ",C134)</f>
        <v>E2_4_1_25_mRNA : E2_4_1_25_mRNA</v>
      </c>
      <c r="H134" s="50" t="str">
        <f t="shared" si="272"/>
        <v>E2_4_1_25 : E2_4_1_25</v>
      </c>
      <c r="I134" s="51" t="str">
        <f t="shared" ref="I134:J134" si="273">CONCATENATE(C134," : ","0")</f>
        <v>E2_4_1_25_mRNA : 0</v>
      </c>
      <c r="J134" s="52" t="str">
        <f t="shared" si="273"/>
        <v>E2_4_1_25 : 0</v>
      </c>
      <c r="K134" s="53" t="str">
        <f t="shared" si="5"/>
        <v>0.00292 - (0.0093 * E2_4_1_25_mRNA)</v>
      </c>
      <c r="L134" s="54" t="str">
        <f t="shared" si="6"/>
        <v>(0.278 * E2_4_1_25_mRNA) - (0.00000278 * E2_4_1_25)</v>
      </c>
      <c r="M134" s="55" t="str">
        <f t="shared" si="7"/>
        <v>mRNA133: -&gt; E2_4_1_25_mRNA | 0.00292 - (0.0093 * E2_4_1_25_mRNA)</v>
      </c>
      <c r="N134" s="56" t="str">
        <f t="shared" si="8"/>
        <v>Peptide133: E2_4_1_25_mRNA -&gt; E2_4_1_25 | (0.278 * E2_4_1_25_mRNA) - (0.000000278 * E2_4_1_25)</v>
      </c>
    </row>
    <row r="135" spans="1:14" ht="29">
      <c r="A135" s="46">
        <v>134</v>
      </c>
      <c r="B135" s="7" t="s">
        <v>12424</v>
      </c>
      <c r="C135" s="27" t="str">
        <f t="shared" si="0"/>
        <v>E2_4_1_1_mRNA</v>
      </c>
      <c r="D135" s="47" t="str">
        <f t="shared" si="9"/>
        <v>E2_4_1_1</v>
      </c>
      <c r="E135" s="48" t="str">
        <f t="shared" si="1"/>
        <v>E2_4_1_1_kcat : 13.7</v>
      </c>
      <c r="F135" s="49" t="str">
        <f t="shared" si="2"/>
        <v>E2_4_1_1_km : 1</v>
      </c>
      <c r="G135" s="9" t="str">
        <f t="shared" ref="G135:H135" si="274">CONCATENATE(C135," : ",C135)</f>
        <v>E2_4_1_1_mRNA : E2_4_1_1_mRNA</v>
      </c>
      <c r="H135" s="50" t="str">
        <f t="shared" si="274"/>
        <v>E2_4_1_1 : E2_4_1_1</v>
      </c>
      <c r="I135" s="51" t="str">
        <f t="shared" ref="I135:J135" si="275">CONCATENATE(C135," : ","0")</f>
        <v>E2_4_1_1_mRNA : 0</v>
      </c>
      <c r="J135" s="52" t="str">
        <f t="shared" si="275"/>
        <v>E2_4_1_1 : 0</v>
      </c>
      <c r="K135" s="53" t="str">
        <f t="shared" si="5"/>
        <v>0.00292 - (0.0093 * E2_4_1_1_mRNA)</v>
      </c>
      <c r="L135" s="54" t="str">
        <f t="shared" si="6"/>
        <v>(0.278 * E2_4_1_1_mRNA) - (0.00000278 * E2_4_1_1)</v>
      </c>
      <c r="M135" s="55" t="str">
        <f t="shared" si="7"/>
        <v>mRNA134: -&gt; E2_4_1_1_mRNA | 0.00292 - (0.0093 * E2_4_1_1_mRNA)</v>
      </c>
      <c r="N135" s="56" t="str">
        <f t="shared" si="8"/>
        <v>Peptide134: E2_4_1_1_mRNA -&gt; E2_4_1_1 | (0.278 * E2_4_1_1_mRNA) - (0.000000278 * E2_4_1_1)</v>
      </c>
    </row>
    <row r="136" spans="1:14" ht="29">
      <c r="A136" s="46">
        <v>135</v>
      </c>
      <c r="B136" s="7" t="s">
        <v>12425</v>
      </c>
      <c r="C136" s="27" t="str">
        <f t="shared" si="0"/>
        <v>E2_1_1_187_mRNA</v>
      </c>
      <c r="D136" s="47" t="str">
        <f t="shared" si="9"/>
        <v>E2_1_1_187</v>
      </c>
      <c r="E136" s="48" t="str">
        <f t="shared" si="1"/>
        <v>E2_1_1_187_kcat : 13.7</v>
      </c>
      <c r="F136" s="49" t="str">
        <f t="shared" si="2"/>
        <v>E2_1_1_187_km : 1</v>
      </c>
      <c r="G136" s="9" t="str">
        <f t="shared" ref="G136:H136" si="276">CONCATENATE(C136," : ",C136)</f>
        <v>E2_1_1_187_mRNA : E2_1_1_187_mRNA</v>
      </c>
      <c r="H136" s="50" t="str">
        <f t="shared" si="276"/>
        <v>E2_1_1_187 : E2_1_1_187</v>
      </c>
      <c r="I136" s="51" t="str">
        <f t="shared" ref="I136:J136" si="277">CONCATENATE(C136," : ","0")</f>
        <v>E2_1_1_187_mRNA : 0</v>
      </c>
      <c r="J136" s="52" t="str">
        <f t="shared" si="277"/>
        <v>E2_1_1_187 : 0</v>
      </c>
      <c r="K136" s="53" t="str">
        <f t="shared" si="5"/>
        <v>0.00292 - (0.0093 * E2_1_1_187_mRNA)</v>
      </c>
      <c r="L136" s="54" t="str">
        <f t="shared" si="6"/>
        <v>(0.278 * E2_1_1_187_mRNA) - (0.00000278 * E2_1_1_187)</v>
      </c>
      <c r="M136" s="55" t="str">
        <f t="shared" si="7"/>
        <v>mRNA135: -&gt; E2_1_1_187_mRNA | 0.00292 - (0.0093 * E2_1_1_187_mRNA)</v>
      </c>
      <c r="N136" s="56" t="str">
        <f t="shared" si="8"/>
        <v>Peptide135: E2_1_1_187_mRNA -&gt; E2_1_1_187 | (0.278 * E2_1_1_187_mRNA) - (0.000000278 * E2_1_1_187)</v>
      </c>
    </row>
    <row r="137" spans="1:14" ht="29">
      <c r="A137" s="46">
        <v>136</v>
      </c>
      <c r="B137" s="7" t="s">
        <v>12426</v>
      </c>
      <c r="C137" s="27" t="str">
        <f t="shared" si="0"/>
        <v>E6_1_1_1_mRNA</v>
      </c>
      <c r="D137" s="47" t="str">
        <f t="shared" si="9"/>
        <v>E6_1_1_1</v>
      </c>
      <c r="E137" s="48" t="str">
        <f t="shared" si="1"/>
        <v>E6_1_1_1_kcat : 13.7</v>
      </c>
      <c r="F137" s="49" t="str">
        <f t="shared" si="2"/>
        <v>E6_1_1_1_km : 1</v>
      </c>
      <c r="G137" s="9" t="str">
        <f t="shared" ref="G137:H137" si="278">CONCATENATE(C137," : ",C137)</f>
        <v>E6_1_1_1_mRNA : E6_1_1_1_mRNA</v>
      </c>
      <c r="H137" s="50" t="str">
        <f t="shared" si="278"/>
        <v>E6_1_1_1 : E6_1_1_1</v>
      </c>
      <c r="I137" s="51" t="str">
        <f t="shared" ref="I137:J137" si="279">CONCATENATE(C137," : ","0")</f>
        <v>E6_1_1_1_mRNA : 0</v>
      </c>
      <c r="J137" s="52" t="str">
        <f t="shared" si="279"/>
        <v>E6_1_1_1 : 0</v>
      </c>
      <c r="K137" s="53" t="str">
        <f t="shared" si="5"/>
        <v>0.00292 - (0.0093 * E6_1_1_1_mRNA)</v>
      </c>
      <c r="L137" s="54" t="str">
        <f t="shared" si="6"/>
        <v>(0.278 * E6_1_1_1_mRNA) - (0.00000278 * E6_1_1_1)</v>
      </c>
      <c r="M137" s="55" t="str">
        <f t="shared" si="7"/>
        <v>mRNA136: -&gt; E6_1_1_1_mRNA | 0.00292 - (0.0093 * E6_1_1_1_mRNA)</v>
      </c>
      <c r="N137" s="56" t="str">
        <f t="shared" si="8"/>
        <v>Peptide136: E6_1_1_1_mRNA -&gt; E6_1_1_1 | (0.278 * E6_1_1_1_mRNA) - (0.000000278 * E6_1_1_1)</v>
      </c>
    </row>
    <row r="138" spans="1:14" ht="29">
      <c r="A138" s="46">
        <v>137</v>
      </c>
      <c r="B138" s="7" t="s">
        <v>12427</v>
      </c>
      <c r="C138" s="27" t="str">
        <f t="shared" si="0"/>
        <v>E2_7_1_30_mRNA</v>
      </c>
      <c r="D138" s="47" t="str">
        <f t="shared" si="9"/>
        <v>E2_7_1_30</v>
      </c>
      <c r="E138" s="48" t="str">
        <f t="shared" si="1"/>
        <v>E2_7_1_30_kcat : 13.7</v>
      </c>
      <c r="F138" s="49" t="str">
        <f t="shared" si="2"/>
        <v>E2_7_1_30_km : 1</v>
      </c>
      <c r="G138" s="9" t="str">
        <f t="shared" ref="G138:H138" si="280">CONCATENATE(C138," : ",C138)</f>
        <v>E2_7_1_30_mRNA : E2_7_1_30_mRNA</v>
      </c>
      <c r="H138" s="50" t="str">
        <f t="shared" si="280"/>
        <v>E2_7_1_30 : E2_7_1_30</v>
      </c>
      <c r="I138" s="51" t="str">
        <f t="shared" ref="I138:J138" si="281">CONCATENATE(C138," : ","0")</f>
        <v>E2_7_1_30_mRNA : 0</v>
      </c>
      <c r="J138" s="52" t="str">
        <f t="shared" si="281"/>
        <v>E2_7_1_30 : 0</v>
      </c>
      <c r="K138" s="53" t="str">
        <f t="shared" si="5"/>
        <v>0.00292 - (0.0093 * E2_7_1_30_mRNA)</v>
      </c>
      <c r="L138" s="54" t="str">
        <f t="shared" si="6"/>
        <v>(0.278 * E2_7_1_30_mRNA) - (0.00000278 * E2_7_1_30)</v>
      </c>
      <c r="M138" s="55" t="str">
        <f t="shared" si="7"/>
        <v>mRNA137: -&gt; E2_7_1_30_mRNA | 0.00292 - (0.0093 * E2_7_1_30_mRNA)</v>
      </c>
      <c r="N138" s="56" t="str">
        <f t="shared" si="8"/>
        <v>Peptide137: E2_7_1_30_mRNA -&gt; E2_7_1_30 | (0.278 * E2_7_1_30_mRNA) - (0.000000278 * E2_7_1_30)</v>
      </c>
    </row>
    <row r="139" spans="1:14" ht="29">
      <c r="A139" s="46">
        <v>138</v>
      </c>
      <c r="B139" s="7" t="s">
        <v>12428</v>
      </c>
      <c r="C139" s="27" t="str">
        <f t="shared" si="0"/>
        <v>E1_1_3_21_mRNA</v>
      </c>
      <c r="D139" s="47" t="str">
        <f t="shared" si="9"/>
        <v>E1_1_3_21</v>
      </c>
      <c r="E139" s="48" t="str">
        <f t="shared" si="1"/>
        <v>E1_1_3_21_kcat : 13.7</v>
      </c>
      <c r="F139" s="49" t="str">
        <f t="shared" si="2"/>
        <v>E1_1_3_21_km : 1</v>
      </c>
      <c r="G139" s="9" t="str">
        <f t="shared" ref="G139:H139" si="282">CONCATENATE(C139," : ",C139)</f>
        <v>E1_1_3_21_mRNA : E1_1_3_21_mRNA</v>
      </c>
      <c r="H139" s="50" t="str">
        <f t="shared" si="282"/>
        <v>E1_1_3_21 : E1_1_3_21</v>
      </c>
      <c r="I139" s="51" t="str">
        <f t="shared" ref="I139:J139" si="283">CONCATENATE(C139," : ","0")</f>
        <v>E1_1_3_21_mRNA : 0</v>
      </c>
      <c r="J139" s="52" t="str">
        <f t="shared" si="283"/>
        <v>E1_1_3_21 : 0</v>
      </c>
      <c r="K139" s="53" t="str">
        <f t="shared" si="5"/>
        <v>0.00292 - (0.0093 * E1_1_3_21_mRNA)</v>
      </c>
      <c r="L139" s="54" t="str">
        <f t="shared" si="6"/>
        <v>(0.278 * E1_1_3_21_mRNA) - (0.00000278 * E1_1_3_21)</v>
      </c>
      <c r="M139" s="55" t="str">
        <f t="shared" si="7"/>
        <v>mRNA138: -&gt; E1_1_3_21_mRNA | 0.00292 - (0.0093 * E1_1_3_21_mRNA)</v>
      </c>
      <c r="N139" s="56" t="str">
        <f t="shared" si="8"/>
        <v>Peptide138: E1_1_3_21_mRNA -&gt; E1_1_3_21 | (0.278 * E1_1_3_21_mRNA) - (0.000000278 * E1_1_3_21)</v>
      </c>
    </row>
    <row r="140" spans="1:14" ht="29">
      <c r="A140" s="46">
        <v>139</v>
      </c>
      <c r="B140" s="7" t="s">
        <v>12429</v>
      </c>
      <c r="C140" s="27" t="str">
        <f t="shared" si="0"/>
        <v>E6_1_1_13_mRNA</v>
      </c>
      <c r="D140" s="47" t="str">
        <f t="shared" si="9"/>
        <v>E6_1_1_13</v>
      </c>
      <c r="E140" s="48" t="str">
        <f t="shared" si="1"/>
        <v>E6_1_1_13_kcat : 13.7</v>
      </c>
      <c r="F140" s="49" t="str">
        <f t="shared" si="2"/>
        <v>E6_1_1_13_km : 1</v>
      </c>
      <c r="G140" s="9" t="str">
        <f t="shared" ref="G140:H140" si="284">CONCATENATE(C140," : ",C140)</f>
        <v>E6_1_1_13_mRNA : E6_1_1_13_mRNA</v>
      </c>
      <c r="H140" s="50" t="str">
        <f t="shared" si="284"/>
        <v>E6_1_1_13 : E6_1_1_13</v>
      </c>
      <c r="I140" s="51" t="str">
        <f t="shared" ref="I140:J140" si="285">CONCATENATE(C140," : ","0")</f>
        <v>E6_1_1_13_mRNA : 0</v>
      </c>
      <c r="J140" s="52" t="str">
        <f t="shared" si="285"/>
        <v>E6_1_1_13 : 0</v>
      </c>
      <c r="K140" s="53" t="str">
        <f t="shared" si="5"/>
        <v>0.00292 - (0.0093 * E6_1_1_13_mRNA)</v>
      </c>
      <c r="L140" s="54" t="str">
        <f t="shared" si="6"/>
        <v>(0.278 * E6_1_1_13_mRNA) - (0.00000278 * E6_1_1_13)</v>
      </c>
      <c r="M140" s="55" t="str">
        <f t="shared" si="7"/>
        <v>mRNA139: -&gt; E6_1_1_13_mRNA | 0.00292 - (0.0093 * E6_1_1_13_mRNA)</v>
      </c>
      <c r="N140" s="56" t="str">
        <f t="shared" si="8"/>
        <v>Peptide139: E6_1_1_13_mRNA -&gt; E6_1_1_13 | (0.278 * E6_1_1_13_mRNA) - (0.000000278 * E6_1_1_13)</v>
      </c>
    </row>
    <row r="141" spans="1:14" ht="29">
      <c r="A141" s="46">
        <v>140</v>
      </c>
      <c r="B141" s="7" t="s">
        <v>12430</v>
      </c>
      <c r="C141" s="27" t="str">
        <f t="shared" si="0"/>
        <v>E2_7_1_5_mRNA</v>
      </c>
      <c r="D141" s="47" t="str">
        <f t="shared" si="9"/>
        <v>E2_7_1_5</v>
      </c>
      <c r="E141" s="48" t="str">
        <f t="shared" si="1"/>
        <v>E2_7_1_5_kcat : 13.7</v>
      </c>
      <c r="F141" s="49" t="str">
        <f t="shared" si="2"/>
        <v>E2_7_1_5_km : 1</v>
      </c>
      <c r="G141" s="9" t="str">
        <f t="shared" ref="G141:H141" si="286">CONCATENATE(C141," : ",C141)</f>
        <v>E2_7_1_5_mRNA : E2_7_1_5_mRNA</v>
      </c>
      <c r="H141" s="50" t="str">
        <f t="shared" si="286"/>
        <v>E2_7_1_5 : E2_7_1_5</v>
      </c>
      <c r="I141" s="51" t="str">
        <f t="shared" ref="I141:J141" si="287">CONCATENATE(C141," : ","0")</f>
        <v>E2_7_1_5_mRNA : 0</v>
      </c>
      <c r="J141" s="52" t="str">
        <f t="shared" si="287"/>
        <v>E2_7_1_5 : 0</v>
      </c>
      <c r="K141" s="53" t="str">
        <f t="shared" si="5"/>
        <v>0.00292 - (0.0093 * E2_7_1_5_mRNA)</v>
      </c>
      <c r="L141" s="54" t="str">
        <f t="shared" si="6"/>
        <v>(0.278 * E2_7_1_5_mRNA) - (0.00000278 * E2_7_1_5)</v>
      </c>
      <c r="M141" s="55" t="str">
        <f t="shared" si="7"/>
        <v>mRNA140: -&gt; E2_7_1_5_mRNA | 0.00292 - (0.0093 * E2_7_1_5_mRNA)</v>
      </c>
      <c r="N141" s="56" t="str">
        <f t="shared" si="8"/>
        <v>Peptide140: E2_7_1_5_mRNA -&gt; E2_7_1_5 | (0.278 * E2_7_1_5_mRNA) - (0.000000278 * E2_7_1_5)</v>
      </c>
    </row>
    <row r="142" spans="1:14" ht="29">
      <c r="A142" s="46">
        <v>141</v>
      </c>
      <c r="B142" s="7" t="s">
        <v>12431</v>
      </c>
      <c r="C142" s="27" t="str">
        <f t="shared" si="0"/>
        <v>E4_1_2_17_mRNA</v>
      </c>
      <c r="D142" s="47" t="str">
        <f t="shared" si="9"/>
        <v>E4_1_2_17</v>
      </c>
      <c r="E142" s="48" t="str">
        <f t="shared" si="1"/>
        <v>E4_1_2_17_kcat : 13.7</v>
      </c>
      <c r="F142" s="49" t="str">
        <f t="shared" si="2"/>
        <v>E4_1_2_17_km : 1</v>
      </c>
      <c r="G142" s="9" t="str">
        <f t="shared" ref="G142:H142" si="288">CONCATENATE(C142," : ",C142)</f>
        <v>E4_1_2_17_mRNA : E4_1_2_17_mRNA</v>
      </c>
      <c r="H142" s="50" t="str">
        <f t="shared" si="288"/>
        <v>E4_1_2_17 : E4_1_2_17</v>
      </c>
      <c r="I142" s="51" t="str">
        <f t="shared" ref="I142:J142" si="289">CONCATENATE(C142," : ","0")</f>
        <v>E4_1_2_17_mRNA : 0</v>
      </c>
      <c r="J142" s="52" t="str">
        <f t="shared" si="289"/>
        <v>E4_1_2_17 : 0</v>
      </c>
      <c r="K142" s="53" t="str">
        <f t="shared" si="5"/>
        <v>0.00292 - (0.0093 * E4_1_2_17_mRNA)</v>
      </c>
      <c r="L142" s="54" t="str">
        <f t="shared" si="6"/>
        <v>(0.278 * E4_1_2_17_mRNA) - (0.00000278 * E4_1_2_17)</v>
      </c>
      <c r="M142" s="55" t="str">
        <f t="shared" si="7"/>
        <v>mRNA141: -&gt; E4_1_2_17_mRNA | 0.00292 - (0.0093 * E4_1_2_17_mRNA)</v>
      </c>
      <c r="N142" s="56" t="str">
        <f t="shared" si="8"/>
        <v>Peptide141: E4_1_2_17_mRNA -&gt; E4_1_2_17 | (0.278 * E4_1_2_17_mRNA) - (0.000000278 * E4_1_2_17)</v>
      </c>
    </row>
    <row r="143" spans="1:14" ht="29">
      <c r="A143" s="46">
        <v>142</v>
      </c>
      <c r="B143" s="7" t="s">
        <v>12432</v>
      </c>
      <c r="C143" s="27" t="str">
        <f t="shared" si="0"/>
        <v>E5_3_1_25_mRNA</v>
      </c>
      <c r="D143" s="47" t="str">
        <f t="shared" si="9"/>
        <v>E5_3_1_25</v>
      </c>
      <c r="E143" s="48" t="str">
        <f t="shared" si="1"/>
        <v>E5_3_1_25_kcat : 13.7</v>
      </c>
      <c r="F143" s="49" t="str">
        <f t="shared" si="2"/>
        <v>E5_3_1_25_km : 1</v>
      </c>
      <c r="G143" s="9" t="str">
        <f t="shared" ref="G143:H143" si="290">CONCATENATE(C143," : ",C143)</f>
        <v>E5_3_1_25_mRNA : E5_3_1_25_mRNA</v>
      </c>
      <c r="H143" s="50" t="str">
        <f t="shared" si="290"/>
        <v>E5_3_1_25 : E5_3_1_25</v>
      </c>
      <c r="I143" s="51" t="str">
        <f t="shared" ref="I143:J143" si="291">CONCATENATE(C143," : ","0")</f>
        <v>E5_3_1_25_mRNA : 0</v>
      </c>
      <c r="J143" s="52" t="str">
        <f t="shared" si="291"/>
        <v>E5_3_1_25 : 0</v>
      </c>
      <c r="K143" s="53" t="str">
        <f t="shared" si="5"/>
        <v>0.00292 - (0.0093 * E5_3_1_25_mRNA)</v>
      </c>
      <c r="L143" s="54" t="str">
        <f t="shared" si="6"/>
        <v>(0.278 * E5_3_1_25_mRNA) - (0.00000278 * E5_3_1_25)</v>
      </c>
      <c r="M143" s="55" t="str">
        <f t="shared" si="7"/>
        <v>mRNA142: -&gt; E5_3_1_25_mRNA | 0.00292 - (0.0093 * E5_3_1_25_mRNA)</v>
      </c>
      <c r="N143" s="56" t="str">
        <f t="shared" si="8"/>
        <v>Peptide142: E5_3_1_25_mRNA -&gt; E5_3_1_25 | (0.278 * E5_3_1_25_mRNA) - (0.000000278 * E5_3_1_25)</v>
      </c>
    </row>
    <row r="144" spans="1:14" ht="29">
      <c r="A144" s="46">
        <v>143</v>
      </c>
      <c r="B144" s="7" t="s">
        <v>12433</v>
      </c>
      <c r="C144" s="27" t="str">
        <f t="shared" si="0"/>
        <v>E2_7_2_1_mRNA</v>
      </c>
      <c r="D144" s="47" t="str">
        <f t="shared" si="9"/>
        <v>E2_7_2_1</v>
      </c>
      <c r="E144" s="48" t="str">
        <f t="shared" si="1"/>
        <v>E2_7_2_1_kcat : 13.7</v>
      </c>
      <c r="F144" s="49" t="str">
        <f t="shared" si="2"/>
        <v>E2_7_2_1_km : 1</v>
      </c>
      <c r="G144" s="9" t="str">
        <f t="shared" ref="G144:H144" si="292">CONCATENATE(C144," : ",C144)</f>
        <v>E2_7_2_1_mRNA : E2_7_2_1_mRNA</v>
      </c>
      <c r="H144" s="50" t="str">
        <f t="shared" si="292"/>
        <v>E2_7_2_1 : E2_7_2_1</v>
      </c>
      <c r="I144" s="51" t="str">
        <f t="shared" ref="I144:J144" si="293">CONCATENATE(C144," : ","0")</f>
        <v>E2_7_2_1_mRNA : 0</v>
      </c>
      <c r="J144" s="52" t="str">
        <f t="shared" si="293"/>
        <v>E2_7_2_1 : 0</v>
      </c>
      <c r="K144" s="53" t="str">
        <f t="shared" si="5"/>
        <v>0.00292 - (0.0093 * E2_7_2_1_mRNA)</v>
      </c>
      <c r="L144" s="54" t="str">
        <f t="shared" si="6"/>
        <v>(0.278 * E2_7_2_1_mRNA) - (0.00000278 * E2_7_2_1)</v>
      </c>
      <c r="M144" s="55" t="str">
        <f t="shared" si="7"/>
        <v>mRNA143: -&gt; E2_7_2_1_mRNA | 0.00292 - (0.0093 * E2_7_2_1_mRNA)</v>
      </c>
      <c r="N144" s="56" t="str">
        <f t="shared" si="8"/>
        <v>Peptide143: E2_7_2_1_mRNA -&gt; E2_7_2_1 | (0.278 * E2_7_2_1_mRNA) - (0.000000278 * E2_7_2_1)</v>
      </c>
    </row>
    <row r="145" spans="1:14" ht="29">
      <c r="A145" s="46">
        <v>144</v>
      </c>
      <c r="B145" s="7" t="s">
        <v>12434</v>
      </c>
      <c r="C145" s="27" t="str">
        <f t="shared" si="0"/>
        <v>E3_1_26_5_mRNA</v>
      </c>
      <c r="D145" s="47" t="str">
        <f t="shared" si="9"/>
        <v>E3_1_26_5</v>
      </c>
      <c r="E145" s="48" t="str">
        <f t="shared" si="1"/>
        <v>E3_1_26_5_kcat : 13.7</v>
      </c>
      <c r="F145" s="49" t="str">
        <f t="shared" si="2"/>
        <v>E3_1_26_5_km : 1</v>
      </c>
      <c r="G145" s="9" t="str">
        <f t="shared" ref="G145:H145" si="294">CONCATENATE(C145," : ",C145)</f>
        <v>E3_1_26_5_mRNA : E3_1_26_5_mRNA</v>
      </c>
      <c r="H145" s="50" t="str">
        <f t="shared" si="294"/>
        <v>E3_1_26_5 : E3_1_26_5</v>
      </c>
      <c r="I145" s="51" t="str">
        <f t="shared" ref="I145:J145" si="295">CONCATENATE(C145," : ","0")</f>
        <v>E3_1_26_5_mRNA : 0</v>
      </c>
      <c r="J145" s="52" t="str">
        <f t="shared" si="295"/>
        <v>E3_1_26_5 : 0</v>
      </c>
      <c r="K145" s="53" t="str">
        <f t="shared" si="5"/>
        <v>0.00292 - (0.0093 * E3_1_26_5_mRNA)</v>
      </c>
      <c r="L145" s="54" t="str">
        <f t="shared" si="6"/>
        <v>(0.278 * E3_1_26_5_mRNA) - (0.00000278 * E3_1_26_5)</v>
      </c>
      <c r="M145" s="55" t="str">
        <f t="shared" si="7"/>
        <v>mRNA144: -&gt; E3_1_26_5_mRNA | 0.00292 - (0.0093 * E3_1_26_5_mRNA)</v>
      </c>
      <c r="N145" s="56" t="str">
        <f t="shared" si="8"/>
        <v>Peptide144: E3_1_26_5_mRNA -&gt; E3_1_26_5 | (0.278 * E3_1_26_5_mRNA) - (0.000000278 * E3_1_26_5)</v>
      </c>
    </row>
    <row r="146" spans="1:14" ht="29">
      <c r="A146" s="46">
        <v>145</v>
      </c>
      <c r="B146" s="7" t="s">
        <v>12435</v>
      </c>
      <c r="C146" s="27" t="str">
        <f t="shared" si="0"/>
        <v>E4_1_1_85_mRNA</v>
      </c>
      <c r="D146" s="47" t="str">
        <f t="shared" si="9"/>
        <v>E4_1_1_85</v>
      </c>
      <c r="E146" s="48" t="str">
        <f t="shared" si="1"/>
        <v>E4_1_1_85_kcat : 13.7</v>
      </c>
      <c r="F146" s="49" t="str">
        <f t="shared" si="2"/>
        <v>E4_1_1_85_km : 1</v>
      </c>
      <c r="G146" s="9" t="str">
        <f t="shared" ref="G146:H146" si="296">CONCATENATE(C146," : ",C146)</f>
        <v>E4_1_1_85_mRNA : E4_1_1_85_mRNA</v>
      </c>
      <c r="H146" s="50" t="str">
        <f t="shared" si="296"/>
        <v>E4_1_1_85 : E4_1_1_85</v>
      </c>
      <c r="I146" s="51" t="str">
        <f t="shared" ref="I146:J146" si="297">CONCATENATE(C146," : ","0")</f>
        <v>E4_1_1_85_mRNA : 0</v>
      </c>
      <c r="J146" s="52" t="str">
        <f t="shared" si="297"/>
        <v>E4_1_1_85 : 0</v>
      </c>
      <c r="K146" s="53" t="str">
        <f t="shared" si="5"/>
        <v>0.00292 - (0.0093 * E4_1_1_85_mRNA)</v>
      </c>
      <c r="L146" s="54" t="str">
        <f t="shared" si="6"/>
        <v>(0.278 * E4_1_1_85_mRNA) - (0.00000278 * E4_1_1_85)</v>
      </c>
      <c r="M146" s="55" t="str">
        <f t="shared" si="7"/>
        <v>mRNA145: -&gt; E4_1_1_85_mRNA | 0.00292 - (0.0093 * E4_1_1_85_mRNA)</v>
      </c>
      <c r="N146" s="56" t="str">
        <f t="shared" si="8"/>
        <v>Peptide145: E4_1_1_85_mRNA -&gt; E4_1_1_85 | (0.278 * E4_1_1_85_mRNA) - (0.000000278 * E4_1_1_85)</v>
      </c>
    </row>
    <row r="147" spans="1:14" ht="29">
      <c r="A147" s="46">
        <v>146</v>
      </c>
      <c r="B147" s="7" t="s">
        <v>12436</v>
      </c>
      <c r="C147" s="27" t="str">
        <f t="shared" si="0"/>
        <v>E5_1_3_22_mRNA</v>
      </c>
      <c r="D147" s="47" t="str">
        <f t="shared" si="9"/>
        <v>E5_1_3_22</v>
      </c>
      <c r="E147" s="48" t="str">
        <f t="shared" si="1"/>
        <v>E5_1_3_22_kcat : 13.7</v>
      </c>
      <c r="F147" s="49" t="str">
        <f t="shared" si="2"/>
        <v>E5_1_3_22_km : 1</v>
      </c>
      <c r="G147" s="9" t="str">
        <f t="shared" ref="G147:H147" si="298">CONCATENATE(C147," : ",C147)</f>
        <v>E5_1_3_22_mRNA : E5_1_3_22_mRNA</v>
      </c>
      <c r="H147" s="50" t="str">
        <f t="shared" si="298"/>
        <v>E5_1_3_22 : E5_1_3_22</v>
      </c>
      <c r="I147" s="51" t="str">
        <f t="shared" ref="I147:J147" si="299">CONCATENATE(C147," : ","0")</f>
        <v>E5_1_3_22_mRNA : 0</v>
      </c>
      <c r="J147" s="52" t="str">
        <f t="shared" si="299"/>
        <v>E5_1_3_22 : 0</v>
      </c>
      <c r="K147" s="53" t="str">
        <f t="shared" si="5"/>
        <v>0.00292 - (0.0093 * E5_1_3_22_mRNA)</v>
      </c>
      <c r="L147" s="54" t="str">
        <f t="shared" si="6"/>
        <v>(0.278 * E5_1_3_22_mRNA) - (0.00000278 * E5_1_3_22)</v>
      </c>
      <c r="M147" s="55" t="str">
        <f t="shared" si="7"/>
        <v>mRNA146: -&gt; E5_1_3_22_mRNA | 0.00292 - (0.0093 * E5_1_3_22_mRNA)</v>
      </c>
      <c r="N147" s="56" t="str">
        <f t="shared" si="8"/>
        <v>Peptide146: E5_1_3_22_mRNA -&gt; E5_1_3_22 | (0.278 * E5_1_3_22_mRNA) - (0.000000278 * E5_1_3_22)</v>
      </c>
    </row>
    <row r="148" spans="1:14" ht="29">
      <c r="A148" s="46">
        <v>147</v>
      </c>
      <c r="B148" s="7" t="s">
        <v>12437</v>
      </c>
      <c r="C148" s="27" t="str">
        <f t="shared" si="0"/>
        <v>E5_1_3_4_mRNA</v>
      </c>
      <c r="D148" s="47" t="str">
        <f t="shared" si="9"/>
        <v>E5_1_3_4</v>
      </c>
      <c r="E148" s="48" t="str">
        <f t="shared" si="1"/>
        <v>E5_1_3_4_kcat : 13.7</v>
      </c>
      <c r="F148" s="49" t="str">
        <f t="shared" si="2"/>
        <v>E5_1_3_4_km : 1</v>
      </c>
      <c r="G148" s="9" t="str">
        <f t="shared" ref="G148:H148" si="300">CONCATENATE(C148," : ",C148)</f>
        <v>E5_1_3_4_mRNA : E5_1_3_4_mRNA</v>
      </c>
      <c r="H148" s="50" t="str">
        <f t="shared" si="300"/>
        <v>E5_1_3_4 : E5_1_3_4</v>
      </c>
      <c r="I148" s="51" t="str">
        <f t="shared" ref="I148:J148" si="301">CONCATENATE(C148," : ","0")</f>
        <v>E5_1_3_4_mRNA : 0</v>
      </c>
      <c r="J148" s="52" t="str">
        <f t="shared" si="301"/>
        <v>E5_1_3_4 : 0</v>
      </c>
      <c r="K148" s="53" t="str">
        <f t="shared" si="5"/>
        <v>0.00292 - (0.0093 * E5_1_3_4_mRNA)</v>
      </c>
      <c r="L148" s="54" t="str">
        <f t="shared" si="6"/>
        <v>(0.278 * E5_1_3_4_mRNA) - (0.00000278 * E5_1_3_4)</v>
      </c>
      <c r="M148" s="55" t="str">
        <f t="shared" si="7"/>
        <v>mRNA147: -&gt; E5_1_3_4_mRNA | 0.00292 - (0.0093 * E5_1_3_4_mRNA)</v>
      </c>
      <c r="N148" s="56" t="str">
        <f t="shared" si="8"/>
        <v>Peptide147: E5_1_3_4_mRNA -&gt; E5_1_3_4 | (0.278 * E5_1_3_4_mRNA) - (0.000000278 * E5_1_3_4)</v>
      </c>
    </row>
    <row r="149" spans="1:14" ht="29">
      <c r="A149" s="46">
        <v>148</v>
      </c>
      <c r="B149" s="7" t="s">
        <v>12438</v>
      </c>
      <c r="C149" s="27" t="str">
        <f t="shared" si="0"/>
        <v>E2_7_1_6_mRNA</v>
      </c>
      <c r="D149" s="47" t="str">
        <f t="shared" si="9"/>
        <v>E2_7_1_6</v>
      </c>
      <c r="E149" s="48" t="str">
        <f t="shared" si="1"/>
        <v>E2_7_1_6_kcat : 13.7</v>
      </c>
      <c r="F149" s="49" t="str">
        <f t="shared" si="2"/>
        <v>E2_7_1_6_km : 1</v>
      </c>
      <c r="G149" s="9" t="str">
        <f t="shared" ref="G149:H149" si="302">CONCATENATE(C149," : ",C149)</f>
        <v>E2_7_1_6_mRNA : E2_7_1_6_mRNA</v>
      </c>
      <c r="H149" s="50" t="str">
        <f t="shared" si="302"/>
        <v>E2_7_1_6 : E2_7_1_6</v>
      </c>
      <c r="I149" s="51" t="str">
        <f t="shared" ref="I149:J149" si="303">CONCATENATE(C149," : ","0")</f>
        <v>E2_7_1_6_mRNA : 0</v>
      </c>
      <c r="J149" s="52" t="str">
        <f t="shared" si="303"/>
        <v>E2_7_1_6 : 0</v>
      </c>
      <c r="K149" s="53" t="str">
        <f t="shared" si="5"/>
        <v>0.00292 - (0.0093 * E2_7_1_6_mRNA)</v>
      </c>
      <c r="L149" s="54" t="str">
        <f t="shared" si="6"/>
        <v>(0.278 * E2_7_1_6_mRNA) - (0.00000278 * E2_7_1_6)</v>
      </c>
      <c r="M149" s="55" t="str">
        <f t="shared" si="7"/>
        <v>mRNA148: -&gt; E2_7_1_6_mRNA | 0.00292 - (0.0093 * E2_7_1_6_mRNA)</v>
      </c>
      <c r="N149" s="56" t="str">
        <f t="shared" si="8"/>
        <v>Peptide148: E2_7_1_6_mRNA -&gt; E2_7_1_6 | (0.278 * E2_7_1_6_mRNA) - (0.000000278 * E2_7_1_6)</v>
      </c>
    </row>
    <row r="150" spans="1:14" ht="29">
      <c r="A150" s="46">
        <v>149</v>
      </c>
      <c r="B150" s="7" t="s">
        <v>12439</v>
      </c>
      <c r="C150" s="27" t="str">
        <f t="shared" si="0"/>
        <v>E2_7_7_10_mRNA</v>
      </c>
      <c r="D150" s="47" t="str">
        <f t="shared" si="9"/>
        <v>E2_7_7_10</v>
      </c>
      <c r="E150" s="48" t="str">
        <f t="shared" si="1"/>
        <v>E2_7_7_10_kcat : 13.7</v>
      </c>
      <c r="F150" s="49" t="str">
        <f t="shared" si="2"/>
        <v>E2_7_7_10_km : 1</v>
      </c>
      <c r="G150" s="9" t="str">
        <f t="shared" ref="G150:H150" si="304">CONCATENATE(C150," : ",C150)</f>
        <v>E2_7_7_10_mRNA : E2_7_7_10_mRNA</v>
      </c>
      <c r="H150" s="50" t="str">
        <f t="shared" si="304"/>
        <v>E2_7_7_10 : E2_7_7_10</v>
      </c>
      <c r="I150" s="51" t="str">
        <f t="shared" ref="I150:J150" si="305">CONCATENATE(C150," : ","0")</f>
        <v>E2_7_7_10_mRNA : 0</v>
      </c>
      <c r="J150" s="52" t="str">
        <f t="shared" si="305"/>
        <v>E2_7_7_10 : 0</v>
      </c>
      <c r="K150" s="53" t="str">
        <f t="shared" si="5"/>
        <v>0.00292 - (0.0093 * E2_7_7_10_mRNA)</v>
      </c>
      <c r="L150" s="54" t="str">
        <f t="shared" si="6"/>
        <v>(0.278 * E2_7_7_10_mRNA) - (0.00000278 * E2_7_7_10)</v>
      </c>
      <c r="M150" s="55" t="str">
        <f t="shared" si="7"/>
        <v>mRNA149: -&gt; E2_7_7_10_mRNA | 0.00292 - (0.0093 * E2_7_7_10_mRNA)</v>
      </c>
      <c r="N150" s="56" t="str">
        <f t="shared" si="8"/>
        <v>Peptide149: E2_7_7_10_mRNA -&gt; E2_7_7_10 | (0.278 * E2_7_7_10_mRNA) - (0.000000278 * E2_7_7_10)</v>
      </c>
    </row>
    <row r="151" spans="1:14" ht="29">
      <c r="A151" s="46">
        <v>150</v>
      </c>
      <c r="B151" s="7" t="s">
        <v>12440</v>
      </c>
      <c r="C151" s="27" t="str">
        <f t="shared" si="0"/>
        <v>E2_1_1_72_mRNA</v>
      </c>
      <c r="D151" s="47" t="str">
        <f t="shared" si="9"/>
        <v>E2_1_1_72</v>
      </c>
      <c r="E151" s="48" t="str">
        <f t="shared" si="1"/>
        <v>E2_1_1_72_kcat : 13.7</v>
      </c>
      <c r="F151" s="49" t="str">
        <f t="shared" si="2"/>
        <v>E2_1_1_72_km : 1</v>
      </c>
      <c r="G151" s="9" t="str">
        <f t="shared" ref="G151:H151" si="306">CONCATENATE(C151," : ",C151)</f>
        <v>E2_1_1_72_mRNA : E2_1_1_72_mRNA</v>
      </c>
      <c r="H151" s="50" t="str">
        <f t="shared" si="306"/>
        <v>E2_1_1_72 : E2_1_1_72</v>
      </c>
      <c r="I151" s="51" t="str">
        <f t="shared" ref="I151:J151" si="307">CONCATENATE(C151," : ","0")</f>
        <v>E2_1_1_72_mRNA : 0</v>
      </c>
      <c r="J151" s="52" t="str">
        <f t="shared" si="307"/>
        <v>E2_1_1_72 : 0</v>
      </c>
      <c r="K151" s="53" t="str">
        <f t="shared" si="5"/>
        <v>0.00292 - (0.0093 * E2_1_1_72_mRNA)</v>
      </c>
      <c r="L151" s="54" t="str">
        <f t="shared" si="6"/>
        <v>(0.278 * E2_1_1_72_mRNA) - (0.00000278 * E2_1_1_72)</v>
      </c>
      <c r="M151" s="55" t="str">
        <f t="shared" si="7"/>
        <v>mRNA150: -&gt; E2_1_1_72_mRNA | 0.00292 - (0.0093 * E2_1_1_72_mRNA)</v>
      </c>
      <c r="N151" s="56" t="str">
        <f t="shared" si="8"/>
        <v>Peptide150: E2_1_1_72_mRNA -&gt; E2_1_1_72 | (0.278 * E2_1_1_72_mRNA) - (0.000000278 * E2_1_1_72)</v>
      </c>
    </row>
    <row r="152" spans="1:14" ht="29">
      <c r="A152" s="46">
        <v>151</v>
      </c>
      <c r="B152" s="7" t="s">
        <v>12441</v>
      </c>
      <c r="C152" s="27" t="str">
        <f t="shared" si="0"/>
        <v>E4_1_1_20_mRNA</v>
      </c>
      <c r="D152" s="47" t="str">
        <f t="shared" si="9"/>
        <v>E4_1_1_20</v>
      </c>
      <c r="E152" s="48" t="str">
        <f t="shared" si="1"/>
        <v>E4_1_1_20_kcat : 13.7</v>
      </c>
      <c r="F152" s="49" t="str">
        <f t="shared" si="2"/>
        <v>E4_1_1_20_km : 1</v>
      </c>
      <c r="G152" s="9" t="str">
        <f t="shared" ref="G152:H152" si="308">CONCATENATE(C152," : ",C152)</f>
        <v>E4_1_1_20_mRNA : E4_1_1_20_mRNA</v>
      </c>
      <c r="H152" s="50" t="str">
        <f t="shared" si="308"/>
        <v>E4_1_1_20 : E4_1_1_20</v>
      </c>
      <c r="I152" s="51" t="str">
        <f t="shared" ref="I152:J152" si="309">CONCATENATE(C152," : ","0")</f>
        <v>E4_1_1_20_mRNA : 0</v>
      </c>
      <c r="J152" s="52" t="str">
        <f t="shared" si="309"/>
        <v>E4_1_1_20 : 0</v>
      </c>
      <c r="K152" s="53" t="str">
        <f t="shared" si="5"/>
        <v>0.00292 - (0.0093 * E4_1_1_20_mRNA)</v>
      </c>
      <c r="L152" s="54" t="str">
        <f t="shared" si="6"/>
        <v>(0.278 * E4_1_1_20_mRNA) - (0.00000278 * E4_1_1_20)</v>
      </c>
      <c r="M152" s="55" t="str">
        <f t="shared" si="7"/>
        <v>mRNA151: -&gt; E4_1_1_20_mRNA | 0.00292 - (0.0093 * E4_1_1_20_mRNA)</v>
      </c>
      <c r="N152" s="56" t="str">
        <f t="shared" si="8"/>
        <v>Peptide151: E4_1_1_20_mRNA -&gt; E4_1_1_20 | (0.278 * E4_1_1_20_mRNA) - (0.000000278 * E4_1_1_20)</v>
      </c>
    </row>
    <row r="153" spans="1:14" ht="29">
      <c r="A153" s="46">
        <v>152</v>
      </c>
      <c r="B153" s="7" t="s">
        <v>12442</v>
      </c>
      <c r="C153" s="27" t="str">
        <f t="shared" si="0"/>
        <v>E3_6_1_19_mRNA</v>
      </c>
      <c r="D153" s="47" t="str">
        <f t="shared" si="9"/>
        <v>E3_6_1_19</v>
      </c>
      <c r="E153" s="48" t="str">
        <f t="shared" si="1"/>
        <v>E3_6_1_19_kcat : 13.7</v>
      </c>
      <c r="F153" s="49" t="str">
        <f t="shared" si="2"/>
        <v>E3_6_1_19_km : 1</v>
      </c>
      <c r="G153" s="9" t="str">
        <f t="shared" ref="G153:H153" si="310">CONCATENATE(C153," : ",C153)</f>
        <v>E3_6_1_19_mRNA : E3_6_1_19_mRNA</v>
      </c>
      <c r="H153" s="50" t="str">
        <f t="shared" si="310"/>
        <v>E3_6_1_19 : E3_6_1_19</v>
      </c>
      <c r="I153" s="51" t="str">
        <f t="shared" ref="I153:J153" si="311">CONCATENATE(C153," : ","0")</f>
        <v>E3_6_1_19_mRNA : 0</v>
      </c>
      <c r="J153" s="52" t="str">
        <f t="shared" si="311"/>
        <v>E3_6_1_19 : 0</v>
      </c>
      <c r="K153" s="53" t="str">
        <f t="shared" si="5"/>
        <v>0.00292 - (0.0093 * E3_6_1_19_mRNA)</v>
      </c>
      <c r="L153" s="54" t="str">
        <f t="shared" si="6"/>
        <v>(0.278 * E3_6_1_19_mRNA) - (0.00000278 * E3_6_1_19)</v>
      </c>
      <c r="M153" s="55" t="str">
        <f t="shared" si="7"/>
        <v>mRNA152: -&gt; E3_6_1_19_mRNA | 0.00292 - (0.0093 * E3_6_1_19_mRNA)</v>
      </c>
      <c r="N153" s="56" t="str">
        <f t="shared" si="8"/>
        <v>Peptide152: E3_6_1_19_mRNA -&gt; E3_6_1_19 | (0.278 * E3_6_1_19_mRNA) - (0.000000278 * E3_6_1_19)</v>
      </c>
    </row>
    <row r="154" spans="1:14" ht="29">
      <c r="A154" s="46">
        <v>153</v>
      </c>
      <c r="B154" s="7" t="s">
        <v>12443</v>
      </c>
      <c r="C154" s="27" t="str">
        <f t="shared" si="0"/>
        <v>E5_4_99_22_mRNA</v>
      </c>
      <c r="D154" s="47" t="str">
        <f t="shared" si="9"/>
        <v>E5_4_99_22</v>
      </c>
      <c r="E154" s="48" t="str">
        <f t="shared" si="1"/>
        <v>E5_4_99_22_kcat : 13.7</v>
      </c>
      <c r="F154" s="49" t="str">
        <f t="shared" si="2"/>
        <v>E5_4_99_22_km : 1</v>
      </c>
      <c r="G154" s="9" t="str">
        <f t="shared" ref="G154:H154" si="312">CONCATENATE(C154," : ",C154)</f>
        <v>E5_4_99_22_mRNA : E5_4_99_22_mRNA</v>
      </c>
      <c r="H154" s="50" t="str">
        <f t="shared" si="312"/>
        <v>E5_4_99_22 : E5_4_99_22</v>
      </c>
      <c r="I154" s="51" t="str">
        <f t="shared" ref="I154:J154" si="313">CONCATENATE(C154," : ","0")</f>
        <v>E5_4_99_22_mRNA : 0</v>
      </c>
      <c r="J154" s="52" t="str">
        <f t="shared" si="313"/>
        <v>E5_4_99_22 : 0</v>
      </c>
      <c r="K154" s="53" t="str">
        <f t="shared" si="5"/>
        <v>0.00292 - (0.0093 * E5_4_99_22_mRNA)</v>
      </c>
      <c r="L154" s="54" t="str">
        <f t="shared" si="6"/>
        <v>(0.278 * E5_4_99_22_mRNA) - (0.00000278 * E5_4_99_22)</v>
      </c>
      <c r="M154" s="55" t="str">
        <f t="shared" si="7"/>
        <v>mRNA153: -&gt; E5_4_99_22_mRNA | 0.00292 - (0.0093 * E5_4_99_22_mRNA)</v>
      </c>
      <c r="N154" s="56" t="str">
        <f t="shared" si="8"/>
        <v>Peptide153: E5_4_99_22_mRNA -&gt; E5_4_99_22 | (0.278 * E5_4_99_22_mRNA) - (0.000000278 * E5_4_99_22)</v>
      </c>
    </row>
    <row r="155" spans="1:14" ht="29">
      <c r="A155" s="46">
        <v>154</v>
      </c>
      <c r="B155" s="7" t="s">
        <v>12444</v>
      </c>
      <c r="C155" s="27" t="str">
        <f t="shared" si="0"/>
        <v>E3_6_3_34_mRNA</v>
      </c>
      <c r="D155" s="47" t="str">
        <f t="shared" si="9"/>
        <v>E3_6_3_34</v>
      </c>
      <c r="E155" s="48" t="str">
        <f t="shared" si="1"/>
        <v>E3_6_3_34_kcat : 13.7</v>
      </c>
      <c r="F155" s="49" t="str">
        <f t="shared" si="2"/>
        <v>E3_6_3_34_km : 1</v>
      </c>
      <c r="G155" s="9" t="str">
        <f t="shared" ref="G155:H155" si="314">CONCATENATE(C155," : ",C155)</f>
        <v>E3_6_3_34_mRNA : E3_6_3_34_mRNA</v>
      </c>
      <c r="H155" s="50" t="str">
        <f t="shared" si="314"/>
        <v>E3_6_3_34 : E3_6_3_34</v>
      </c>
      <c r="I155" s="51" t="str">
        <f t="shared" ref="I155:J155" si="315">CONCATENATE(C155," : ","0")</f>
        <v>E3_6_3_34_mRNA : 0</v>
      </c>
      <c r="J155" s="52" t="str">
        <f t="shared" si="315"/>
        <v>E3_6_3_34 : 0</v>
      </c>
      <c r="K155" s="53" t="str">
        <f t="shared" si="5"/>
        <v>0.00292 - (0.0093 * E3_6_3_34_mRNA)</v>
      </c>
      <c r="L155" s="54" t="str">
        <f t="shared" si="6"/>
        <v>(0.278 * E3_6_3_34_mRNA) - (0.00000278 * E3_6_3_34)</v>
      </c>
      <c r="M155" s="55" t="str">
        <f t="shared" si="7"/>
        <v>mRNA154: -&gt; E3_6_3_34_mRNA | 0.00292 - (0.0093 * E3_6_3_34_mRNA)</v>
      </c>
      <c r="N155" s="56" t="str">
        <f t="shared" si="8"/>
        <v>Peptide154: E3_6_3_34_mRNA -&gt; E3_6_3_34 | (0.278 * E3_6_3_34_mRNA) - (0.000000278 * E3_6_3_34)</v>
      </c>
    </row>
    <row r="156" spans="1:14" ht="29">
      <c r="A156" s="46">
        <v>155</v>
      </c>
      <c r="B156" s="7" t="s">
        <v>12445</v>
      </c>
      <c r="C156" s="27" t="str">
        <f t="shared" si="0"/>
        <v>E5_1_3_9_mRNA</v>
      </c>
      <c r="D156" s="47" t="str">
        <f t="shared" si="9"/>
        <v>E5_1_3_9</v>
      </c>
      <c r="E156" s="48" t="str">
        <f t="shared" si="1"/>
        <v>E5_1_3_9_kcat : 13.7</v>
      </c>
      <c r="F156" s="49" t="str">
        <f t="shared" si="2"/>
        <v>E5_1_3_9_km : 1</v>
      </c>
      <c r="G156" s="9" t="str">
        <f t="shared" ref="G156:H156" si="316">CONCATENATE(C156," : ",C156)</f>
        <v>E5_1_3_9_mRNA : E5_1_3_9_mRNA</v>
      </c>
      <c r="H156" s="50" t="str">
        <f t="shared" si="316"/>
        <v>E5_1_3_9 : E5_1_3_9</v>
      </c>
      <c r="I156" s="51" t="str">
        <f t="shared" ref="I156:J156" si="317">CONCATENATE(C156," : ","0")</f>
        <v>E5_1_3_9_mRNA : 0</v>
      </c>
      <c r="J156" s="52" t="str">
        <f t="shared" si="317"/>
        <v>E5_1_3_9 : 0</v>
      </c>
      <c r="K156" s="53" t="str">
        <f t="shared" si="5"/>
        <v>0.00292 - (0.0093 * E5_1_3_9_mRNA)</v>
      </c>
      <c r="L156" s="54" t="str">
        <f t="shared" si="6"/>
        <v>(0.278 * E5_1_3_9_mRNA) - (0.00000278 * E5_1_3_9)</v>
      </c>
      <c r="M156" s="55" t="str">
        <f t="shared" si="7"/>
        <v>mRNA155: -&gt; E5_1_3_9_mRNA | 0.00292 - (0.0093 * E5_1_3_9_mRNA)</v>
      </c>
      <c r="N156" s="56" t="str">
        <f t="shared" si="8"/>
        <v>Peptide155: E5_1_3_9_mRNA -&gt; E5_1_3_9 | (0.278 * E5_1_3_9_mRNA) - (0.000000278 * E5_1_3_9)</v>
      </c>
    </row>
    <row r="157" spans="1:14" ht="29">
      <c r="A157" s="46">
        <v>156</v>
      </c>
      <c r="B157" s="7" t="s">
        <v>12446</v>
      </c>
      <c r="C157" s="27" t="str">
        <f t="shared" si="0"/>
        <v>E4_1_3_3_mRNA</v>
      </c>
      <c r="D157" s="47" t="str">
        <f t="shared" si="9"/>
        <v>E4_1_3_3</v>
      </c>
      <c r="E157" s="48" t="str">
        <f t="shared" si="1"/>
        <v>E4_1_3_3_kcat : 13.7</v>
      </c>
      <c r="F157" s="49" t="str">
        <f t="shared" si="2"/>
        <v>E4_1_3_3_km : 1</v>
      </c>
      <c r="G157" s="9" t="str">
        <f t="shared" ref="G157:H157" si="318">CONCATENATE(C157," : ",C157)</f>
        <v>E4_1_3_3_mRNA : E4_1_3_3_mRNA</v>
      </c>
      <c r="H157" s="50" t="str">
        <f t="shared" si="318"/>
        <v>E4_1_3_3 : E4_1_3_3</v>
      </c>
      <c r="I157" s="51" t="str">
        <f t="shared" ref="I157:J157" si="319">CONCATENATE(C157," : ","0")</f>
        <v>E4_1_3_3_mRNA : 0</v>
      </c>
      <c r="J157" s="52" t="str">
        <f t="shared" si="319"/>
        <v>E4_1_3_3 : 0</v>
      </c>
      <c r="K157" s="53" t="str">
        <f t="shared" si="5"/>
        <v>0.00292 - (0.0093 * E4_1_3_3_mRNA)</v>
      </c>
      <c r="L157" s="54" t="str">
        <f t="shared" si="6"/>
        <v>(0.278 * E4_1_3_3_mRNA) - (0.00000278 * E4_1_3_3)</v>
      </c>
      <c r="M157" s="55" t="str">
        <f t="shared" si="7"/>
        <v>mRNA156: -&gt; E4_1_3_3_mRNA | 0.00292 - (0.0093 * E4_1_3_3_mRNA)</v>
      </c>
      <c r="N157" s="56" t="str">
        <f t="shared" si="8"/>
        <v>Peptide156: E4_1_3_3_mRNA -&gt; E4_1_3_3 | (0.278 * E4_1_3_3_mRNA) - (0.000000278 * E4_1_3_3)</v>
      </c>
    </row>
    <row r="158" spans="1:14" ht="29">
      <c r="A158" s="46">
        <v>157</v>
      </c>
      <c r="B158" s="7" t="s">
        <v>12447</v>
      </c>
      <c r="C158" s="27" t="str">
        <f t="shared" si="0"/>
        <v>E2_7_1_71_mRNA</v>
      </c>
      <c r="D158" s="47" t="str">
        <f t="shared" si="9"/>
        <v>E2_7_1_71</v>
      </c>
      <c r="E158" s="48" t="str">
        <f t="shared" si="1"/>
        <v>E2_7_1_71_kcat : 13.7</v>
      </c>
      <c r="F158" s="49" t="str">
        <f t="shared" si="2"/>
        <v>E2_7_1_71_km : 1</v>
      </c>
      <c r="G158" s="9" t="str">
        <f t="shared" ref="G158:H158" si="320">CONCATENATE(C158," : ",C158)</f>
        <v>E2_7_1_71_mRNA : E2_7_1_71_mRNA</v>
      </c>
      <c r="H158" s="50" t="str">
        <f t="shared" si="320"/>
        <v>E2_7_1_71 : E2_7_1_71</v>
      </c>
      <c r="I158" s="51" t="str">
        <f t="shared" ref="I158:J158" si="321">CONCATENATE(C158," : ","0")</f>
        <v>E2_7_1_71_mRNA : 0</v>
      </c>
      <c r="J158" s="52" t="str">
        <f t="shared" si="321"/>
        <v>E2_7_1_71 : 0</v>
      </c>
      <c r="K158" s="53" t="str">
        <f t="shared" si="5"/>
        <v>0.00292 - (0.0093 * E2_7_1_71_mRNA)</v>
      </c>
      <c r="L158" s="54" t="str">
        <f t="shared" si="6"/>
        <v>(0.278 * E2_7_1_71_mRNA) - (0.00000278 * E2_7_1_71)</v>
      </c>
      <c r="M158" s="55" t="str">
        <f t="shared" si="7"/>
        <v>mRNA157: -&gt; E2_7_1_71_mRNA | 0.00292 - (0.0093 * E2_7_1_71_mRNA)</v>
      </c>
      <c r="N158" s="56" t="str">
        <f t="shared" si="8"/>
        <v>Peptide157: E2_7_1_71_mRNA -&gt; E2_7_1_71 | (0.278 * E2_7_1_71_mRNA) - (0.000000278 * E2_7_1_71)</v>
      </c>
    </row>
    <row r="159" spans="1:14" ht="29">
      <c r="A159" s="46">
        <v>158</v>
      </c>
      <c r="B159" s="7" t="s">
        <v>12448</v>
      </c>
      <c r="C159" s="27" t="str">
        <f t="shared" si="0"/>
        <v>E4_2_1_51_mRNA</v>
      </c>
      <c r="D159" s="47" t="str">
        <f t="shared" si="9"/>
        <v>E4_2_1_51</v>
      </c>
      <c r="E159" s="48" t="str">
        <f t="shared" si="1"/>
        <v>E4_2_1_51_kcat : 13.7</v>
      </c>
      <c r="F159" s="49" t="str">
        <f t="shared" si="2"/>
        <v>E4_2_1_51_km : 1</v>
      </c>
      <c r="G159" s="9" t="str">
        <f t="shared" ref="G159:H159" si="322">CONCATENATE(C159," : ",C159)</f>
        <v>E4_2_1_51_mRNA : E4_2_1_51_mRNA</v>
      </c>
      <c r="H159" s="50" t="str">
        <f t="shared" si="322"/>
        <v>E4_2_1_51 : E4_2_1_51</v>
      </c>
      <c r="I159" s="51" t="str">
        <f t="shared" ref="I159:J159" si="323">CONCATENATE(C159," : ","0")</f>
        <v>E4_2_1_51_mRNA : 0</v>
      </c>
      <c r="J159" s="52" t="str">
        <f t="shared" si="323"/>
        <v>E4_2_1_51 : 0</v>
      </c>
      <c r="K159" s="53" t="str">
        <f t="shared" si="5"/>
        <v>0.00292 - (0.0093 * E4_2_1_51_mRNA)</v>
      </c>
      <c r="L159" s="54" t="str">
        <f t="shared" si="6"/>
        <v>(0.278 * E4_2_1_51_mRNA) - (0.00000278 * E4_2_1_51)</v>
      </c>
      <c r="M159" s="55" t="str">
        <f t="shared" si="7"/>
        <v>mRNA158: -&gt; E4_2_1_51_mRNA | 0.00292 - (0.0093 * E4_2_1_51_mRNA)</v>
      </c>
      <c r="N159" s="56" t="str">
        <f t="shared" si="8"/>
        <v>Peptide158: E4_2_1_51_mRNA -&gt; E4_2_1_51 | (0.278 * E4_2_1_51_mRNA) - (0.000000278 * E4_2_1_51)</v>
      </c>
    </row>
    <row r="160" spans="1:14" ht="29">
      <c r="A160" s="46">
        <v>159</v>
      </c>
      <c r="B160" s="7" t="s">
        <v>12449</v>
      </c>
      <c r="C160" s="27" t="str">
        <f t="shared" si="0"/>
        <v>E2_7_1_39_mRNA</v>
      </c>
      <c r="D160" s="47" t="str">
        <f t="shared" si="9"/>
        <v>E2_7_1_39</v>
      </c>
      <c r="E160" s="48" t="str">
        <f t="shared" si="1"/>
        <v>E2_7_1_39_kcat : 13.7</v>
      </c>
      <c r="F160" s="49" t="str">
        <f t="shared" si="2"/>
        <v>E2_7_1_39_km : 1</v>
      </c>
      <c r="G160" s="9" t="str">
        <f t="shared" ref="G160:H160" si="324">CONCATENATE(C160," : ",C160)</f>
        <v>E2_7_1_39_mRNA : E2_7_1_39_mRNA</v>
      </c>
      <c r="H160" s="50" t="str">
        <f t="shared" si="324"/>
        <v>E2_7_1_39 : E2_7_1_39</v>
      </c>
      <c r="I160" s="51" t="str">
        <f t="shared" ref="I160:J160" si="325">CONCATENATE(C160," : ","0")</f>
        <v>E2_7_1_39_mRNA : 0</v>
      </c>
      <c r="J160" s="52" t="str">
        <f t="shared" si="325"/>
        <v>E2_7_1_39 : 0</v>
      </c>
      <c r="K160" s="53" t="str">
        <f t="shared" si="5"/>
        <v>0.00292 - (0.0093 * E2_7_1_39_mRNA)</v>
      </c>
      <c r="L160" s="54" t="str">
        <f t="shared" si="6"/>
        <v>(0.278 * E2_7_1_39_mRNA) - (0.00000278 * E2_7_1_39)</v>
      </c>
      <c r="M160" s="55" t="str">
        <f t="shared" si="7"/>
        <v>mRNA159: -&gt; E2_7_1_39_mRNA | 0.00292 - (0.0093 * E2_7_1_39_mRNA)</v>
      </c>
      <c r="N160" s="56" t="str">
        <f t="shared" si="8"/>
        <v>Peptide159: E2_7_1_39_mRNA -&gt; E2_7_1_39 | (0.278 * E2_7_1_39_mRNA) - (0.000000278 * E2_7_1_39)</v>
      </c>
    </row>
    <row r="161" spans="1:14" ht="29">
      <c r="A161" s="46">
        <v>160</v>
      </c>
      <c r="B161" s="7" t="s">
        <v>12450</v>
      </c>
      <c r="C161" s="27" t="str">
        <f t="shared" si="0"/>
        <v>E2_7_1_48_mRNA</v>
      </c>
      <c r="D161" s="47" t="str">
        <f t="shared" si="9"/>
        <v>E2_7_1_48</v>
      </c>
      <c r="E161" s="48" t="str">
        <f t="shared" si="1"/>
        <v>E2_7_1_48_kcat : 13.7</v>
      </c>
      <c r="F161" s="49" t="str">
        <f t="shared" si="2"/>
        <v>E2_7_1_48_km : 1</v>
      </c>
      <c r="G161" s="9" t="str">
        <f t="shared" ref="G161:H161" si="326">CONCATENATE(C161," : ",C161)</f>
        <v>E2_7_1_48_mRNA : E2_7_1_48_mRNA</v>
      </c>
      <c r="H161" s="50" t="str">
        <f t="shared" si="326"/>
        <v>E2_7_1_48 : E2_7_1_48</v>
      </c>
      <c r="I161" s="51" t="str">
        <f t="shared" ref="I161:J161" si="327">CONCATENATE(C161," : ","0")</f>
        <v>E2_7_1_48_mRNA : 0</v>
      </c>
      <c r="J161" s="52" t="str">
        <f t="shared" si="327"/>
        <v>E2_7_1_48 : 0</v>
      </c>
      <c r="K161" s="53" t="str">
        <f t="shared" si="5"/>
        <v>0.00292 - (0.0093 * E2_7_1_48_mRNA)</v>
      </c>
      <c r="L161" s="54" t="str">
        <f t="shared" si="6"/>
        <v>(0.278 * E2_7_1_48_mRNA) - (0.00000278 * E2_7_1_48)</v>
      </c>
      <c r="M161" s="55" t="str">
        <f t="shared" si="7"/>
        <v>mRNA160: -&gt; E2_7_1_48_mRNA | 0.00292 - (0.0093 * E2_7_1_48_mRNA)</v>
      </c>
      <c r="N161" s="56" t="str">
        <f t="shared" si="8"/>
        <v>Peptide160: E2_7_1_48_mRNA -&gt; E2_7_1_48 | (0.278 * E2_7_1_48_mRNA) - (0.000000278 * E2_7_1_48)</v>
      </c>
    </row>
    <row r="162" spans="1:14" ht="29">
      <c r="A162" s="46">
        <v>161</v>
      </c>
      <c r="B162" s="7" t="s">
        <v>12451</v>
      </c>
      <c r="C162" s="27" t="str">
        <f t="shared" si="0"/>
        <v>E5_1_3_1_mRNA</v>
      </c>
      <c r="D162" s="47" t="str">
        <f t="shared" si="9"/>
        <v>E5_1_3_1</v>
      </c>
      <c r="E162" s="48" t="str">
        <f t="shared" si="1"/>
        <v>E5_1_3_1_kcat : 13.7</v>
      </c>
      <c r="F162" s="49" t="str">
        <f t="shared" si="2"/>
        <v>E5_1_3_1_km : 1</v>
      </c>
      <c r="G162" s="9" t="str">
        <f t="shared" ref="G162:H162" si="328">CONCATENATE(C162," : ",C162)</f>
        <v>E5_1_3_1_mRNA : E5_1_3_1_mRNA</v>
      </c>
      <c r="H162" s="50" t="str">
        <f t="shared" si="328"/>
        <v>E5_1_3_1 : E5_1_3_1</v>
      </c>
      <c r="I162" s="51" t="str">
        <f t="shared" ref="I162:J162" si="329">CONCATENATE(C162," : ","0")</f>
        <v>E5_1_3_1_mRNA : 0</v>
      </c>
      <c r="J162" s="52" t="str">
        <f t="shared" si="329"/>
        <v>E5_1_3_1 : 0</v>
      </c>
      <c r="K162" s="53" t="str">
        <f t="shared" si="5"/>
        <v>0.00292 - (0.0093 * E5_1_3_1_mRNA)</v>
      </c>
      <c r="L162" s="54" t="str">
        <f t="shared" si="6"/>
        <v>(0.278 * E5_1_3_1_mRNA) - (0.00000278 * E5_1_3_1)</v>
      </c>
      <c r="M162" s="55" t="str">
        <f t="shared" si="7"/>
        <v>mRNA161: -&gt; E5_1_3_1_mRNA | 0.00292 - (0.0093 * E5_1_3_1_mRNA)</v>
      </c>
      <c r="N162" s="56" t="str">
        <f t="shared" si="8"/>
        <v>Peptide161: E5_1_3_1_mRNA -&gt; E5_1_3_1 | (0.278 * E5_1_3_1_mRNA) - (0.000000278 * E5_1_3_1)</v>
      </c>
    </row>
    <row r="163" spans="1:14" ht="29">
      <c r="A163" s="46">
        <v>162</v>
      </c>
      <c r="B163" s="7" t="s">
        <v>12452</v>
      </c>
      <c r="C163" s="27" t="str">
        <f t="shared" si="0"/>
        <v>E2_7_6_2_mRNA</v>
      </c>
      <c r="D163" s="47" t="str">
        <f t="shared" si="9"/>
        <v>E2_7_6_2</v>
      </c>
      <c r="E163" s="48" t="str">
        <f t="shared" si="1"/>
        <v>E2_7_6_2_kcat : 13.7</v>
      </c>
      <c r="F163" s="49" t="str">
        <f t="shared" si="2"/>
        <v>E2_7_6_2_km : 1</v>
      </c>
      <c r="G163" s="9" t="str">
        <f t="shared" ref="G163:H163" si="330">CONCATENATE(C163," : ",C163)</f>
        <v>E2_7_6_2_mRNA : E2_7_6_2_mRNA</v>
      </c>
      <c r="H163" s="50" t="str">
        <f t="shared" si="330"/>
        <v>E2_7_6_2 : E2_7_6_2</v>
      </c>
      <c r="I163" s="51" t="str">
        <f t="shared" ref="I163:J163" si="331">CONCATENATE(C163," : ","0")</f>
        <v>E2_7_6_2_mRNA : 0</v>
      </c>
      <c r="J163" s="52" t="str">
        <f t="shared" si="331"/>
        <v>E2_7_6_2 : 0</v>
      </c>
      <c r="K163" s="53" t="str">
        <f t="shared" si="5"/>
        <v>0.00292 - (0.0093 * E2_7_6_2_mRNA)</v>
      </c>
      <c r="L163" s="54" t="str">
        <f t="shared" si="6"/>
        <v>(0.278 * E2_7_6_2_mRNA) - (0.00000278 * E2_7_6_2)</v>
      </c>
      <c r="M163" s="55" t="str">
        <f t="shared" si="7"/>
        <v>mRNA162: -&gt; E2_7_6_2_mRNA | 0.00292 - (0.0093 * E2_7_6_2_mRNA)</v>
      </c>
      <c r="N163" s="56" t="str">
        <f t="shared" si="8"/>
        <v>Peptide162: E2_7_6_2_mRNA -&gt; E2_7_6_2 | (0.278 * E2_7_6_2_mRNA) - (0.000000278 * E2_7_6_2)</v>
      </c>
    </row>
    <row r="164" spans="1:14" ht="29">
      <c r="A164" s="46">
        <v>163</v>
      </c>
      <c r="B164" s="7" t="s">
        <v>12453</v>
      </c>
      <c r="C164" s="27" t="str">
        <f t="shared" si="0"/>
        <v>E4_1_1_31_mRNA</v>
      </c>
      <c r="D164" s="47" t="str">
        <f t="shared" si="9"/>
        <v>E4_1_1_31</v>
      </c>
      <c r="E164" s="48" t="str">
        <f t="shared" si="1"/>
        <v>E4_1_1_31_kcat : 13.7</v>
      </c>
      <c r="F164" s="49" t="str">
        <f t="shared" si="2"/>
        <v>E4_1_1_31_km : 1</v>
      </c>
      <c r="G164" s="9" t="str">
        <f t="shared" ref="G164:H164" si="332">CONCATENATE(C164," : ",C164)</f>
        <v>E4_1_1_31_mRNA : E4_1_1_31_mRNA</v>
      </c>
      <c r="H164" s="50" t="str">
        <f t="shared" si="332"/>
        <v>E4_1_1_31 : E4_1_1_31</v>
      </c>
      <c r="I164" s="51" t="str">
        <f t="shared" ref="I164:J164" si="333">CONCATENATE(C164," : ","0")</f>
        <v>E4_1_1_31_mRNA : 0</v>
      </c>
      <c r="J164" s="52" t="str">
        <f t="shared" si="333"/>
        <v>E4_1_1_31 : 0</v>
      </c>
      <c r="K164" s="53" t="str">
        <f t="shared" si="5"/>
        <v>0.00292 - (0.0093 * E4_1_1_31_mRNA)</v>
      </c>
      <c r="L164" s="54" t="str">
        <f t="shared" si="6"/>
        <v>(0.278 * E4_1_1_31_mRNA) - (0.00000278 * E4_1_1_31)</v>
      </c>
      <c r="M164" s="55" t="str">
        <f t="shared" si="7"/>
        <v>mRNA163: -&gt; E4_1_1_31_mRNA | 0.00292 - (0.0093 * E4_1_1_31_mRNA)</v>
      </c>
      <c r="N164" s="56" t="str">
        <f t="shared" si="8"/>
        <v>Peptide163: E4_1_1_31_mRNA -&gt; E4_1_1_31 | (0.278 * E4_1_1_31_mRNA) - (0.000000278 * E4_1_1_31)</v>
      </c>
    </row>
    <row r="165" spans="1:14" ht="29">
      <c r="A165" s="46">
        <v>164</v>
      </c>
      <c r="B165" s="7" t="s">
        <v>12454</v>
      </c>
      <c r="C165" s="27" t="str">
        <f t="shared" si="0"/>
        <v>E4_3_3_7_mRNA</v>
      </c>
      <c r="D165" s="47" t="str">
        <f t="shared" si="9"/>
        <v>E4_3_3_7</v>
      </c>
      <c r="E165" s="48" t="str">
        <f t="shared" si="1"/>
        <v>E4_3_3_7_kcat : 13.7</v>
      </c>
      <c r="F165" s="49" t="str">
        <f t="shared" si="2"/>
        <v>E4_3_3_7_km : 1</v>
      </c>
      <c r="G165" s="9" t="str">
        <f t="shared" ref="G165:H165" si="334">CONCATENATE(C165," : ",C165)</f>
        <v>E4_3_3_7_mRNA : E4_3_3_7_mRNA</v>
      </c>
      <c r="H165" s="50" t="str">
        <f t="shared" si="334"/>
        <v>E4_3_3_7 : E4_3_3_7</v>
      </c>
      <c r="I165" s="51" t="str">
        <f t="shared" ref="I165:J165" si="335">CONCATENATE(C165," : ","0")</f>
        <v>E4_3_3_7_mRNA : 0</v>
      </c>
      <c r="J165" s="52" t="str">
        <f t="shared" si="335"/>
        <v>E4_3_3_7 : 0</v>
      </c>
      <c r="K165" s="53" t="str">
        <f t="shared" si="5"/>
        <v>0.00292 - (0.0093 * E4_3_3_7_mRNA)</v>
      </c>
      <c r="L165" s="54" t="str">
        <f t="shared" si="6"/>
        <v>(0.278 * E4_3_3_7_mRNA) - (0.00000278 * E4_3_3_7)</v>
      </c>
      <c r="M165" s="55" t="str">
        <f t="shared" si="7"/>
        <v>mRNA164: -&gt; E4_3_3_7_mRNA | 0.00292 - (0.0093 * E4_3_3_7_mRNA)</v>
      </c>
      <c r="N165" s="56" t="str">
        <f t="shared" si="8"/>
        <v>Peptide164: E4_3_3_7_mRNA -&gt; E4_3_3_7 | (0.278 * E4_3_3_7_mRNA) - (0.000000278 * E4_3_3_7)</v>
      </c>
    </row>
    <row r="166" spans="1:14" ht="29">
      <c r="A166" s="46">
        <v>165</v>
      </c>
      <c r="B166" s="7" t="s">
        <v>12455</v>
      </c>
      <c r="C166" s="27" t="str">
        <f t="shared" si="0"/>
        <v>E1_2_1_11_mRNA</v>
      </c>
      <c r="D166" s="47" t="str">
        <f t="shared" si="9"/>
        <v>E1_2_1_11</v>
      </c>
      <c r="E166" s="48" t="str">
        <f t="shared" si="1"/>
        <v>E1_2_1_11_kcat : 13.7</v>
      </c>
      <c r="F166" s="49" t="str">
        <f t="shared" si="2"/>
        <v>E1_2_1_11_km : 1</v>
      </c>
      <c r="G166" s="9" t="str">
        <f t="shared" ref="G166:H166" si="336">CONCATENATE(C166," : ",C166)</f>
        <v>E1_2_1_11_mRNA : E1_2_1_11_mRNA</v>
      </c>
      <c r="H166" s="50" t="str">
        <f t="shared" si="336"/>
        <v>E1_2_1_11 : E1_2_1_11</v>
      </c>
      <c r="I166" s="51" t="str">
        <f t="shared" ref="I166:J166" si="337">CONCATENATE(C166," : ","0")</f>
        <v>E1_2_1_11_mRNA : 0</v>
      </c>
      <c r="J166" s="52" t="str">
        <f t="shared" si="337"/>
        <v>E1_2_1_11 : 0</v>
      </c>
      <c r="K166" s="53" t="str">
        <f t="shared" si="5"/>
        <v>0.00292 - (0.0093 * E1_2_1_11_mRNA)</v>
      </c>
      <c r="L166" s="54" t="str">
        <f t="shared" si="6"/>
        <v>(0.278 * E1_2_1_11_mRNA) - (0.00000278 * E1_2_1_11)</v>
      </c>
      <c r="M166" s="55" t="str">
        <f t="shared" si="7"/>
        <v>mRNA165: -&gt; E1_2_1_11_mRNA | 0.00292 - (0.0093 * E1_2_1_11_mRNA)</v>
      </c>
      <c r="N166" s="56" t="str">
        <f t="shared" si="8"/>
        <v>Peptide165: E1_2_1_11_mRNA -&gt; E1_2_1_11 | (0.278 * E1_2_1_11_mRNA) - (0.000000278 * E1_2_1_11)</v>
      </c>
    </row>
    <row r="167" spans="1:14" ht="29">
      <c r="A167" s="46">
        <v>166</v>
      </c>
      <c r="B167" s="7" t="s">
        <v>12456</v>
      </c>
      <c r="C167" s="27" t="str">
        <f t="shared" si="0"/>
        <v>E4_99_1_1_mRNA</v>
      </c>
      <c r="D167" s="47" t="str">
        <f t="shared" si="9"/>
        <v>E4_99_1_1</v>
      </c>
      <c r="E167" s="48" t="str">
        <f t="shared" si="1"/>
        <v>E4_99_1_1_kcat : 13.7</v>
      </c>
      <c r="F167" s="49" t="str">
        <f t="shared" si="2"/>
        <v>E4_99_1_1_km : 1</v>
      </c>
      <c r="G167" s="9" t="str">
        <f t="shared" ref="G167:H167" si="338">CONCATENATE(C167," : ",C167)</f>
        <v>E4_99_1_1_mRNA : E4_99_1_1_mRNA</v>
      </c>
      <c r="H167" s="50" t="str">
        <f t="shared" si="338"/>
        <v>E4_99_1_1 : E4_99_1_1</v>
      </c>
      <c r="I167" s="51" t="str">
        <f t="shared" ref="I167:J167" si="339">CONCATENATE(C167," : ","0")</f>
        <v>E4_99_1_1_mRNA : 0</v>
      </c>
      <c r="J167" s="52" t="str">
        <f t="shared" si="339"/>
        <v>E4_99_1_1 : 0</v>
      </c>
      <c r="K167" s="53" t="str">
        <f t="shared" si="5"/>
        <v>0.00292 - (0.0093 * E4_99_1_1_mRNA)</v>
      </c>
      <c r="L167" s="54" t="str">
        <f t="shared" si="6"/>
        <v>(0.278 * E4_99_1_1_mRNA) - (0.00000278 * E4_99_1_1)</v>
      </c>
      <c r="M167" s="55" t="str">
        <f t="shared" si="7"/>
        <v>mRNA166: -&gt; E4_99_1_1_mRNA | 0.00292 - (0.0093 * E4_99_1_1_mRNA)</v>
      </c>
      <c r="N167" s="56" t="str">
        <f t="shared" si="8"/>
        <v>Peptide166: E4_99_1_1_mRNA -&gt; E4_99_1_1 | (0.278 * E4_99_1_1_mRNA) - (0.000000278 * E4_99_1_1)</v>
      </c>
    </row>
    <row r="168" spans="1:14" ht="29">
      <c r="A168" s="46">
        <v>167</v>
      </c>
      <c r="B168" s="7" t="s">
        <v>12457</v>
      </c>
      <c r="C168" s="27" t="str">
        <f t="shared" si="0"/>
        <v>E3_4_11_4_mRNA</v>
      </c>
      <c r="D168" s="47" t="str">
        <f t="shared" si="9"/>
        <v>E3_4_11_4</v>
      </c>
      <c r="E168" s="48" t="str">
        <f t="shared" si="1"/>
        <v>E3_4_11_4_kcat : 13.7</v>
      </c>
      <c r="F168" s="49" t="str">
        <f t="shared" si="2"/>
        <v>E3_4_11_4_km : 1</v>
      </c>
      <c r="G168" s="9" t="str">
        <f t="shared" ref="G168:H168" si="340">CONCATENATE(C168," : ",C168)</f>
        <v>E3_4_11_4_mRNA : E3_4_11_4_mRNA</v>
      </c>
      <c r="H168" s="50" t="str">
        <f t="shared" si="340"/>
        <v>E3_4_11_4 : E3_4_11_4</v>
      </c>
      <c r="I168" s="51" t="str">
        <f t="shared" ref="I168:J168" si="341">CONCATENATE(C168," : ","0")</f>
        <v>E3_4_11_4_mRNA : 0</v>
      </c>
      <c r="J168" s="52" t="str">
        <f t="shared" si="341"/>
        <v>E3_4_11_4 : 0</v>
      </c>
      <c r="K168" s="53" t="str">
        <f t="shared" si="5"/>
        <v>0.00292 - (0.0093 * E3_4_11_4_mRNA)</v>
      </c>
      <c r="L168" s="54" t="str">
        <f t="shared" si="6"/>
        <v>(0.278 * E3_4_11_4_mRNA) - (0.00000278 * E3_4_11_4)</v>
      </c>
      <c r="M168" s="55" t="str">
        <f t="shared" si="7"/>
        <v>mRNA167: -&gt; E3_4_11_4_mRNA | 0.00292 - (0.0093 * E3_4_11_4_mRNA)</v>
      </c>
      <c r="N168" s="56" t="str">
        <f t="shared" si="8"/>
        <v>Peptide167: E3_4_11_4_mRNA -&gt; E3_4_11_4 | (0.278 * E3_4_11_4_mRNA) - (0.000000278 * E3_4_11_4)</v>
      </c>
    </row>
    <row r="169" spans="1:14" ht="29">
      <c r="A169" s="46">
        <v>168</v>
      </c>
      <c r="B169" s="7" t="s">
        <v>12458</v>
      </c>
      <c r="C169" s="27" t="str">
        <f t="shared" si="0"/>
        <v>E1_8_1_8_mRNA</v>
      </c>
      <c r="D169" s="47" t="str">
        <f t="shared" si="9"/>
        <v>E1_8_1_8</v>
      </c>
      <c r="E169" s="48" t="str">
        <f t="shared" si="1"/>
        <v>E1_8_1_8_kcat : 13.7</v>
      </c>
      <c r="F169" s="49" t="str">
        <f t="shared" si="2"/>
        <v>E1_8_1_8_km : 1</v>
      </c>
      <c r="G169" s="9" t="str">
        <f t="shared" ref="G169:H169" si="342">CONCATENATE(C169," : ",C169)</f>
        <v>E1_8_1_8_mRNA : E1_8_1_8_mRNA</v>
      </c>
      <c r="H169" s="50" t="str">
        <f t="shared" si="342"/>
        <v>E1_8_1_8 : E1_8_1_8</v>
      </c>
      <c r="I169" s="51" t="str">
        <f t="shared" ref="I169:J169" si="343">CONCATENATE(C169," : ","0")</f>
        <v>E1_8_1_8_mRNA : 0</v>
      </c>
      <c r="J169" s="52" t="str">
        <f t="shared" si="343"/>
        <v>E1_8_1_8 : 0</v>
      </c>
      <c r="K169" s="53" t="str">
        <f t="shared" si="5"/>
        <v>0.00292 - (0.0093 * E1_8_1_8_mRNA)</v>
      </c>
      <c r="L169" s="54" t="str">
        <f t="shared" si="6"/>
        <v>(0.278 * E1_8_1_8_mRNA) - (0.00000278 * E1_8_1_8)</v>
      </c>
      <c r="M169" s="55" t="str">
        <f t="shared" si="7"/>
        <v>mRNA168: -&gt; E1_8_1_8_mRNA | 0.00292 - (0.0093 * E1_8_1_8_mRNA)</v>
      </c>
      <c r="N169" s="56" t="str">
        <f t="shared" si="8"/>
        <v>Peptide168: E1_8_1_8_mRNA -&gt; E1_8_1_8 | (0.278 * E1_8_1_8_mRNA) - (0.000000278 * E1_8_1_8)</v>
      </c>
    </row>
    <row r="170" spans="1:14" ht="29">
      <c r="A170" s="46">
        <v>169</v>
      </c>
      <c r="B170" s="7" t="s">
        <v>12459</v>
      </c>
      <c r="C170" s="27" t="str">
        <f t="shared" si="0"/>
        <v>E3_1_4_46_mRNA</v>
      </c>
      <c r="D170" s="47" t="str">
        <f t="shared" si="9"/>
        <v>E3_1_4_46</v>
      </c>
      <c r="E170" s="48" t="str">
        <f t="shared" si="1"/>
        <v>E3_1_4_46_kcat : 13.7</v>
      </c>
      <c r="F170" s="49" t="str">
        <f t="shared" si="2"/>
        <v>E3_1_4_46_km : 1</v>
      </c>
      <c r="G170" s="9" t="str">
        <f t="shared" ref="G170:H170" si="344">CONCATENATE(C170," : ",C170)</f>
        <v>E3_1_4_46_mRNA : E3_1_4_46_mRNA</v>
      </c>
      <c r="H170" s="50" t="str">
        <f t="shared" si="344"/>
        <v>E3_1_4_46 : E3_1_4_46</v>
      </c>
      <c r="I170" s="51" t="str">
        <f t="shared" ref="I170:J170" si="345">CONCATENATE(C170," : ","0")</f>
        <v>E3_1_4_46_mRNA : 0</v>
      </c>
      <c r="J170" s="52" t="str">
        <f t="shared" si="345"/>
        <v>E3_1_4_46 : 0</v>
      </c>
      <c r="K170" s="53" t="str">
        <f t="shared" si="5"/>
        <v>0.00292 - (0.0093 * E3_1_4_46_mRNA)</v>
      </c>
      <c r="L170" s="54" t="str">
        <f t="shared" si="6"/>
        <v>(0.278 * E3_1_4_46_mRNA) - (0.00000278 * E3_1_4_46)</v>
      </c>
      <c r="M170" s="55" t="str">
        <f t="shared" si="7"/>
        <v>mRNA169: -&gt; E3_1_4_46_mRNA | 0.00292 - (0.0093 * E3_1_4_46_mRNA)</v>
      </c>
      <c r="N170" s="56" t="str">
        <f t="shared" si="8"/>
        <v>Peptide169: E3_1_4_46_mRNA -&gt; E3_1_4_46 | (0.278 * E3_1_4_46_mRNA) - (0.000000278 * E3_1_4_46)</v>
      </c>
    </row>
    <row r="171" spans="1:14" ht="29">
      <c r="A171" s="46">
        <v>170</v>
      </c>
      <c r="B171" s="7" t="s">
        <v>12460</v>
      </c>
      <c r="C171" s="27" t="str">
        <f t="shared" si="0"/>
        <v>E3_2_2_16_mRNA</v>
      </c>
      <c r="D171" s="47" t="str">
        <f t="shared" si="9"/>
        <v>E3_2_2_16</v>
      </c>
      <c r="E171" s="48" t="str">
        <f t="shared" si="1"/>
        <v>E3_2_2_16_kcat : 13.7</v>
      </c>
      <c r="F171" s="49" t="str">
        <f t="shared" si="2"/>
        <v>E3_2_2_16_km : 1</v>
      </c>
      <c r="G171" s="9" t="str">
        <f t="shared" ref="G171:H171" si="346">CONCATENATE(C171," : ",C171)</f>
        <v>E3_2_2_16_mRNA : E3_2_2_16_mRNA</v>
      </c>
      <c r="H171" s="50" t="str">
        <f t="shared" si="346"/>
        <v>E3_2_2_16 : E3_2_2_16</v>
      </c>
      <c r="I171" s="51" t="str">
        <f t="shared" ref="I171:J171" si="347">CONCATENATE(C171," : ","0")</f>
        <v>E3_2_2_16_mRNA : 0</v>
      </c>
      <c r="J171" s="52" t="str">
        <f t="shared" si="347"/>
        <v>E3_2_2_16 : 0</v>
      </c>
      <c r="K171" s="53" t="str">
        <f t="shared" si="5"/>
        <v>0.00292 - (0.0093 * E3_2_2_16_mRNA)</v>
      </c>
      <c r="L171" s="54" t="str">
        <f t="shared" si="6"/>
        <v>(0.278 * E3_2_2_16_mRNA) - (0.00000278 * E3_2_2_16)</v>
      </c>
      <c r="M171" s="55" t="str">
        <f t="shared" si="7"/>
        <v>mRNA170: -&gt; E3_2_2_16_mRNA | 0.00292 - (0.0093 * E3_2_2_16_mRNA)</v>
      </c>
      <c r="N171" s="56" t="str">
        <f t="shared" si="8"/>
        <v>Peptide170: E3_2_2_16_mRNA -&gt; E3_2_2_16 | (0.278 * E3_2_2_16_mRNA) - (0.000000278 * E3_2_2_16)</v>
      </c>
    </row>
    <row r="172" spans="1:14" ht="29">
      <c r="A172" s="46">
        <v>171</v>
      </c>
      <c r="B172" s="7" t="s">
        <v>12461</v>
      </c>
      <c r="C172" s="27" t="str">
        <f t="shared" si="0"/>
        <v>E3_2_2_9_mRNA</v>
      </c>
      <c r="D172" s="47" t="str">
        <f t="shared" si="9"/>
        <v>E3_2_2_9</v>
      </c>
      <c r="E172" s="48" t="str">
        <f t="shared" si="1"/>
        <v>E3_2_2_9_kcat : 13.7</v>
      </c>
      <c r="F172" s="49" t="str">
        <f t="shared" si="2"/>
        <v>E3_2_2_9_km : 1</v>
      </c>
      <c r="G172" s="9" t="str">
        <f t="shared" ref="G172:H172" si="348">CONCATENATE(C172," : ",C172)</f>
        <v>E3_2_2_9_mRNA : E3_2_2_9_mRNA</v>
      </c>
      <c r="H172" s="50" t="str">
        <f t="shared" si="348"/>
        <v>E3_2_2_9 : E3_2_2_9</v>
      </c>
      <c r="I172" s="51" t="str">
        <f t="shared" ref="I172:J172" si="349">CONCATENATE(C172," : ","0")</f>
        <v>E3_2_2_9_mRNA : 0</v>
      </c>
      <c r="J172" s="52" t="str">
        <f t="shared" si="349"/>
        <v>E3_2_2_9 : 0</v>
      </c>
      <c r="K172" s="53" t="str">
        <f t="shared" si="5"/>
        <v>0.00292 - (0.0093 * E3_2_2_9_mRNA)</v>
      </c>
      <c r="L172" s="54" t="str">
        <f t="shared" si="6"/>
        <v>(0.278 * E3_2_2_9_mRNA) - (0.00000278 * E3_2_2_9)</v>
      </c>
      <c r="M172" s="55" t="str">
        <f t="shared" si="7"/>
        <v>mRNA171: -&gt; E3_2_2_9_mRNA | 0.00292 - (0.0093 * E3_2_2_9_mRNA)</v>
      </c>
      <c r="N172" s="56" t="str">
        <f t="shared" si="8"/>
        <v>Peptide171: E3_2_2_9_mRNA -&gt; E3_2_2_9 | (0.278 * E3_2_2_9_mRNA) - (0.000000278 * E3_2_2_9)</v>
      </c>
    </row>
    <row r="173" spans="1:14" ht="29">
      <c r="A173" s="46">
        <v>172</v>
      </c>
      <c r="B173" s="7" t="s">
        <v>12462</v>
      </c>
      <c r="C173" s="27" t="str">
        <f t="shared" si="0"/>
        <v>E4_2_99_18_mRNA</v>
      </c>
      <c r="D173" s="47" t="str">
        <f t="shared" si="9"/>
        <v>E4_2_99_18</v>
      </c>
      <c r="E173" s="48" t="str">
        <f t="shared" si="1"/>
        <v>E4_2_99_18_kcat : 13.7</v>
      </c>
      <c r="F173" s="49" t="str">
        <f t="shared" si="2"/>
        <v>E4_2_99_18_km : 1</v>
      </c>
      <c r="G173" s="9" t="str">
        <f t="shared" ref="G173:H173" si="350">CONCATENATE(C173," : ",C173)</f>
        <v>E4_2_99_18_mRNA : E4_2_99_18_mRNA</v>
      </c>
      <c r="H173" s="50" t="str">
        <f t="shared" si="350"/>
        <v>E4_2_99_18 : E4_2_99_18</v>
      </c>
      <c r="I173" s="51" t="str">
        <f t="shared" ref="I173:J173" si="351">CONCATENATE(C173," : ","0")</f>
        <v>E4_2_99_18_mRNA : 0</v>
      </c>
      <c r="J173" s="52" t="str">
        <f t="shared" si="351"/>
        <v>E4_2_99_18 : 0</v>
      </c>
      <c r="K173" s="53" t="str">
        <f t="shared" si="5"/>
        <v>0.00292 - (0.0093 * E4_2_99_18_mRNA)</v>
      </c>
      <c r="L173" s="54" t="str">
        <f t="shared" si="6"/>
        <v>(0.278 * E4_2_99_18_mRNA) - (0.00000278 * E4_2_99_18)</v>
      </c>
      <c r="M173" s="55" t="str">
        <f t="shared" si="7"/>
        <v>mRNA172: -&gt; E4_2_99_18_mRNA | 0.00292 - (0.0093 * E4_2_99_18_mRNA)</v>
      </c>
      <c r="N173" s="56" t="str">
        <f t="shared" si="8"/>
        <v>Peptide172: E4_2_99_18_mRNA -&gt; E4_2_99_18 | (0.278 * E4_2_99_18_mRNA) - (0.000000278 * E4_2_99_18)</v>
      </c>
    </row>
    <row r="174" spans="1:14" ht="29">
      <c r="A174" s="46">
        <v>173</v>
      </c>
      <c r="B174" s="7" t="s">
        <v>12463</v>
      </c>
      <c r="C174" s="27" t="str">
        <f t="shared" si="0"/>
        <v>E2_1_3_2_mRNA</v>
      </c>
      <c r="D174" s="47" t="str">
        <f t="shared" si="9"/>
        <v>E2_1_3_2</v>
      </c>
      <c r="E174" s="48" t="str">
        <f t="shared" si="1"/>
        <v>E2_1_3_2_kcat : 13.7</v>
      </c>
      <c r="F174" s="49" t="str">
        <f t="shared" si="2"/>
        <v>E2_1_3_2_km : 1</v>
      </c>
      <c r="G174" s="9" t="str">
        <f t="shared" ref="G174:H174" si="352">CONCATENATE(C174," : ",C174)</f>
        <v>E2_1_3_2_mRNA : E2_1_3_2_mRNA</v>
      </c>
      <c r="H174" s="50" t="str">
        <f t="shared" si="352"/>
        <v>E2_1_3_2 : E2_1_3_2</v>
      </c>
      <c r="I174" s="51" t="str">
        <f t="shared" ref="I174:J174" si="353">CONCATENATE(C174," : ","0")</f>
        <v>E2_1_3_2_mRNA : 0</v>
      </c>
      <c r="J174" s="52" t="str">
        <f t="shared" si="353"/>
        <v>E2_1_3_2 : 0</v>
      </c>
      <c r="K174" s="53" t="str">
        <f t="shared" si="5"/>
        <v>0.00292 - (0.0093 * E2_1_3_2_mRNA)</v>
      </c>
      <c r="L174" s="54" t="str">
        <f t="shared" si="6"/>
        <v>(0.278 * E2_1_3_2_mRNA) - (0.00000278 * E2_1_3_2)</v>
      </c>
      <c r="M174" s="55" t="str">
        <f t="shared" si="7"/>
        <v>mRNA173: -&gt; E2_1_3_2_mRNA | 0.00292 - (0.0093 * E2_1_3_2_mRNA)</v>
      </c>
      <c r="N174" s="56" t="str">
        <f t="shared" si="8"/>
        <v>Peptide173: E2_1_3_2_mRNA -&gt; E2_1_3_2 | (0.278 * E2_1_3_2_mRNA) - (0.000000278 * E2_1_3_2)</v>
      </c>
    </row>
    <row r="175" spans="1:14" ht="29">
      <c r="A175" s="46">
        <v>174</v>
      </c>
      <c r="B175" s="7" t="s">
        <v>12464</v>
      </c>
      <c r="C175" s="27" t="str">
        <f t="shared" si="0"/>
        <v>E6_3_5_5_mRNA</v>
      </c>
      <c r="D175" s="47" t="str">
        <f t="shared" si="9"/>
        <v>E6_3_5_5</v>
      </c>
      <c r="E175" s="48" t="str">
        <f t="shared" si="1"/>
        <v>E6_3_5_5_kcat : 13.7</v>
      </c>
      <c r="F175" s="49" t="str">
        <f t="shared" si="2"/>
        <v>E6_3_5_5_km : 1</v>
      </c>
      <c r="G175" s="9" t="str">
        <f t="shared" ref="G175:H175" si="354">CONCATENATE(C175," : ",C175)</f>
        <v>E6_3_5_5_mRNA : E6_3_5_5_mRNA</v>
      </c>
      <c r="H175" s="50" t="str">
        <f t="shared" si="354"/>
        <v>E6_3_5_5 : E6_3_5_5</v>
      </c>
      <c r="I175" s="51" t="str">
        <f t="shared" ref="I175:J175" si="355">CONCATENATE(C175," : ","0")</f>
        <v>E6_3_5_5_mRNA : 0</v>
      </c>
      <c r="J175" s="52" t="str">
        <f t="shared" si="355"/>
        <v>E6_3_5_5 : 0</v>
      </c>
      <c r="K175" s="53" t="str">
        <f t="shared" si="5"/>
        <v>0.00292 - (0.0093 * E6_3_5_5_mRNA)</v>
      </c>
      <c r="L175" s="54" t="str">
        <f t="shared" si="6"/>
        <v>(0.278 * E6_3_5_5_mRNA) - (0.00000278 * E6_3_5_5)</v>
      </c>
      <c r="M175" s="55" t="str">
        <f t="shared" si="7"/>
        <v>mRNA174: -&gt; E6_3_5_5_mRNA | 0.00292 - (0.0093 * E6_3_5_5_mRNA)</v>
      </c>
      <c r="N175" s="56" t="str">
        <f t="shared" si="8"/>
        <v>Peptide174: E6_3_5_5_mRNA -&gt; E6_3_5_5 | (0.278 * E6_3_5_5_mRNA) - (0.000000278 * E6_3_5_5)</v>
      </c>
    </row>
    <row r="176" spans="1:14" ht="29">
      <c r="A176" s="46">
        <v>175</v>
      </c>
      <c r="B176" s="7" t="s">
        <v>12465</v>
      </c>
      <c r="C176" s="27" t="str">
        <f t="shared" si="0"/>
        <v>E2_7_7_72_mRNA</v>
      </c>
      <c r="D176" s="47" t="str">
        <f t="shared" si="9"/>
        <v>E2_7_7_72</v>
      </c>
      <c r="E176" s="48" t="str">
        <f t="shared" si="1"/>
        <v>E2_7_7_72_kcat : 13.7</v>
      </c>
      <c r="F176" s="49" t="str">
        <f t="shared" si="2"/>
        <v>E2_7_7_72_km : 1</v>
      </c>
      <c r="G176" s="9" t="str">
        <f t="shared" ref="G176:H176" si="356">CONCATENATE(C176," : ",C176)</f>
        <v>E2_7_7_72_mRNA : E2_7_7_72_mRNA</v>
      </c>
      <c r="H176" s="50" t="str">
        <f t="shared" si="356"/>
        <v>E2_7_7_72 : E2_7_7_72</v>
      </c>
      <c r="I176" s="51" t="str">
        <f t="shared" ref="I176:J176" si="357">CONCATENATE(C176," : ","0")</f>
        <v>E2_7_7_72_mRNA : 0</v>
      </c>
      <c r="J176" s="52" t="str">
        <f t="shared" si="357"/>
        <v>E2_7_7_72 : 0</v>
      </c>
      <c r="K176" s="53" t="str">
        <f t="shared" si="5"/>
        <v>0.00292 - (0.0093 * E2_7_7_72_mRNA)</v>
      </c>
      <c r="L176" s="54" t="str">
        <f t="shared" si="6"/>
        <v>(0.278 * E2_7_7_72_mRNA) - (0.00000278 * E2_7_7_72)</v>
      </c>
      <c r="M176" s="55" t="str">
        <f t="shared" si="7"/>
        <v>mRNA175: -&gt; E2_7_7_72_mRNA | 0.00292 - (0.0093 * E2_7_7_72_mRNA)</v>
      </c>
      <c r="N176" s="56" t="str">
        <f t="shared" si="8"/>
        <v>Peptide175: E2_7_7_72_mRNA -&gt; E2_7_7_72 | (0.278 * E2_7_7_72_mRNA) - (0.000000278 * E2_7_7_72)</v>
      </c>
    </row>
    <row r="177" spans="1:14" ht="29">
      <c r="A177" s="46">
        <v>176</v>
      </c>
      <c r="B177" s="7" t="s">
        <v>12466</v>
      </c>
      <c r="C177" s="27" t="str">
        <f t="shared" si="0"/>
        <v>E2_7_7_19_mRNA</v>
      </c>
      <c r="D177" s="47" t="str">
        <f t="shared" si="9"/>
        <v>E2_7_7_19</v>
      </c>
      <c r="E177" s="48" t="str">
        <f t="shared" si="1"/>
        <v>E2_7_7_19_kcat : 13.7</v>
      </c>
      <c r="F177" s="49" t="str">
        <f t="shared" si="2"/>
        <v>E2_7_7_19_km : 1</v>
      </c>
      <c r="G177" s="9" t="str">
        <f t="shared" ref="G177:H177" si="358">CONCATENATE(C177," : ",C177)</f>
        <v>E2_7_7_19_mRNA : E2_7_7_19_mRNA</v>
      </c>
      <c r="H177" s="50" t="str">
        <f t="shared" si="358"/>
        <v>E2_7_7_19 : E2_7_7_19</v>
      </c>
      <c r="I177" s="51" t="str">
        <f t="shared" ref="I177:J177" si="359">CONCATENATE(C177," : ","0")</f>
        <v>E2_7_7_19_mRNA : 0</v>
      </c>
      <c r="J177" s="52" t="str">
        <f t="shared" si="359"/>
        <v>E2_7_7_19 : 0</v>
      </c>
      <c r="K177" s="53" t="str">
        <f t="shared" si="5"/>
        <v>0.00292 - (0.0093 * E2_7_7_19_mRNA)</v>
      </c>
      <c r="L177" s="54" t="str">
        <f t="shared" si="6"/>
        <v>(0.278 * E2_7_7_19_mRNA) - (0.00000278 * E2_7_7_19)</v>
      </c>
      <c r="M177" s="55" t="str">
        <f t="shared" si="7"/>
        <v>mRNA176: -&gt; E2_7_7_19_mRNA | 0.00292 - (0.0093 * E2_7_7_19_mRNA)</v>
      </c>
      <c r="N177" s="56" t="str">
        <f t="shared" si="8"/>
        <v>Peptide176: E2_7_7_19_mRNA -&gt; E2_7_7_19 | (0.278 * E2_7_7_19_mRNA) - (0.000000278 * E2_7_7_19)</v>
      </c>
    </row>
    <row r="178" spans="1:14" ht="29">
      <c r="A178" s="46">
        <v>177</v>
      </c>
      <c r="B178" s="7" t="s">
        <v>12467</v>
      </c>
      <c r="C178" s="27" t="str">
        <f t="shared" si="0"/>
        <v>E3_5_1_31_mRNA</v>
      </c>
      <c r="D178" s="47" t="str">
        <f t="shared" si="9"/>
        <v>E3_5_1_31</v>
      </c>
      <c r="E178" s="48" t="str">
        <f t="shared" si="1"/>
        <v>E3_5_1_31_kcat : 13.7</v>
      </c>
      <c r="F178" s="49" t="str">
        <f t="shared" si="2"/>
        <v>E3_5_1_31_km : 1</v>
      </c>
      <c r="G178" s="9" t="str">
        <f t="shared" ref="G178:H178" si="360">CONCATENATE(C178," : ",C178)</f>
        <v>E3_5_1_31_mRNA : E3_5_1_31_mRNA</v>
      </c>
      <c r="H178" s="50" t="str">
        <f t="shared" si="360"/>
        <v>E3_5_1_31 : E3_5_1_31</v>
      </c>
      <c r="I178" s="51" t="str">
        <f t="shared" ref="I178:J178" si="361">CONCATENATE(C178," : ","0")</f>
        <v>E3_5_1_31_mRNA : 0</v>
      </c>
      <c r="J178" s="52" t="str">
        <f t="shared" si="361"/>
        <v>E3_5_1_31 : 0</v>
      </c>
      <c r="K178" s="53" t="str">
        <f t="shared" si="5"/>
        <v>0.00292 - (0.0093 * E3_5_1_31_mRNA)</v>
      </c>
      <c r="L178" s="54" t="str">
        <f t="shared" si="6"/>
        <v>(0.278 * E3_5_1_31_mRNA) - (0.00000278 * E3_5_1_31)</v>
      </c>
      <c r="M178" s="55" t="str">
        <f t="shared" si="7"/>
        <v>mRNA177: -&gt; E3_5_1_31_mRNA | 0.00292 - (0.0093 * E3_5_1_31_mRNA)</v>
      </c>
      <c r="N178" s="56" t="str">
        <f t="shared" si="8"/>
        <v>Peptide177: E3_5_1_31_mRNA -&gt; E3_5_1_31 | (0.278 * E3_5_1_31_mRNA) - (0.000000278 * E3_5_1_31)</v>
      </c>
    </row>
    <row r="179" spans="1:14" ht="29">
      <c r="A179" s="46">
        <v>178</v>
      </c>
      <c r="B179" s="7" t="s">
        <v>12468</v>
      </c>
      <c r="C179" s="27" t="str">
        <f t="shared" si="0"/>
        <v>E3_5_1_88_mRNA</v>
      </c>
      <c r="D179" s="47" t="str">
        <f t="shared" si="9"/>
        <v>E3_5_1_88</v>
      </c>
      <c r="E179" s="48" t="str">
        <f t="shared" si="1"/>
        <v>E3_5_1_88_kcat : 13.7</v>
      </c>
      <c r="F179" s="49" t="str">
        <f t="shared" si="2"/>
        <v>E3_5_1_88_km : 1</v>
      </c>
      <c r="G179" s="9" t="str">
        <f t="shared" ref="G179:H179" si="362">CONCATENATE(C179," : ",C179)</f>
        <v>E3_5_1_88_mRNA : E3_5_1_88_mRNA</v>
      </c>
      <c r="H179" s="50" t="str">
        <f t="shared" si="362"/>
        <v>E3_5_1_88 : E3_5_1_88</v>
      </c>
      <c r="I179" s="51" t="str">
        <f t="shared" ref="I179:J179" si="363">CONCATENATE(C179," : ","0")</f>
        <v>E3_5_1_88_mRNA : 0</v>
      </c>
      <c r="J179" s="52" t="str">
        <f t="shared" si="363"/>
        <v>E3_5_1_88 : 0</v>
      </c>
      <c r="K179" s="53" t="str">
        <f t="shared" si="5"/>
        <v>0.00292 - (0.0093 * E3_5_1_88_mRNA)</v>
      </c>
      <c r="L179" s="54" t="str">
        <f t="shared" si="6"/>
        <v>(0.278 * E3_5_1_88_mRNA) - (0.00000278 * E3_5_1_88)</v>
      </c>
      <c r="M179" s="55" t="str">
        <f t="shared" si="7"/>
        <v>mRNA178: -&gt; E3_5_1_88_mRNA | 0.00292 - (0.0093 * E3_5_1_88_mRNA)</v>
      </c>
      <c r="N179" s="56" t="str">
        <f t="shared" si="8"/>
        <v>Peptide178: E3_5_1_88_mRNA -&gt; E3_5_1_88 | (0.278 * E3_5_1_88_mRNA) - (0.000000278 * E3_5_1_88)</v>
      </c>
    </row>
    <row r="180" spans="1:14" ht="29">
      <c r="A180" s="46">
        <v>179</v>
      </c>
      <c r="B180" s="7" t="s">
        <v>12469</v>
      </c>
      <c r="C180" s="27" t="str">
        <f t="shared" si="0"/>
        <v>E4_4_1_5_mRNA</v>
      </c>
      <c r="D180" s="47" t="str">
        <f t="shared" si="9"/>
        <v>E4_4_1_5</v>
      </c>
      <c r="E180" s="48" t="str">
        <f t="shared" si="1"/>
        <v>E4_4_1_5_kcat : 13.7</v>
      </c>
      <c r="F180" s="49" t="str">
        <f t="shared" si="2"/>
        <v>E4_4_1_5_km : 1</v>
      </c>
      <c r="G180" s="9" t="str">
        <f t="shared" ref="G180:H180" si="364">CONCATENATE(C180," : ",C180)</f>
        <v>E4_4_1_5_mRNA : E4_4_1_5_mRNA</v>
      </c>
      <c r="H180" s="50" t="str">
        <f t="shared" si="364"/>
        <v>E4_4_1_5 : E4_4_1_5</v>
      </c>
      <c r="I180" s="51" t="str">
        <f t="shared" ref="I180:J180" si="365">CONCATENATE(C180," : ","0")</f>
        <v>E4_4_1_5_mRNA : 0</v>
      </c>
      <c r="J180" s="52" t="str">
        <f t="shared" si="365"/>
        <v>E4_4_1_5 : 0</v>
      </c>
      <c r="K180" s="53" t="str">
        <f t="shared" si="5"/>
        <v>0.00292 - (0.0093 * E4_4_1_5_mRNA)</v>
      </c>
      <c r="L180" s="54" t="str">
        <f t="shared" si="6"/>
        <v>(0.278 * E4_4_1_5_mRNA) - (0.00000278 * E4_4_1_5)</v>
      </c>
      <c r="M180" s="55" t="str">
        <f t="shared" si="7"/>
        <v>mRNA179: -&gt; E4_4_1_5_mRNA | 0.00292 - (0.0093 * E4_4_1_5_mRNA)</v>
      </c>
      <c r="N180" s="56" t="str">
        <f t="shared" si="8"/>
        <v>Peptide179: E4_4_1_5_mRNA -&gt; E4_4_1_5 | (0.278 * E4_4_1_5_mRNA) - (0.000000278 * E4_4_1_5)</v>
      </c>
    </row>
    <row r="181" spans="1:14" ht="29">
      <c r="A181" s="46">
        <v>180</v>
      </c>
      <c r="B181" s="7" t="s">
        <v>12470</v>
      </c>
      <c r="C181" s="27" t="str">
        <f t="shared" si="0"/>
        <v>E6_1_1_22_mRNA</v>
      </c>
      <c r="D181" s="47" t="str">
        <f t="shared" si="9"/>
        <v>E6_1_1_22</v>
      </c>
      <c r="E181" s="48" t="str">
        <f t="shared" si="1"/>
        <v>E6_1_1_22_kcat : 13.7</v>
      </c>
      <c r="F181" s="49" t="str">
        <f t="shared" si="2"/>
        <v>E6_1_1_22_km : 1</v>
      </c>
      <c r="G181" s="9" t="str">
        <f t="shared" ref="G181:H181" si="366">CONCATENATE(C181," : ",C181)</f>
        <v>E6_1_1_22_mRNA : E6_1_1_22_mRNA</v>
      </c>
      <c r="H181" s="50" t="str">
        <f t="shared" si="366"/>
        <v>E6_1_1_22 : E6_1_1_22</v>
      </c>
      <c r="I181" s="51" t="str">
        <f t="shared" ref="I181:J181" si="367">CONCATENATE(C181," : ","0")</f>
        <v>E6_1_1_22_mRNA : 0</v>
      </c>
      <c r="J181" s="52" t="str">
        <f t="shared" si="367"/>
        <v>E6_1_1_22 : 0</v>
      </c>
      <c r="K181" s="53" t="str">
        <f t="shared" si="5"/>
        <v>0.00292 - (0.0093 * E6_1_1_22_mRNA)</v>
      </c>
      <c r="L181" s="54" t="str">
        <f t="shared" si="6"/>
        <v>(0.278 * E6_1_1_22_mRNA) - (0.00000278 * E6_1_1_22)</v>
      </c>
      <c r="M181" s="55" t="str">
        <f t="shared" si="7"/>
        <v>mRNA180: -&gt; E6_1_1_22_mRNA | 0.00292 - (0.0093 * E6_1_1_22_mRNA)</v>
      </c>
      <c r="N181" s="56" t="str">
        <f t="shared" si="8"/>
        <v>Peptide180: E6_1_1_22_mRNA -&gt; E6_1_1_22 | (0.278 * E6_1_1_22_mRNA) - (0.000000278 * E6_1_1_22)</v>
      </c>
    </row>
    <row r="182" spans="1:14" ht="29">
      <c r="A182" s="46">
        <v>181</v>
      </c>
      <c r="B182" s="7" t="s">
        <v>12471</v>
      </c>
      <c r="C182" s="27" t="str">
        <f t="shared" si="0"/>
        <v>E3_6_1_1_mRNA</v>
      </c>
      <c r="D182" s="47" t="str">
        <f t="shared" si="9"/>
        <v>E3_6_1_1</v>
      </c>
      <c r="E182" s="48" t="str">
        <f t="shared" si="1"/>
        <v>E3_6_1_1_kcat : 13.7</v>
      </c>
      <c r="F182" s="49" t="str">
        <f t="shared" si="2"/>
        <v>E3_6_1_1_km : 1</v>
      </c>
      <c r="G182" s="9" t="str">
        <f t="shared" ref="G182:H182" si="368">CONCATENATE(C182," : ",C182)</f>
        <v>E3_6_1_1_mRNA : E3_6_1_1_mRNA</v>
      </c>
      <c r="H182" s="50" t="str">
        <f t="shared" si="368"/>
        <v>E3_6_1_1 : E3_6_1_1</v>
      </c>
      <c r="I182" s="51" t="str">
        <f t="shared" ref="I182:J182" si="369">CONCATENATE(C182," : ","0")</f>
        <v>E3_6_1_1_mRNA : 0</v>
      </c>
      <c r="J182" s="52" t="str">
        <f t="shared" si="369"/>
        <v>E3_6_1_1 : 0</v>
      </c>
      <c r="K182" s="53" t="str">
        <f t="shared" si="5"/>
        <v>0.00292 - (0.0093 * E3_6_1_1_mRNA)</v>
      </c>
      <c r="L182" s="54" t="str">
        <f t="shared" si="6"/>
        <v>(0.278 * E3_6_1_1_mRNA) - (0.00000278 * E3_6_1_1)</v>
      </c>
      <c r="M182" s="55" t="str">
        <f t="shared" si="7"/>
        <v>mRNA181: -&gt; E3_6_1_1_mRNA | 0.00292 - (0.0093 * E3_6_1_1_mRNA)</v>
      </c>
      <c r="N182" s="56" t="str">
        <f t="shared" si="8"/>
        <v>Peptide181: E3_6_1_1_mRNA -&gt; E3_6_1_1 | (0.278 * E3_6_1_1_mRNA) - (0.000000278 * E3_6_1_1)</v>
      </c>
    </row>
    <row r="183" spans="1:14" ht="29">
      <c r="A183" s="46">
        <v>182</v>
      </c>
      <c r="B183" s="7" t="s">
        <v>12472</v>
      </c>
      <c r="C183" s="27" t="str">
        <f t="shared" si="0"/>
        <v>E6_3_2_13_mRNA</v>
      </c>
      <c r="D183" s="47" t="str">
        <f t="shared" si="9"/>
        <v>E6_3_2_13</v>
      </c>
      <c r="E183" s="48" t="str">
        <f t="shared" si="1"/>
        <v>E6_3_2_13_kcat : 13.7</v>
      </c>
      <c r="F183" s="49" t="str">
        <f t="shared" si="2"/>
        <v>E6_3_2_13_km : 1</v>
      </c>
      <c r="G183" s="9" t="str">
        <f t="shared" ref="G183:H183" si="370">CONCATENATE(C183," : ",C183)</f>
        <v>E6_3_2_13_mRNA : E6_3_2_13_mRNA</v>
      </c>
      <c r="H183" s="50" t="str">
        <f t="shared" si="370"/>
        <v>E6_3_2_13 : E6_3_2_13</v>
      </c>
      <c r="I183" s="51" t="str">
        <f t="shared" ref="I183:J183" si="371">CONCATENATE(C183," : ","0")</f>
        <v>E6_3_2_13_mRNA : 0</v>
      </c>
      <c r="J183" s="52" t="str">
        <f t="shared" si="371"/>
        <v>E6_3_2_13 : 0</v>
      </c>
      <c r="K183" s="53" t="str">
        <f t="shared" si="5"/>
        <v>0.00292 - (0.0093 * E6_3_2_13_mRNA)</v>
      </c>
      <c r="L183" s="54" t="str">
        <f t="shared" si="6"/>
        <v>(0.278 * E6_3_2_13_mRNA) - (0.00000278 * E6_3_2_13)</v>
      </c>
      <c r="M183" s="55" t="str">
        <f t="shared" si="7"/>
        <v>mRNA182: -&gt; E6_3_2_13_mRNA | 0.00292 - (0.0093 * E6_3_2_13_mRNA)</v>
      </c>
      <c r="N183" s="56" t="str">
        <f t="shared" si="8"/>
        <v>Peptide182: E6_3_2_13_mRNA -&gt; E6_3_2_13 | (0.278 * E6_3_2_13_mRNA) - (0.000000278 * E6_3_2_13)</v>
      </c>
    </row>
    <row r="184" spans="1:14" ht="29">
      <c r="A184" s="46">
        <v>183</v>
      </c>
      <c r="B184" s="7" t="s">
        <v>12473</v>
      </c>
      <c r="C184" s="27" t="str">
        <f t="shared" si="0"/>
        <v>E6_3_2_7_mRNA</v>
      </c>
      <c r="D184" s="47" t="str">
        <f t="shared" si="9"/>
        <v>E6_3_2_7</v>
      </c>
      <c r="E184" s="48" t="str">
        <f t="shared" si="1"/>
        <v>E6_3_2_7_kcat : 13.7</v>
      </c>
      <c r="F184" s="49" t="str">
        <f t="shared" si="2"/>
        <v>E6_3_2_7_km : 1</v>
      </c>
      <c r="G184" s="9" t="str">
        <f t="shared" ref="G184:H184" si="372">CONCATENATE(C184," : ",C184)</f>
        <v>E6_3_2_7_mRNA : E6_3_2_7_mRNA</v>
      </c>
      <c r="H184" s="50" t="str">
        <f t="shared" si="372"/>
        <v>E6_3_2_7 : E6_3_2_7</v>
      </c>
      <c r="I184" s="51" t="str">
        <f t="shared" ref="I184:J184" si="373">CONCATENATE(C184," : ","0")</f>
        <v>E6_3_2_7_mRNA : 0</v>
      </c>
      <c r="J184" s="52" t="str">
        <f t="shared" si="373"/>
        <v>E6_3_2_7 : 0</v>
      </c>
      <c r="K184" s="53" t="str">
        <f t="shared" si="5"/>
        <v>0.00292 - (0.0093 * E6_3_2_7_mRNA)</v>
      </c>
      <c r="L184" s="54" t="str">
        <f t="shared" si="6"/>
        <v>(0.278 * E6_3_2_7_mRNA) - (0.00000278 * E6_3_2_7)</v>
      </c>
      <c r="M184" s="55" t="str">
        <f t="shared" si="7"/>
        <v>mRNA183: -&gt; E6_3_2_7_mRNA | 0.00292 - (0.0093 * E6_3_2_7_mRNA)</v>
      </c>
      <c r="N184" s="56" t="str">
        <f t="shared" si="8"/>
        <v>Peptide183: E6_3_2_7_mRNA -&gt; E6_3_2_7 | (0.278 * E6_3_2_7_mRNA) - (0.000000278 * E6_3_2_7)</v>
      </c>
    </row>
    <row r="185" spans="1:14" ht="29">
      <c r="A185" s="46">
        <v>184</v>
      </c>
      <c r="B185" s="7" t="s">
        <v>12474</v>
      </c>
      <c r="C185" s="27" t="str">
        <f t="shared" si="0"/>
        <v>E3_6_3_44_mRNA</v>
      </c>
      <c r="D185" s="47" t="str">
        <f t="shared" si="9"/>
        <v>E3_6_3_44</v>
      </c>
      <c r="E185" s="48" t="str">
        <f t="shared" si="1"/>
        <v>E3_6_3_44_kcat : 13.7</v>
      </c>
      <c r="F185" s="49" t="str">
        <f t="shared" si="2"/>
        <v>E3_6_3_44_km : 1</v>
      </c>
      <c r="G185" s="9" t="str">
        <f t="shared" ref="G185:H185" si="374">CONCATENATE(C185," : ",C185)</f>
        <v>E3_6_3_44_mRNA : E3_6_3_44_mRNA</v>
      </c>
      <c r="H185" s="50" t="str">
        <f t="shared" si="374"/>
        <v>E3_6_3_44 : E3_6_3_44</v>
      </c>
      <c r="I185" s="51" t="str">
        <f t="shared" ref="I185:J185" si="375">CONCATENATE(C185," : ","0")</f>
        <v>E3_6_3_44_mRNA : 0</v>
      </c>
      <c r="J185" s="52" t="str">
        <f t="shared" si="375"/>
        <v>E3_6_3_44 : 0</v>
      </c>
      <c r="K185" s="53" t="str">
        <f t="shared" si="5"/>
        <v>0.00292 - (0.0093 * E3_6_3_44_mRNA)</v>
      </c>
      <c r="L185" s="54" t="str">
        <f t="shared" si="6"/>
        <v>(0.278 * E3_6_3_44_mRNA) - (0.00000278 * E3_6_3_44)</v>
      </c>
      <c r="M185" s="55" t="str">
        <f t="shared" si="7"/>
        <v>mRNA184: -&gt; E3_6_3_44_mRNA | 0.00292 - (0.0093 * E3_6_3_44_mRNA)</v>
      </c>
      <c r="N185" s="56" t="str">
        <f t="shared" si="8"/>
        <v>Peptide184: E3_6_3_44_mRNA -&gt; E3_6_3_44 | (0.278 * E3_6_3_44_mRNA) - (0.000000278 * E3_6_3_44)</v>
      </c>
    </row>
    <row r="186" spans="1:14" ht="29">
      <c r="A186" s="46">
        <v>185</v>
      </c>
      <c r="B186" s="7" t="s">
        <v>12475</v>
      </c>
      <c r="C186" s="27" t="str">
        <f t="shared" si="0"/>
        <v>E2_5_1_48_mRNA</v>
      </c>
      <c r="D186" s="47" t="str">
        <f t="shared" si="9"/>
        <v>E2_5_1_48</v>
      </c>
      <c r="E186" s="48" t="str">
        <f t="shared" si="1"/>
        <v>E2_5_1_48_kcat : 13.7</v>
      </c>
      <c r="F186" s="49" t="str">
        <f t="shared" si="2"/>
        <v>E2_5_1_48_km : 1</v>
      </c>
      <c r="G186" s="9" t="str">
        <f t="shared" ref="G186:H186" si="376">CONCATENATE(C186," : ",C186)</f>
        <v>E2_5_1_48_mRNA : E2_5_1_48_mRNA</v>
      </c>
      <c r="H186" s="50" t="str">
        <f t="shared" si="376"/>
        <v>E2_5_1_48 : E2_5_1_48</v>
      </c>
      <c r="I186" s="51" t="str">
        <f t="shared" ref="I186:J186" si="377">CONCATENATE(C186," : ","0")</f>
        <v>E2_5_1_48_mRNA : 0</v>
      </c>
      <c r="J186" s="52" t="str">
        <f t="shared" si="377"/>
        <v>E2_5_1_48 : 0</v>
      </c>
      <c r="K186" s="53" t="str">
        <f t="shared" si="5"/>
        <v>0.00292 - (0.0093 * E2_5_1_48_mRNA)</v>
      </c>
      <c r="L186" s="54" t="str">
        <f t="shared" si="6"/>
        <v>(0.278 * E2_5_1_48_mRNA) - (0.00000278 * E2_5_1_48)</v>
      </c>
      <c r="M186" s="55" t="str">
        <f t="shared" si="7"/>
        <v>mRNA185: -&gt; E2_5_1_48_mRNA | 0.00292 - (0.0093 * E2_5_1_48_mRNA)</v>
      </c>
      <c r="N186" s="56" t="str">
        <f t="shared" si="8"/>
        <v>Peptide185: E2_5_1_48_mRNA -&gt; E2_5_1_48 | (0.278 * E2_5_1_48_mRNA) - (0.000000278 * E2_5_1_48)</v>
      </c>
    </row>
    <row r="187" spans="1:14" ht="29">
      <c r="A187" s="46">
        <v>186</v>
      </c>
      <c r="B187" s="7" t="s">
        <v>12476</v>
      </c>
      <c r="C187" s="27" t="str">
        <f t="shared" si="0"/>
        <v>E4_4_1_8_mRNA</v>
      </c>
      <c r="D187" s="47" t="str">
        <f t="shared" si="9"/>
        <v>E4_4_1_8</v>
      </c>
      <c r="E187" s="48" t="str">
        <f t="shared" si="1"/>
        <v>E4_4_1_8_kcat : 13.7</v>
      </c>
      <c r="F187" s="49" t="str">
        <f t="shared" si="2"/>
        <v>E4_4_1_8_km : 1</v>
      </c>
      <c r="G187" s="9" t="str">
        <f t="shared" ref="G187:H187" si="378">CONCATENATE(C187," : ",C187)</f>
        <v>E4_4_1_8_mRNA : E4_4_1_8_mRNA</v>
      </c>
      <c r="H187" s="50" t="str">
        <f t="shared" si="378"/>
        <v>E4_4_1_8 : E4_4_1_8</v>
      </c>
      <c r="I187" s="51" t="str">
        <f t="shared" ref="I187:J187" si="379">CONCATENATE(C187," : ","0")</f>
        <v>E4_4_1_8_mRNA : 0</v>
      </c>
      <c r="J187" s="52" t="str">
        <f t="shared" si="379"/>
        <v>E4_4_1_8 : 0</v>
      </c>
      <c r="K187" s="53" t="str">
        <f t="shared" si="5"/>
        <v>0.00292 - (0.0093 * E4_4_1_8_mRNA)</v>
      </c>
      <c r="L187" s="54" t="str">
        <f t="shared" si="6"/>
        <v>(0.278 * E4_4_1_8_mRNA) - (0.00000278 * E4_4_1_8)</v>
      </c>
      <c r="M187" s="55" t="str">
        <f t="shared" si="7"/>
        <v>mRNA186: -&gt; E4_4_1_8_mRNA | 0.00292 - (0.0093 * E4_4_1_8_mRNA)</v>
      </c>
      <c r="N187" s="56" t="str">
        <f t="shared" si="8"/>
        <v>Peptide186: E4_4_1_8_mRNA -&gt; E4_4_1_8 | (0.278 * E4_4_1_8_mRNA) - (0.000000278 * E4_4_1_8)</v>
      </c>
    </row>
    <row r="188" spans="1:14" ht="29">
      <c r="A188" s="46">
        <v>187</v>
      </c>
      <c r="B188" s="7" t="s">
        <v>12477</v>
      </c>
      <c r="C188" s="27" t="str">
        <f t="shared" si="0"/>
        <v>E5_5_1_5_mRNA</v>
      </c>
      <c r="D188" s="47" t="str">
        <f t="shared" si="9"/>
        <v>E5_5_1_5</v>
      </c>
      <c r="E188" s="48" t="str">
        <f t="shared" si="1"/>
        <v>E5_5_1_5_kcat : 13.7</v>
      </c>
      <c r="F188" s="49" t="str">
        <f t="shared" si="2"/>
        <v>E5_5_1_5_km : 1</v>
      </c>
      <c r="G188" s="9" t="str">
        <f t="shared" ref="G188:H188" si="380">CONCATENATE(C188," : ",C188)</f>
        <v>E5_5_1_5_mRNA : E5_5_1_5_mRNA</v>
      </c>
      <c r="H188" s="50" t="str">
        <f t="shared" si="380"/>
        <v>E5_5_1_5 : E5_5_1_5</v>
      </c>
      <c r="I188" s="51" t="str">
        <f t="shared" ref="I188:J188" si="381">CONCATENATE(C188," : ","0")</f>
        <v>E5_5_1_5_mRNA : 0</v>
      </c>
      <c r="J188" s="52" t="str">
        <f t="shared" si="381"/>
        <v>E5_5_1_5 : 0</v>
      </c>
      <c r="K188" s="53" t="str">
        <f t="shared" si="5"/>
        <v>0.00292 - (0.0093 * E5_5_1_5_mRNA)</v>
      </c>
      <c r="L188" s="54" t="str">
        <f t="shared" si="6"/>
        <v>(0.278 * E5_5_1_5_mRNA) - (0.00000278 * E5_5_1_5)</v>
      </c>
      <c r="M188" s="55" t="str">
        <f t="shared" si="7"/>
        <v>mRNA187: -&gt; E5_5_1_5_mRNA | 0.00292 - (0.0093 * E5_5_1_5_mRNA)</v>
      </c>
      <c r="N188" s="56" t="str">
        <f t="shared" si="8"/>
        <v>Peptide187: E5_5_1_5_mRNA -&gt; E5_5_1_5 | (0.278 * E5_5_1_5_mRNA) - (0.000000278 * E5_5_1_5)</v>
      </c>
    </row>
    <row r="189" spans="1:14" ht="29">
      <c r="A189" s="46">
        <v>188</v>
      </c>
      <c r="B189" s="7" t="s">
        <v>12478</v>
      </c>
      <c r="C189" s="27" t="str">
        <f t="shared" si="0"/>
        <v>E5_4_2_3_mRNA</v>
      </c>
      <c r="D189" s="47" t="str">
        <f t="shared" si="9"/>
        <v>E5_4_2_3</v>
      </c>
      <c r="E189" s="48" t="str">
        <f t="shared" si="1"/>
        <v>E5_4_2_3_kcat : 13.7</v>
      </c>
      <c r="F189" s="49" t="str">
        <f t="shared" si="2"/>
        <v>E5_4_2_3_km : 1</v>
      </c>
      <c r="G189" s="9" t="str">
        <f t="shared" ref="G189:H189" si="382">CONCATENATE(C189," : ",C189)</f>
        <v>E5_4_2_3_mRNA : E5_4_2_3_mRNA</v>
      </c>
      <c r="H189" s="50" t="str">
        <f t="shared" si="382"/>
        <v>E5_4_2_3 : E5_4_2_3</v>
      </c>
      <c r="I189" s="51" t="str">
        <f t="shared" ref="I189:J189" si="383">CONCATENATE(C189," : ","0")</f>
        <v>E5_4_2_3_mRNA : 0</v>
      </c>
      <c r="J189" s="52" t="str">
        <f t="shared" si="383"/>
        <v>E5_4_2_3 : 0</v>
      </c>
      <c r="K189" s="53" t="str">
        <f t="shared" si="5"/>
        <v>0.00292 - (0.0093 * E5_4_2_3_mRNA)</v>
      </c>
      <c r="L189" s="54" t="str">
        <f t="shared" si="6"/>
        <v>(0.278 * E5_4_2_3_mRNA) - (0.00000278 * E5_4_2_3)</v>
      </c>
      <c r="M189" s="55" t="str">
        <f t="shared" si="7"/>
        <v>mRNA188: -&gt; E5_4_2_3_mRNA | 0.00292 - (0.0093 * E5_4_2_3_mRNA)</v>
      </c>
      <c r="N189" s="56" t="str">
        <f t="shared" si="8"/>
        <v>Peptide188: E5_4_2_3_mRNA -&gt; E5_4_2_3 | (0.278 * E5_4_2_3_mRNA) - (0.000000278 * E5_4_2_3)</v>
      </c>
    </row>
    <row r="190" spans="1:14" ht="29">
      <c r="A190" s="46">
        <v>189</v>
      </c>
      <c r="B190" s="7" t="s">
        <v>12479</v>
      </c>
      <c r="C190" s="27" t="str">
        <f t="shared" si="0"/>
        <v>E5_4_2_10_mRNA</v>
      </c>
      <c r="D190" s="47" t="str">
        <f t="shared" si="9"/>
        <v>E5_4_2_10</v>
      </c>
      <c r="E190" s="48" t="str">
        <f t="shared" si="1"/>
        <v>E5_4_2_10_kcat : 13.7</v>
      </c>
      <c r="F190" s="49" t="str">
        <f t="shared" si="2"/>
        <v>E5_4_2_10_km : 1</v>
      </c>
      <c r="G190" s="9" t="str">
        <f t="shared" ref="G190:H190" si="384">CONCATENATE(C190," : ",C190)</f>
        <v>E5_4_2_10_mRNA : E5_4_2_10_mRNA</v>
      </c>
      <c r="H190" s="50" t="str">
        <f t="shared" si="384"/>
        <v>E5_4_2_10 : E5_4_2_10</v>
      </c>
      <c r="I190" s="51" t="str">
        <f t="shared" ref="I190:J190" si="385">CONCATENATE(C190," : ","0")</f>
        <v>E5_4_2_10_mRNA : 0</v>
      </c>
      <c r="J190" s="52" t="str">
        <f t="shared" si="385"/>
        <v>E5_4_2_10 : 0</v>
      </c>
      <c r="K190" s="53" t="str">
        <f t="shared" si="5"/>
        <v>0.00292 - (0.0093 * E5_4_2_10_mRNA)</v>
      </c>
      <c r="L190" s="54" t="str">
        <f t="shared" si="6"/>
        <v>(0.278 * E5_4_2_10_mRNA) - (0.00000278 * E5_4_2_10)</v>
      </c>
      <c r="M190" s="55" t="str">
        <f t="shared" si="7"/>
        <v>mRNA189: -&gt; E5_4_2_10_mRNA | 0.00292 - (0.0093 * E5_4_2_10_mRNA)</v>
      </c>
      <c r="N190" s="56" t="str">
        <f t="shared" si="8"/>
        <v>Peptide189: E5_4_2_10_mRNA -&gt; E5_4_2_10 | (0.278 * E5_4_2_10_mRNA) - (0.000000278 * E5_4_2_10)</v>
      </c>
    </row>
    <row r="191" spans="1:14" ht="29">
      <c r="A191" s="46">
        <v>190</v>
      </c>
      <c r="B191" s="7" t="s">
        <v>12480</v>
      </c>
      <c r="C191" s="27" t="str">
        <f t="shared" si="0"/>
        <v>E1_17_1_8_mRNA</v>
      </c>
      <c r="D191" s="47" t="str">
        <f t="shared" si="9"/>
        <v>E1_17_1_8</v>
      </c>
      <c r="E191" s="48" t="str">
        <f t="shared" si="1"/>
        <v>E1_17_1_8_kcat : 13.7</v>
      </c>
      <c r="F191" s="49" t="str">
        <f t="shared" si="2"/>
        <v>E1_17_1_8_km : 1</v>
      </c>
      <c r="G191" s="9" t="str">
        <f t="shared" ref="G191:H191" si="386">CONCATENATE(C191," : ",C191)</f>
        <v>E1_17_1_8_mRNA : E1_17_1_8_mRNA</v>
      </c>
      <c r="H191" s="50" t="str">
        <f t="shared" si="386"/>
        <v>E1_17_1_8 : E1_17_1_8</v>
      </c>
      <c r="I191" s="51" t="str">
        <f t="shared" ref="I191:J191" si="387">CONCATENATE(C191," : ","0")</f>
        <v>E1_17_1_8_mRNA : 0</v>
      </c>
      <c r="J191" s="52" t="str">
        <f t="shared" si="387"/>
        <v>E1_17_1_8 : 0</v>
      </c>
      <c r="K191" s="53" t="str">
        <f t="shared" si="5"/>
        <v>0.00292 - (0.0093 * E1_17_1_8_mRNA)</v>
      </c>
      <c r="L191" s="54" t="str">
        <f t="shared" si="6"/>
        <v>(0.278 * E1_17_1_8_mRNA) - (0.00000278 * E1_17_1_8)</v>
      </c>
      <c r="M191" s="55" t="str">
        <f t="shared" si="7"/>
        <v>mRNA190: -&gt; E1_17_1_8_mRNA | 0.00292 - (0.0093 * E1_17_1_8_mRNA)</v>
      </c>
      <c r="N191" s="56" t="str">
        <f t="shared" si="8"/>
        <v>Peptide190: E1_17_1_8_mRNA -&gt; E1_17_1_8 | (0.278 * E1_17_1_8_mRNA) - (0.000000278 * E1_17_1_8)</v>
      </c>
    </row>
    <row r="192" spans="1:14" ht="29">
      <c r="A192" s="46">
        <v>191</v>
      </c>
      <c r="B192" s="7" t="s">
        <v>12481</v>
      </c>
      <c r="C192" s="27" t="str">
        <f t="shared" si="0"/>
        <v>E2_7_7_15_mRNA</v>
      </c>
      <c r="D192" s="47" t="str">
        <f t="shared" si="9"/>
        <v>E2_7_7_15</v>
      </c>
      <c r="E192" s="48" t="str">
        <f t="shared" si="1"/>
        <v>E2_7_7_15_kcat : 13.7</v>
      </c>
      <c r="F192" s="49" t="str">
        <f t="shared" si="2"/>
        <v>E2_7_7_15_km : 1</v>
      </c>
      <c r="G192" s="9" t="str">
        <f t="shared" ref="G192:H192" si="388">CONCATENATE(C192," : ",C192)</f>
        <v>E2_7_7_15_mRNA : E2_7_7_15_mRNA</v>
      </c>
      <c r="H192" s="50" t="str">
        <f t="shared" si="388"/>
        <v>E2_7_7_15 : E2_7_7_15</v>
      </c>
      <c r="I192" s="51" t="str">
        <f t="shared" ref="I192:J192" si="389">CONCATENATE(C192," : ","0")</f>
        <v>E2_7_7_15_mRNA : 0</v>
      </c>
      <c r="J192" s="52" t="str">
        <f t="shared" si="389"/>
        <v>E2_7_7_15 : 0</v>
      </c>
      <c r="K192" s="53" t="str">
        <f t="shared" si="5"/>
        <v>0.00292 - (0.0093 * E2_7_7_15_mRNA)</v>
      </c>
      <c r="L192" s="54" t="str">
        <f t="shared" si="6"/>
        <v>(0.278 * E2_7_7_15_mRNA) - (0.00000278 * E2_7_7_15)</v>
      </c>
      <c r="M192" s="55" t="str">
        <f t="shared" si="7"/>
        <v>mRNA191: -&gt; E2_7_7_15_mRNA | 0.00292 - (0.0093 * E2_7_7_15_mRNA)</v>
      </c>
      <c r="N192" s="56" t="str">
        <f t="shared" si="8"/>
        <v>Peptide191: E2_7_7_15_mRNA -&gt; E2_7_7_15 | (0.278 * E2_7_7_15_mRNA) - (0.000000278 * E2_7_7_15)</v>
      </c>
    </row>
    <row r="193" spans="1:14" ht="29">
      <c r="A193" s="46">
        <v>192</v>
      </c>
      <c r="B193" s="7" t="s">
        <v>12482</v>
      </c>
      <c r="C193" s="27" t="str">
        <f t="shared" si="0"/>
        <v>E2_7_7_9_mRNA</v>
      </c>
      <c r="D193" s="47" t="str">
        <f t="shared" si="9"/>
        <v>E2_7_7_9</v>
      </c>
      <c r="E193" s="48" t="str">
        <f t="shared" si="1"/>
        <v>E2_7_7_9_kcat : 13.7</v>
      </c>
      <c r="F193" s="49" t="str">
        <f t="shared" si="2"/>
        <v>E2_7_7_9_km : 1</v>
      </c>
      <c r="G193" s="9" t="str">
        <f t="shared" ref="G193:H193" si="390">CONCATENATE(C193," : ",C193)</f>
        <v>E2_7_7_9_mRNA : E2_7_7_9_mRNA</v>
      </c>
      <c r="H193" s="50" t="str">
        <f t="shared" si="390"/>
        <v>E2_7_7_9 : E2_7_7_9</v>
      </c>
      <c r="I193" s="51" t="str">
        <f t="shared" ref="I193:J193" si="391">CONCATENATE(C193," : ","0")</f>
        <v>E2_7_7_9_mRNA : 0</v>
      </c>
      <c r="J193" s="52" t="str">
        <f t="shared" si="391"/>
        <v>E2_7_7_9 : 0</v>
      </c>
      <c r="K193" s="53" t="str">
        <f t="shared" si="5"/>
        <v>0.00292 - (0.0093 * E2_7_7_9_mRNA)</v>
      </c>
      <c r="L193" s="54" t="str">
        <f t="shared" si="6"/>
        <v>(0.278 * E2_7_7_9_mRNA) - (0.00000278 * E2_7_7_9)</v>
      </c>
      <c r="M193" s="55" t="str">
        <f t="shared" si="7"/>
        <v>mRNA192: -&gt; E2_7_7_9_mRNA | 0.00292 - (0.0093 * E2_7_7_9_mRNA)</v>
      </c>
      <c r="N193" s="56" t="str">
        <f t="shared" si="8"/>
        <v>Peptide192: E2_7_7_9_mRNA -&gt; E2_7_7_9 | (0.278 * E2_7_7_9_mRNA) - (0.000000278 * E2_7_7_9)</v>
      </c>
    </row>
    <row r="194" spans="1:14" ht="29">
      <c r="A194" s="46">
        <v>193</v>
      </c>
      <c r="B194" s="7" t="s">
        <v>12483</v>
      </c>
      <c r="C194" s="27" t="str">
        <f t="shared" si="0"/>
        <v>E1_1_1_292_mRNA</v>
      </c>
      <c r="D194" s="47" t="str">
        <f t="shared" si="9"/>
        <v>E1_1_1_292</v>
      </c>
      <c r="E194" s="48" t="str">
        <f t="shared" si="1"/>
        <v>E1_1_1_292_kcat : 13.7</v>
      </c>
      <c r="F194" s="49" t="str">
        <f t="shared" si="2"/>
        <v>E1_1_1_292_km : 1</v>
      </c>
      <c r="G194" s="9" t="str">
        <f t="shared" ref="G194:H194" si="392">CONCATENATE(C194," : ",C194)</f>
        <v>E1_1_1_292_mRNA : E1_1_1_292_mRNA</v>
      </c>
      <c r="H194" s="50" t="str">
        <f t="shared" si="392"/>
        <v>E1_1_1_292 : E1_1_1_292</v>
      </c>
      <c r="I194" s="51" t="str">
        <f t="shared" ref="I194:J194" si="393">CONCATENATE(C194," : ","0")</f>
        <v>E1_1_1_292_mRNA : 0</v>
      </c>
      <c r="J194" s="52" t="str">
        <f t="shared" si="393"/>
        <v>E1_1_1_292 : 0</v>
      </c>
      <c r="K194" s="53" t="str">
        <f t="shared" si="5"/>
        <v>0.00292 - (0.0093 * E1_1_1_292_mRNA)</v>
      </c>
      <c r="L194" s="54" t="str">
        <f t="shared" si="6"/>
        <v>(0.278 * E1_1_1_292_mRNA) - (0.00000278 * E1_1_1_292)</v>
      </c>
      <c r="M194" s="55" t="str">
        <f t="shared" si="7"/>
        <v>mRNA193: -&gt; E1_1_1_292_mRNA | 0.00292 - (0.0093 * E1_1_1_292_mRNA)</v>
      </c>
      <c r="N194" s="56" t="str">
        <f t="shared" si="8"/>
        <v>Peptide193: E1_1_1_292_mRNA -&gt; E1_1_1_292 | (0.278 * E1_1_1_292_mRNA) - (0.000000278 * E1_1_1_292)</v>
      </c>
    </row>
    <row r="195" spans="1:14" ht="29">
      <c r="A195" s="46">
        <v>194</v>
      </c>
      <c r="B195" s="7" t="s">
        <v>12484</v>
      </c>
      <c r="C195" s="27" t="str">
        <f t="shared" si="0"/>
        <v>E2_7_1_4_mRNA</v>
      </c>
      <c r="D195" s="47" t="str">
        <f t="shared" si="9"/>
        <v>E2_7_1_4</v>
      </c>
      <c r="E195" s="48" t="str">
        <f t="shared" si="1"/>
        <v>E2_7_1_4_kcat : 13.7</v>
      </c>
      <c r="F195" s="49" t="str">
        <f t="shared" si="2"/>
        <v>E2_7_1_4_km : 1</v>
      </c>
      <c r="G195" s="9" t="str">
        <f t="shared" ref="G195:H195" si="394">CONCATENATE(C195," : ",C195)</f>
        <v>E2_7_1_4_mRNA : E2_7_1_4_mRNA</v>
      </c>
      <c r="H195" s="50" t="str">
        <f t="shared" si="394"/>
        <v>E2_7_1_4 : E2_7_1_4</v>
      </c>
      <c r="I195" s="51" t="str">
        <f t="shared" ref="I195:J195" si="395">CONCATENATE(C195," : ","0")</f>
        <v>E2_7_1_4_mRNA : 0</v>
      </c>
      <c r="J195" s="52" t="str">
        <f t="shared" si="395"/>
        <v>E2_7_1_4 : 0</v>
      </c>
      <c r="K195" s="53" t="str">
        <f t="shared" si="5"/>
        <v>0.00292 - (0.0093 * E2_7_1_4_mRNA)</v>
      </c>
      <c r="L195" s="54" t="str">
        <f t="shared" si="6"/>
        <v>(0.278 * E2_7_1_4_mRNA) - (0.00000278 * E2_7_1_4)</v>
      </c>
      <c r="M195" s="55" t="str">
        <f t="shared" si="7"/>
        <v>mRNA194: -&gt; E2_7_1_4_mRNA | 0.00292 - (0.0093 * E2_7_1_4_mRNA)</v>
      </c>
      <c r="N195" s="56" t="str">
        <f t="shared" si="8"/>
        <v>Peptide194: E2_7_1_4_mRNA -&gt; E2_7_1_4 | (0.278 * E2_7_1_4_mRNA) - (0.000000278 * E2_7_1_4)</v>
      </c>
    </row>
    <row r="196" spans="1:14" ht="29">
      <c r="A196" s="46">
        <v>195</v>
      </c>
      <c r="B196" s="7" t="s">
        <v>12485</v>
      </c>
      <c r="C196" s="27" t="str">
        <f t="shared" si="0"/>
        <v>E1_5_1_39_mRNA</v>
      </c>
      <c r="D196" s="47" t="str">
        <f t="shared" si="9"/>
        <v>E1_5_1_39</v>
      </c>
      <c r="E196" s="48" t="str">
        <f t="shared" si="1"/>
        <v>E1_5_1_39_kcat : 13.7</v>
      </c>
      <c r="F196" s="49" t="str">
        <f t="shared" si="2"/>
        <v>E1_5_1_39_km : 1</v>
      </c>
      <c r="G196" s="9" t="str">
        <f t="shared" ref="G196:H196" si="396">CONCATENATE(C196," : ",C196)</f>
        <v>E1_5_1_39_mRNA : E1_5_1_39_mRNA</v>
      </c>
      <c r="H196" s="50" t="str">
        <f t="shared" si="396"/>
        <v>E1_5_1_39 : E1_5_1_39</v>
      </c>
      <c r="I196" s="51" t="str">
        <f t="shared" ref="I196:J196" si="397">CONCATENATE(C196," : ","0")</f>
        <v>E1_5_1_39_mRNA : 0</v>
      </c>
      <c r="J196" s="52" t="str">
        <f t="shared" si="397"/>
        <v>E1_5_1_39 : 0</v>
      </c>
      <c r="K196" s="53" t="str">
        <f t="shared" si="5"/>
        <v>0.00292 - (0.0093 * E1_5_1_39_mRNA)</v>
      </c>
      <c r="L196" s="54" t="str">
        <f t="shared" si="6"/>
        <v>(0.278 * E1_5_1_39_mRNA) - (0.00000278 * E1_5_1_39)</v>
      </c>
      <c r="M196" s="55" t="str">
        <f t="shared" si="7"/>
        <v>mRNA195: -&gt; E1_5_1_39_mRNA | 0.00292 - (0.0093 * E1_5_1_39_mRNA)</v>
      </c>
      <c r="N196" s="56" t="str">
        <f t="shared" si="8"/>
        <v>Peptide195: E1_5_1_39_mRNA -&gt; E1_5_1_39 | (0.278 * E1_5_1_39_mRNA) - (0.000000278 * E1_5_1_39)</v>
      </c>
    </row>
    <row r="197" spans="1:14" ht="29">
      <c r="A197" s="46">
        <v>196</v>
      </c>
      <c r="B197" s="7" t="s">
        <v>12486</v>
      </c>
      <c r="C197" s="27" t="str">
        <f t="shared" si="0"/>
        <v>E3_6_3_20_mRNA</v>
      </c>
      <c r="D197" s="47" t="str">
        <f t="shared" si="9"/>
        <v>E3_6_3_20</v>
      </c>
      <c r="E197" s="48" t="str">
        <f t="shared" si="1"/>
        <v>E3_6_3_20_kcat : 13.7</v>
      </c>
      <c r="F197" s="49" t="str">
        <f t="shared" si="2"/>
        <v>E3_6_3_20_km : 1</v>
      </c>
      <c r="G197" s="9" t="str">
        <f t="shared" ref="G197:H197" si="398">CONCATENATE(C197," : ",C197)</f>
        <v>E3_6_3_20_mRNA : E3_6_3_20_mRNA</v>
      </c>
      <c r="H197" s="50" t="str">
        <f t="shared" si="398"/>
        <v>E3_6_3_20 : E3_6_3_20</v>
      </c>
      <c r="I197" s="51" t="str">
        <f t="shared" ref="I197:J197" si="399">CONCATENATE(C197," : ","0")</f>
        <v>E3_6_3_20_mRNA : 0</v>
      </c>
      <c r="J197" s="52" t="str">
        <f t="shared" si="399"/>
        <v>E3_6_3_20 : 0</v>
      </c>
      <c r="K197" s="53" t="str">
        <f t="shared" si="5"/>
        <v>0.00292 - (0.0093 * E3_6_3_20_mRNA)</v>
      </c>
      <c r="L197" s="54" t="str">
        <f t="shared" si="6"/>
        <v>(0.278 * E3_6_3_20_mRNA) - (0.00000278 * E3_6_3_20)</v>
      </c>
      <c r="M197" s="55" t="str">
        <f t="shared" si="7"/>
        <v>mRNA196: -&gt; E3_6_3_20_mRNA | 0.00292 - (0.0093 * E3_6_3_20_mRNA)</v>
      </c>
      <c r="N197" s="56" t="str">
        <f t="shared" si="8"/>
        <v>Peptide196: E3_6_3_20_mRNA -&gt; E3_6_3_20 | (0.278 * E3_6_3_20_mRNA) - (0.000000278 * E3_6_3_20)</v>
      </c>
    </row>
    <row r="198" spans="1:14" ht="29">
      <c r="A198" s="46">
        <v>197</v>
      </c>
      <c r="B198" s="7" t="s">
        <v>12487</v>
      </c>
      <c r="C198" s="27" t="str">
        <f t="shared" si="0"/>
        <v>E2_1_1_63_mRNA</v>
      </c>
      <c r="D198" s="47" t="str">
        <f t="shared" si="9"/>
        <v>E2_1_1_63</v>
      </c>
      <c r="E198" s="48" t="str">
        <f t="shared" si="1"/>
        <v>E2_1_1_63_kcat : 13.7</v>
      </c>
      <c r="F198" s="49" t="str">
        <f t="shared" si="2"/>
        <v>E2_1_1_63_km : 1</v>
      </c>
      <c r="G198" s="9" t="str">
        <f t="shared" ref="G198:H198" si="400">CONCATENATE(C198," : ",C198)</f>
        <v>E2_1_1_63_mRNA : E2_1_1_63_mRNA</v>
      </c>
      <c r="H198" s="50" t="str">
        <f t="shared" si="400"/>
        <v>E2_1_1_63 : E2_1_1_63</v>
      </c>
      <c r="I198" s="51" t="str">
        <f t="shared" ref="I198:J198" si="401">CONCATENATE(C198," : ","0")</f>
        <v>E2_1_1_63_mRNA : 0</v>
      </c>
      <c r="J198" s="52" t="str">
        <f t="shared" si="401"/>
        <v>E2_1_1_63 : 0</v>
      </c>
      <c r="K198" s="53" t="str">
        <f t="shared" si="5"/>
        <v>0.00292 - (0.0093 * E2_1_1_63_mRNA)</v>
      </c>
      <c r="L198" s="54" t="str">
        <f t="shared" si="6"/>
        <v>(0.278 * E2_1_1_63_mRNA) - (0.00000278 * E2_1_1_63)</v>
      </c>
      <c r="M198" s="55" t="str">
        <f t="shared" si="7"/>
        <v>mRNA197: -&gt; E2_1_1_63_mRNA | 0.00292 - (0.0093 * E2_1_1_63_mRNA)</v>
      </c>
      <c r="N198" s="56" t="str">
        <f t="shared" si="8"/>
        <v>Peptide197: E2_1_1_63_mRNA -&gt; E2_1_1_63 | (0.278 * E2_1_1_63_mRNA) - (0.000000278 * E2_1_1_63)</v>
      </c>
    </row>
    <row r="199" spans="1:14" ht="29">
      <c r="A199" s="46">
        <v>198</v>
      </c>
      <c r="B199" s="7" t="s">
        <v>12488</v>
      </c>
      <c r="C199" s="27" t="str">
        <f t="shared" si="0"/>
        <v>E1_18_1_2_mRNA</v>
      </c>
      <c r="D199" s="47" t="str">
        <f t="shared" si="9"/>
        <v>E1_18_1_2</v>
      </c>
      <c r="E199" s="48" t="str">
        <f t="shared" si="1"/>
        <v>E1_18_1_2_kcat : 13.7</v>
      </c>
      <c r="F199" s="49" t="str">
        <f t="shared" si="2"/>
        <v>E1_18_1_2_km : 1</v>
      </c>
      <c r="G199" s="9" t="str">
        <f t="shared" ref="G199:H199" si="402">CONCATENATE(C199," : ",C199)</f>
        <v>E1_18_1_2_mRNA : E1_18_1_2_mRNA</v>
      </c>
      <c r="H199" s="50" t="str">
        <f t="shared" si="402"/>
        <v>E1_18_1_2 : E1_18_1_2</v>
      </c>
      <c r="I199" s="51" t="str">
        <f t="shared" ref="I199:J199" si="403">CONCATENATE(C199," : ","0")</f>
        <v>E1_18_1_2_mRNA : 0</v>
      </c>
      <c r="J199" s="52" t="str">
        <f t="shared" si="403"/>
        <v>E1_18_1_2 : 0</v>
      </c>
      <c r="K199" s="53" t="str">
        <f t="shared" si="5"/>
        <v>0.00292 - (0.0093 * E1_18_1_2_mRNA)</v>
      </c>
      <c r="L199" s="54" t="str">
        <f t="shared" si="6"/>
        <v>(0.278 * E1_18_1_2_mRNA) - (0.00000278 * E1_18_1_2)</v>
      </c>
      <c r="M199" s="55" t="str">
        <f t="shared" si="7"/>
        <v>mRNA198: -&gt; E1_18_1_2_mRNA | 0.00292 - (0.0093 * E1_18_1_2_mRNA)</v>
      </c>
      <c r="N199" s="56" t="str">
        <f t="shared" si="8"/>
        <v>Peptide198: E1_18_1_2_mRNA -&gt; E1_18_1_2 | (0.278 * E1_18_1_2_mRNA) - (0.000000278 * E1_18_1_2)</v>
      </c>
    </row>
    <row r="200" spans="1:14" ht="29">
      <c r="A200" s="46">
        <v>199</v>
      </c>
      <c r="B200" s="7" t="s">
        <v>12489</v>
      </c>
      <c r="C200" s="27" t="str">
        <f t="shared" si="0"/>
        <v>E1_18_1_3_mRNA</v>
      </c>
      <c r="D200" s="47" t="str">
        <f t="shared" si="9"/>
        <v>E1_18_1_3</v>
      </c>
      <c r="E200" s="48" t="str">
        <f t="shared" si="1"/>
        <v>E1_18_1_3_kcat : 13.7</v>
      </c>
      <c r="F200" s="49" t="str">
        <f t="shared" si="2"/>
        <v>E1_18_1_3_km : 1</v>
      </c>
      <c r="G200" s="9" t="str">
        <f t="shared" ref="G200:H200" si="404">CONCATENATE(C200," : ",C200)</f>
        <v>E1_18_1_3_mRNA : E1_18_1_3_mRNA</v>
      </c>
      <c r="H200" s="50" t="str">
        <f t="shared" si="404"/>
        <v>E1_18_1_3 : E1_18_1_3</v>
      </c>
      <c r="I200" s="51" t="str">
        <f t="shared" ref="I200:J200" si="405">CONCATENATE(C200," : ","0")</f>
        <v>E1_18_1_3_mRNA : 0</v>
      </c>
      <c r="J200" s="52" t="str">
        <f t="shared" si="405"/>
        <v>E1_18_1_3 : 0</v>
      </c>
      <c r="K200" s="53" t="str">
        <f t="shared" si="5"/>
        <v>0.00292 - (0.0093 * E1_18_1_3_mRNA)</v>
      </c>
      <c r="L200" s="54" t="str">
        <f t="shared" si="6"/>
        <v>(0.278 * E1_18_1_3_mRNA) - (0.00000278 * E1_18_1_3)</v>
      </c>
      <c r="M200" s="55" t="str">
        <f t="shared" si="7"/>
        <v>mRNA199: -&gt; E1_18_1_3_mRNA | 0.00292 - (0.0093 * E1_18_1_3_mRNA)</v>
      </c>
      <c r="N200" s="56" t="str">
        <f t="shared" si="8"/>
        <v>Peptide199: E1_18_1_3_mRNA -&gt; E1_18_1_3 | (0.278 * E1_18_1_3_mRNA) - (0.000000278 * E1_18_1_3)</v>
      </c>
    </row>
    <row r="201" spans="1:14" ht="29">
      <c r="A201" s="46">
        <v>200</v>
      </c>
      <c r="B201" s="7" t="s">
        <v>12490</v>
      </c>
      <c r="C201" s="27" t="str">
        <f t="shared" si="0"/>
        <v>E2_7_7_27_mRNA</v>
      </c>
      <c r="D201" s="47" t="str">
        <f t="shared" si="9"/>
        <v>E2_7_7_27</v>
      </c>
      <c r="E201" s="48" t="str">
        <f t="shared" si="1"/>
        <v>E2_7_7_27_kcat : 13.7</v>
      </c>
      <c r="F201" s="49" t="str">
        <f t="shared" si="2"/>
        <v>E2_7_7_27_km : 1</v>
      </c>
      <c r="G201" s="9" t="str">
        <f t="shared" ref="G201:H201" si="406">CONCATENATE(C201," : ",C201)</f>
        <v>E2_7_7_27_mRNA : E2_7_7_27_mRNA</v>
      </c>
      <c r="H201" s="50" t="str">
        <f t="shared" si="406"/>
        <v>E2_7_7_27 : E2_7_7_27</v>
      </c>
      <c r="I201" s="51" t="str">
        <f t="shared" ref="I201:J201" si="407">CONCATENATE(C201," : ","0")</f>
        <v>E2_7_7_27_mRNA : 0</v>
      </c>
      <c r="J201" s="52" t="str">
        <f t="shared" si="407"/>
        <v>E2_7_7_27 : 0</v>
      </c>
      <c r="K201" s="53" t="str">
        <f t="shared" si="5"/>
        <v>0.00292 - (0.0093 * E2_7_7_27_mRNA)</v>
      </c>
      <c r="L201" s="54" t="str">
        <f t="shared" si="6"/>
        <v>(0.278 * E2_7_7_27_mRNA) - (0.00000278 * E2_7_7_27)</v>
      </c>
      <c r="M201" s="55" t="str">
        <f t="shared" si="7"/>
        <v>mRNA200: -&gt; E2_7_7_27_mRNA | 0.00292 - (0.0093 * E2_7_7_27_mRNA)</v>
      </c>
      <c r="N201" s="56" t="str">
        <f t="shared" si="8"/>
        <v>Peptide200: E2_7_7_27_mRNA -&gt; E2_7_7_27 | (0.278 * E2_7_7_27_mRNA) - (0.000000278 * E2_7_7_27)</v>
      </c>
    </row>
    <row r="202" spans="1:14" ht="29">
      <c r="A202" s="46">
        <v>201</v>
      </c>
      <c r="B202" s="7" t="s">
        <v>12491</v>
      </c>
      <c r="C202" s="27" t="str">
        <f t="shared" si="0"/>
        <v>E1_2_3_3_mRNA</v>
      </c>
      <c r="D202" s="47" t="str">
        <f t="shared" si="9"/>
        <v>E1_2_3_3</v>
      </c>
      <c r="E202" s="48" t="str">
        <f t="shared" si="1"/>
        <v>E1_2_3_3_kcat : 13.7</v>
      </c>
      <c r="F202" s="49" t="str">
        <f t="shared" si="2"/>
        <v>E1_2_3_3_km : 1</v>
      </c>
      <c r="G202" s="9" t="str">
        <f t="shared" ref="G202:H202" si="408">CONCATENATE(C202," : ",C202)</f>
        <v>E1_2_3_3_mRNA : E1_2_3_3_mRNA</v>
      </c>
      <c r="H202" s="50" t="str">
        <f t="shared" si="408"/>
        <v>E1_2_3_3 : E1_2_3_3</v>
      </c>
      <c r="I202" s="51" t="str">
        <f t="shared" ref="I202:J202" si="409">CONCATENATE(C202," : ","0")</f>
        <v>E1_2_3_3_mRNA : 0</v>
      </c>
      <c r="J202" s="52" t="str">
        <f t="shared" si="409"/>
        <v>E1_2_3_3 : 0</v>
      </c>
      <c r="K202" s="53" t="str">
        <f t="shared" si="5"/>
        <v>0.00292 - (0.0093 * E1_2_3_3_mRNA)</v>
      </c>
      <c r="L202" s="54" t="str">
        <f t="shared" si="6"/>
        <v>(0.278 * E1_2_3_3_mRNA) - (0.00000278 * E1_2_3_3)</v>
      </c>
      <c r="M202" s="55" t="str">
        <f t="shared" si="7"/>
        <v>mRNA201: -&gt; E1_2_3_3_mRNA | 0.00292 - (0.0093 * E1_2_3_3_mRNA)</v>
      </c>
      <c r="N202" s="56" t="str">
        <f t="shared" si="8"/>
        <v>Peptide201: E1_2_3_3_mRNA -&gt; E1_2_3_3 | (0.278 * E1_2_3_3_mRNA) - (0.000000278 * E1_2_3_3)</v>
      </c>
    </row>
    <row r="203" spans="1:14" ht="29">
      <c r="A203" s="46">
        <v>202</v>
      </c>
      <c r="B203" s="7" t="s">
        <v>12492</v>
      </c>
      <c r="C203" s="27" t="str">
        <f t="shared" si="0"/>
        <v>E4_2_1_33_mRNA</v>
      </c>
      <c r="D203" s="47" t="str">
        <f t="shared" si="9"/>
        <v>E4_2_1_33</v>
      </c>
      <c r="E203" s="48" t="str">
        <f t="shared" si="1"/>
        <v>E4_2_1_33_kcat : 13.7</v>
      </c>
      <c r="F203" s="49" t="str">
        <f t="shared" si="2"/>
        <v>E4_2_1_33_km : 1</v>
      </c>
      <c r="G203" s="9" t="str">
        <f t="shared" ref="G203:H203" si="410">CONCATENATE(C203," : ",C203)</f>
        <v>E4_2_1_33_mRNA : E4_2_1_33_mRNA</v>
      </c>
      <c r="H203" s="50" t="str">
        <f t="shared" si="410"/>
        <v>E4_2_1_33 : E4_2_1_33</v>
      </c>
      <c r="I203" s="51" t="str">
        <f t="shared" ref="I203:J203" si="411">CONCATENATE(C203," : ","0")</f>
        <v>E4_2_1_33_mRNA : 0</v>
      </c>
      <c r="J203" s="52" t="str">
        <f t="shared" si="411"/>
        <v>E4_2_1_33 : 0</v>
      </c>
      <c r="K203" s="53" t="str">
        <f t="shared" si="5"/>
        <v>0.00292 - (0.0093 * E4_2_1_33_mRNA)</v>
      </c>
      <c r="L203" s="54" t="str">
        <f t="shared" si="6"/>
        <v>(0.278 * E4_2_1_33_mRNA) - (0.00000278 * E4_2_1_33)</v>
      </c>
      <c r="M203" s="55" t="str">
        <f t="shared" si="7"/>
        <v>mRNA202: -&gt; E4_2_1_33_mRNA | 0.00292 - (0.0093 * E4_2_1_33_mRNA)</v>
      </c>
      <c r="N203" s="56" t="str">
        <f t="shared" si="8"/>
        <v>Peptide202: E4_2_1_33_mRNA -&gt; E4_2_1_33 | (0.278 * E4_2_1_33_mRNA) - (0.000000278 * E4_2_1_33)</v>
      </c>
    </row>
    <row r="204" spans="1:14" ht="29">
      <c r="A204" s="46">
        <v>203</v>
      </c>
      <c r="B204" s="7" t="s">
        <v>12493</v>
      </c>
      <c r="C204" s="27" t="str">
        <f t="shared" si="0"/>
        <v>E1_7_1_7_mRNA</v>
      </c>
      <c r="D204" s="47" t="str">
        <f t="shared" si="9"/>
        <v>E1_7_1_7</v>
      </c>
      <c r="E204" s="48" t="str">
        <f t="shared" si="1"/>
        <v>E1_7_1_7_kcat : 13.7</v>
      </c>
      <c r="F204" s="49" t="str">
        <f t="shared" si="2"/>
        <v>E1_7_1_7_km : 1</v>
      </c>
      <c r="G204" s="9" t="str">
        <f t="shared" ref="G204:H204" si="412">CONCATENATE(C204," : ",C204)</f>
        <v>E1_7_1_7_mRNA : E1_7_1_7_mRNA</v>
      </c>
      <c r="H204" s="50" t="str">
        <f t="shared" si="412"/>
        <v>E1_7_1_7 : E1_7_1_7</v>
      </c>
      <c r="I204" s="51" t="str">
        <f t="shared" ref="I204:J204" si="413">CONCATENATE(C204," : ","0")</f>
        <v>E1_7_1_7_mRNA : 0</v>
      </c>
      <c r="J204" s="52" t="str">
        <f t="shared" si="413"/>
        <v>E1_7_1_7 : 0</v>
      </c>
      <c r="K204" s="53" t="str">
        <f t="shared" si="5"/>
        <v>0.00292 - (0.0093 * E1_7_1_7_mRNA)</v>
      </c>
      <c r="L204" s="54" t="str">
        <f t="shared" si="6"/>
        <v>(0.278 * E1_7_1_7_mRNA) - (0.00000278 * E1_7_1_7)</v>
      </c>
      <c r="M204" s="55" t="str">
        <f t="shared" si="7"/>
        <v>mRNA203: -&gt; E1_7_1_7_mRNA | 0.00292 - (0.0093 * E1_7_1_7_mRNA)</v>
      </c>
      <c r="N204" s="56" t="str">
        <f t="shared" si="8"/>
        <v>Peptide203: E1_7_1_7_mRNA -&gt; E1_7_1_7 | (0.278 * E1_7_1_7_mRNA) - (0.000000278 * E1_7_1_7)</v>
      </c>
    </row>
    <row r="205" spans="1:14" ht="29">
      <c r="A205" s="46">
        <v>204</v>
      </c>
      <c r="B205" s="7" t="s">
        <v>12494</v>
      </c>
      <c r="C205" s="27" t="str">
        <f t="shared" si="0"/>
        <v>E3_1_26_3_mRNA</v>
      </c>
      <c r="D205" s="47" t="str">
        <f t="shared" si="9"/>
        <v>E3_1_26_3</v>
      </c>
      <c r="E205" s="48" t="str">
        <f t="shared" si="1"/>
        <v>E3_1_26_3_kcat : 13.7</v>
      </c>
      <c r="F205" s="49" t="str">
        <f t="shared" si="2"/>
        <v>E3_1_26_3_km : 1</v>
      </c>
      <c r="G205" s="9" t="str">
        <f t="shared" ref="G205:H205" si="414">CONCATENATE(C205," : ",C205)</f>
        <v>E3_1_26_3_mRNA : E3_1_26_3_mRNA</v>
      </c>
      <c r="H205" s="50" t="str">
        <f t="shared" si="414"/>
        <v>E3_1_26_3 : E3_1_26_3</v>
      </c>
      <c r="I205" s="51" t="str">
        <f t="shared" ref="I205:J205" si="415">CONCATENATE(C205," : ","0")</f>
        <v>E3_1_26_3_mRNA : 0</v>
      </c>
      <c r="J205" s="52" t="str">
        <f t="shared" si="415"/>
        <v>E3_1_26_3 : 0</v>
      </c>
      <c r="K205" s="53" t="str">
        <f t="shared" si="5"/>
        <v>0.00292 - (0.0093 * E3_1_26_3_mRNA)</v>
      </c>
      <c r="L205" s="54" t="str">
        <f t="shared" si="6"/>
        <v>(0.278 * E3_1_26_3_mRNA) - (0.00000278 * E3_1_26_3)</v>
      </c>
      <c r="M205" s="55" t="str">
        <f t="shared" si="7"/>
        <v>mRNA204: -&gt; E3_1_26_3_mRNA | 0.00292 - (0.0093 * E3_1_26_3_mRNA)</v>
      </c>
      <c r="N205" s="56" t="str">
        <f t="shared" si="8"/>
        <v>Peptide204: E3_1_26_3_mRNA -&gt; E3_1_26_3 | (0.278 * E3_1_26_3_mRNA) - (0.000000278 * E3_1_26_3)</v>
      </c>
    </row>
    <row r="206" spans="1:14" ht="29">
      <c r="A206" s="46">
        <v>205</v>
      </c>
      <c r="B206" s="7" t="s">
        <v>12495</v>
      </c>
      <c r="C206" s="27" t="str">
        <f t="shared" si="0"/>
        <v>E1_1_1_49_mRNA</v>
      </c>
      <c r="D206" s="47" t="str">
        <f t="shared" si="9"/>
        <v>E1_1_1_49</v>
      </c>
      <c r="E206" s="48" t="str">
        <f t="shared" si="1"/>
        <v>E1_1_1_49_kcat : 13.7</v>
      </c>
      <c r="F206" s="49" t="str">
        <f t="shared" si="2"/>
        <v>E1_1_1_49_km : 1</v>
      </c>
      <c r="G206" s="9" t="str">
        <f t="shared" ref="G206:H206" si="416">CONCATENATE(C206," : ",C206)</f>
        <v>E1_1_1_49_mRNA : E1_1_1_49_mRNA</v>
      </c>
      <c r="H206" s="50" t="str">
        <f t="shared" si="416"/>
        <v>E1_1_1_49 : E1_1_1_49</v>
      </c>
      <c r="I206" s="51" t="str">
        <f t="shared" ref="I206:J206" si="417">CONCATENATE(C206," : ","0")</f>
        <v>E1_1_1_49_mRNA : 0</v>
      </c>
      <c r="J206" s="52" t="str">
        <f t="shared" si="417"/>
        <v>E1_1_1_49 : 0</v>
      </c>
      <c r="K206" s="53" t="str">
        <f t="shared" si="5"/>
        <v>0.00292 - (0.0093 * E1_1_1_49_mRNA)</v>
      </c>
      <c r="L206" s="54" t="str">
        <f t="shared" si="6"/>
        <v>(0.278 * E1_1_1_49_mRNA) - (0.00000278 * E1_1_1_49)</v>
      </c>
      <c r="M206" s="55" t="str">
        <f t="shared" si="7"/>
        <v>mRNA205: -&gt; E1_1_1_49_mRNA | 0.00292 - (0.0093 * E1_1_1_49_mRNA)</v>
      </c>
      <c r="N206" s="56" t="str">
        <f t="shared" si="8"/>
        <v>Peptide205: E1_1_1_49_mRNA -&gt; E1_1_1_49 | (0.278 * E1_1_1_49_mRNA) - (0.000000278 * E1_1_1_49)</v>
      </c>
    </row>
    <row r="207" spans="1:14" ht="29">
      <c r="A207" s="46">
        <v>206</v>
      </c>
      <c r="B207" s="7" t="s">
        <v>12496</v>
      </c>
      <c r="C207" s="27" t="str">
        <f t="shared" si="0"/>
        <v>E1_1_1_85_mRNA</v>
      </c>
      <c r="D207" s="47" t="str">
        <f t="shared" si="9"/>
        <v>E1_1_1_85</v>
      </c>
      <c r="E207" s="48" t="str">
        <f t="shared" si="1"/>
        <v>E1_1_1_85_kcat : 13.7</v>
      </c>
      <c r="F207" s="49" t="str">
        <f t="shared" si="2"/>
        <v>E1_1_1_85_km : 1</v>
      </c>
      <c r="G207" s="9" t="str">
        <f t="shared" ref="G207:H207" si="418">CONCATENATE(C207," : ",C207)</f>
        <v>E1_1_1_85_mRNA : E1_1_1_85_mRNA</v>
      </c>
      <c r="H207" s="50" t="str">
        <f t="shared" si="418"/>
        <v>E1_1_1_85 : E1_1_1_85</v>
      </c>
      <c r="I207" s="51" t="str">
        <f t="shared" ref="I207:J207" si="419">CONCATENATE(C207," : ","0")</f>
        <v>E1_1_1_85_mRNA : 0</v>
      </c>
      <c r="J207" s="52" t="str">
        <f t="shared" si="419"/>
        <v>E1_1_1_85 : 0</v>
      </c>
      <c r="K207" s="53" t="str">
        <f t="shared" si="5"/>
        <v>0.00292 - (0.0093 * E1_1_1_85_mRNA)</v>
      </c>
      <c r="L207" s="54" t="str">
        <f t="shared" si="6"/>
        <v>(0.278 * E1_1_1_85_mRNA) - (0.00000278 * E1_1_1_85)</v>
      </c>
      <c r="M207" s="55" t="str">
        <f t="shared" si="7"/>
        <v>mRNA206: -&gt; E1_1_1_85_mRNA | 0.00292 - (0.0093 * E1_1_1_85_mRNA)</v>
      </c>
      <c r="N207" s="56" t="str">
        <f t="shared" si="8"/>
        <v>Peptide206: E1_1_1_85_mRNA -&gt; E1_1_1_85 | (0.278 * E1_1_1_85_mRNA) - (0.000000278 * E1_1_1_85)</v>
      </c>
    </row>
    <row r="208" spans="1:14" ht="29">
      <c r="A208" s="46">
        <v>207</v>
      </c>
      <c r="B208" s="7" t="s">
        <v>12497</v>
      </c>
      <c r="C208" s="27" t="str">
        <f t="shared" si="0"/>
        <v>E3_4_16_4_mRNA</v>
      </c>
      <c r="D208" s="47" t="str">
        <f t="shared" si="9"/>
        <v>E3_4_16_4</v>
      </c>
      <c r="E208" s="48" t="str">
        <f t="shared" si="1"/>
        <v>E3_4_16_4_kcat : 13.7</v>
      </c>
      <c r="F208" s="49" t="str">
        <f t="shared" si="2"/>
        <v>E3_4_16_4_km : 1</v>
      </c>
      <c r="G208" s="9" t="str">
        <f t="shared" ref="G208:H208" si="420">CONCATENATE(C208," : ",C208)</f>
        <v>E3_4_16_4_mRNA : E3_4_16_4_mRNA</v>
      </c>
      <c r="H208" s="50" t="str">
        <f t="shared" si="420"/>
        <v>E3_4_16_4 : E3_4_16_4</v>
      </c>
      <c r="I208" s="51" t="str">
        <f t="shared" ref="I208:J208" si="421">CONCATENATE(C208," : ","0")</f>
        <v>E3_4_16_4_mRNA : 0</v>
      </c>
      <c r="J208" s="52" t="str">
        <f t="shared" si="421"/>
        <v>E3_4_16_4 : 0</v>
      </c>
      <c r="K208" s="53" t="str">
        <f t="shared" si="5"/>
        <v>0.00292 - (0.0093 * E3_4_16_4_mRNA)</v>
      </c>
      <c r="L208" s="54" t="str">
        <f t="shared" si="6"/>
        <v>(0.278 * E3_4_16_4_mRNA) - (0.00000278 * E3_4_16_4)</v>
      </c>
      <c r="M208" s="55" t="str">
        <f t="shared" si="7"/>
        <v>mRNA207: -&gt; E3_4_16_4_mRNA | 0.00292 - (0.0093 * E3_4_16_4_mRNA)</v>
      </c>
      <c r="N208" s="56" t="str">
        <f t="shared" si="8"/>
        <v>Peptide207: E3_4_16_4_mRNA -&gt; E3_4_16_4 | (0.278 * E3_4_16_4_mRNA) - (0.000000278 * E3_4_16_4)</v>
      </c>
    </row>
    <row r="209" spans="1:14" ht="29">
      <c r="A209" s="46">
        <v>208</v>
      </c>
      <c r="B209" s="7" t="s">
        <v>12498</v>
      </c>
      <c r="C209" s="27" t="str">
        <f t="shared" si="0"/>
        <v>E2_7_7_63_mRNA</v>
      </c>
      <c r="D209" s="47" t="str">
        <f t="shared" si="9"/>
        <v>E2_7_7_63</v>
      </c>
      <c r="E209" s="48" t="str">
        <f t="shared" si="1"/>
        <v>E2_7_7_63_kcat : 13.7</v>
      </c>
      <c r="F209" s="49" t="str">
        <f t="shared" si="2"/>
        <v>E2_7_7_63_km : 1</v>
      </c>
      <c r="G209" s="9" t="str">
        <f t="shared" ref="G209:H209" si="422">CONCATENATE(C209," : ",C209)</f>
        <v>E2_7_7_63_mRNA : E2_7_7_63_mRNA</v>
      </c>
      <c r="H209" s="50" t="str">
        <f t="shared" si="422"/>
        <v>E2_7_7_63 : E2_7_7_63</v>
      </c>
      <c r="I209" s="51" t="str">
        <f t="shared" ref="I209:J209" si="423">CONCATENATE(C209," : ","0")</f>
        <v>E2_7_7_63_mRNA : 0</v>
      </c>
      <c r="J209" s="52" t="str">
        <f t="shared" si="423"/>
        <v>E2_7_7_63 : 0</v>
      </c>
      <c r="K209" s="53" t="str">
        <f t="shared" si="5"/>
        <v>0.00292 - (0.0093 * E2_7_7_63_mRNA)</v>
      </c>
      <c r="L209" s="54" t="str">
        <f t="shared" si="6"/>
        <v>(0.278 * E2_7_7_63_mRNA) - (0.00000278 * E2_7_7_63)</v>
      </c>
      <c r="M209" s="55" t="str">
        <f t="shared" si="7"/>
        <v>mRNA208: -&gt; E2_7_7_63_mRNA | 0.00292 - (0.0093 * E2_7_7_63_mRNA)</v>
      </c>
      <c r="N209" s="56" t="str">
        <f t="shared" si="8"/>
        <v>Peptide208: E2_7_7_63_mRNA -&gt; E2_7_7_63 | (0.278 * E2_7_7_63_mRNA) - (0.000000278 * E2_7_7_63)</v>
      </c>
    </row>
    <row r="210" spans="1:14" ht="29">
      <c r="A210" s="46">
        <v>209</v>
      </c>
      <c r="B210" s="7" t="s">
        <v>12499</v>
      </c>
      <c r="C210" s="27" t="str">
        <f t="shared" si="0"/>
        <v>E1_7_1_6_mRNA</v>
      </c>
      <c r="D210" s="47" t="str">
        <f t="shared" si="9"/>
        <v>E1_7_1_6</v>
      </c>
      <c r="E210" s="48" t="str">
        <f t="shared" si="1"/>
        <v>E1_7_1_6_kcat : 13.7</v>
      </c>
      <c r="F210" s="49" t="str">
        <f t="shared" si="2"/>
        <v>E1_7_1_6_km : 1</v>
      </c>
      <c r="G210" s="9" t="str">
        <f t="shared" ref="G210:H210" si="424">CONCATENATE(C210," : ",C210)</f>
        <v>E1_7_1_6_mRNA : E1_7_1_6_mRNA</v>
      </c>
      <c r="H210" s="50" t="str">
        <f t="shared" si="424"/>
        <v>E1_7_1_6 : E1_7_1_6</v>
      </c>
      <c r="I210" s="51" t="str">
        <f t="shared" ref="I210:J210" si="425">CONCATENATE(C210," : ","0")</f>
        <v>E1_7_1_6_mRNA : 0</v>
      </c>
      <c r="J210" s="52" t="str">
        <f t="shared" si="425"/>
        <v>E1_7_1_6 : 0</v>
      </c>
      <c r="K210" s="53" t="str">
        <f t="shared" si="5"/>
        <v>0.00292 - (0.0093 * E1_7_1_6_mRNA)</v>
      </c>
      <c r="L210" s="54" t="str">
        <f t="shared" si="6"/>
        <v>(0.278 * E1_7_1_6_mRNA) - (0.00000278 * E1_7_1_6)</v>
      </c>
      <c r="M210" s="55" t="str">
        <f t="shared" si="7"/>
        <v>mRNA209: -&gt; E1_7_1_6_mRNA | 0.00292 - (0.0093 * E1_7_1_6_mRNA)</v>
      </c>
      <c r="N210" s="56" t="str">
        <f t="shared" si="8"/>
        <v>Peptide209: E1_7_1_6_mRNA -&gt; E1_7_1_6 | (0.278 * E1_7_1_6_mRNA) - (0.000000278 * E1_7_1_6)</v>
      </c>
    </row>
    <row r="211" spans="1:14" ht="29">
      <c r="A211" s="46">
        <v>210</v>
      </c>
      <c r="B211" s="7" t="s">
        <v>12500</v>
      </c>
      <c r="C211" s="27" t="str">
        <f t="shared" si="0"/>
        <v>E1_6_99_3_mRNA</v>
      </c>
      <c r="D211" s="47" t="str">
        <f t="shared" si="9"/>
        <v>E1_6_99_3</v>
      </c>
      <c r="E211" s="48" t="str">
        <f t="shared" si="1"/>
        <v>E1_6_99_3_kcat : 13.7</v>
      </c>
      <c r="F211" s="49" t="str">
        <f t="shared" si="2"/>
        <v>E1_6_99_3_km : 1</v>
      </c>
      <c r="G211" s="9" t="str">
        <f t="shared" ref="G211:H211" si="426">CONCATENATE(C211," : ",C211)</f>
        <v>E1_6_99_3_mRNA : E1_6_99_3_mRNA</v>
      </c>
      <c r="H211" s="50" t="str">
        <f t="shared" si="426"/>
        <v>E1_6_99_3 : E1_6_99_3</v>
      </c>
      <c r="I211" s="51" t="str">
        <f t="shared" ref="I211:J211" si="427">CONCATENATE(C211," : ","0")</f>
        <v>E1_6_99_3_mRNA : 0</v>
      </c>
      <c r="J211" s="52" t="str">
        <f t="shared" si="427"/>
        <v>E1_6_99_3 : 0</v>
      </c>
      <c r="K211" s="53" t="str">
        <f t="shared" si="5"/>
        <v>0.00292 - (0.0093 * E1_6_99_3_mRNA)</v>
      </c>
      <c r="L211" s="54" t="str">
        <f t="shared" si="6"/>
        <v>(0.278 * E1_6_99_3_mRNA) - (0.00000278 * E1_6_99_3)</v>
      </c>
      <c r="M211" s="55" t="str">
        <f t="shared" si="7"/>
        <v>mRNA210: -&gt; E1_6_99_3_mRNA | 0.00292 - (0.0093 * E1_6_99_3_mRNA)</v>
      </c>
      <c r="N211" s="56" t="str">
        <f t="shared" si="8"/>
        <v>Peptide210: E1_6_99_3_mRNA -&gt; E1_6_99_3 | (0.278 * E1_6_99_3_mRNA) - (0.000000278 * E1_6_99_3)</v>
      </c>
    </row>
    <row r="212" spans="1:14" ht="29">
      <c r="A212" s="46">
        <v>211</v>
      </c>
      <c r="B212" s="7" t="s">
        <v>12501</v>
      </c>
      <c r="C212" s="27" t="str">
        <f t="shared" si="0"/>
        <v>E2_6_1_42_mRNA</v>
      </c>
      <c r="D212" s="47" t="str">
        <f t="shared" si="9"/>
        <v>E2_6_1_42</v>
      </c>
      <c r="E212" s="48" t="str">
        <f t="shared" si="1"/>
        <v>E2_6_1_42_kcat : 13.7</v>
      </c>
      <c r="F212" s="49" t="str">
        <f t="shared" si="2"/>
        <v>E2_6_1_42_km : 1</v>
      </c>
      <c r="G212" s="9" t="str">
        <f t="shared" ref="G212:H212" si="428">CONCATENATE(C212," : ",C212)</f>
        <v>E2_6_1_42_mRNA : E2_6_1_42_mRNA</v>
      </c>
      <c r="H212" s="50" t="str">
        <f t="shared" si="428"/>
        <v>E2_6_1_42 : E2_6_1_42</v>
      </c>
      <c r="I212" s="51" t="str">
        <f t="shared" ref="I212:J212" si="429">CONCATENATE(C212," : ","0")</f>
        <v>E2_6_1_42_mRNA : 0</v>
      </c>
      <c r="J212" s="52" t="str">
        <f t="shared" si="429"/>
        <v>E2_6_1_42 : 0</v>
      </c>
      <c r="K212" s="53" t="str">
        <f t="shared" si="5"/>
        <v>0.00292 - (0.0093 * E2_6_1_42_mRNA)</v>
      </c>
      <c r="L212" s="54" t="str">
        <f t="shared" si="6"/>
        <v>(0.278 * E2_6_1_42_mRNA) - (0.00000278 * E2_6_1_42)</v>
      </c>
      <c r="M212" s="55" t="str">
        <f t="shared" si="7"/>
        <v>mRNA211: -&gt; E2_6_1_42_mRNA | 0.00292 - (0.0093 * E2_6_1_42_mRNA)</v>
      </c>
      <c r="N212" s="56" t="str">
        <f t="shared" si="8"/>
        <v>Peptide211: E2_6_1_42_mRNA -&gt; E2_6_1_42 | (0.278 * E2_6_1_42_mRNA) - (0.000000278 * E2_6_1_42)</v>
      </c>
    </row>
    <row r="213" spans="1:14" ht="29">
      <c r="A213" s="46">
        <v>212</v>
      </c>
      <c r="B213" s="7" t="s">
        <v>12502</v>
      </c>
      <c r="C213" s="27" t="str">
        <f t="shared" si="0"/>
        <v>E2_5_1_75_mRNA</v>
      </c>
      <c r="D213" s="47" t="str">
        <f t="shared" si="9"/>
        <v>E2_5_1_75</v>
      </c>
      <c r="E213" s="48" t="str">
        <f t="shared" si="1"/>
        <v>E2_5_1_75_kcat : 13.7</v>
      </c>
      <c r="F213" s="49" t="str">
        <f t="shared" si="2"/>
        <v>E2_5_1_75_km : 1</v>
      </c>
      <c r="G213" s="9" t="str">
        <f t="shared" ref="G213:H213" si="430">CONCATENATE(C213," : ",C213)</f>
        <v>E2_5_1_75_mRNA : E2_5_1_75_mRNA</v>
      </c>
      <c r="H213" s="50" t="str">
        <f t="shared" si="430"/>
        <v>E2_5_1_75 : E2_5_1_75</v>
      </c>
      <c r="I213" s="51" t="str">
        <f t="shared" ref="I213:J213" si="431">CONCATENATE(C213," : ","0")</f>
        <v>E2_5_1_75_mRNA : 0</v>
      </c>
      <c r="J213" s="52" t="str">
        <f t="shared" si="431"/>
        <v>E2_5_1_75 : 0</v>
      </c>
      <c r="K213" s="53" t="str">
        <f t="shared" si="5"/>
        <v>0.00292 - (0.0093 * E2_5_1_75_mRNA)</v>
      </c>
      <c r="L213" s="54" t="str">
        <f t="shared" si="6"/>
        <v>(0.278 * E2_5_1_75_mRNA) - (0.00000278 * E2_5_1_75)</v>
      </c>
      <c r="M213" s="55" t="str">
        <f t="shared" si="7"/>
        <v>mRNA212: -&gt; E2_5_1_75_mRNA | 0.00292 - (0.0093 * E2_5_1_75_mRNA)</v>
      </c>
      <c r="N213" s="56" t="str">
        <f t="shared" si="8"/>
        <v>Peptide212: E2_5_1_75_mRNA -&gt; E2_5_1_75 | (0.278 * E2_5_1_75_mRNA) - (0.000000278 * E2_5_1_75)</v>
      </c>
    </row>
    <row r="214" spans="1:14" ht="29">
      <c r="A214" s="46">
        <v>213</v>
      </c>
      <c r="B214" s="7" t="s">
        <v>12503</v>
      </c>
      <c r="C214" s="27" t="str">
        <f t="shared" si="0"/>
        <v>E2_1_1_45_mRNA</v>
      </c>
      <c r="D214" s="47" t="str">
        <f t="shared" si="9"/>
        <v>E2_1_1_45</v>
      </c>
      <c r="E214" s="48" t="str">
        <f t="shared" si="1"/>
        <v>E2_1_1_45_kcat : 13.7</v>
      </c>
      <c r="F214" s="49" t="str">
        <f t="shared" si="2"/>
        <v>E2_1_1_45_km : 1</v>
      </c>
      <c r="G214" s="9" t="str">
        <f t="shared" ref="G214:H214" si="432">CONCATENATE(C214," : ",C214)</f>
        <v>E2_1_1_45_mRNA : E2_1_1_45_mRNA</v>
      </c>
      <c r="H214" s="50" t="str">
        <f t="shared" si="432"/>
        <v>E2_1_1_45 : E2_1_1_45</v>
      </c>
      <c r="I214" s="51" t="str">
        <f t="shared" ref="I214:J214" si="433">CONCATENATE(C214," : ","0")</f>
        <v>E2_1_1_45_mRNA : 0</v>
      </c>
      <c r="J214" s="52" t="str">
        <f t="shared" si="433"/>
        <v>E2_1_1_45 : 0</v>
      </c>
      <c r="K214" s="53" t="str">
        <f t="shared" si="5"/>
        <v>0.00292 - (0.0093 * E2_1_1_45_mRNA)</v>
      </c>
      <c r="L214" s="54" t="str">
        <f t="shared" si="6"/>
        <v>(0.278 * E2_1_1_45_mRNA) - (0.00000278 * E2_1_1_45)</v>
      </c>
      <c r="M214" s="55" t="str">
        <f t="shared" si="7"/>
        <v>mRNA213: -&gt; E2_1_1_45_mRNA | 0.00292 - (0.0093 * E2_1_1_45_mRNA)</v>
      </c>
      <c r="N214" s="56" t="str">
        <f t="shared" si="8"/>
        <v>Peptide213: E2_1_1_45_mRNA -&gt; E2_1_1_45 | (0.278 * E2_1_1_45_mRNA) - (0.000000278 * E2_1_1_45)</v>
      </c>
    </row>
    <row r="215" spans="1:14" ht="29">
      <c r="A215" s="46">
        <v>214</v>
      </c>
      <c r="B215" s="7" t="s">
        <v>12504</v>
      </c>
      <c r="C215" s="27" t="str">
        <f t="shared" si="0"/>
        <v>E2_7_1_2_mRNA</v>
      </c>
      <c r="D215" s="47" t="str">
        <f t="shared" si="9"/>
        <v>E2_7_1_2</v>
      </c>
      <c r="E215" s="48" t="str">
        <f t="shared" si="1"/>
        <v>E2_7_1_2_kcat : 13.7</v>
      </c>
      <c r="F215" s="49" t="str">
        <f t="shared" si="2"/>
        <v>E2_7_1_2_km : 1</v>
      </c>
      <c r="G215" s="9" t="str">
        <f t="shared" ref="G215:H215" si="434">CONCATENATE(C215," : ",C215)</f>
        <v>E2_7_1_2_mRNA : E2_7_1_2_mRNA</v>
      </c>
      <c r="H215" s="50" t="str">
        <f t="shared" si="434"/>
        <v>E2_7_1_2 : E2_7_1_2</v>
      </c>
      <c r="I215" s="51" t="str">
        <f t="shared" ref="I215:J215" si="435">CONCATENATE(C215," : ","0")</f>
        <v>E2_7_1_2_mRNA : 0</v>
      </c>
      <c r="J215" s="52" t="str">
        <f t="shared" si="435"/>
        <v>E2_7_1_2 : 0</v>
      </c>
      <c r="K215" s="53" t="str">
        <f t="shared" si="5"/>
        <v>0.00292 - (0.0093 * E2_7_1_2_mRNA)</v>
      </c>
      <c r="L215" s="54" t="str">
        <f t="shared" si="6"/>
        <v>(0.278 * E2_7_1_2_mRNA) - (0.00000278 * E2_7_1_2)</v>
      </c>
      <c r="M215" s="55" t="str">
        <f t="shared" si="7"/>
        <v>mRNA214: -&gt; E2_7_1_2_mRNA | 0.00292 - (0.0093 * E2_7_1_2_mRNA)</v>
      </c>
      <c r="N215" s="56" t="str">
        <f t="shared" si="8"/>
        <v>Peptide214: E2_7_1_2_mRNA -&gt; E2_7_1_2 | (0.278 * E2_7_1_2_mRNA) - (0.000000278 * E2_7_1_2)</v>
      </c>
    </row>
    <row r="216" spans="1:14" ht="29">
      <c r="A216" s="46">
        <v>215</v>
      </c>
      <c r="B216" s="7" t="s">
        <v>12505</v>
      </c>
      <c r="C216" s="27" t="str">
        <f t="shared" si="0"/>
        <v>E2_6_1_85_mRNA</v>
      </c>
      <c r="D216" s="47" t="str">
        <f t="shared" si="9"/>
        <v>E2_6_1_85</v>
      </c>
      <c r="E216" s="48" t="str">
        <f t="shared" si="1"/>
        <v>E2_6_1_85_kcat : 13.7</v>
      </c>
      <c r="F216" s="49" t="str">
        <f t="shared" si="2"/>
        <v>E2_6_1_85_km : 1</v>
      </c>
      <c r="G216" s="9" t="str">
        <f t="shared" ref="G216:H216" si="436">CONCATENATE(C216," : ",C216)</f>
        <v>E2_6_1_85_mRNA : E2_6_1_85_mRNA</v>
      </c>
      <c r="H216" s="50" t="str">
        <f t="shared" si="436"/>
        <v>E2_6_1_85 : E2_6_1_85</v>
      </c>
      <c r="I216" s="51" t="str">
        <f t="shared" ref="I216:J216" si="437">CONCATENATE(C216," : ","0")</f>
        <v>E2_6_1_85_mRNA : 0</v>
      </c>
      <c r="J216" s="52" t="str">
        <f t="shared" si="437"/>
        <v>E2_6_1_85 : 0</v>
      </c>
      <c r="K216" s="53" t="str">
        <f t="shared" si="5"/>
        <v>0.00292 - (0.0093 * E2_6_1_85_mRNA)</v>
      </c>
      <c r="L216" s="54" t="str">
        <f t="shared" si="6"/>
        <v>(0.278 * E2_6_1_85_mRNA) - (0.00000278 * E2_6_1_85)</v>
      </c>
      <c r="M216" s="55" t="str">
        <f t="shared" si="7"/>
        <v>mRNA215: -&gt; E2_6_1_85_mRNA | 0.00292 - (0.0093 * E2_6_1_85_mRNA)</v>
      </c>
      <c r="N216" s="56" t="str">
        <f t="shared" si="8"/>
        <v>Peptide215: E2_6_1_85_mRNA -&gt; E2_6_1_85 | (0.278 * E2_6_1_85_mRNA) - (0.000000278 * E2_6_1_85)</v>
      </c>
    </row>
    <row r="217" spans="1:14" ht="29">
      <c r="A217" s="46">
        <v>216</v>
      </c>
      <c r="B217" s="7" t="s">
        <v>12506</v>
      </c>
      <c r="C217" s="27" t="str">
        <f t="shared" si="0"/>
        <v>E3_4_23_36_mRNA</v>
      </c>
      <c r="D217" s="47" t="str">
        <f t="shared" si="9"/>
        <v>E3_4_23_36</v>
      </c>
      <c r="E217" s="48" t="str">
        <f t="shared" si="1"/>
        <v>E3_4_23_36_kcat : 13.7</v>
      </c>
      <c r="F217" s="49" t="str">
        <f t="shared" si="2"/>
        <v>E3_4_23_36_km : 1</v>
      </c>
      <c r="G217" s="9" t="str">
        <f t="shared" ref="G217:H217" si="438">CONCATENATE(C217," : ",C217)</f>
        <v>E3_4_23_36_mRNA : E3_4_23_36_mRNA</v>
      </c>
      <c r="H217" s="50" t="str">
        <f t="shared" si="438"/>
        <v>E3_4_23_36 : E3_4_23_36</v>
      </c>
      <c r="I217" s="51" t="str">
        <f t="shared" ref="I217:J217" si="439">CONCATENATE(C217," : ","0")</f>
        <v>E3_4_23_36_mRNA : 0</v>
      </c>
      <c r="J217" s="52" t="str">
        <f t="shared" si="439"/>
        <v>E3_4_23_36 : 0</v>
      </c>
      <c r="K217" s="53" t="str">
        <f t="shared" si="5"/>
        <v>0.00292 - (0.0093 * E3_4_23_36_mRNA)</v>
      </c>
      <c r="L217" s="54" t="str">
        <f t="shared" si="6"/>
        <v>(0.278 * E3_4_23_36_mRNA) - (0.00000278 * E3_4_23_36)</v>
      </c>
      <c r="M217" s="55" t="str">
        <f t="shared" si="7"/>
        <v>mRNA216: -&gt; E3_4_23_36_mRNA | 0.00292 - (0.0093 * E3_4_23_36_mRNA)</v>
      </c>
      <c r="N217" s="56" t="str">
        <f t="shared" si="8"/>
        <v>Peptide216: E3_4_23_36_mRNA -&gt; E3_4_23_36 | (0.278 * E3_4_23_36_mRNA) - (0.000000278 * E3_4_23_36)</v>
      </c>
    </row>
    <row r="218" spans="1:14" ht="29">
      <c r="A218" s="46">
        <v>217</v>
      </c>
      <c r="B218" s="7" t="s">
        <v>12507</v>
      </c>
      <c r="C218" s="27" t="str">
        <f t="shared" si="0"/>
        <v>E2_7_3_9_mRNA</v>
      </c>
      <c r="D218" s="47" t="str">
        <f t="shared" si="9"/>
        <v>E2_7_3_9</v>
      </c>
      <c r="E218" s="48" t="str">
        <f t="shared" si="1"/>
        <v>E2_7_3_9_kcat : 13.7</v>
      </c>
      <c r="F218" s="49" t="str">
        <f t="shared" si="2"/>
        <v>E2_7_3_9_km : 1</v>
      </c>
      <c r="G218" s="9" t="str">
        <f t="shared" ref="G218:H218" si="440">CONCATENATE(C218," : ",C218)</f>
        <v>E2_7_3_9_mRNA : E2_7_3_9_mRNA</v>
      </c>
      <c r="H218" s="50" t="str">
        <f t="shared" si="440"/>
        <v>E2_7_3_9 : E2_7_3_9</v>
      </c>
      <c r="I218" s="51" t="str">
        <f t="shared" ref="I218:J218" si="441">CONCATENATE(C218," : ","0")</f>
        <v>E2_7_3_9_mRNA : 0</v>
      </c>
      <c r="J218" s="52" t="str">
        <f t="shared" si="441"/>
        <v>E2_7_3_9 : 0</v>
      </c>
      <c r="K218" s="53" t="str">
        <f t="shared" si="5"/>
        <v>0.00292 - (0.0093 * E2_7_3_9_mRNA)</v>
      </c>
      <c r="L218" s="54" t="str">
        <f t="shared" si="6"/>
        <v>(0.278 * E2_7_3_9_mRNA) - (0.00000278 * E2_7_3_9)</v>
      </c>
      <c r="M218" s="55" t="str">
        <f t="shared" si="7"/>
        <v>mRNA217: -&gt; E2_7_3_9_mRNA | 0.00292 - (0.0093 * E2_7_3_9_mRNA)</v>
      </c>
      <c r="N218" s="56" t="str">
        <f t="shared" si="8"/>
        <v>Peptide217: E2_7_3_9_mRNA -&gt; E2_7_3_9 | (0.278 * E2_7_3_9_mRNA) - (0.000000278 * E2_7_3_9)</v>
      </c>
    </row>
    <row r="219" spans="1:14" ht="29">
      <c r="A219" s="46">
        <v>218</v>
      </c>
      <c r="B219" s="7" t="s">
        <v>12508</v>
      </c>
      <c r="C219" s="27" t="str">
        <f t="shared" si="0"/>
        <v>E1_1_1_163_mRNA</v>
      </c>
      <c r="D219" s="47" t="str">
        <f t="shared" si="9"/>
        <v>E1_1_1_163</v>
      </c>
      <c r="E219" s="48" t="str">
        <f t="shared" si="1"/>
        <v>E1_1_1_163_kcat : 13.7</v>
      </c>
      <c r="F219" s="49" t="str">
        <f t="shared" si="2"/>
        <v>E1_1_1_163_km : 1</v>
      </c>
      <c r="G219" s="9" t="str">
        <f t="shared" ref="G219:H219" si="442">CONCATENATE(C219," : ",C219)</f>
        <v>E1_1_1_163_mRNA : E1_1_1_163_mRNA</v>
      </c>
      <c r="H219" s="50" t="str">
        <f t="shared" si="442"/>
        <v>E1_1_1_163 : E1_1_1_163</v>
      </c>
      <c r="I219" s="51" t="str">
        <f t="shared" ref="I219:J219" si="443">CONCATENATE(C219," : ","0")</f>
        <v>E1_1_1_163_mRNA : 0</v>
      </c>
      <c r="J219" s="52" t="str">
        <f t="shared" si="443"/>
        <v>E1_1_1_163 : 0</v>
      </c>
      <c r="K219" s="53" t="str">
        <f t="shared" si="5"/>
        <v>0.00292 - (0.0093 * E1_1_1_163_mRNA)</v>
      </c>
      <c r="L219" s="54" t="str">
        <f t="shared" si="6"/>
        <v>(0.278 * E1_1_1_163_mRNA) - (0.00000278 * E1_1_1_163)</v>
      </c>
      <c r="M219" s="55" t="str">
        <f t="shared" si="7"/>
        <v>mRNA218: -&gt; E1_1_1_163_mRNA | 0.00292 - (0.0093 * E1_1_1_163_mRNA)</v>
      </c>
      <c r="N219" s="56" t="str">
        <f t="shared" si="8"/>
        <v>Peptide218: E1_1_1_163_mRNA -&gt; E1_1_1_163 | (0.278 * E1_1_1_163_mRNA) - (0.000000278 * E1_1_1_163)</v>
      </c>
    </row>
    <row r="220" spans="1:14" ht="29">
      <c r="A220" s="46">
        <v>219</v>
      </c>
      <c r="B220" s="7" t="s">
        <v>12509</v>
      </c>
      <c r="C220" s="27" t="str">
        <f t="shared" si="0"/>
        <v>E6_1_1_10_mRNA</v>
      </c>
      <c r="D220" s="47" t="str">
        <f t="shared" si="9"/>
        <v>E6_1_1_10</v>
      </c>
      <c r="E220" s="48" t="str">
        <f t="shared" si="1"/>
        <v>E6_1_1_10_kcat : 13.7</v>
      </c>
      <c r="F220" s="49" t="str">
        <f t="shared" si="2"/>
        <v>E6_1_1_10_km : 1</v>
      </c>
      <c r="G220" s="9" t="str">
        <f t="shared" ref="G220:H220" si="444">CONCATENATE(C220," : ",C220)</f>
        <v>E6_1_1_10_mRNA : E6_1_1_10_mRNA</v>
      </c>
      <c r="H220" s="50" t="str">
        <f t="shared" si="444"/>
        <v>E6_1_1_10 : E6_1_1_10</v>
      </c>
      <c r="I220" s="51" t="str">
        <f t="shared" ref="I220:J220" si="445">CONCATENATE(C220," : ","0")</f>
        <v>E6_1_1_10_mRNA : 0</v>
      </c>
      <c r="J220" s="52" t="str">
        <f t="shared" si="445"/>
        <v>E6_1_1_10 : 0</v>
      </c>
      <c r="K220" s="53" t="str">
        <f t="shared" si="5"/>
        <v>0.00292 - (0.0093 * E6_1_1_10_mRNA)</v>
      </c>
      <c r="L220" s="54" t="str">
        <f t="shared" si="6"/>
        <v>(0.278 * E6_1_1_10_mRNA) - (0.00000278 * E6_1_1_10)</v>
      </c>
      <c r="M220" s="55" t="str">
        <f t="shared" si="7"/>
        <v>mRNA219: -&gt; E6_1_1_10_mRNA | 0.00292 - (0.0093 * E6_1_1_10_mRNA)</v>
      </c>
      <c r="N220" s="56" t="str">
        <f t="shared" si="8"/>
        <v>Peptide219: E6_1_1_10_mRNA -&gt; E6_1_1_10 | (0.278 * E6_1_1_10_mRNA) - (0.000000278 * E6_1_1_10)</v>
      </c>
    </row>
    <row r="221" spans="1:14" ht="29">
      <c r="A221" s="46">
        <v>220</v>
      </c>
      <c r="B221" s="7" t="s">
        <v>12510</v>
      </c>
      <c r="C221" s="27" t="str">
        <f t="shared" si="0"/>
        <v>E1_8_1_7_mRNA</v>
      </c>
      <c r="D221" s="47" t="str">
        <f t="shared" si="9"/>
        <v>E1_8_1_7</v>
      </c>
      <c r="E221" s="48" t="str">
        <f t="shared" si="1"/>
        <v>E1_8_1_7_kcat : 13.7</v>
      </c>
      <c r="F221" s="49" t="str">
        <f t="shared" si="2"/>
        <v>E1_8_1_7_km : 1</v>
      </c>
      <c r="G221" s="9" t="str">
        <f t="shared" ref="G221:H221" si="446">CONCATENATE(C221," : ",C221)</f>
        <v>E1_8_1_7_mRNA : E1_8_1_7_mRNA</v>
      </c>
      <c r="H221" s="50" t="str">
        <f t="shared" si="446"/>
        <v>E1_8_1_7 : E1_8_1_7</v>
      </c>
      <c r="I221" s="51" t="str">
        <f t="shared" ref="I221:J221" si="447">CONCATENATE(C221," : ","0")</f>
        <v>E1_8_1_7_mRNA : 0</v>
      </c>
      <c r="J221" s="52" t="str">
        <f t="shared" si="447"/>
        <v>E1_8_1_7 : 0</v>
      </c>
      <c r="K221" s="53" t="str">
        <f t="shared" si="5"/>
        <v>0.00292 - (0.0093 * E1_8_1_7_mRNA)</v>
      </c>
      <c r="L221" s="54" t="str">
        <f t="shared" si="6"/>
        <v>(0.278 * E1_8_1_7_mRNA) - (0.00000278 * E1_8_1_7)</v>
      </c>
      <c r="M221" s="55" t="str">
        <f t="shared" si="7"/>
        <v>mRNA220: -&gt; E1_8_1_7_mRNA | 0.00292 - (0.0093 * E1_8_1_7_mRNA)</v>
      </c>
      <c r="N221" s="56" t="str">
        <f t="shared" si="8"/>
        <v>Peptide220: E1_8_1_7_mRNA -&gt; E1_8_1_7 | (0.278 * E1_8_1_7_mRNA) - (0.000000278 * E1_8_1_7)</v>
      </c>
    </row>
    <row r="222" spans="1:14" ht="29">
      <c r="A222" s="46">
        <v>221</v>
      </c>
      <c r="B222" s="7" t="s">
        <v>12511</v>
      </c>
      <c r="C222" s="27" t="str">
        <f t="shared" si="0"/>
        <v>E2_1_1_228_mRNA</v>
      </c>
      <c r="D222" s="47" t="str">
        <f t="shared" si="9"/>
        <v>E2_1_1_228</v>
      </c>
      <c r="E222" s="48" t="str">
        <f t="shared" si="1"/>
        <v>E2_1_1_228_kcat : 13.7</v>
      </c>
      <c r="F222" s="49" t="str">
        <f t="shared" si="2"/>
        <v>E2_1_1_228_km : 1</v>
      </c>
      <c r="G222" s="9" t="str">
        <f t="shared" ref="G222:H222" si="448">CONCATENATE(C222," : ",C222)</f>
        <v>E2_1_1_228_mRNA : E2_1_1_228_mRNA</v>
      </c>
      <c r="H222" s="50" t="str">
        <f t="shared" si="448"/>
        <v>E2_1_1_228 : E2_1_1_228</v>
      </c>
      <c r="I222" s="51" t="str">
        <f t="shared" ref="I222:J222" si="449">CONCATENATE(C222," : ","0")</f>
        <v>E2_1_1_228_mRNA : 0</v>
      </c>
      <c r="J222" s="52" t="str">
        <f t="shared" si="449"/>
        <v>E2_1_1_228 : 0</v>
      </c>
      <c r="K222" s="53" t="str">
        <f t="shared" si="5"/>
        <v>0.00292 - (0.0093 * E2_1_1_228_mRNA)</v>
      </c>
      <c r="L222" s="54" t="str">
        <f t="shared" si="6"/>
        <v>(0.278 * E2_1_1_228_mRNA) - (0.00000278 * E2_1_1_228)</v>
      </c>
      <c r="M222" s="55" t="str">
        <f t="shared" si="7"/>
        <v>mRNA221: -&gt; E2_1_1_228_mRNA | 0.00292 - (0.0093 * E2_1_1_228_mRNA)</v>
      </c>
      <c r="N222" s="56" t="str">
        <f t="shared" si="8"/>
        <v>Peptide221: E2_1_1_228_mRNA -&gt; E2_1_1_228 | (0.278 * E2_1_1_228_mRNA) - (0.000000278 * E2_1_1_228)</v>
      </c>
    </row>
    <row r="223" spans="1:14" ht="29">
      <c r="A223" s="46">
        <v>222</v>
      </c>
      <c r="B223" s="7" t="s">
        <v>12512</v>
      </c>
      <c r="C223" s="27" t="str">
        <f t="shared" si="0"/>
        <v>E1_15_1_1_mRNA</v>
      </c>
      <c r="D223" s="47" t="str">
        <f t="shared" si="9"/>
        <v>E1_15_1_1</v>
      </c>
      <c r="E223" s="48" t="str">
        <f t="shared" si="1"/>
        <v>E1_15_1_1_kcat : 13.7</v>
      </c>
      <c r="F223" s="49" t="str">
        <f t="shared" si="2"/>
        <v>E1_15_1_1_km : 1</v>
      </c>
      <c r="G223" s="9" t="str">
        <f t="shared" ref="G223:H223" si="450">CONCATENATE(C223," : ",C223)</f>
        <v>E1_15_1_1_mRNA : E1_15_1_1_mRNA</v>
      </c>
      <c r="H223" s="50" t="str">
        <f t="shared" si="450"/>
        <v>E1_15_1_1 : E1_15_1_1</v>
      </c>
      <c r="I223" s="51" t="str">
        <f t="shared" ref="I223:J223" si="451">CONCATENATE(C223," : ","0")</f>
        <v>E1_15_1_1_mRNA : 0</v>
      </c>
      <c r="J223" s="52" t="str">
        <f t="shared" si="451"/>
        <v>E1_15_1_1 : 0</v>
      </c>
      <c r="K223" s="53" t="str">
        <f t="shared" si="5"/>
        <v>0.00292 - (0.0093 * E1_15_1_1_mRNA)</v>
      </c>
      <c r="L223" s="54" t="str">
        <f t="shared" si="6"/>
        <v>(0.278 * E1_15_1_1_mRNA) - (0.00000278 * E1_15_1_1)</v>
      </c>
      <c r="M223" s="55" t="str">
        <f t="shared" si="7"/>
        <v>mRNA222: -&gt; E1_15_1_1_mRNA | 0.00292 - (0.0093 * E1_15_1_1_mRNA)</v>
      </c>
      <c r="N223" s="56" t="str">
        <f t="shared" si="8"/>
        <v>Peptide222: E1_15_1_1_mRNA -&gt; E1_15_1_1 | (0.278 * E1_15_1_1_mRNA) - (0.000000278 * E1_15_1_1)</v>
      </c>
    </row>
    <row r="224" spans="1:14" ht="29">
      <c r="A224" s="46">
        <v>223</v>
      </c>
      <c r="B224" s="7" t="s">
        <v>12513</v>
      </c>
      <c r="C224" s="27" t="str">
        <f t="shared" si="0"/>
        <v>E1_3_98_1_mRNA</v>
      </c>
      <c r="D224" s="47" t="str">
        <f t="shared" si="9"/>
        <v>E1_3_98_1</v>
      </c>
      <c r="E224" s="48" t="str">
        <f t="shared" si="1"/>
        <v>E1_3_98_1_kcat : 13.7</v>
      </c>
      <c r="F224" s="49" t="str">
        <f t="shared" si="2"/>
        <v>E1_3_98_1_km : 1</v>
      </c>
      <c r="G224" s="9" t="str">
        <f t="shared" ref="G224:H224" si="452">CONCATENATE(C224," : ",C224)</f>
        <v>E1_3_98_1_mRNA : E1_3_98_1_mRNA</v>
      </c>
      <c r="H224" s="50" t="str">
        <f t="shared" si="452"/>
        <v>E1_3_98_1 : E1_3_98_1</v>
      </c>
      <c r="I224" s="51" t="str">
        <f t="shared" ref="I224:J224" si="453">CONCATENATE(C224," : ","0")</f>
        <v>E1_3_98_1_mRNA : 0</v>
      </c>
      <c r="J224" s="52" t="str">
        <f t="shared" si="453"/>
        <v>E1_3_98_1 : 0</v>
      </c>
      <c r="K224" s="53" t="str">
        <f t="shared" si="5"/>
        <v>0.00292 - (0.0093 * E1_3_98_1_mRNA)</v>
      </c>
      <c r="L224" s="54" t="str">
        <f t="shared" si="6"/>
        <v>(0.278 * E1_3_98_1_mRNA) - (0.00000278 * E1_3_98_1)</v>
      </c>
      <c r="M224" s="55" t="str">
        <f t="shared" si="7"/>
        <v>mRNA223: -&gt; E1_3_98_1_mRNA | 0.00292 - (0.0093 * E1_3_98_1_mRNA)</v>
      </c>
      <c r="N224" s="56" t="str">
        <f t="shared" si="8"/>
        <v>Peptide223: E1_3_98_1_mRNA -&gt; E1_3_98_1 | (0.278 * E1_3_98_1_mRNA) - (0.000000278 * E1_3_98_1)</v>
      </c>
    </row>
    <row r="225" spans="1:14" ht="29">
      <c r="A225" s="46">
        <v>224</v>
      </c>
      <c r="B225" s="7" t="s">
        <v>12514</v>
      </c>
      <c r="C225" s="27" t="str">
        <f t="shared" si="0"/>
        <v>E2_5_1_6_mRNA</v>
      </c>
      <c r="D225" s="47" t="str">
        <f t="shared" si="9"/>
        <v>E2_5_1_6</v>
      </c>
      <c r="E225" s="48" t="str">
        <f t="shared" si="1"/>
        <v>E2_5_1_6_kcat : 13.7</v>
      </c>
      <c r="F225" s="49" t="str">
        <f t="shared" si="2"/>
        <v>E2_5_1_6_km : 1</v>
      </c>
      <c r="G225" s="9" t="str">
        <f t="shared" ref="G225:H225" si="454">CONCATENATE(C225," : ",C225)</f>
        <v>E2_5_1_6_mRNA : E2_5_1_6_mRNA</v>
      </c>
      <c r="H225" s="50" t="str">
        <f t="shared" si="454"/>
        <v>E2_5_1_6 : E2_5_1_6</v>
      </c>
      <c r="I225" s="51" t="str">
        <f t="shared" ref="I225:J225" si="455">CONCATENATE(C225," : ","0")</f>
        <v>E2_5_1_6_mRNA : 0</v>
      </c>
      <c r="J225" s="52" t="str">
        <f t="shared" si="455"/>
        <v>E2_5_1_6 : 0</v>
      </c>
      <c r="K225" s="53" t="str">
        <f t="shared" si="5"/>
        <v>0.00292 - (0.0093 * E2_5_1_6_mRNA)</v>
      </c>
      <c r="L225" s="54" t="str">
        <f t="shared" si="6"/>
        <v>(0.278 * E2_5_1_6_mRNA) - (0.00000278 * E2_5_1_6)</v>
      </c>
      <c r="M225" s="55" t="str">
        <f t="shared" si="7"/>
        <v>mRNA224: -&gt; E2_5_1_6_mRNA | 0.00292 - (0.0093 * E2_5_1_6_mRNA)</v>
      </c>
      <c r="N225" s="56" t="str">
        <f t="shared" si="8"/>
        <v>Peptide224: E2_5_1_6_mRNA -&gt; E2_5_1_6 | (0.278 * E2_5_1_6_mRNA) - (0.000000278 * E2_5_1_6)</v>
      </c>
    </row>
    <row r="226" spans="1:14" ht="29">
      <c r="A226" s="46">
        <v>225</v>
      </c>
      <c r="B226" s="7" t="s">
        <v>12515</v>
      </c>
      <c r="C226" s="27" t="str">
        <f t="shared" si="0"/>
        <v>E1_1_1_274_mRNA</v>
      </c>
      <c r="D226" s="47" t="str">
        <f t="shared" si="9"/>
        <v>E1_1_1_274</v>
      </c>
      <c r="E226" s="48" t="str">
        <f t="shared" si="1"/>
        <v>E1_1_1_274_kcat : 13.7</v>
      </c>
      <c r="F226" s="49" t="str">
        <f t="shared" si="2"/>
        <v>E1_1_1_274_km : 1</v>
      </c>
      <c r="G226" s="9" t="str">
        <f t="shared" ref="G226:H226" si="456">CONCATENATE(C226," : ",C226)</f>
        <v>E1_1_1_274_mRNA : E1_1_1_274_mRNA</v>
      </c>
      <c r="H226" s="50" t="str">
        <f t="shared" si="456"/>
        <v>E1_1_1_274 : E1_1_1_274</v>
      </c>
      <c r="I226" s="51" t="str">
        <f t="shared" ref="I226:J226" si="457">CONCATENATE(C226," : ","0")</f>
        <v>E1_1_1_274_mRNA : 0</v>
      </c>
      <c r="J226" s="52" t="str">
        <f t="shared" si="457"/>
        <v>E1_1_1_274 : 0</v>
      </c>
      <c r="K226" s="53" t="str">
        <f t="shared" si="5"/>
        <v>0.00292 - (0.0093 * E1_1_1_274_mRNA)</v>
      </c>
      <c r="L226" s="54" t="str">
        <f t="shared" si="6"/>
        <v>(0.278 * E1_1_1_274_mRNA) - (0.00000278 * E1_1_1_274)</v>
      </c>
      <c r="M226" s="55" t="str">
        <f t="shared" si="7"/>
        <v>mRNA225: -&gt; E1_1_1_274_mRNA | 0.00292 - (0.0093 * E1_1_1_274_mRNA)</v>
      </c>
      <c r="N226" s="56" t="str">
        <f t="shared" si="8"/>
        <v>Peptide225: E1_1_1_274_mRNA -&gt; E1_1_1_274 | (0.278 * E1_1_1_274_mRNA) - (0.000000278 * E1_1_1_274)</v>
      </c>
    </row>
    <row r="227" spans="1:14" ht="29">
      <c r="A227" s="46">
        <v>226</v>
      </c>
      <c r="B227" s="7" t="s">
        <v>12516</v>
      </c>
      <c r="C227" s="27" t="str">
        <f t="shared" si="0"/>
        <v>E2_1_1_172_mRNA</v>
      </c>
      <c r="D227" s="47" t="str">
        <f t="shared" si="9"/>
        <v>E2_1_1_172</v>
      </c>
      <c r="E227" s="48" t="str">
        <f t="shared" si="1"/>
        <v>E2_1_1_172_kcat : 13.7</v>
      </c>
      <c r="F227" s="49" t="str">
        <f t="shared" si="2"/>
        <v>E2_1_1_172_km : 1</v>
      </c>
      <c r="G227" s="9" t="str">
        <f t="shared" ref="G227:H227" si="458">CONCATENATE(C227," : ",C227)</f>
        <v>E2_1_1_172_mRNA : E2_1_1_172_mRNA</v>
      </c>
      <c r="H227" s="50" t="str">
        <f t="shared" si="458"/>
        <v>E2_1_1_172 : E2_1_1_172</v>
      </c>
      <c r="I227" s="51" t="str">
        <f t="shared" ref="I227:J227" si="459">CONCATENATE(C227," : ","0")</f>
        <v>E2_1_1_172_mRNA : 0</v>
      </c>
      <c r="J227" s="52" t="str">
        <f t="shared" si="459"/>
        <v>E2_1_1_172 : 0</v>
      </c>
      <c r="K227" s="53" t="str">
        <f t="shared" si="5"/>
        <v>0.00292 - (0.0093 * E2_1_1_172_mRNA)</v>
      </c>
      <c r="L227" s="54" t="str">
        <f t="shared" si="6"/>
        <v>(0.278 * E2_1_1_172_mRNA) - (0.00000278 * E2_1_1_172)</v>
      </c>
      <c r="M227" s="55" t="str">
        <f t="shared" si="7"/>
        <v>mRNA226: -&gt; E2_1_1_172_mRNA | 0.00292 - (0.0093 * E2_1_1_172_mRNA)</v>
      </c>
      <c r="N227" s="56" t="str">
        <f t="shared" si="8"/>
        <v>Peptide226: E2_1_1_172_mRNA -&gt; E2_1_1_172 | (0.278 * E2_1_1_172_mRNA) - (0.000000278 * E2_1_1_172)</v>
      </c>
    </row>
    <row r="228" spans="1:14" ht="29">
      <c r="A228" s="46">
        <v>227</v>
      </c>
      <c r="B228" s="7" t="s">
        <v>12517</v>
      </c>
      <c r="C228" s="27" t="str">
        <f t="shared" si="0"/>
        <v>E2_7_1_33_mRNA</v>
      </c>
      <c r="D228" s="47" t="str">
        <f t="shared" si="9"/>
        <v>E2_7_1_33</v>
      </c>
      <c r="E228" s="48" t="str">
        <f t="shared" si="1"/>
        <v>E2_7_1_33_kcat : 13.7</v>
      </c>
      <c r="F228" s="49" t="str">
        <f t="shared" si="2"/>
        <v>E2_7_1_33_km : 1</v>
      </c>
      <c r="G228" s="9" t="str">
        <f t="shared" ref="G228:H228" si="460">CONCATENATE(C228," : ",C228)</f>
        <v>E2_7_1_33_mRNA : E2_7_1_33_mRNA</v>
      </c>
      <c r="H228" s="50" t="str">
        <f t="shared" si="460"/>
        <v>E2_7_1_33 : E2_7_1_33</v>
      </c>
      <c r="I228" s="51" t="str">
        <f t="shared" ref="I228:J228" si="461">CONCATENATE(C228," : ","0")</f>
        <v>E2_7_1_33_mRNA : 0</v>
      </c>
      <c r="J228" s="52" t="str">
        <f t="shared" si="461"/>
        <v>E2_7_1_33 : 0</v>
      </c>
      <c r="K228" s="53" t="str">
        <f t="shared" si="5"/>
        <v>0.00292 - (0.0093 * E2_7_1_33_mRNA)</v>
      </c>
      <c r="L228" s="54" t="str">
        <f t="shared" si="6"/>
        <v>(0.278 * E2_7_1_33_mRNA) - (0.00000278 * E2_7_1_33)</v>
      </c>
      <c r="M228" s="55" t="str">
        <f t="shared" si="7"/>
        <v>mRNA227: -&gt; E2_7_1_33_mRNA | 0.00292 - (0.0093 * E2_7_1_33_mRNA)</v>
      </c>
      <c r="N228" s="56" t="str">
        <f t="shared" si="8"/>
        <v>Peptide227: E2_7_1_33_mRNA -&gt; E2_7_1_33 | (0.278 * E2_7_1_33_mRNA) - (0.000000278 * E2_7_1_33)</v>
      </c>
    </row>
    <row r="229" spans="1:14" ht="29">
      <c r="A229" s="46">
        <v>228</v>
      </c>
      <c r="B229" s="7" t="s">
        <v>12518</v>
      </c>
      <c r="C229" s="27" t="str">
        <f t="shared" si="0"/>
        <v>E2_4_2_8_mRNA</v>
      </c>
      <c r="D229" s="47" t="str">
        <f t="shared" si="9"/>
        <v>E2_4_2_8</v>
      </c>
      <c r="E229" s="48" t="str">
        <f t="shared" si="1"/>
        <v>E2_4_2_8_kcat : 13.7</v>
      </c>
      <c r="F229" s="49" t="str">
        <f t="shared" si="2"/>
        <v>E2_4_2_8_km : 1</v>
      </c>
      <c r="G229" s="9" t="str">
        <f t="shared" ref="G229:H229" si="462">CONCATENATE(C229," : ",C229)</f>
        <v>E2_4_2_8_mRNA : E2_4_2_8_mRNA</v>
      </c>
      <c r="H229" s="50" t="str">
        <f t="shared" si="462"/>
        <v>E2_4_2_8 : E2_4_2_8</v>
      </c>
      <c r="I229" s="51" t="str">
        <f t="shared" ref="I229:J229" si="463">CONCATENATE(C229," : ","0")</f>
        <v>E2_4_2_8_mRNA : 0</v>
      </c>
      <c r="J229" s="52" t="str">
        <f t="shared" si="463"/>
        <v>E2_4_2_8 : 0</v>
      </c>
      <c r="K229" s="53" t="str">
        <f t="shared" si="5"/>
        <v>0.00292 - (0.0093 * E2_4_2_8_mRNA)</v>
      </c>
      <c r="L229" s="54" t="str">
        <f t="shared" si="6"/>
        <v>(0.278 * E2_4_2_8_mRNA) - (0.00000278 * E2_4_2_8)</v>
      </c>
      <c r="M229" s="55" t="str">
        <f t="shared" si="7"/>
        <v>mRNA228: -&gt; E2_4_2_8_mRNA | 0.00292 - (0.0093 * E2_4_2_8_mRNA)</v>
      </c>
      <c r="N229" s="56" t="str">
        <f t="shared" si="8"/>
        <v>Peptide228: E2_4_2_8_mRNA -&gt; E2_4_2_8 | (0.278 * E2_4_2_8_mRNA) - (0.000000278 * E2_4_2_8)</v>
      </c>
    </row>
    <row r="230" spans="1:14" ht="29">
      <c r="A230" s="46">
        <v>229</v>
      </c>
      <c r="B230" s="7" t="s">
        <v>12519</v>
      </c>
      <c r="C230" s="27" t="str">
        <f t="shared" si="0"/>
        <v>E6_3_4_19_mRNA</v>
      </c>
      <c r="D230" s="47" t="str">
        <f t="shared" si="9"/>
        <v>E6_3_4_19</v>
      </c>
      <c r="E230" s="48" t="str">
        <f t="shared" si="1"/>
        <v>E6_3_4_19_kcat : 13.7</v>
      </c>
      <c r="F230" s="49" t="str">
        <f t="shared" si="2"/>
        <v>E6_3_4_19_km : 1</v>
      </c>
      <c r="G230" s="9" t="str">
        <f t="shared" ref="G230:H230" si="464">CONCATENATE(C230," : ",C230)</f>
        <v>E6_3_4_19_mRNA : E6_3_4_19_mRNA</v>
      </c>
      <c r="H230" s="50" t="str">
        <f t="shared" si="464"/>
        <v>E6_3_4_19 : E6_3_4_19</v>
      </c>
      <c r="I230" s="51" t="str">
        <f t="shared" ref="I230:J230" si="465">CONCATENATE(C230," : ","0")</f>
        <v>E6_3_4_19_mRNA : 0</v>
      </c>
      <c r="J230" s="52" t="str">
        <f t="shared" si="465"/>
        <v>E6_3_4_19 : 0</v>
      </c>
      <c r="K230" s="53" t="str">
        <f t="shared" si="5"/>
        <v>0.00292 - (0.0093 * E6_3_4_19_mRNA)</v>
      </c>
      <c r="L230" s="54" t="str">
        <f t="shared" si="6"/>
        <v>(0.278 * E6_3_4_19_mRNA) - (0.00000278 * E6_3_4_19)</v>
      </c>
      <c r="M230" s="55" t="str">
        <f t="shared" si="7"/>
        <v>mRNA229: -&gt; E6_3_4_19_mRNA | 0.00292 - (0.0093 * E6_3_4_19_mRNA)</v>
      </c>
      <c r="N230" s="56" t="str">
        <f t="shared" si="8"/>
        <v>Peptide229: E6_3_4_19_mRNA -&gt; E6_3_4_19 | (0.278 * E6_3_4_19_mRNA) - (0.000000278 * E6_3_4_19)</v>
      </c>
    </row>
    <row r="231" spans="1:14" ht="29">
      <c r="A231" s="46">
        <v>230</v>
      </c>
      <c r="B231" s="7" t="s">
        <v>12520</v>
      </c>
      <c r="C231" s="27" t="str">
        <f t="shared" si="0"/>
        <v>E4_4_1_11_mRNA</v>
      </c>
      <c r="D231" s="47" t="str">
        <f t="shared" si="9"/>
        <v>E4_4_1_11</v>
      </c>
      <c r="E231" s="48" t="str">
        <f t="shared" si="1"/>
        <v>E4_4_1_11_kcat : 13.7</v>
      </c>
      <c r="F231" s="49" t="str">
        <f t="shared" si="2"/>
        <v>E4_4_1_11_km : 1</v>
      </c>
      <c r="G231" s="9" t="str">
        <f t="shared" ref="G231:H231" si="466">CONCATENATE(C231," : ",C231)</f>
        <v>E4_4_1_11_mRNA : E4_4_1_11_mRNA</v>
      </c>
      <c r="H231" s="50" t="str">
        <f t="shared" si="466"/>
        <v>E4_4_1_11 : E4_4_1_11</v>
      </c>
      <c r="I231" s="51" t="str">
        <f t="shared" ref="I231:J231" si="467">CONCATENATE(C231," : ","0")</f>
        <v>E4_4_1_11_mRNA : 0</v>
      </c>
      <c r="J231" s="52" t="str">
        <f t="shared" si="467"/>
        <v>E4_4_1_11 : 0</v>
      </c>
      <c r="K231" s="53" t="str">
        <f t="shared" si="5"/>
        <v>0.00292 - (0.0093 * E4_4_1_11_mRNA)</v>
      </c>
      <c r="L231" s="54" t="str">
        <f t="shared" si="6"/>
        <v>(0.278 * E4_4_1_11_mRNA) - (0.00000278 * E4_4_1_11)</v>
      </c>
      <c r="M231" s="55" t="str">
        <f t="shared" si="7"/>
        <v>mRNA230: -&gt; E4_4_1_11_mRNA | 0.00292 - (0.0093 * E4_4_1_11_mRNA)</v>
      </c>
      <c r="N231" s="56" t="str">
        <f t="shared" si="8"/>
        <v>Peptide230: E4_4_1_11_mRNA -&gt; E4_4_1_11 | (0.278 * E4_4_1_11_mRNA) - (0.000000278 * E4_4_1_11)</v>
      </c>
    </row>
    <row r="232" spans="1:14" ht="29">
      <c r="A232" s="46">
        <v>231</v>
      </c>
      <c r="B232" s="7" t="s">
        <v>12521</v>
      </c>
      <c r="C232" s="27" t="str">
        <f t="shared" si="0"/>
        <v>E5_4_99_25_mRNA</v>
      </c>
      <c r="D232" s="47" t="str">
        <f t="shared" si="9"/>
        <v>E5_4_99_25</v>
      </c>
      <c r="E232" s="48" t="str">
        <f t="shared" si="1"/>
        <v>E5_4_99_25_kcat : 13.7</v>
      </c>
      <c r="F232" s="49" t="str">
        <f t="shared" si="2"/>
        <v>E5_4_99_25_km : 1</v>
      </c>
      <c r="G232" s="9" t="str">
        <f t="shared" ref="G232:H232" si="468">CONCATENATE(C232," : ",C232)</f>
        <v>E5_4_99_25_mRNA : E5_4_99_25_mRNA</v>
      </c>
      <c r="H232" s="50" t="str">
        <f t="shared" si="468"/>
        <v>E5_4_99_25 : E5_4_99_25</v>
      </c>
      <c r="I232" s="51" t="str">
        <f t="shared" ref="I232:J232" si="469">CONCATENATE(C232," : ","0")</f>
        <v>E5_4_99_25_mRNA : 0</v>
      </c>
      <c r="J232" s="52" t="str">
        <f t="shared" si="469"/>
        <v>E5_4_99_25 : 0</v>
      </c>
      <c r="K232" s="53" t="str">
        <f t="shared" si="5"/>
        <v>0.00292 - (0.0093 * E5_4_99_25_mRNA)</v>
      </c>
      <c r="L232" s="54" t="str">
        <f t="shared" si="6"/>
        <v>(0.278 * E5_4_99_25_mRNA) - (0.00000278 * E5_4_99_25)</v>
      </c>
      <c r="M232" s="55" t="str">
        <f t="shared" si="7"/>
        <v>mRNA231: -&gt; E5_4_99_25_mRNA | 0.00292 - (0.0093 * E5_4_99_25_mRNA)</v>
      </c>
      <c r="N232" s="56" t="str">
        <f t="shared" si="8"/>
        <v>Peptide231: E5_4_99_25_mRNA -&gt; E5_4_99_25 | (0.278 * E5_4_99_25_mRNA) - (0.000000278 * E5_4_99_25)</v>
      </c>
    </row>
    <row r="233" spans="1:14" ht="29">
      <c r="A233" s="46">
        <v>232</v>
      </c>
      <c r="B233" s="7" t="s">
        <v>12522</v>
      </c>
      <c r="C233" s="27" t="str">
        <f t="shared" si="0"/>
        <v>E2_7_1_35_mRNA</v>
      </c>
      <c r="D233" s="47" t="str">
        <f t="shared" si="9"/>
        <v>E2_7_1_35</v>
      </c>
      <c r="E233" s="48" t="str">
        <f t="shared" si="1"/>
        <v>E2_7_1_35_kcat : 13.7</v>
      </c>
      <c r="F233" s="49" t="str">
        <f t="shared" si="2"/>
        <v>E2_7_1_35_km : 1</v>
      </c>
      <c r="G233" s="9" t="str">
        <f t="shared" ref="G233:H233" si="470">CONCATENATE(C233," : ",C233)</f>
        <v>E2_7_1_35_mRNA : E2_7_1_35_mRNA</v>
      </c>
      <c r="H233" s="50" t="str">
        <f t="shared" si="470"/>
        <v>E2_7_1_35 : E2_7_1_35</v>
      </c>
      <c r="I233" s="51" t="str">
        <f t="shared" ref="I233:J233" si="471">CONCATENATE(C233," : ","0")</f>
        <v>E2_7_1_35_mRNA : 0</v>
      </c>
      <c r="J233" s="52" t="str">
        <f t="shared" si="471"/>
        <v>E2_7_1_35 : 0</v>
      </c>
      <c r="K233" s="53" t="str">
        <f t="shared" si="5"/>
        <v>0.00292 - (0.0093 * E2_7_1_35_mRNA)</v>
      </c>
      <c r="L233" s="54" t="str">
        <f t="shared" si="6"/>
        <v>(0.278 * E2_7_1_35_mRNA) - (0.00000278 * E2_7_1_35)</v>
      </c>
      <c r="M233" s="55" t="str">
        <f t="shared" si="7"/>
        <v>mRNA232: -&gt; E2_7_1_35_mRNA | 0.00292 - (0.0093 * E2_7_1_35_mRNA)</v>
      </c>
      <c r="N233" s="56" t="str">
        <f t="shared" si="8"/>
        <v>Peptide232: E2_7_1_35_mRNA -&gt; E2_7_1_35 | (0.278 * E2_7_1_35_mRNA) - (0.000000278 * E2_7_1_35)</v>
      </c>
    </row>
    <row r="234" spans="1:14" ht="29">
      <c r="A234" s="46">
        <v>233</v>
      </c>
      <c r="B234" s="7" t="s">
        <v>12523</v>
      </c>
      <c r="C234" s="27" t="str">
        <f t="shared" si="0"/>
        <v>E5_4_99_12_mRNA</v>
      </c>
      <c r="D234" s="47" t="str">
        <f t="shared" si="9"/>
        <v>E5_4_99_12</v>
      </c>
      <c r="E234" s="48" t="str">
        <f t="shared" si="1"/>
        <v>E5_4_99_12_kcat : 13.7</v>
      </c>
      <c r="F234" s="49" t="str">
        <f t="shared" si="2"/>
        <v>E5_4_99_12_km : 1</v>
      </c>
      <c r="G234" s="9" t="str">
        <f t="shared" ref="G234:H234" si="472">CONCATENATE(C234," : ",C234)</f>
        <v>E5_4_99_12_mRNA : E5_4_99_12_mRNA</v>
      </c>
      <c r="H234" s="50" t="str">
        <f t="shared" si="472"/>
        <v>E5_4_99_12 : E5_4_99_12</v>
      </c>
      <c r="I234" s="51" t="str">
        <f t="shared" ref="I234:J234" si="473">CONCATENATE(C234," : ","0")</f>
        <v>E5_4_99_12_mRNA : 0</v>
      </c>
      <c r="J234" s="52" t="str">
        <f t="shared" si="473"/>
        <v>E5_4_99_12 : 0</v>
      </c>
      <c r="K234" s="53" t="str">
        <f t="shared" si="5"/>
        <v>0.00292 - (0.0093 * E5_4_99_12_mRNA)</v>
      </c>
      <c r="L234" s="54" t="str">
        <f t="shared" si="6"/>
        <v>(0.278 * E5_4_99_12_mRNA) - (0.00000278 * E5_4_99_12)</v>
      </c>
      <c r="M234" s="55" t="str">
        <f t="shared" si="7"/>
        <v>mRNA233: -&gt; E5_4_99_12_mRNA | 0.00292 - (0.0093 * E5_4_99_12_mRNA)</v>
      </c>
      <c r="N234" s="56" t="str">
        <f t="shared" si="8"/>
        <v>Peptide233: E5_4_99_12_mRNA -&gt; E5_4_99_12 | (0.278 * E5_4_99_12_mRNA) - (0.000000278 * E5_4_99_12)</v>
      </c>
    </row>
    <row r="235" spans="1:14" ht="29">
      <c r="A235" s="46">
        <v>234</v>
      </c>
      <c r="B235" s="7" t="s">
        <v>12524</v>
      </c>
      <c r="C235" s="27" t="str">
        <f t="shared" si="0"/>
        <v>E2_7_4_7_mRNA</v>
      </c>
      <c r="D235" s="47" t="str">
        <f t="shared" si="9"/>
        <v>E2_7_4_7</v>
      </c>
      <c r="E235" s="48" t="str">
        <f t="shared" si="1"/>
        <v>E2_7_4_7_kcat : 13.7</v>
      </c>
      <c r="F235" s="49" t="str">
        <f t="shared" si="2"/>
        <v>E2_7_4_7_km : 1</v>
      </c>
      <c r="G235" s="9" t="str">
        <f t="shared" ref="G235:H235" si="474">CONCATENATE(C235," : ",C235)</f>
        <v>E2_7_4_7_mRNA : E2_7_4_7_mRNA</v>
      </c>
      <c r="H235" s="50" t="str">
        <f t="shared" si="474"/>
        <v>E2_7_4_7 : E2_7_4_7</v>
      </c>
      <c r="I235" s="51" t="str">
        <f t="shared" ref="I235:J235" si="475">CONCATENATE(C235," : ","0")</f>
        <v>E2_7_4_7_mRNA : 0</v>
      </c>
      <c r="J235" s="52" t="str">
        <f t="shared" si="475"/>
        <v>E2_7_4_7 : 0</v>
      </c>
      <c r="K235" s="53" t="str">
        <f t="shared" si="5"/>
        <v>0.00292 - (0.0093 * E2_7_4_7_mRNA)</v>
      </c>
      <c r="L235" s="54" t="str">
        <f t="shared" si="6"/>
        <v>(0.278 * E2_7_4_7_mRNA) - (0.00000278 * E2_7_4_7)</v>
      </c>
      <c r="M235" s="55" t="str">
        <f t="shared" si="7"/>
        <v>mRNA234: -&gt; E2_7_4_7_mRNA | 0.00292 - (0.0093 * E2_7_4_7_mRNA)</v>
      </c>
      <c r="N235" s="56" t="str">
        <f t="shared" si="8"/>
        <v>Peptide234: E2_7_4_7_mRNA -&gt; E2_7_4_7 | (0.278 * E2_7_4_7_mRNA) - (0.000000278 * E2_7_4_7)</v>
      </c>
    </row>
    <row r="236" spans="1:14" ht="29">
      <c r="A236" s="46">
        <v>235</v>
      </c>
      <c r="B236" s="7" t="s">
        <v>12525</v>
      </c>
      <c r="C236" s="27" t="str">
        <f t="shared" si="0"/>
        <v>E2_7_1_40_mRNA</v>
      </c>
      <c r="D236" s="47" t="str">
        <f t="shared" si="9"/>
        <v>E2_7_1_40</v>
      </c>
      <c r="E236" s="48" t="str">
        <f t="shared" si="1"/>
        <v>E2_7_1_40_kcat : 13.7</v>
      </c>
      <c r="F236" s="49" t="str">
        <f t="shared" si="2"/>
        <v>E2_7_1_40_km : 1</v>
      </c>
      <c r="G236" s="9" t="str">
        <f t="shared" ref="G236:H236" si="476">CONCATENATE(C236," : ",C236)</f>
        <v>E2_7_1_40_mRNA : E2_7_1_40_mRNA</v>
      </c>
      <c r="H236" s="50" t="str">
        <f t="shared" si="476"/>
        <v>E2_7_1_40 : E2_7_1_40</v>
      </c>
      <c r="I236" s="51" t="str">
        <f t="shared" ref="I236:J236" si="477">CONCATENATE(C236," : ","0")</f>
        <v>E2_7_1_40_mRNA : 0</v>
      </c>
      <c r="J236" s="52" t="str">
        <f t="shared" si="477"/>
        <v>E2_7_1_40 : 0</v>
      </c>
      <c r="K236" s="53" t="str">
        <f t="shared" si="5"/>
        <v>0.00292 - (0.0093 * E2_7_1_40_mRNA)</v>
      </c>
      <c r="L236" s="54" t="str">
        <f t="shared" si="6"/>
        <v>(0.278 * E2_7_1_40_mRNA) - (0.00000278 * E2_7_1_40)</v>
      </c>
      <c r="M236" s="55" t="str">
        <f t="shared" si="7"/>
        <v>mRNA235: -&gt; E2_7_1_40_mRNA | 0.00292 - (0.0093 * E2_7_1_40_mRNA)</v>
      </c>
      <c r="N236" s="56" t="str">
        <f t="shared" si="8"/>
        <v>Peptide235: E2_7_1_40_mRNA -&gt; E2_7_1_40 | (0.278 * E2_7_1_40_mRNA) - (0.000000278 * E2_7_1_40)</v>
      </c>
    </row>
    <row r="237" spans="1:14" ht="29">
      <c r="A237" s="46">
        <v>236</v>
      </c>
      <c r="B237" s="7" t="s">
        <v>12526</v>
      </c>
      <c r="C237" s="27" t="str">
        <f t="shared" si="0"/>
        <v>E2_7_1_11_mRNA</v>
      </c>
      <c r="D237" s="47" t="str">
        <f t="shared" si="9"/>
        <v>E2_7_1_11</v>
      </c>
      <c r="E237" s="48" t="str">
        <f t="shared" si="1"/>
        <v>E2_7_1_11_kcat : 13.7</v>
      </c>
      <c r="F237" s="49" t="str">
        <f t="shared" si="2"/>
        <v>E2_7_1_11_km : 1</v>
      </c>
      <c r="G237" s="9" t="str">
        <f t="shared" ref="G237:H237" si="478">CONCATENATE(C237," : ",C237)</f>
        <v>E2_7_1_11_mRNA : E2_7_1_11_mRNA</v>
      </c>
      <c r="H237" s="50" t="str">
        <f t="shared" si="478"/>
        <v>E2_7_1_11 : E2_7_1_11</v>
      </c>
      <c r="I237" s="51" t="str">
        <f t="shared" ref="I237:J237" si="479">CONCATENATE(C237," : ","0")</f>
        <v>E2_7_1_11_mRNA : 0</v>
      </c>
      <c r="J237" s="52" t="str">
        <f t="shared" si="479"/>
        <v>E2_7_1_11 : 0</v>
      </c>
      <c r="K237" s="53" t="str">
        <f t="shared" si="5"/>
        <v>0.00292 - (0.0093 * E2_7_1_11_mRNA)</v>
      </c>
      <c r="L237" s="54" t="str">
        <f t="shared" si="6"/>
        <v>(0.278 * E2_7_1_11_mRNA) - (0.00000278 * E2_7_1_11)</v>
      </c>
      <c r="M237" s="55" t="str">
        <f t="shared" si="7"/>
        <v>mRNA236: -&gt; E2_7_1_11_mRNA | 0.00292 - (0.0093 * E2_7_1_11_mRNA)</v>
      </c>
      <c r="N237" s="56" t="str">
        <f t="shared" si="8"/>
        <v>Peptide236: E2_7_1_11_mRNA -&gt; E2_7_1_11 | (0.278 * E2_7_1_11_mRNA) - (0.000000278 * E2_7_1_11)</v>
      </c>
    </row>
    <row r="238" spans="1:14" ht="29">
      <c r="A238" s="46">
        <v>237</v>
      </c>
      <c r="B238" s="7" t="s">
        <v>12527</v>
      </c>
      <c r="C238" s="27" t="str">
        <f t="shared" si="0"/>
        <v>E2_7_7_18_mRNA</v>
      </c>
      <c r="D238" s="47" t="str">
        <f t="shared" si="9"/>
        <v>E2_7_7_18</v>
      </c>
      <c r="E238" s="48" t="str">
        <f t="shared" si="1"/>
        <v>E2_7_7_18_kcat : 13.7</v>
      </c>
      <c r="F238" s="49" t="str">
        <f t="shared" si="2"/>
        <v>E2_7_7_18_km : 1</v>
      </c>
      <c r="G238" s="9" t="str">
        <f t="shared" ref="G238:H238" si="480">CONCATENATE(C238," : ",C238)</f>
        <v>E2_7_7_18_mRNA : E2_7_7_18_mRNA</v>
      </c>
      <c r="H238" s="50" t="str">
        <f t="shared" si="480"/>
        <v>E2_7_7_18 : E2_7_7_18</v>
      </c>
      <c r="I238" s="51" t="str">
        <f t="shared" ref="I238:J238" si="481">CONCATENATE(C238," : ","0")</f>
        <v>E2_7_7_18_mRNA : 0</v>
      </c>
      <c r="J238" s="52" t="str">
        <f t="shared" si="481"/>
        <v>E2_7_7_18 : 0</v>
      </c>
      <c r="K238" s="53" t="str">
        <f t="shared" si="5"/>
        <v>0.00292 - (0.0093 * E2_7_7_18_mRNA)</v>
      </c>
      <c r="L238" s="54" t="str">
        <f t="shared" si="6"/>
        <v>(0.278 * E2_7_7_18_mRNA) - (0.00000278 * E2_7_7_18)</v>
      </c>
      <c r="M238" s="55" t="str">
        <f t="shared" si="7"/>
        <v>mRNA237: -&gt; E2_7_7_18_mRNA | 0.00292 - (0.0093 * E2_7_7_18_mRNA)</v>
      </c>
      <c r="N238" s="56" t="str">
        <f t="shared" si="8"/>
        <v>Peptide237: E2_7_7_18_mRNA -&gt; E2_7_7_18 | (0.278 * E2_7_7_18_mRNA) - (0.000000278 * E2_7_7_18)</v>
      </c>
    </row>
    <row r="239" spans="1:14" ht="29">
      <c r="A239" s="46">
        <v>238</v>
      </c>
      <c r="B239" s="7" t="s">
        <v>12528</v>
      </c>
      <c r="C239" s="27" t="str">
        <f t="shared" si="0"/>
        <v>E1_8_4_14_mRNA</v>
      </c>
      <c r="D239" s="47" t="str">
        <f t="shared" si="9"/>
        <v>E1_8_4_14</v>
      </c>
      <c r="E239" s="48" t="str">
        <f t="shared" si="1"/>
        <v>E1_8_4_14_kcat : 13.7</v>
      </c>
      <c r="F239" s="49" t="str">
        <f t="shared" si="2"/>
        <v>E1_8_4_14_km : 1</v>
      </c>
      <c r="G239" s="9" t="str">
        <f t="shared" ref="G239:H239" si="482">CONCATENATE(C239," : ",C239)</f>
        <v>E1_8_4_14_mRNA : E1_8_4_14_mRNA</v>
      </c>
      <c r="H239" s="50" t="str">
        <f t="shared" si="482"/>
        <v>E1_8_4_14 : E1_8_4_14</v>
      </c>
      <c r="I239" s="51" t="str">
        <f t="shared" ref="I239:J239" si="483">CONCATENATE(C239," : ","0")</f>
        <v>E1_8_4_14_mRNA : 0</v>
      </c>
      <c r="J239" s="52" t="str">
        <f t="shared" si="483"/>
        <v>E1_8_4_14 : 0</v>
      </c>
      <c r="K239" s="53" t="str">
        <f t="shared" si="5"/>
        <v>0.00292 - (0.0093 * E1_8_4_14_mRNA)</v>
      </c>
      <c r="L239" s="54" t="str">
        <f t="shared" si="6"/>
        <v>(0.278 * E1_8_4_14_mRNA) - (0.00000278 * E1_8_4_14)</v>
      </c>
      <c r="M239" s="55" t="str">
        <f t="shared" si="7"/>
        <v>mRNA238: -&gt; E1_8_4_14_mRNA | 0.00292 - (0.0093 * E1_8_4_14_mRNA)</v>
      </c>
      <c r="N239" s="56" t="str">
        <f t="shared" si="8"/>
        <v>Peptide238: E1_8_4_14_mRNA -&gt; E1_8_4_14 | (0.278 * E1_8_4_14_mRNA) - (0.000000278 * E1_8_4_14)</v>
      </c>
    </row>
    <row r="240" spans="1:14" ht="29">
      <c r="A240" s="46">
        <v>239</v>
      </c>
      <c r="B240" s="7" t="s">
        <v>12529</v>
      </c>
      <c r="C240" s="27" t="str">
        <f t="shared" si="0"/>
        <v>E3_6_3_17_mRNA</v>
      </c>
      <c r="D240" s="47" t="str">
        <f t="shared" si="9"/>
        <v>E3_6_3_17</v>
      </c>
      <c r="E240" s="48" t="str">
        <f t="shared" si="1"/>
        <v>E3_6_3_17_kcat : 13.7</v>
      </c>
      <c r="F240" s="49" t="str">
        <f t="shared" si="2"/>
        <v>E3_6_3_17_km : 1</v>
      </c>
      <c r="G240" s="9" t="str">
        <f t="shared" ref="G240:H240" si="484">CONCATENATE(C240," : ",C240)</f>
        <v>E3_6_3_17_mRNA : E3_6_3_17_mRNA</v>
      </c>
      <c r="H240" s="50" t="str">
        <f t="shared" si="484"/>
        <v>E3_6_3_17 : E3_6_3_17</v>
      </c>
      <c r="I240" s="51" t="str">
        <f t="shared" ref="I240:J240" si="485">CONCATENATE(C240," : ","0")</f>
        <v>E3_6_3_17_mRNA : 0</v>
      </c>
      <c r="J240" s="52" t="str">
        <f t="shared" si="485"/>
        <v>E3_6_3_17 : 0</v>
      </c>
      <c r="K240" s="53" t="str">
        <f t="shared" si="5"/>
        <v>0.00292 - (0.0093 * E3_6_3_17_mRNA)</v>
      </c>
      <c r="L240" s="54" t="str">
        <f t="shared" si="6"/>
        <v>(0.278 * E3_6_3_17_mRNA) - (0.00000278 * E3_6_3_17)</v>
      </c>
      <c r="M240" s="55" t="str">
        <f t="shared" si="7"/>
        <v>mRNA239: -&gt; E3_6_3_17_mRNA | 0.00292 - (0.0093 * E3_6_3_17_mRNA)</v>
      </c>
      <c r="N240" s="56" t="str">
        <f t="shared" si="8"/>
        <v>Peptide239: E3_6_3_17_mRNA -&gt; E3_6_3_17 | (0.278 * E3_6_3_17_mRNA) - (0.000000278 * E3_6_3_17)</v>
      </c>
    </row>
    <row r="241" spans="1:14" ht="29">
      <c r="A241" s="46">
        <v>240</v>
      </c>
      <c r="B241" s="7" t="s">
        <v>12530</v>
      </c>
      <c r="C241" s="27" t="str">
        <f t="shared" si="0"/>
        <v>E3_5_4_28_mRNA</v>
      </c>
      <c r="D241" s="47" t="str">
        <f t="shared" si="9"/>
        <v>E3_5_4_28</v>
      </c>
      <c r="E241" s="48" t="str">
        <f t="shared" si="1"/>
        <v>E3_5_4_28_kcat : 13.7</v>
      </c>
      <c r="F241" s="49" t="str">
        <f t="shared" si="2"/>
        <v>E3_5_4_28_km : 1</v>
      </c>
      <c r="G241" s="9" t="str">
        <f t="shared" ref="G241:H241" si="486">CONCATENATE(C241," : ",C241)</f>
        <v>E3_5_4_28_mRNA : E3_5_4_28_mRNA</v>
      </c>
      <c r="H241" s="50" t="str">
        <f t="shared" si="486"/>
        <v>E3_5_4_28 : E3_5_4_28</v>
      </c>
      <c r="I241" s="51" t="str">
        <f t="shared" ref="I241:J241" si="487">CONCATENATE(C241," : ","0")</f>
        <v>E3_5_4_28_mRNA : 0</v>
      </c>
      <c r="J241" s="52" t="str">
        <f t="shared" si="487"/>
        <v>E3_5_4_28 : 0</v>
      </c>
      <c r="K241" s="53" t="str">
        <f t="shared" si="5"/>
        <v>0.00292 - (0.0093 * E3_5_4_28_mRNA)</v>
      </c>
      <c r="L241" s="54" t="str">
        <f t="shared" si="6"/>
        <v>(0.278 * E3_5_4_28_mRNA) - (0.00000278 * E3_5_4_28)</v>
      </c>
      <c r="M241" s="55" t="str">
        <f t="shared" si="7"/>
        <v>mRNA240: -&gt; E3_5_4_28_mRNA | 0.00292 - (0.0093 * E3_5_4_28_mRNA)</v>
      </c>
      <c r="N241" s="56" t="str">
        <f t="shared" si="8"/>
        <v>Peptide240: E3_5_4_28_mRNA -&gt; E3_5_4_28 | (0.278 * E3_5_4_28_mRNA) - (0.000000278 * E3_5_4_28)</v>
      </c>
    </row>
    <row r="242" spans="1:14" ht="29">
      <c r="A242" s="46">
        <v>241</v>
      </c>
      <c r="B242" s="7" t="s">
        <v>12531</v>
      </c>
      <c r="C242" s="27" t="str">
        <f t="shared" si="0"/>
        <v>E2_1_1_37_mRNA</v>
      </c>
      <c r="D242" s="47" t="str">
        <f t="shared" si="9"/>
        <v>E2_1_1_37</v>
      </c>
      <c r="E242" s="48" t="str">
        <f t="shared" si="1"/>
        <v>E2_1_1_37_kcat : 13.7</v>
      </c>
      <c r="F242" s="49" t="str">
        <f t="shared" si="2"/>
        <v>E2_1_1_37_km : 1</v>
      </c>
      <c r="G242" s="9" t="str">
        <f t="shared" ref="G242:H242" si="488">CONCATENATE(C242," : ",C242)</f>
        <v>E2_1_1_37_mRNA : E2_1_1_37_mRNA</v>
      </c>
      <c r="H242" s="50" t="str">
        <f t="shared" si="488"/>
        <v>E2_1_1_37 : E2_1_1_37</v>
      </c>
      <c r="I242" s="51" t="str">
        <f t="shared" ref="I242:J242" si="489">CONCATENATE(C242," : ","0")</f>
        <v>E2_1_1_37_mRNA : 0</v>
      </c>
      <c r="J242" s="52" t="str">
        <f t="shared" si="489"/>
        <v>E2_1_1_37 : 0</v>
      </c>
      <c r="K242" s="53" t="str">
        <f t="shared" si="5"/>
        <v>0.00292 - (0.0093 * E2_1_1_37_mRNA)</v>
      </c>
      <c r="L242" s="54" t="str">
        <f t="shared" si="6"/>
        <v>(0.278 * E2_1_1_37_mRNA) - (0.00000278 * E2_1_1_37)</v>
      </c>
      <c r="M242" s="55" t="str">
        <f t="shared" si="7"/>
        <v>mRNA241: -&gt; E2_1_1_37_mRNA | 0.00292 - (0.0093 * E2_1_1_37_mRNA)</v>
      </c>
      <c r="N242" s="56" t="str">
        <f t="shared" si="8"/>
        <v>Peptide241: E2_1_1_37_mRNA -&gt; E2_1_1_37 | (0.278 * E2_1_1_37_mRNA) - (0.000000278 * E2_1_1_37)</v>
      </c>
    </row>
    <row r="243" spans="1:14" ht="29">
      <c r="A243" s="46">
        <v>242</v>
      </c>
      <c r="B243" s="7" t="s">
        <v>12532</v>
      </c>
      <c r="C243" s="27" t="str">
        <f t="shared" si="0"/>
        <v>E5_1_3_24_mRNA</v>
      </c>
      <c r="D243" s="47" t="str">
        <f t="shared" si="9"/>
        <v>E5_1_3_24</v>
      </c>
      <c r="E243" s="48" t="str">
        <f t="shared" si="1"/>
        <v>E5_1_3_24_kcat : 13.7</v>
      </c>
      <c r="F243" s="49" t="str">
        <f t="shared" si="2"/>
        <v>E5_1_3_24_km : 1</v>
      </c>
      <c r="G243" s="9" t="str">
        <f t="shared" ref="G243:H243" si="490">CONCATENATE(C243," : ",C243)</f>
        <v>E5_1_3_24_mRNA : E5_1_3_24_mRNA</v>
      </c>
      <c r="H243" s="50" t="str">
        <f t="shared" si="490"/>
        <v>E5_1_3_24 : E5_1_3_24</v>
      </c>
      <c r="I243" s="51" t="str">
        <f t="shared" ref="I243:J243" si="491">CONCATENATE(C243," : ","0")</f>
        <v>E5_1_3_24_mRNA : 0</v>
      </c>
      <c r="J243" s="52" t="str">
        <f t="shared" si="491"/>
        <v>E5_1_3_24 : 0</v>
      </c>
      <c r="K243" s="53" t="str">
        <f t="shared" si="5"/>
        <v>0.00292 - (0.0093 * E5_1_3_24_mRNA)</v>
      </c>
      <c r="L243" s="54" t="str">
        <f t="shared" si="6"/>
        <v>(0.278 * E5_1_3_24_mRNA) - (0.00000278 * E5_1_3_24)</v>
      </c>
      <c r="M243" s="55" t="str">
        <f t="shared" si="7"/>
        <v>mRNA242: -&gt; E5_1_3_24_mRNA | 0.00292 - (0.0093 * E5_1_3_24_mRNA)</v>
      </c>
      <c r="N243" s="56" t="str">
        <f t="shared" si="8"/>
        <v>Peptide242: E5_1_3_24_mRNA -&gt; E5_1_3_24 | (0.278 * E5_1_3_24_mRNA) - (0.000000278 * E5_1_3_24)</v>
      </c>
    </row>
    <row r="244" spans="1:14" ht="29">
      <c r="A244" s="46">
        <v>243</v>
      </c>
      <c r="B244" s="7" t="s">
        <v>12533</v>
      </c>
      <c r="C244" s="27" t="str">
        <f t="shared" si="0"/>
        <v>E6_1_1_16_mRNA</v>
      </c>
      <c r="D244" s="47" t="str">
        <f t="shared" si="9"/>
        <v>E6_1_1_16</v>
      </c>
      <c r="E244" s="48" t="str">
        <f t="shared" si="1"/>
        <v>E6_1_1_16_kcat : 13.7</v>
      </c>
      <c r="F244" s="49" t="str">
        <f t="shared" si="2"/>
        <v>E6_1_1_16_km : 1</v>
      </c>
      <c r="G244" s="9" t="str">
        <f t="shared" ref="G244:H244" si="492">CONCATENATE(C244," : ",C244)</f>
        <v>E6_1_1_16_mRNA : E6_1_1_16_mRNA</v>
      </c>
      <c r="H244" s="50" t="str">
        <f t="shared" si="492"/>
        <v>E6_1_1_16 : E6_1_1_16</v>
      </c>
      <c r="I244" s="51" t="str">
        <f t="shared" ref="I244:J244" si="493">CONCATENATE(C244," : ","0")</f>
        <v>E6_1_1_16_mRNA : 0</v>
      </c>
      <c r="J244" s="52" t="str">
        <f t="shared" si="493"/>
        <v>E6_1_1_16 : 0</v>
      </c>
      <c r="K244" s="53" t="str">
        <f t="shared" si="5"/>
        <v>0.00292 - (0.0093 * E6_1_1_16_mRNA)</v>
      </c>
      <c r="L244" s="54" t="str">
        <f t="shared" si="6"/>
        <v>(0.278 * E6_1_1_16_mRNA) - (0.00000278 * E6_1_1_16)</v>
      </c>
      <c r="M244" s="55" t="str">
        <f t="shared" si="7"/>
        <v>mRNA243: -&gt; E6_1_1_16_mRNA | 0.00292 - (0.0093 * E6_1_1_16_mRNA)</v>
      </c>
      <c r="N244" s="56" t="str">
        <f t="shared" si="8"/>
        <v>Peptide243: E6_1_1_16_mRNA -&gt; E6_1_1_16 | (0.278 * E6_1_1_16_mRNA) - (0.000000278 * E6_1_1_16)</v>
      </c>
    </row>
    <row r="245" spans="1:14" ht="29">
      <c r="A245" s="46">
        <v>244</v>
      </c>
      <c r="B245" s="7" t="s">
        <v>12534</v>
      </c>
      <c r="C245" s="27" t="str">
        <f t="shared" si="0"/>
        <v>E2_3_1_30_mRNA</v>
      </c>
      <c r="D245" s="47" t="str">
        <f t="shared" si="9"/>
        <v>E2_3_1_30</v>
      </c>
      <c r="E245" s="48" t="str">
        <f t="shared" si="1"/>
        <v>E2_3_1_30_kcat : 13.7</v>
      </c>
      <c r="F245" s="49" t="str">
        <f t="shared" si="2"/>
        <v>E2_3_1_30_km : 1</v>
      </c>
      <c r="G245" s="9" t="str">
        <f t="shared" ref="G245:H245" si="494">CONCATENATE(C245," : ",C245)</f>
        <v>E2_3_1_30_mRNA : E2_3_1_30_mRNA</v>
      </c>
      <c r="H245" s="50" t="str">
        <f t="shared" si="494"/>
        <v>E2_3_1_30 : E2_3_1_30</v>
      </c>
      <c r="I245" s="51" t="str">
        <f t="shared" ref="I245:J245" si="495">CONCATENATE(C245," : ","0")</f>
        <v>E2_3_1_30_mRNA : 0</v>
      </c>
      <c r="J245" s="52" t="str">
        <f t="shared" si="495"/>
        <v>E2_3_1_30 : 0</v>
      </c>
      <c r="K245" s="53" t="str">
        <f t="shared" si="5"/>
        <v>0.00292 - (0.0093 * E2_3_1_30_mRNA)</v>
      </c>
      <c r="L245" s="54" t="str">
        <f t="shared" si="6"/>
        <v>(0.278 * E2_3_1_30_mRNA) - (0.00000278 * E2_3_1_30)</v>
      </c>
      <c r="M245" s="55" t="str">
        <f t="shared" si="7"/>
        <v>mRNA244: -&gt; E2_3_1_30_mRNA | 0.00292 - (0.0093 * E2_3_1_30_mRNA)</v>
      </c>
      <c r="N245" s="56" t="str">
        <f t="shared" si="8"/>
        <v>Peptide244: E2_3_1_30_mRNA -&gt; E2_3_1_30 | (0.278 * E2_3_1_30_mRNA) - (0.000000278 * E2_3_1_30)</v>
      </c>
    </row>
    <row r="246" spans="1:14" ht="29">
      <c r="A246" s="46">
        <v>245</v>
      </c>
      <c r="B246" s="7" t="s">
        <v>12535</v>
      </c>
      <c r="C246" s="27" t="str">
        <f t="shared" si="0"/>
        <v>E2_7_7_8_mRNA</v>
      </c>
      <c r="D246" s="47" t="str">
        <f t="shared" si="9"/>
        <v>E2_7_7_8</v>
      </c>
      <c r="E246" s="48" t="str">
        <f t="shared" si="1"/>
        <v>E2_7_7_8_kcat : 13.7</v>
      </c>
      <c r="F246" s="49" t="str">
        <f t="shared" si="2"/>
        <v>E2_7_7_8_km : 1</v>
      </c>
      <c r="G246" s="9" t="str">
        <f t="shared" ref="G246:H246" si="496">CONCATENATE(C246," : ",C246)</f>
        <v>E2_7_7_8_mRNA : E2_7_7_8_mRNA</v>
      </c>
      <c r="H246" s="50" t="str">
        <f t="shared" si="496"/>
        <v>E2_7_7_8 : E2_7_7_8</v>
      </c>
      <c r="I246" s="51" t="str">
        <f t="shared" ref="I246:J246" si="497">CONCATENATE(C246," : ","0")</f>
        <v>E2_7_7_8_mRNA : 0</v>
      </c>
      <c r="J246" s="52" t="str">
        <f t="shared" si="497"/>
        <v>E2_7_7_8 : 0</v>
      </c>
      <c r="K246" s="53" t="str">
        <f t="shared" si="5"/>
        <v>0.00292 - (0.0093 * E2_7_7_8_mRNA)</v>
      </c>
      <c r="L246" s="54" t="str">
        <f t="shared" si="6"/>
        <v>(0.278 * E2_7_7_8_mRNA) - (0.00000278 * E2_7_7_8)</v>
      </c>
      <c r="M246" s="55" t="str">
        <f t="shared" si="7"/>
        <v>mRNA245: -&gt; E2_7_7_8_mRNA | 0.00292 - (0.0093 * E2_7_7_8_mRNA)</v>
      </c>
      <c r="N246" s="56" t="str">
        <f t="shared" si="8"/>
        <v>Peptide245: E2_7_7_8_mRNA -&gt; E2_7_7_8 | (0.278 * E2_7_7_8_mRNA) - (0.000000278 * E2_7_7_8)</v>
      </c>
    </row>
    <row r="247" spans="1:14" ht="29">
      <c r="A247" s="46">
        <v>246</v>
      </c>
      <c r="B247" s="7" t="s">
        <v>12536</v>
      </c>
      <c r="C247" s="27" t="str">
        <f t="shared" si="0"/>
        <v>E1_5_1_20_mRNA</v>
      </c>
      <c r="D247" s="47" t="str">
        <f t="shared" si="9"/>
        <v>E1_5_1_20</v>
      </c>
      <c r="E247" s="48" t="str">
        <f t="shared" si="1"/>
        <v>E1_5_1_20_kcat : 13.7</v>
      </c>
      <c r="F247" s="49" t="str">
        <f t="shared" si="2"/>
        <v>E1_5_1_20_km : 1</v>
      </c>
      <c r="G247" s="9" t="str">
        <f t="shared" ref="G247:H247" si="498">CONCATENATE(C247," : ",C247)</f>
        <v>E1_5_1_20_mRNA : E1_5_1_20_mRNA</v>
      </c>
      <c r="H247" s="50" t="str">
        <f t="shared" si="498"/>
        <v>E1_5_1_20 : E1_5_1_20</v>
      </c>
      <c r="I247" s="51" t="str">
        <f t="shared" ref="I247:J247" si="499">CONCATENATE(C247," : ","0")</f>
        <v>E1_5_1_20_mRNA : 0</v>
      </c>
      <c r="J247" s="52" t="str">
        <f t="shared" si="499"/>
        <v>E1_5_1_20 : 0</v>
      </c>
      <c r="K247" s="53" t="str">
        <f t="shared" si="5"/>
        <v>0.00292 - (0.0093 * E1_5_1_20_mRNA)</v>
      </c>
      <c r="L247" s="54" t="str">
        <f t="shared" si="6"/>
        <v>(0.278 * E1_5_1_20_mRNA) - (0.00000278 * E1_5_1_20)</v>
      </c>
      <c r="M247" s="55" t="str">
        <f t="shared" si="7"/>
        <v>mRNA246: -&gt; E1_5_1_20_mRNA | 0.00292 - (0.0093 * E1_5_1_20_mRNA)</v>
      </c>
      <c r="N247" s="56" t="str">
        <f t="shared" si="8"/>
        <v>Peptide246: E1_5_1_20_mRNA -&gt; E1_5_1_20 | (0.278 * E1_5_1_20_mRNA) - (0.000000278 * E1_5_1_20)</v>
      </c>
    </row>
    <row r="248" spans="1:14" ht="29">
      <c r="A248" s="46">
        <v>247</v>
      </c>
      <c r="B248" s="7" t="s">
        <v>12537</v>
      </c>
      <c r="C248" s="27" t="str">
        <f t="shared" si="0"/>
        <v>E2_1_1_14_mRNA</v>
      </c>
      <c r="D248" s="47" t="str">
        <f t="shared" si="9"/>
        <v>E2_1_1_14</v>
      </c>
      <c r="E248" s="48" t="str">
        <f t="shared" si="1"/>
        <v>E2_1_1_14_kcat : 13.7</v>
      </c>
      <c r="F248" s="49" t="str">
        <f t="shared" si="2"/>
        <v>E2_1_1_14_km : 1</v>
      </c>
      <c r="G248" s="9" t="str">
        <f t="shared" ref="G248:H248" si="500">CONCATENATE(C248," : ",C248)</f>
        <v>E2_1_1_14_mRNA : E2_1_1_14_mRNA</v>
      </c>
      <c r="H248" s="50" t="str">
        <f t="shared" si="500"/>
        <v>E2_1_1_14 : E2_1_1_14</v>
      </c>
      <c r="I248" s="51" t="str">
        <f t="shared" ref="I248:J248" si="501">CONCATENATE(C248," : ","0")</f>
        <v>E2_1_1_14_mRNA : 0</v>
      </c>
      <c r="J248" s="52" t="str">
        <f t="shared" si="501"/>
        <v>E2_1_1_14 : 0</v>
      </c>
      <c r="K248" s="53" t="str">
        <f t="shared" si="5"/>
        <v>0.00292 - (0.0093 * E2_1_1_14_mRNA)</v>
      </c>
      <c r="L248" s="54" t="str">
        <f t="shared" si="6"/>
        <v>(0.278 * E2_1_1_14_mRNA) - (0.00000278 * E2_1_1_14)</v>
      </c>
      <c r="M248" s="55" t="str">
        <f t="shared" si="7"/>
        <v>mRNA247: -&gt; E2_1_1_14_mRNA | 0.00292 - (0.0093 * E2_1_1_14_mRNA)</v>
      </c>
      <c r="N248" s="56" t="str">
        <f t="shared" si="8"/>
        <v>Peptide247: E2_1_1_14_mRNA -&gt; E2_1_1_14 | (0.278 * E2_1_1_14_mRNA) - (0.000000278 * E2_1_1_14)</v>
      </c>
    </row>
    <row r="249" spans="1:14" ht="29">
      <c r="A249" s="46">
        <v>248</v>
      </c>
      <c r="B249" s="7" t="s">
        <v>12538</v>
      </c>
      <c r="C249" s="27" t="str">
        <f t="shared" si="0"/>
        <v>E3_2_1_96_mRNA</v>
      </c>
      <c r="D249" s="47" t="str">
        <f t="shared" si="9"/>
        <v>E3_2_1_96</v>
      </c>
      <c r="E249" s="48" t="str">
        <f t="shared" si="1"/>
        <v>E3_2_1_96_kcat : 13.7</v>
      </c>
      <c r="F249" s="49" t="str">
        <f t="shared" si="2"/>
        <v>E3_2_1_96_km : 1</v>
      </c>
      <c r="G249" s="9" t="str">
        <f t="shared" ref="G249:H249" si="502">CONCATENATE(C249," : ",C249)</f>
        <v>E3_2_1_96_mRNA : E3_2_1_96_mRNA</v>
      </c>
      <c r="H249" s="50" t="str">
        <f t="shared" si="502"/>
        <v>E3_2_1_96 : E3_2_1_96</v>
      </c>
      <c r="I249" s="51" t="str">
        <f t="shared" ref="I249:J249" si="503">CONCATENATE(C249," : ","0")</f>
        <v>E3_2_1_96_mRNA : 0</v>
      </c>
      <c r="J249" s="52" t="str">
        <f t="shared" si="503"/>
        <v>E3_2_1_96 : 0</v>
      </c>
      <c r="K249" s="53" t="str">
        <f t="shared" si="5"/>
        <v>0.00292 - (0.0093 * E3_2_1_96_mRNA)</v>
      </c>
      <c r="L249" s="54" t="str">
        <f t="shared" si="6"/>
        <v>(0.278 * E3_2_1_96_mRNA) - (0.00000278 * E3_2_1_96)</v>
      </c>
      <c r="M249" s="55" t="str">
        <f t="shared" si="7"/>
        <v>mRNA248: -&gt; E3_2_1_96_mRNA | 0.00292 - (0.0093 * E3_2_1_96_mRNA)</v>
      </c>
      <c r="N249" s="56" t="str">
        <f t="shared" si="8"/>
        <v>Peptide248: E3_2_1_96_mRNA -&gt; E3_2_1_96 | (0.278 * E3_2_1_96_mRNA) - (0.000000278 * E3_2_1_96)</v>
      </c>
    </row>
    <row r="250" spans="1:14" ht="29">
      <c r="A250" s="46">
        <v>249</v>
      </c>
      <c r="B250" s="7" t="s">
        <v>12539</v>
      </c>
      <c r="C250" s="27" t="str">
        <f t="shared" si="0"/>
        <v>E6_3_4_5_mRNA</v>
      </c>
      <c r="D250" s="47" t="str">
        <f t="shared" si="9"/>
        <v>E6_3_4_5</v>
      </c>
      <c r="E250" s="48" t="str">
        <f t="shared" si="1"/>
        <v>E6_3_4_5_kcat : 13.7</v>
      </c>
      <c r="F250" s="49" t="str">
        <f t="shared" si="2"/>
        <v>E6_3_4_5_km : 1</v>
      </c>
      <c r="G250" s="9" t="str">
        <f t="shared" ref="G250:H250" si="504">CONCATENATE(C250," : ",C250)</f>
        <v>E6_3_4_5_mRNA : E6_3_4_5_mRNA</v>
      </c>
      <c r="H250" s="50" t="str">
        <f t="shared" si="504"/>
        <v>E6_3_4_5 : E6_3_4_5</v>
      </c>
      <c r="I250" s="51" t="str">
        <f t="shared" ref="I250:J250" si="505">CONCATENATE(C250," : ","0")</f>
        <v>E6_3_4_5_mRNA : 0</v>
      </c>
      <c r="J250" s="52" t="str">
        <f t="shared" si="505"/>
        <v>E6_3_4_5 : 0</v>
      </c>
      <c r="K250" s="53" t="str">
        <f t="shared" si="5"/>
        <v>0.00292 - (0.0093 * E6_3_4_5_mRNA)</v>
      </c>
      <c r="L250" s="54" t="str">
        <f t="shared" si="6"/>
        <v>(0.278 * E6_3_4_5_mRNA) - (0.00000278 * E6_3_4_5)</v>
      </c>
      <c r="M250" s="55" t="str">
        <f t="shared" si="7"/>
        <v>mRNA249: -&gt; E6_3_4_5_mRNA | 0.00292 - (0.0093 * E6_3_4_5_mRNA)</v>
      </c>
      <c r="N250" s="56" t="str">
        <f t="shared" si="8"/>
        <v>Peptide249: E6_3_4_5_mRNA -&gt; E6_3_4_5 | (0.278 * E6_3_4_5_mRNA) - (0.000000278 * E6_3_4_5)</v>
      </c>
    </row>
    <row r="251" spans="1:14" ht="29">
      <c r="A251" s="46">
        <v>250</v>
      </c>
      <c r="B251" s="7" t="s">
        <v>12540</v>
      </c>
      <c r="C251" s="27" t="str">
        <f t="shared" si="0"/>
        <v>E3_2_1_23_mRNA</v>
      </c>
      <c r="D251" s="47" t="str">
        <f t="shared" si="9"/>
        <v>E3_2_1_23</v>
      </c>
      <c r="E251" s="48" t="str">
        <f t="shared" si="1"/>
        <v>E3_2_1_23_kcat : 13.7</v>
      </c>
      <c r="F251" s="49" t="str">
        <f t="shared" si="2"/>
        <v>E3_2_1_23_km : 1</v>
      </c>
      <c r="G251" s="9" t="str">
        <f t="shared" ref="G251:H251" si="506">CONCATENATE(C251," : ",C251)</f>
        <v>E3_2_1_23_mRNA : E3_2_1_23_mRNA</v>
      </c>
      <c r="H251" s="50" t="str">
        <f t="shared" si="506"/>
        <v>E3_2_1_23 : E3_2_1_23</v>
      </c>
      <c r="I251" s="51" t="str">
        <f t="shared" ref="I251:J251" si="507">CONCATENATE(C251," : ","0")</f>
        <v>E3_2_1_23_mRNA : 0</v>
      </c>
      <c r="J251" s="52" t="str">
        <f t="shared" si="507"/>
        <v>E3_2_1_23 : 0</v>
      </c>
      <c r="K251" s="53" t="str">
        <f t="shared" si="5"/>
        <v>0.00292 - (0.0093 * E3_2_1_23_mRNA)</v>
      </c>
      <c r="L251" s="54" t="str">
        <f t="shared" si="6"/>
        <v>(0.278 * E3_2_1_23_mRNA) - (0.00000278 * E3_2_1_23)</v>
      </c>
      <c r="M251" s="55" t="str">
        <f t="shared" si="7"/>
        <v>mRNA250: -&gt; E3_2_1_23_mRNA | 0.00292 - (0.0093 * E3_2_1_23_mRNA)</v>
      </c>
      <c r="N251" s="56" t="str">
        <f t="shared" si="8"/>
        <v>Peptide250: E3_2_1_23_mRNA -&gt; E3_2_1_23 | (0.278 * E3_2_1_23_mRNA) - (0.000000278 * E3_2_1_23)</v>
      </c>
    </row>
    <row r="252" spans="1:14" ht="29">
      <c r="A252" s="46">
        <v>251</v>
      </c>
      <c r="B252" s="7" t="s">
        <v>12541</v>
      </c>
      <c r="C252" s="27" t="str">
        <f t="shared" si="0"/>
        <v>E4_3_2_2_mRNA</v>
      </c>
      <c r="D252" s="47" t="str">
        <f t="shared" si="9"/>
        <v>E4_3_2_2</v>
      </c>
      <c r="E252" s="48" t="str">
        <f t="shared" si="1"/>
        <v>E4_3_2_2_kcat : 13.7</v>
      </c>
      <c r="F252" s="49" t="str">
        <f t="shared" si="2"/>
        <v>E4_3_2_2_km : 1</v>
      </c>
      <c r="G252" s="9" t="str">
        <f t="shared" ref="G252:H252" si="508">CONCATENATE(C252," : ",C252)</f>
        <v>E4_3_2_2_mRNA : E4_3_2_2_mRNA</v>
      </c>
      <c r="H252" s="50" t="str">
        <f t="shared" si="508"/>
        <v>E4_3_2_2 : E4_3_2_2</v>
      </c>
      <c r="I252" s="51" t="str">
        <f t="shared" ref="I252:J252" si="509">CONCATENATE(C252," : ","0")</f>
        <v>E4_3_2_2_mRNA : 0</v>
      </c>
      <c r="J252" s="52" t="str">
        <f t="shared" si="509"/>
        <v>E4_3_2_2 : 0</v>
      </c>
      <c r="K252" s="53" t="str">
        <f t="shared" si="5"/>
        <v>0.00292 - (0.0093 * E4_3_2_2_mRNA)</v>
      </c>
      <c r="L252" s="54" t="str">
        <f t="shared" si="6"/>
        <v>(0.278 * E4_3_2_2_mRNA) - (0.00000278 * E4_3_2_2)</v>
      </c>
      <c r="M252" s="55" t="str">
        <f t="shared" si="7"/>
        <v>mRNA251: -&gt; E4_3_2_2_mRNA | 0.00292 - (0.0093 * E4_3_2_2_mRNA)</v>
      </c>
      <c r="N252" s="56" t="str">
        <f t="shared" si="8"/>
        <v>Peptide251: E4_3_2_2_mRNA -&gt; E4_3_2_2 | (0.278 * E4_3_2_2_mRNA) - (0.000000278 * E4_3_2_2)</v>
      </c>
    </row>
    <row r="253" spans="1:14" ht="29">
      <c r="A253" s="46">
        <v>252</v>
      </c>
      <c r="B253" s="7" t="s">
        <v>12542</v>
      </c>
      <c r="C253" s="27" t="str">
        <f t="shared" si="0"/>
        <v>E4_1_1_21_mRNA</v>
      </c>
      <c r="D253" s="47" t="str">
        <f t="shared" si="9"/>
        <v>E4_1_1_21</v>
      </c>
      <c r="E253" s="48" t="str">
        <f t="shared" si="1"/>
        <v>E4_1_1_21_kcat : 13.7</v>
      </c>
      <c r="F253" s="49" t="str">
        <f t="shared" si="2"/>
        <v>E4_1_1_21_km : 1</v>
      </c>
      <c r="G253" s="9" t="str">
        <f t="shared" ref="G253:H253" si="510">CONCATENATE(C253," : ",C253)</f>
        <v>E4_1_1_21_mRNA : E4_1_1_21_mRNA</v>
      </c>
      <c r="H253" s="50" t="str">
        <f t="shared" si="510"/>
        <v>E4_1_1_21 : E4_1_1_21</v>
      </c>
      <c r="I253" s="51" t="str">
        <f t="shared" ref="I253:J253" si="511">CONCATENATE(C253," : ","0")</f>
        <v>E4_1_1_21_mRNA : 0</v>
      </c>
      <c r="J253" s="52" t="str">
        <f t="shared" si="511"/>
        <v>E4_1_1_21 : 0</v>
      </c>
      <c r="K253" s="53" t="str">
        <f t="shared" si="5"/>
        <v>0.00292 - (0.0093 * E4_1_1_21_mRNA)</v>
      </c>
      <c r="L253" s="54" t="str">
        <f t="shared" si="6"/>
        <v>(0.278 * E4_1_1_21_mRNA) - (0.00000278 * E4_1_1_21)</v>
      </c>
      <c r="M253" s="55" t="str">
        <f t="shared" si="7"/>
        <v>mRNA252: -&gt; E4_1_1_21_mRNA | 0.00292 - (0.0093 * E4_1_1_21_mRNA)</v>
      </c>
      <c r="N253" s="56" t="str">
        <f t="shared" si="8"/>
        <v>Peptide252: E4_1_1_21_mRNA -&gt; E4_1_1_21 | (0.278 * E4_1_1_21_mRNA) - (0.000000278 * E4_1_1_21)</v>
      </c>
    </row>
    <row r="254" spans="1:14" ht="29">
      <c r="A254" s="46">
        <v>253</v>
      </c>
      <c r="B254" s="7" t="s">
        <v>12543</v>
      </c>
      <c r="C254" s="27" t="str">
        <f t="shared" si="0"/>
        <v>E6_3_4_18_mRNA</v>
      </c>
      <c r="D254" s="47" t="str">
        <f t="shared" si="9"/>
        <v>E6_3_4_18</v>
      </c>
      <c r="E254" s="48" t="str">
        <f t="shared" si="1"/>
        <v>E6_3_4_18_kcat : 13.7</v>
      </c>
      <c r="F254" s="49" t="str">
        <f t="shared" si="2"/>
        <v>E6_3_4_18_km : 1</v>
      </c>
      <c r="G254" s="9" t="str">
        <f t="shared" ref="G254:H254" si="512">CONCATENATE(C254," : ",C254)</f>
        <v>E6_3_4_18_mRNA : E6_3_4_18_mRNA</v>
      </c>
      <c r="H254" s="50" t="str">
        <f t="shared" si="512"/>
        <v>E6_3_4_18 : E6_3_4_18</v>
      </c>
      <c r="I254" s="51" t="str">
        <f t="shared" ref="I254:J254" si="513">CONCATENATE(C254," : ","0")</f>
        <v>E6_3_4_18_mRNA : 0</v>
      </c>
      <c r="J254" s="52" t="str">
        <f t="shared" si="513"/>
        <v>E6_3_4_18 : 0</v>
      </c>
      <c r="K254" s="53" t="str">
        <f t="shared" si="5"/>
        <v>0.00292 - (0.0093 * E6_3_4_18_mRNA)</v>
      </c>
      <c r="L254" s="54" t="str">
        <f t="shared" si="6"/>
        <v>(0.278 * E6_3_4_18_mRNA) - (0.00000278 * E6_3_4_18)</v>
      </c>
      <c r="M254" s="55" t="str">
        <f t="shared" si="7"/>
        <v>mRNA253: -&gt; E6_3_4_18_mRNA | 0.00292 - (0.0093 * E6_3_4_18_mRNA)</v>
      </c>
      <c r="N254" s="56" t="str">
        <f t="shared" si="8"/>
        <v>Peptide253: E6_3_4_18_mRNA -&gt; E6_3_4_18 | (0.278 * E6_3_4_18_mRNA) - (0.000000278 * E6_3_4_18)</v>
      </c>
    </row>
    <row r="255" spans="1:14" ht="29">
      <c r="A255" s="46">
        <v>254</v>
      </c>
      <c r="B255" s="7" t="s">
        <v>12544</v>
      </c>
      <c r="C255" s="27" t="str">
        <f t="shared" si="0"/>
        <v>E5_4_99_18_mRNA</v>
      </c>
      <c r="D255" s="47" t="str">
        <f t="shared" si="9"/>
        <v>E5_4_99_18</v>
      </c>
      <c r="E255" s="48" t="str">
        <f t="shared" si="1"/>
        <v>E5_4_99_18_kcat : 13.7</v>
      </c>
      <c r="F255" s="49" t="str">
        <f t="shared" si="2"/>
        <v>E5_4_99_18_km : 1</v>
      </c>
      <c r="G255" s="9" t="str">
        <f t="shared" ref="G255:H255" si="514">CONCATENATE(C255," : ",C255)</f>
        <v>E5_4_99_18_mRNA : E5_4_99_18_mRNA</v>
      </c>
      <c r="H255" s="50" t="str">
        <f t="shared" si="514"/>
        <v>E5_4_99_18 : E5_4_99_18</v>
      </c>
      <c r="I255" s="51" t="str">
        <f t="shared" ref="I255:J255" si="515">CONCATENATE(C255," : ","0")</f>
        <v>E5_4_99_18_mRNA : 0</v>
      </c>
      <c r="J255" s="52" t="str">
        <f t="shared" si="515"/>
        <v>E5_4_99_18 : 0</v>
      </c>
      <c r="K255" s="53" t="str">
        <f t="shared" si="5"/>
        <v>0.00292 - (0.0093 * E5_4_99_18_mRNA)</v>
      </c>
      <c r="L255" s="54" t="str">
        <f t="shared" si="6"/>
        <v>(0.278 * E5_4_99_18_mRNA) - (0.00000278 * E5_4_99_18)</v>
      </c>
      <c r="M255" s="55" t="str">
        <f t="shared" si="7"/>
        <v>mRNA254: -&gt; E5_4_99_18_mRNA | 0.00292 - (0.0093 * E5_4_99_18_mRNA)</v>
      </c>
      <c r="N255" s="56" t="str">
        <f t="shared" si="8"/>
        <v>Peptide254: E5_4_99_18_mRNA -&gt; E5_4_99_18 | (0.278 * E5_4_99_18_mRNA) - (0.000000278 * E5_4_99_18)</v>
      </c>
    </row>
    <row r="256" spans="1:14" ht="29">
      <c r="A256" s="46">
        <v>255</v>
      </c>
      <c r="B256" s="7" t="s">
        <v>12545</v>
      </c>
      <c r="C256" s="27" t="str">
        <f t="shared" si="0"/>
        <v>E6_3_4_13_mRNA</v>
      </c>
      <c r="D256" s="47" t="str">
        <f t="shared" si="9"/>
        <v>E6_3_4_13</v>
      </c>
      <c r="E256" s="48" t="str">
        <f t="shared" si="1"/>
        <v>E6_3_4_13_kcat : 13.7</v>
      </c>
      <c r="F256" s="49" t="str">
        <f t="shared" si="2"/>
        <v>E6_3_4_13_km : 1</v>
      </c>
      <c r="G256" s="9" t="str">
        <f t="shared" ref="G256:H256" si="516">CONCATENATE(C256," : ",C256)</f>
        <v>E6_3_4_13_mRNA : E6_3_4_13_mRNA</v>
      </c>
      <c r="H256" s="50" t="str">
        <f t="shared" si="516"/>
        <v>E6_3_4_13 : E6_3_4_13</v>
      </c>
      <c r="I256" s="51" t="str">
        <f t="shared" ref="I256:J256" si="517">CONCATENATE(C256," : ","0")</f>
        <v>E6_3_4_13_mRNA : 0</v>
      </c>
      <c r="J256" s="52" t="str">
        <f t="shared" si="517"/>
        <v>E6_3_4_13 : 0</v>
      </c>
      <c r="K256" s="53" t="str">
        <f t="shared" si="5"/>
        <v>0.00292 - (0.0093 * E6_3_4_13_mRNA)</v>
      </c>
      <c r="L256" s="54" t="str">
        <f t="shared" si="6"/>
        <v>(0.278 * E6_3_4_13_mRNA) - (0.00000278 * E6_3_4_13)</v>
      </c>
      <c r="M256" s="55" t="str">
        <f t="shared" si="7"/>
        <v>mRNA255: -&gt; E6_3_4_13_mRNA | 0.00292 - (0.0093 * E6_3_4_13_mRNA)</v>
      </c>
      <c r="N256" s="56" t="str">
        <f t="shared" si="8"/>
        <v>Peptide255: E6_3_4_13_mRNA -&gt; E6_3_4_13 | (0.278 * E6_3_4_13_mRNA) - (0.000000278 * E6_3_4_13)</v>
      </c>
    </row>
    <row r="257" spans="1:14" ht="29">
      <c r="A257" s="46">
        <v>256</v>
      </c>
      <c r="B257" s="7" t="s">
        <v>12546</v>
      </c>
      <c r="C257" s="27" t="str">
        <f t="shared" ref="C257:C461" si="518">CONCATENATE(D257,"_mRNA")</f>
        <v>E2_1_2_3_mRNA</v>
      </c>
      <c r="D257" s="47" t="str">
        <f t="shared" si="9"/>
        <v>E2_1_2_3</v>
      </c>
      <c r="E257" s="48" t="str">
        <f t="shared" ref="E257:E461" si="519">CONCATENATE("E",B257,"_kcat : 13.7")</f>
        <v>E2_1_2_3_kcat : 13.7</v>
      </c>
      <c r="F257" s="49" t="str">
        <f t="shared" ref="F257:F461" si="520">CONCATENATE("E",B257,"_km : 1")</f>
        <v>E2_1_2_3_km : 1</v>
      </c>
      <c r="G257" s="9" t="str">
        <f t="shared" ref="G257:H257" si="521">CONCATENATE(C257," : ",C257)</f>
        <v>E2_1_2_3_mRNA : E2_1_2_3_mRNA</v>
      </c>
      <c r="H257" s="50" t="str">
        <f t="shared" si="521"/>
        <v>E2_1_2_3 : E2_1_2_3</v>
      </c>
      <c r="I257" s="51" t="str">
        <f t="shared" ref="I257:J257" si="522">CONCATENATE(C257," : ","0")</f>
        <v>E2_1_2_3_mRNA : 0</v>
      </c>
      <c r="J257" s="52" t="str">
        <f t="shared" si="522"/>
        <v>E2_1_2_3 : 0</v>
      </c>
      <c r="K257" s="53" t="str">
        <f t="shared" ref="K257:K461" si="523">CONCATENATE("0.00292 - (0.0093 * ",C257,")")</f>
        <v>0.00292 - (0.0093 * E2_1_2_3_mRNA)</v>
      </c>
      <c r="L257" s="54" t="str">
        <f t="shared" ref="L257:L461" si="524">CONCATENATE("(0.278 * ",C257,")"," - (0.00000278 * ",D257,")")</f>
        <v>(0.278 * E2_1_2_3_mRNA) - (0.00000278 * E2_1_2_3)</v>
      </c>
      <c r="M257" s="55" t="str">
        <f t="shared" ref="M257:M461" si="525">CONCATENATE("mRNA",A257,": -&gt; ",C257," | ","0.00292"," - ","(","0.0093"," * ",C257,")")</f>
        <v>mRNA256: -&gt; E2_1_2_3_mRNA | 0.00292 - (0.0093 * E2_1_2_3_mRNA)</v>
      </c>
      <c r="N257" s="56" t="str">
        <f t="shared" ref="N257:N461" si="526">CONCATENATE("Peptide",A257,": ",C257," -&gt; ",D257," | ","(","0.278"," * ",C257,")"," - ","(","0.000000278"," * ",D257,")")</f>
        <v>Peptide256: E2_1_2_3_mRNA -&gt; E2_1_2_3 | (0.278 * E2_1_2_3_mRNA) - (0.000000278 * E2_1_2_3)</v>
      </c>
    </row>
    <row r="258" spans="1:14" ht="29">
      <c r="A258" s="46">
        <v>257</v>
      </c>
      <c r="B258" s="7" t="s">
        <v>12547</v>
      </c>
      <c r="C258" s="27" t="str">
        <f t="shared" si="518"/>
        <v>E2_1_2_2_mRNA</v>
      </c>
      <c r="D258" s="47" t="str">
        <f t="shared" ref="D258:D461" si="527">CONCATENATE("E",B258)</f>
        <v>E2_1_2_2</v>
      </c>
      <c r="E258" s="48" t="str">
        <f t="shared" si="519"/>
        <v>E2_1_2_2_kcat : 13.7</v>
      </c>
      <c r="F258" s="49" t="str">
        <f t="shared" si="520"/>
        <v>E2_1_2_2_km : 1</v>
      </c>
      <c r="G258" s="9" t="str">
        <f t="shared" ref="G258:H258" si="528">CONCATENATE(C258," : ",C258)</f>
        <v>E2_1_2_2_mRNA : E2_1_2_2_mRNA</v>
      </c>
      <c r="H258" s="50" t="str">
        <f t="shared" si="528"/>
        <v>E2_1_2_2 : E2_1_2_2</v>
      </c>
      <c r="I258" s="51" t="str">
        <f t="shared" ref="I258:J258" si="529">CONCATENATE(C258," : ","0")</f>
        <v>E2_1_2_2_mRNA : 0</v>
      </c>
      <c r="J258" s="52" t="str">
        <f t="shared" si="529"/>
        <v>E2_1_2_2 : 0</v>
      </c>
      <c r="K258" s="53" t="str">
        <f t="shared" si="523"/>
        <v>0.00292 - (0.0093 * E2_1_2_2_mRNA)</v>
      </c>
      <c r="L258" s="54" t="str">
        <f t="shared" si="524"/>
        <v>(0.278 * E2_1_2_2_mRNA) - (0.00000278 * E2_1_2_2)</v>
      </c>
      <c r="M258" s="55" t="str">
        <f t="shared" si="525"/>
        <v>mRNA257: -&gt; E2_1_2_2_mRNA | 0.00292 - (0.0093 * E2_1_2_2_mRNA)</v>
      </c>
      <c r="N258" s="56" t="str">
        <f t="shared" si="526"/>
        <v>Peptide257: E2_1_2_2_mRNA -&gt; E2_1_2_2 | (0.278 * E2_1_2_2_mRNA) - (0.000000278 * E2_1_2_2)</v>
      </c>
    </row>
    <row r="259" spans="1:14" ht="29">
      <c r="A259" s="46">
        <v>258</v>
      </c>
      <c r="B259" s="7" t="s">
        <v>12548</v>
      </c>
      <c r="C259" s="27" t="str">
        <f t="shared" si="518"/>
        <v>E6_3_3_1_mRNA</v>
      </c>
      <c r="D259" s="47" t="str">
        <f t="shared" si="527"/>
        <v>E6_3_3_1</v>
      </c>
      <c r="E259" s="48" t="str">
        <f t="shared" si="519"/>
        <v>E6_3_3_1_kcat : 13.7</v>
      </c>
      <c r="F259" s="49" t="str">
        <f t="shared" si="520"/>
        <v>E6_3_3_1_km : 1</v>
      </c>
      <c r="G259" s="9" t="str">
        <f t="shared" ref="G259:H259" si="530">CONCATENATE(C259," : ",C259)</f>
        <v>E6_3_3_1_mRNA : E6_3_3_1_mRNA</v>
      </c>
      <c r="H259" s="50" t="str">
        <f t="shared" si="530"/>
        <v>E6_3_3_1 : E6_3_3_1</v>
      </c>
      <c r="I259" s="51" t="str">
        <f t="shared" ref="I259:J259" si="531">CONCATENATE(C259," : ","0")</f>
        <v>E6_3_3_1_mRNA : 0</v>
      </c>
      <c r="J259" s="52" t="str">
        <f t="shared" si="531"/>
        <v>E6_3_3_1 : 0</v>
      </c>
      <c r="K259" s="53" t="str">
        <f t="shared" si="523"/>
        <v>0.00292 - (0.0093 * E6_3_3_1_mRNA)</v>
      </c>
      <c r="L259" s="54" t="str">
        <f t="shared" si="524"/>
        <v>(0.278 * E6_3_3_1_mRNA) - (0.00000278 * E6_3_3_1)</v>
      </c>
      <c r="M259" s="55" t="str">
        <f t="shared" si="525"/>
        <v>mRNA258: -&gt; E6_3_3_1_mRNA | 0.00292 - (0.0093 * E6_3_3_1_mRNA)</v>
      </c>
      <c r="N259" s="56" t="str">
        <f t="shared" si="526"/>
        <v>Peptide258: E6_3_3_1_mRNA -&gt; E6_3_3_1 | (0.278 * E6_3_3_1_mRNA) - (0.000000278 * E6_3_3_1)</v>
      </c>
    </row>
    <row r="260" spans="1:14" ht="29">
      <c r="A260" s="46">
        <v>259</v>
      </c>
      <c r="B260" s="7" t="s">
        <v>12549</v>
      </c>
      <c r="C260" s="27" t="str">
        <f t="shared" si="518"/>
        <v>E3_6_1_23_mRNA</v>
      </c>
      <c r="D260" s="47" t="str">
        <f t="shared" si="527"/>
        <v>E3_6_1_23</v>
      </c>
      <c r="E260" s="48" t="str">
        <f t="shared" si="519"/>
        <v>E3_6_1_23_kcat : 13.7</v>
      </c>
      <c r="F260" s="49" t="str">
        <f t="shared" si="520"/>
        <v>E3_6_1_23_km : 1</v>
      </c>
      <c r="G260" s="9" t="str">
        <f t="shared" ref="G260:H260" si="532">CONCATENATE(C260," : ",C260)</f>
        <v>E3_6_1_23_mRNA : E3_6_1_23_mRNA</v>
      </c>
      <c r="H260" s="50" t="str">
        <f t="shared" si="532"/>
        <v>E3_6_1_23 : E3_6_1_23</v>
      </c>
      <c r="I260" s="51" t="str">
        <f t="shared" ref="I260:J260" si="533">CONCATENATE(C260," : ","0")</f>
        <v>E3_6_1_23_mRNA : 0</v>
      </c>
      <c r="J260" s="52" t="str">
        <f t="shared" si="533"/>
        <v>E3_6_1_23 : 0</v>
      </c>
      <c r="K260" s="53" t="str">
        <f t="shared" si="523"/>
        <v>0.00292 - (0.0093 * E3_6_1_23_mRNA)</v>
      </c>
      <c r="L260" s="54" t="str">
        <f t="shared" si="524"/>
        <v>(0.278 * E3_6_1_23_mRNA) - (0.00000278 * E3_6_1_23)</v>
      </c>
      <c r="M260" s="55" t="str">
        <f t="shared" si="525"/>
        <v>mRNA259: -&gt; E3_6_1_23_mRNA | 0.00292 - (0.0093 * E3_6_1_23_mRNA)</v>
      </c>
      <c r="N260" s="56" t="str">
        <f t="shared" si="526"/>
        <v>Peptide259: E3_6_1_23_mRNA -&gt; E3_6_1_23 | (0.278 * E3_6_1_23_mRNA) - (0.000000278 * E3_6_1_23)</v>
      </c>
    </row>
    <row r="261" spans="1:14" ht="29">
      <c r="A261" s="46">
        <v>260</v>
      </c>
      <c r="B261" s="7" t="s">
        <v>12550</v>
      </c>
      <c r="C261" s="27" t="str">
        <f t="shared" si="518"/>
        <v>E6_3_4_4_mRNA</v>
      </c>
      <c r="D261" s="47" t="str">
        <f t="shared" si="527"/>
        <v>E6_3_4_4</v>
      </c>
      <c r="E261" s="48" t="str">
        <f t="shared" si="519"/>
        <v>E6_3_4_4_kcat : 13.7</v>
      </c>
      <c r="F261" s="49" t="str">
        <f t="shared" si="520"/>
        <v>E6_3_4_4_km : 1</v>
      </c>
      <c r="G261" s="9" t="str">
        <f t="shared" ref="G261:H261" si="534">CONCATENATE(C261," : ",C261)</f>
        <v>E6_3_4_4_mRNA : E6_3_4_4_mRNA</v>
      </c>
      <c r="H261" s="50" t="str">
        <f t="shared" si="534"/>
        <v>E6_3_4_4 : E6_3_4_4</v>
      </c>
      <c r="I261" s="51" t="str">
        <f t="shared" ref="I261:J261" si="535">CONCATENATE(C261," : ","0")</f>
        <v>E6_3_4_4_mRNA : 0</v>
      </c>
      <c r="J261" s="52" t="str">
        <f t="shared" si="535"/>
        <v>E6_3_4_4 : 0</v>
      </c>
      <c r="K261" s="53" t="str">
        <f t="shared" si="523"/>
        <v>0.00292 - (0.0093 * E6_3_4_4_mRNA)</v>
      </c>
      <c r="L261" s="54" t="str">
        <f t="shared" si="524"/>
        <v>(0.278 * E6_3_4_4_mRNA) - (0.00000278 * E6_3_4_4)</v>
      </c>
      <c r="M261" s="55" t="str">
        <f t="shared" si="525"/>
        <v>mRNA260: -&gt; E6_3_4_4_mRNA | 0.00292 - (0.0093 * E6_3_4_4_mRNA)</v>
      </c>
      <c r="N261" s="56" t="str">
        <f t="shared" si="526"/>
        <v>Peptide260: E6_3_4_4_mRNA -&gt; E6_3_4_4 | (0.278 * E6_3_4_4_mRNA) - (0.000000278 * E6_3_4_4)</v>
      </c>
    </row>
    <row r="262" spans="1:14" ht="29">
      <c r="A262" s="46">
        <v>261</v>
      </c>
      <c r="B262" s="7" t="s">
        <v>12551</v>
      </c>
      <c r="C262" s="27" t="str">
        <f t="shared" si="518"/>
        <v>E3_1_1_29_mRNA</v>
      </c>
      <c r="D262" s="47" t="str">
        <f t="shared" si="527"/>
        <v>E3_1_1_29</v>
      </c>
      <c r="E262" s="48" t="str">
        <f t="shared" si="519"/>
        <v>E3_1_1_29_kcat : 13.7</v>
      </c>
      <c r="F262" s="49" t="str">
        <f t="shared" si="520"/>
        <v>E3_1_1_29_km : 1</v>
      </c>
      <c r="G262" s="9" t="str">
        <f t="shared" ref="G262:H262" si="536">CONCATENATE(C262," : ",C262)</f>
        <v>E3_1_1_29_mRNA : E3_1_1_29_mRNA</v>
      </c>
      <c r="H262" s="50" t="str">
        <f t="shared" si="536"/>
        <v>E3_1_1_29 : E3_1_1_29</v>
      </c>
      <c r="I262" s="51" t="str">
        <f t="shared" ref="I262:J262" si="537">CONCATENATE(C262," : ","0")</f>
        <v>E3_1_1_29_mRNA : 0</v>
      </c>
      <c r="J262" s="52" t="str">
        <f t="shared" si="537"/>
        <v>E3_1_1_29 : 0</v>
      </c>
      <c r="K262" s="53" t="str">
        <f t="shared" si="523"/>
        <v>0.00292 - (0.0093 * E3_1_1_29_mRNA)</v>
      </c>
      <c r="L262" s="54" t="str">
        <f t="shared" si="524"/>
        <v>(0.278 * E3_1_1_29_mRNA) - (0.00000278 * E3_1_1_29)</v>
      </c>
      <c r="M262" s="55" t="str">
        <f t="shared" si="525"/>
        <v>mRNA261: -&gt; E3_1_1_29_mRNA | 0.00292 - (0.0093 * E3_1_1_29_mRNA)</v>
      </c>
      <c r="N262" s="56" t="str">
        <f t="shared" si="526"/>
        <v>Peptide261: E3_1_1_29_mRNA -&gt; E3_1_1_29 | (0.278 * E3_1_1_29_mRNA) - (0.000000278 * E3_1_1_29)</v>
      </c>
    </row>
    <row r="263" spans="1:14" ht="29">
      <c r="A263" s="46">
        <v>262</v>
      </c>
      <c r="B263" s="7" t="s">
        <v>12552</v>
      </c>
      <c r="C263" s="27" t="str">
        <f t="shared" si="518"/>
        <v>E3_6_3_25_mRNA</v>
      </c>
      <c r="D263" s="47" t="str">
        <f t="shared" si="527"/>
        <v>E3_6_3_25</v>
      </c>
      <c r="E263" s="48" t="str">
        <f t="shared" si="519"/>
        <v>E3_6_3_25_kcat : 13.7</v>
      </c>
      <c r="F263" s="49" t="str">
        <f t="shared" si="520"/>
        <v>E3_6_3_25_km : 1</v>
      </c>
      <c r="G263" s="9" t="str">
        <f t="shared" ref="G263:H263" si="538">CONCATENATE(C263," : ",C263)</f>
        <v>E3_6_3_25_mRNA : E3_6_3_25_mRNA</v>
      </c>
      <c r="H263" s="50" t="str">
        <f t="shared" si="538"/>
        <v>E3_6_3_25 : E3_6_3_25</v>
      </c>
      <c r="I263" s="51" t="str">
        <f t="shared" ref="I263:J263" si="539">CONCATENATE(C263," : ","0")</f>
        <v>E3_6_3_25_mRNA : 0</v>
      </c>
      <c r="J263" s="52" t="str">
        <f t="shared" si="539"/>
        <v>E3_6_3_25 : 0</v>
      </c>
      <c r="K263" s="53" t="str">
        <f t="shared" si="523"/>
        <v>0.00292 - (0.0093 * E3_6_3_25_mRNA)</v>
      </c>
      <c r="L263" s="54" t="str">
        <f t="shared" si="524"/>
        <v>(0.278 * E3_6_3_25_mRNA) - (0.00000278 * E3_6_3_25)</v>
      </c>
      <c r="M263" s="55" t="str">
        <f t="shared" si="525"/>
        <v>mRNA262: -&gt; E3_6_3_25_mRNA | 0.00292 - (0.0093 * E3_6_3_25_mRNA)</v>
      </c>
      <c r="N263" s="56" t="str">
        <f t="shared" si="526"/>
        <v>Peptide262: E3_6_3_25_mRNA -&gt; E3_6_3_25 | (0.278 * E3_6_3_25_mRNA) - (0.000000278 * E3_6_3_25)</v>
      </c>
    </row>
    <row r="264" spans="1:14" ht="29">
      <c r="A264" s="46">
        <v>263</v>
      </c>
      <c r="B264" s="7" t="s">
        <v>12553</v>
      </c>
      <c r="C264" s="27" t="str">
        <f t="shared" si="518"/>
        <v>E3_2_1_22_mRNA</v>
      </c>
      <c r="D264" s="47" t="str">
        <f t="shared" si="527"/>
        <v>E3_2_1_22</v>
      </c>
      <c r="E264" s="48" t="str">
        <f t="shared" si="519"/>
        <v>E3_2_1_22_kcat : 13.7</v>
      </c>
      <c r="F264" s="49" t="str">
        <f t="shared" si="520"/>
        <v>E3_2_1_22_km : 1</v>
      </c>
      <c r="G264" s="9" t="str">
        <f t="shared" ref="G264:H264" si="540">CONCATENATE(C264," : ",C264)</f>
        <v>E3_2_1_22_mRNA : E3_2_1_22_mRNA</v>
      </c>
      <c r="H264" s="50" t="str">
        <f t="shared" si="540"/>
        <v>E3_2_1_22 : E3_2_1_22</v>
      </c>
      <c r="I264" s="51" t="str">
        <f t="shared" ref="I264:J264" si="541">CONCATENATE(C264," : ","0")</f>
        <v>E3_2_1_22_mRNA : 0</v>
      </c>
      <c r="J264" s="52" t="str">
        <f t="shared" si="541"/>
        <v>E3_2_1_22 : 0</v>
      </c>
      <c r="K264" s="53" t="str">
        <f t="shared" si="523"/>
        <v>0.00292 - (0.0093 * E3_2_1_22_mRNA)</v>
      </c>
      <c r="L264" s="54" t="str">
        <f t="shared" si="524"/>
        <v>(0.278 * E3_2_1_22_mRNA) - (0.00000278 * E3_2_1_22)</v>
      </c>
      <c r="M264" s="55" t="str">
        <f t="shared" si="525"/>
        <v>mRNA263: -&gt; E3_2_1_22_mRNA | 0.00292 - (0.0093 * E3_2_1_22_mRNA)</v>
      </c>
      <c r="N264" s="56" t="str">
        <f t="shared" si="526"/>
        <v>Peptide263: E3_2_1_22_mRNA -&gt; E3_2_1_22 | (0.278 * E3_2_1_22_mRNA) - (0.000000278 * E3_2_1_22)</v>
      </c>
    </row>
    <row r="265" spans="1:14" ht="29">
      <c r="A265" s="46">
        <v>264</v>
      </c>
      <c r="B265" s="7" t="s">
        <v>12554</v>
      </c>
      <c r="C265" s="27" t="str">
        <f t="shared" si="518"/>
        <v>E2_1_3_3_mRNA</v>
      </c>
      <c r="D265" s="47" t="str">
        <f t="shared" si="527"/>
        <v>E2_1_3_3</v>
      </c>
      <c r="E265" s="48" t="str">
        <f t="shared" si="519"/>
        <v>E2_1_3_3_kcat : 13.7</v>
      </c>
      <c r="F265" s="49" t="str">
        <f t="shared" si="520"/>
        <v>E2_1_3_3_km : 1</v>
      </c>
      <c r="G265" s="9" t="str">
        <f t="shared" ref="G265:H265" si="542">CONCATENATE(C265," : ",C265)</f>
        <v>E2_1_3_3_mRNA : E2_1_3_3_mRNA</v>
      </c>
      <c r="H265" s="50" t="str">
        <f t="shared" si="542"/>
        <v>E2_1_3_3 : E2_1_3_3</v>
      </c>
      <c r="I265" s="51" t="str">
        <f t="shared" ref="I265:J265" si="543">CONCATENATE(C265," : ","0")</f>
        <v>E2_1_3_3_mRNA : 0</v>
      </c>
      <c r="J265" s="52" t="str">
        <f t="shared" si="543"/>
        <v>E2_1_3_3 : 0</v>
      </c>
      <c r="K265" s="53" t="str">
        <f t="shared" si="523"/>
        <v>0.00292 - (0.0093 * E2_1_3_3_mRNA)</v>
      </c>
      <c r="L265" s="54" t="str">
        <f t="shared" si="524"/>
        <v>(0.278 * E2_1_3_3_mRNA) - (0.00000278 * E2_1_3_3)</v>
      </c>
      <c r="M265" s="55" t="str">
        <f t="shared" si="525"/>
        <v>mRNA264: -&gt; E2_1_3_3_mRNA | 0.00292 - (0.0093 * E2_1_3_3_mRNA)</v>
      </c>
      <c r="N265" s="56" t="str">
        <f t="shared" si="526"/>
        <v>Peptide264: E2_1_3_3_mRNA -&gt; E2_1_3_3 | (0.278 * E2_1_3_3_mRNA) - (0.000000278 * E2_1_3_3)</v>
      </c>
    </row>
    <row r="266" spans="1:14" ht="29">
      <c r="A266" s="46">
        <v>265</v>
      </c>
      <c r="B266" s="7" t="s">
        <v>12555</v>
      </c>
      <c r="C266" s="27" t="str">
        <f t="shared" si="518"/>
        <v>E2_3_1_117_mRNA</v>
      </c>
      <c r="D266" s="47" t="str">
        <f t="shared" si="527"/>
        <v>E2_3_1_117</v>
      </c>
      <c r="E266" s="48" t="str">
        <f t="shared" si="519"/>
        <v>E2_3_1_117_kcat : 13.7</v>
      </c>
      <c r="F266" s="49" t="str">
        <f t="shared" si="520"/>
        <v>E2_3_1_117_km : 1</v>
      </c>
      <c r="G266" s="9" t="str">
        <f t="shared" ref="G266:H266" si="544">CONCATENATE(C266," : ",C266)</f>
        <v>E2_3_1_117_mRNA : E2_3_1_117_mRNA</v>
      </c>
      <c r="H266" s="50" t="str">
        <f t="shared" si="544"/>
        <v>E2_3_1_117 : E2_3_1_117</v>
      </c>
      <c r="I266" s="51" t="str">
        <f t="shared" ref="I266:J266" si="545">CONCATENATE(C266," : ","0")</f>
        <v>E2_3_1_117_mRNA : 0</v>
      </c>
      <c r="J266" s="52" t="str">
        <f t="shared" si="545"/>
        <v>E2_3_1_117 : 0</v>
      </c>
      <c r="K266" s="53" t="str">
        <f t="shared" si="523"/>
        <v>0.00292 - (0.0093 * E2_3_1_117_mRNA)</v>
      </c>
      <c r="L266" s="54" t="str">
        <f t="shared" si="524"/>
        <v>(0.278 * E2_3_1_117_mRNA) - (0.00000278 * E2_3_1_117)</v>
      </c>
      <c r="M266" s="55" t="str">
        <f t="shared" si="525"/>
        <v>mRNA265: -&gt; E2_3_1_117_mRNA | 0.00292 - (0.0093 * E2_3_1_117_mRNA)</v>
      </c>
      <c r="N266" s="56" t="str">
        <f t="shared" si="526"/>
        <v>Peptide265: E2_3_1_117_mRNA -&gt; E2_3_1_117 | (0.278 * E2_3_1_117_mRNA) - (0.000000278 * E2_3_1_117)</v>
      </c>
    </row>
    <row r="267" spans="1:14" ht="29">
      <c r="A267" s="46">
        <v>266</v>
      </c>
      <c r="B267" s="7" t="s">
        <v>12556</v>
      </c>
      <c r="C267" s="27" t="str">
        <f t="shared" si="518"/>
        <v>E2_3_1_89_mRNA</v>
      </c>
      <c r="D267" s="47" t="str">
        <f t="shared" si="527"/>
        <v>E2_3_1_89</v>
      </c>
      <c r="E267" s="48" t="str">
        <f t="shared" si="519"/>
        <v>E2_3_1_89_kcat : 13.7</v>
      </c>
      <c r="F267" s="49" t="str">
        <f t="shared" si="520"/>
        <v>E2_3_1_89_km : 1</v>
      </c>
      <c r="G267" s="9" t="str">
        <f t="shared" ref="G267:H267" si="546">CONCATENATE(C267," : ",C267)</f>
        <v>E2_3_1_89_mRNA : E2_3_1_89_mRNA</v>
      </c>
      <c r="H267" s="50" t="str">
        <f t="shared" si="546"/>
        <v>E2_3_1_89 : E2_3_1_89</v>
      </c>
      <c r="I267" s="51" t="str">
        <f t="shared" ref="I267:J267" si="547">CONCATENATE(C267," : ","0")</f>
        <v>E2_3_1_89_mRNA : 0</v>
      </c>
      <c r="J267" s="52" t="str">
        <f t="shared" si="547"/>
        <v>E2_3_1_89 : 0</v>
      </c>
      <c r="K267" s="53" t="str">
        <f t="shared" si="523"/>
        <v>0.00292 - (0.0093 * E2_3_1_89_mRNA)</v>
      </c>
      <c r="L267" s="54" t="str">
        <f t="shared" si="524"/>
        <v>(0.278 * E2_3_1_89_mRNA) - (0.00000278 * E2_3_1_89)</v>
      </c>
      <c r="M267" s="55" t="str">
        <f t="shared" si="525"/>
        <v>mRNA266: -&gt; E2_3_1_89_mRNA | 0.00292 - (0.0093 * E2_3_1_89_mRNA)</v>
      </c>
      <c r="N267" s="56" t="str">
        <f t="shared" si="526"/>
        <v>Peptide266: E2_3_1_89_mRNA -&gt; E2_3_1_89 | (0.278 * E2_3_1_89_mRNA) - (0.000000278 * E2_3_1_89)</v>
      </c>
    </row>
    <row r="268" spans="1:14" ht="29">
      <c r="A268" s="46">
        <v>267</v>
      </c>
      <c r="B268" s="7" t="s">
        <v>12557</v>
      </c>
      <c r="C268" s="27" t="str">
        <f t="shared" si="518"/>
        <v>E3_5_1_47_mRNA</v>
      </c>
      <c r="D268" s="47" t="str">
        <f t="shared" si="527"/>
        <v>E3_5_1_47</v>
      </c>
      <c r="E268" s="48" t="str">
        <f t="shared" si="519"/>
        <v>E3_5_1_47_kcat : 13.7</v>
      </c>
      <c r="F268" s="49" t="str">
        <f t="shared" si="520"/>
        <v>E3_5_1_47_km : 1</v>
      </c>
      <c r="G268" s="9" t="str">
        <f t="shared" ref="G268:H268" si="548">CONCATENATE(C268," : ",C268)</f>
        <v>E3_5_1_47_mRNA : E3_5_1_47_mRNA</v>
      </c>
      <c r="H268" s="50" t="str">
        <f t="shared" si="548"/>
        <v>E3_5_1_47 : E3_5_1_47</v>
      </c>
      <c r="I268" s="51" t="str">
        <f t="shared" ref="I268:J268" si="549">CONCATENATE(C268," : ","0")</f>
        <v>E3_5_1_47_mRNA : 0</v>
      </c>
      <c r="J268" s="52" t="str">
        <f t="shared" si="549"/>
        <v>E3_5_1_47 : 0</v>
      </c>
      <c r="K268" s="53" t="str">
        <f t="shared" si="523"/>
        <v>0.00292 - (0.0093 * E3_5_1_47_mRNA)</v>
      </c>
      <c r="L268" s="54" t="str">
        <f t="shared" si="524"/>
        <v>(0.278 * E3_5_1_47_mRNA) - (0.00000278 * E3_5_1_47)</v>
      </c>
      <c r="M268" s="55" t="str">
        <f t="shared" si="525"/>
        <v>mRNA267: -&gt; E3_5_1_47_mRNA | 0.00292 - (0.0093 * E3_5_1_47_mRNA)</v>
      </c>
      <c r="N268" s="56" t="str">
        <f t="shared" si="526"/>
        <v>Peptide267: E3_5_1_47_mRNA -&gt; E3_5_1_47 | (0.278 * E3_5_1_47_mRNA) - (0.000000278 * E3_5_1_47)</v>
      </c>
    </row>
    <row r="269" spans="1:14" ht="29">
      <c r="A269" s="46">
        <v>268</v>
      </c>
      <c r="B269" s="7" t="s">
        <v>12558</v>
      </c>
      <c r="C269" s="27" t="str">
        <f t="shared" si="518"/>
        <v>E3_4_21_105_mRNA</v>
      </c>
      <c r="D269" s="47" t="str">
        <f t="shared" si="527"/>
        <v>E3_4_21_105</v>
      </c>
      <c r="E269" s="48" t="str">
        <f t="shared" si="519"/>
        <v>E3_4_21_105_kcat : 13.7</v>
      </c>
      <c r="F269" s="49" t="str">
        <f t="shared" si="520"/>
        <v>E3_4_21_105_km : 1</v>
      </c>
      <c r="G269" s="9" t="str">
        <f t="shared" ref="G269:H269" si="550">CONCATENATE(C269," : ",C269)</f>
        <v>E3_4_21_105_mRNA : E3_4_21_105_mRNA</v>
      </c>
      <c r="H269" s="50" t="str">
        <f t="shared" si="550"/>
        <v>E3_4_21_105 : E3_4_21_105</v>
      </c>
      <c r="I269" s="51" t="str">
        <f t="shared" ref="I269:J269" si="551">CONCATENATE(C269," : ","0")</f>
        <v>E3_4_21_105_mRNA : 0</v>
      </c>
      <c r="J269" s="52" t="str">
        <f t="shared" si="551"/>
        <v>E3_4_21_105 : 0</v>
      </c>
      <c r="K269" s="53" t="str">
        <f t="shared" si="523"/>
        <v>0.00292 - (0.0093 * E3_4_21_105_mRNA)</v>
      </c>
      <c r="L269" s="54" t="str">
        <f t="shared" si="524"/>
        <v>(0.278 * E3_4_21_105_mRNA) - (0.00000278 * E3_4_21_105)</v>
      </c>
      <c r="M269" s="55" t="str">
        <f t="shared" si="525"/>
        <v>mRNA268: -&gt; E3_4_21_105_mRNA | 0.00292 - (0.0093 * E3_4_21_105_mRNA)</v>
      </c>
      <c r="N269" s="56" t="str">
        <f t="shared" si="526"/>
        <v>Peptide268: E3_4_21_105_mRNA -&gt; E3_4_21_105 | (0.278 * E3_4_21_105_mRNA) - (0.000000278 * E3_4_21_105)</v>
      </c>
    </row>
    <row r="270" spans="1:14" ht="29">
      <c r="A270" s="46">
        <v>269</v>
      </c>
      <c r="B270" s="7" t="s">
        <v>12559</v>
      </c>
      <c r="C270" s="27" t="str">
        <f t="shared" si="518"/>
        <v>E1_1_1_94_mRNA</v>
      </c>
      <c r="D270" s="47" t="str">
        <f t="shared" si="527"/>
        <v>E1_1_1_94</v>
      </c>
      <c r="E270" s="48" t="str">
        <f t="shared" si="519"/>
        <v>E1_1_1_94_kcat : 13.7</v>
      </c>
      <c r="F270" s="49" t="str">
        <f t="shared" si="520"/>
        <v>E1_1_1_94_km : 1</v>
      </c>
      <c r="G270" s="9" t="str">
        <f t="shared" ref="G270:H270" si="552">CONCATENATE(C270," : ",C270)</f>
        <v>E1_1_1_94_mRNA : E1_1_1_94_mRNA</v>
      </c>
      <c r="H270" s="50" t="str">
        <f t="shared" si="552"/>
        <v>E1_1_1_94 : E1_1_1_94</v>
      </c>
      <c r="I270" s="51" t="str">
        <f t="shared" ref="I270:J270" si="553">CONCATENATE(C270," : ","0")</f>
        <v>E1_1_1_94_mRNA : 0</v>
      </c>
      <c r="J270" s="52" t="str">
        <f t="shared" si="553"/>
        <v>E1_1_1_94 : 0</v>
      </c>
      <c r="K270" s="53" t="str">
        <f t="shared" si="523"/>
        <v>0.00292 - (0.0093 * E1_1_1_94_mRNA)</v>
      </c>
      <c r="L270" s="54" t="str">
        <f t="shared" si="524"/>
        <v>(0.278 * E1_1_1_94_mRNA) - (0.00000278 * E1_1_1_94)</v>
      </c>
      <c r="M270" s="55" t="str">
        <f t="shared" si="525"/>
        <v>mRNA269: -&gt; E1_1_1_94_mRNA | 0.00292 - (0.0093 * E1_1_1_94_mRNA)</v>
      </c>
      <c r="N270" s="56" t="str">
        <f t="shared" si="526"/>
        <v>Peptide269: E1_1_1_94_mRNA -&gt; E1_1_1_94 | (0.278 * E1_1_1_94_mRNA) - (0.000000278 * E1_1_1_94)</v>
      </c>
    </row>
    <row r="271" spans="1:14" ht="29">
      <c r="A271" s="46">
        <v>270</v>
      </c>
      <c r="B271" s="7" t="s">
        <v>12560</v>
      </c>
      <c r="C271" s="27" t="str">
        <f t="shared" si="518"/>
        <v>E6_1_1_19_mRNA</v>
      </c>
      <c r="D271" s="47" t="str">
        <f t="shared" si="527"/>
        <v>E6_1_1_19</v>
      </c>
      <c r="E271" s="48" t="str">
        <f t="shared" si="519"/>
        <v>E6_1_1_19_kcat : 13.7</v>
      </c>
      <c r="F271" s="49" t="str">
        <f t="shared" si="520"/>
        <v>E6_1_1_19_km : 1</v>
      </c>
      <c r="G271" s="9" t="str">
        <f t="shared" ref="G271:H271" si="554">CONCATENATE(C271," : ",C271)</f>
        <v>E6_1_1_19_mRNA : E6_1_1_19_mRNA</v>
      </c>
      <c r="H271" s="50" t="str">
        <f t="shared" si="554"/>
        <v>E6_1_1_19 : E6_1_1_19</v>
      </c>
      <c r="I271" s="51" t="str">
        <f t="shared" ref="I271:J271" si="555">CONCATENATE(C271," : ","0")</f>
        <v>E6_1_1_19_mRNA : 0</v>
      </c>
      <c r="J271" s="52" t="str">
        <f t="shared" si="555"/>
        <v>E6_1_1_19 : 0</v>
      </c>
      <c r="K271" s="53" t="str">
        <f t="shared" si="523"/>
        <v>0.00292 - (0.0093 * E6_1_1_19_mRNA)</v>
      </c>
      <c r="L271" s="54" t="str">
        <f t="shared" si="524"/>
        <v>(0.278 * E6_1_1_19_mRNA) - (0.00000278 * E6_1_1_19)</v>
      </c>
      <c r="M271" s="55" t="str">
        <f t="shared" si="525"/>
        <v>mRNA270: -&gt; E6_1_1_19_mRNA | 0.00292 - (0.0093 * E6_1_1_19_mRNA)</v>
      </c>
      <c r="N271" s="56" t="str">
        <f t="shared" si="526"/>
        <v>Peptide270: E6_1_1_19_mRNA -&gt; E6_1_1_19 | (0.278 * E6_1_1_19_mRNA) - (0.000000278 * E6_1_1_19)</v>
      </c>
    </row>
    <row r="272" spans="1:14" ht="29">
      <c r="A272" s="46">
        <v>271</v>
      </c>
      <c r="B272" s="7" t="s">
        <v>12561</v>
      </c>
      <c r="C272" s="27" t="str">
        <f t="shared" si="518"/>
        <v>E5_3_1_9_mRNA</v>
      </c>
      <c r="D272" s="47" t="str">
        <f t="shared" si="527"/>
        <v>E5_3_1_9</v>
      </c>
      <c r="E272" s="48" t="str">
        <f t="shared" si="519"/>
        <v>E5_3_1_9_kcat : 13.7</v>
      </c>
      <c r="F272" s="49" t="str">
        <f t="shared" si="520"/>
        <v>E5_3_1_9_km : 1</v>
      </c>
      <c r="G272" s="9" t="str">
        <f t="shared" ref="G272:H272" si="556">CONCATENATE(C272," : ",C272)</f>
        <v>E5_3_1_9_mRNA : E5_3_1_9_mRNA</v>
      </c>
      <c r="H272" s="50" t="str">
        <f t="shared" si="556"/>
        <v>E5_3_1_9 : E5_3_1_9</v>
      </c>
      <c r="I272" s="51" t="str">
        <f t="shared" ref="I272:J272" si="557">CONCATENATE(C272," : ","0")</f>
        <v>E5_3_1_9_mRNA : 0</v>
      </c>
      <c r="J272" s="52" t="str">
        <f t="shared" si="557"/>
        <v>E5_3_1_9 : 0</v>
      </c>
      <c r="K272" s="53" t="str">
        <f t="shared" si="523"/>
        <v>0.00292 - (0.0093 * E5_3_1_9_mRNA)</v>
      </c>
      <c r="L272" s="54" t="str">
        <f t="shared" si="524"/>
        <v>(0.278 * E5_3_1_9_mRNA) - (0.00000278 * E5_3_1_9)</v>
      </c>
      <c r="M272" s="55" t="str">
        <f t="shared" si="525"/>
        <v>mRNA271: -&gt; E5_3_1_9_mRNA | 0.00292 - (0.0093 * E5_3_1_9_mRNA)</v>
      </c>
      <c r="N272" s="56" t="str">
        <f t="shared" si="526"/>
        <v>Peptide271: E5_3_1_9_mRNA -&gt; E5_3_1_9 | (0.278 * E5_3_1_9_mRNA) - (0.000000278 * E5_3_1_9)</v>
      </c>
    </row>
    <row r="273" spans="1:14" ht="29">
      <c r="A273" s="46">
        <v>272</v>
      </c>
      <c r="B273" s="7" t="s">
        <v>12562</v>
      </c>
      <c r="C273" s="27" t="str">
        <f t="shared" si="518"/>
        <v>E6_1_1_24_mRNA</v>
      </c>
      <c r="D273" s="47" t="str">
        <f t="shared" si="527"/>
        <v>E6_1_1_24</v>
      </c>
      <c r="E273" s="48" t="str">
        <f t="shared" si="519"/>
        <v>E6_1_1_24_kcat : 13.7</v>
      </c>
      <c r="F273" s="49" t="str">
        <f t="shared" si="520"/>
        <v>E6_1_1_24_km : 1</v>
      </c>
      <c r="G273" s="9" t="str">
        <f t="shared" ref="G273:H273" si="558">CONCATENATE(C273," : ",C273)</f>
        <v>E6_1_1_24_mRNA : E6_1_1_24_mRNA</v>
      </c>
      <c r="H273" s="50" t="str">
        <f t="shared" si="558"/>
        <v>E6_1_1_24 : E6_1_1_24</v>
      </c>
      <c r="I273" s="51" t="str">
        <f t="shared" ref="I273:J273" si="559">CONCATENATE(C273," : ","0")</f>
        <v>E6_1_1_24_mRNA : 0</v>
      </c>
      <c r="J273" s="52" t="str">
        <f t="shared" si="559"/>
        <v>E6_1_1_24 : 0</v>
      </c>
      <c r="K273" s="53" t="str">
        <f t="shared" si="523"/>
        <v>0.00292 - (0.0093 * E6_1_1_24_mRNA)</v>
      </c>
      <c r="L273" s="54" t="str">
        <f t="shared" si="524"/>
        <v>(0.278 * E6_1_1_24_mRNA) - (0.00000278 * E6_1_1_24)</v>
      </c>
      <c r="M273" s="55" t="str">
        <f t="shared" si="525"/>
        <v>mRNA272: -&gt; E6_1_1_24_mRNA | 0.00292 - (0.0093 * E6_1_1_24_mRNA)</v>
      </c>
      <c r="N273" s="56" t="str">
        <f t="shared" si="526"/>
        <v>Peptide272: E6_1_1_24_mRNA -&gt; E6_1_1_24 | (0.278 * E6_1_1_24_mRNA) - (0.000000278 * E6_1_1_24)</v>
      </c>
    </row>
    <row r="274" spans="1:14" ht="29">
      <c r="A274" s="46">
        <v>273</v>
      </c>
      <c r="B274" s="7" t="s">
        <v>12563</v>
      </c>
      <c r="C274" s="27" t="str">
        <f t="shared" si="518"/>
        <v>E6_1_1_17_mRNA</v>
      </c>
      <c r="D274" s="47" t="str">
        <f t="shared" si="527"/>
        <v>E6_1_1_17</v>
      </c>
      <c r="E274" s="48" t="str">
        <f t="shared" si="519"/>
        <v>E6_1_1_17_kcat : 13.7</v>
      </c>
      <c r="F274" s="49" t="str">
        <f t="shared" si="520"/>
        <v>E6_1_1_17_km : 1</v>
      </c>
      <c r="G274" s="9" t="str">
        <f t="shared" ref="G274:H274" si="560">CONCATENATE(C274," : ",C274)</f>
        <v>E6_1_1_17_mRNA : E6_1_1_17_mRNA</v>
      </c>
      <c r="H274" s="50" t="str">
        <f t="shared" si="560"/>
        <v>E6_1_1_17 : E6_1_1_17</v>
      </c>
      <c r="I274" s="51" t="str">
        <f t="shared" ref="I274:J274" si="561">CONCATENATE(C274," : ","0")</f>
        <v>E6_1_1_17_mRNA : 0</v>
      </c>
      <c r="J274" s="52" t="str">
        <f t="shared" si="561"/>
        <v>E6_1_1_17 : 0</v>
      </c>
      <c r="K274" s="53" t="str">
        <f t="shared" si="523"/>
        <v>0.00292 - (0.0093 * E6_1_1_17_mRNA)</v>
      </c>
      <c r="L274" s="54" t="str">
        <f t="shared" si="524"/>
        <v>(0.278 * E6_1_1_17_mRNA) - (0.00000278 * E6_1_1_17)</v>
      </c>
      <c r="M274" s="55" t="str">
        <f t="shared" si="525"/>
        <v>mRNA273: -&gt; E6_1_1_17_mRNA | 0.00292 - (0.0093 * E6_1_1_17_mRNA)</v>
      </c>
      <c r="N274" s="56" t="str">
        <f t="shared" si="526"/>
        <v>Peptide273: E6_1_1_17_mRNA -&gt; E6_1_1_17 | (0.278 * E6_1_1_17_mRNA) - (0.000000278 * E6_1_1_17)</v>
      </c>
    </row>
    <row r="275" spans="1:14" ht="29">
      <c r="A275" s="46">
        <v>274</v>
      </c>
      <c r="B275" s="7" t="s">
        <v>12564</v>
      </c>
      <c r="C275" s="27" t="str">
        <f t="shared" si="518"/>
        <v>E2_4_2_29_mRNA</v>
      </c>
      <c r="D275" s="47" t="str">
        <f t="shared" si="527"/>
        <v>E2_4_2_29</v>
      </c>
      <c r="E275" s="48" t="str">
        <f t="shared" si="519"/>
        <v>E2_4_2_29_kcat : 13.7</v>
      </c>
      <c r="F275" s="49" t="str">
        <f t="shared" si="520"/>
        <v>E2_4_2_29_km : 1</v>
      </c>
      <c r="G275" s="9" t="str">
        <f t="shared" ref="G275:H275" si="562">CONCATENATE(C275," : ",C275)</f>
        <v>E2_4_2_29_mRNA : E2_4_2_29_mRNA</v>
      </c>
      <c r="H275" s="50" t="str">
        <f t="shared" si="562"/>
        <v>E2_4_2_29 : E2_4_2_29</v>
      </c>
      <c r="I275" s="51" t="str">
        <f t="shared" ref="I275:J275" si="563">CONCATENATE(C275," : ","0")</f>
        <v>E2_4_2_29_mRNA : 0</v>
      </c>
      <c r="J275" s="52" t="str">
        <f t="shared" si="563"/>
        <v>E2_4_2_29 : 0</v>
      </c>
      <c r="K275" s="53" t="str">
        <f t="shared" si="523"/>
        <v>0.00292 - (0.0093 * E2_4_2_29_mRNA)</v>
      </c>
      <c r="L275" s="54" t="str">
        <f t="shared" si="524"/>
        <v>(0.278 * E2_4_2_29_mRNA) - (0.00000278 * E2_4_2_29)</v>
      </c>
      <c r="M275" s="55" t="str">
        <f t="shared" si="525"/>
        <v>mRNA274: -&gt; E2_4_2_29_mRNA | 0.00292 - (0.0093 * E2_4_2_29_mRNA)</v>
      </c>
      <c r="N275" s="56" t="str">
        <f t="shared" si="526"/>
        <v>Peptide274: E2_4_2_29_mRNA -&gt; E2_4_2_29 | (0.278 * E2_4_2_29_mRNA) - (0.000000278 * E2_4_2_29)</v>
      </c>
    </row>
    <row r="276" spans="1:14" ht="29">
      <c r="A276" s="46">
        <v>275</v>
      </c>
      <c r="B276" s="7" t="s">
        <v>12565</v>
      </c>
      <c r="C276" s="27" t="str">
        <f t="shared" si="518"/>
        <v>E1_1_1_2_mRNA</v>
      </c>
      <c r="D276" s="47" t="str">
        <f t="shared" si="527"/>
        <v>E1_1_1_2</v>
      </c>
      <c r="E276" s="48" t="str">
        <f t="shared" si="519"/>
        <v>E1_1_1_2_kcat : 13.7</v>
      </c>
      <c r="F276" s="49" t="str">
        <f t="shared" si="520"/>
        <v>E1_1_1_2_km : 1</v>
      </c>
      <c r="G276" s="9" t="str">
        <f t="shared" ref="G276:H276" si="564">CONCATENATE(C276," : ",C276)</f>
        <v>E1_1_1_2_mRNA : E1_1_1_2_mRNA</v>
      </c>
      <c r="H276" s="50" t="str">
        <f t="shared" si="564"/>
        <v>E1_1_1_2 : E1_1_1_2</v>
      </c>
      <c r="I276" s="51" t="str">
        <f t="shared" ref="I276:J276" si="565">CONCATENATE(C276," : ","0")</f>
        <v>E1_1_1_2_mRNA : 0</v>
      </c>
      <c r="J276" s="52" t="str">
        <f t="shared" si="565"/>
        <v>E1_1_1_2 : 0</v>
      </c>
      <c r="K276" s="53" t="str">
        <f t="shared" si="523"/>
        <v>0.00292 - (0.0093 * E1_1_1_2_mRNA)</v>
      </c>
      <c r="L276" s="54" t="str">
        <f t="shared" si="524"/>
        <v>(0.278 * E1_1_1_2_mRNA) - (0.00000278 * E1_1_1_2)</v>
      </c>
      <c r="M276" s="55" t="str">
        <f t="shared" si="525"/>
        <v>mRNA275: -&gt; E1_1_1_2_mRNA | 0.00292 - (0.0093 * E1_1_1_2_mRNA)</v>
      </c>
      <c r="N276" s="56" t="str">
        <f t="shared" si="526"/>
        <v>Peptide275: E1_1_1_2_mRNA -&gt; E1_1_1_2 | (0.278 * E1_1_1_2_mRNA) - (0.000000278 * E1_1_1_2)</v>
      </c>
    </row>
    <row r="277" spans="1:14" ht="29">
      <c r="A277" s="46">
        <v>276</v>
      </c>
      <c r="B277" s="7" t="s">
        <v>12566</v>
      </c>
      <c r="C277" s="27" t="str">
        <f t="shared" si="518"/>
        <v>E2_4_2_19_mRNA</v>
      </c>
      <c r="D277" s="47" t="str">
        <f t="shared" si="527"/>
        <v>E2_4_2_19</v>
      </c>
      <c r="E277" s="48" t="str">
        <f t="shared" si="519"/>
        <v>E2_4_2_19_kcat : 13.7</v>
      </c>
      <c r="F277" s="49" t="str">
        <f t="shared" si="520"/>
        <v>E2_4_2_19_km : 1</v>
      </c>
      <c r="G277" s="9" t="str">
        <f t="shared" ref="G277:H277" si="566">CONCATENATE(C277," : ",C277)</f>
        <v>E2_4_2_19_mRNA : E2_4_2_19_mRNA</v>
      </c>
      <c r="H277" s="50" t="str">
        <f t="shared" si="566"/>
        <v>E2_4_2_19 : E2_4_2_19</v>
      </c>
      <c r="I277" s="51" t="str">
        <f t="shared" ref="I277:J277" si="567">CONCATENATE(C277," : ","0")</f>
        <v>E2_4_2_19_mRNA : 0</v>
      </c>
      <c r="J277" s="52" t="str">
        <f t="shared" si="567"/>
        <v>E2_4_2_19 : 0</v>
      </c>
      <c r="K277" s="53" t="str">
        <f t="shared" si="523"/>
        <v>0.00292 - (0.0093 * E2_4_2_19_mRNA)</v>
      </c>
      <c r="L277" s="54" t="str">
        <f t="shared" si="524"/>
        <v>(0.278 * E2_4_2_19_mRNA) - (0.00000278 * E2_4_2_19)</v>
      </c>
      <c r="M277" s="55" t="str">
        <f t="shared" si="525"/>
        <v>mRNA276: -&gt; E2_4_2_19_mRNA | 0.00292 - (0.0093 * E2_4_2_19_mRNA)</v>
      </c>
      <c r="N277" s="56" t="str">
        <f t="shared" si="526"/>
        <v>Peptide276: E2_4_2_19_mRNA -&gt; E2_4_2_19 | (0.278 * E2_4_2_19_mRNA) - (0.000000278 * E2_4_2_19)</v>
      </c>
    </row>
    <row r="278" spans="1:14" ht="29">
      <c r="A278" s="46">
        <v>277</v>
      </c>
      <c r="B278" s="7" t="s">
        <v>12567</v>
      </c>
      <c r="C278" s="27" t="str">
        <f t="shared" si="518"/>
        <v>E1_2_1_12_mRNA</v>
      </c>
      <c r="D278" s="47" t="str">
        <f t="shared" si="527"/>
        <v>E1_2_1_12</v>
      </c>
      <c r="E278" s="48" t="str">
        <f t="shared" si="519"/>
        <v>E1_2_1_12_kcat : 13.7</v>
      </c>
      <c r="F278" s="49" t="str">
        <f t="shared" si="520"/>
        <v>E1_2_1_12_km : 1</v>
      </c>
      <c r="G278" s="9" t="str">
        <f t="shared" ref="G278:H278" si="568">CONCATENATE(C278," : ",C278)</f>
        <v>E1_2_1_12_mRNA : E1_2_1_12_mRNA</v>
      </c>
      <c r="H278" s="50" t="str">
        <f t="shared" si="568"/>
        <v>E1_2_1_12 : E1_2_1_12</v>
      </c>
      <c r="I278" s="51" t="str">
        <f t="shared" ref="I278:J278" si="569">CONCATENATE(C278," : ","0")</f>
        <v>E1_2_1_12_mRNA : 0</v>
      </c>
      <c r="J278" s="52" t="str">
        <f t="shared" si="569"/>
        <v>E1_2_1_12 : 0</v>
      </c>
      <c r="K278" s="53" t="str">
        <f t="shared" si="523"/>
        <v>0.00292 - (0.0093 * E1_2_1_12_mRNA)</v>
      </c>
      <c r="L278" s="54" t="str">
        <f t="shared" si="524"/>
        <v>(0.278 * E1_2_1_12_mRNA) - (0.00000278 * E1_2_1_12)</v>
      </c>
      <c r="M278" s="55" t="str">
        <f t="shared" si="525"/>
        <v>mRNA277: -&gt; E1_2_1_12_mRNA | 0.00292 - (0.0093 * E1_2_1_12_mRNA)</v>
      </c>
      <c r="N278" s="56" t="str">
        <f t="shared" si="526"/>
        <v>Peptide277: E1_2_1_12_mRNA -&gt; E1_2_1_12 | (0.278 * E1_2_1_12_mRNA) - (0.000000278 * E1_2_1_12)</v>
      </c>
    </row>
    <row r="279" spans="1:14" ht="29">
      <c r="A279" s="46">
        <v>278</v>
      </c>
      <c r="B279" s="7" t="s">
        <v>12568</v>
      </c>
      <c r="C279" s="27" t="str">
        <f t="shared" si="518"/>
        <v>E5_4_99_26_mRNA</v>
      </c>
      <c r="D279" s="47" t="str">
        <f t="shared" si="527"/>
        <v>E5_4_99_26</v>
      </c>
      <c r="E279" s="48" t="str">
        <f t="shared" si="519"/>
        <v>E5_4_99_26_kcat : 13.7</v>
      </c>
      <c r="F279" s="49" t="str">
        <f t="shared" si="520"/>
        <v>E5_4_99_26_km : 1</v>
      </c>
      <c r="G279" s="9" t="str">
        <f t="shared" ref="G279:H279" si="570">CONCATENATE(C279," : ",C279)</f>
        <v>E5_4_99_26_mRNA : E5_4_99_26_mRNA</v>
      </c>
      <c r="H279" s="50" t="str">
        <f t="shared" si="570"/>
        <v>E5_4_99_26 : E5_4_99_26</v>
      </c>
      <c r="I279" s="51" t="str">
        <f t="shared" ref="I279:J279" si="571">CONCATENATE(C279," : ","0")</f>
        <v>E5_4_99_26_mRNA : 0</v>
      </c>
      <c r="J279" s="52" t="str">
        <f t="shared" si="571"/>
        <v>E5_4_99_26 : 0</v>
      </c>
      <c r="K279" s="53" t="str">
        <f t="shared" si="523"/>
        <v>0.00292 - (0.0093 * E5_4_99_26_mRNA)</v>
      </c>
      <c r="L279" s="54" t="str">
        <f t="shared" si="524"/>
        <v>(0.278 * E5_4_99_26_mRNA) - (0.00000278 * E5_4_99_26)</v>
      </c>
      <c r="M279" s="55" t="str">
        <f t="shared" si="525"/>
        <v>mRNA278: -&gt; E5_4_99_26_mRNA | 0.00292 - (0.0093 * E5_4_99_26_mRNA)</v>
      </c>
      <c r="N279" s="56" t="str">
        <f t="shared" si="526"/>
        <v>Peptide278: E5_4_99_26_mRNA -&gt; E5_4_99_26 | (0.278 * E5_4_99_26_mRNA) - (0.000000278 * E5_4_99_26)</v>
      </c>
    </row>
    <row r="280" spans="1:14" ht="29">
      <c r="A280" s="46">
        <v>279</v>
      </c>
      <c r="B280" s="7" t="s">
        <v>12569</v>
      </c>
      <c r="C280" s="27" t="str">
        <f t="shared" si="518"/>
        <v>E3_5_1_1_mRNA</v>
      </c>
      <c r="D280" s="47" t="str">
        <f t="shared" si="527"/>
        <v>E3_5_1_1</v>
      </c>
      <c r="E280" s="48" t="str">
        <f t="shared" si="519"/>
        <v>E3_5_1_1_kcat : 13.7</v>
      </c>
      <c r="F280" s="49" t="str">
        <f t="shared" si="520"/>
        <v>E3_5_1_1_km : 1</v>
      </c>
      <c r="G280" s="9" t="str">
        <f t="shared" ref="G280:H280" si="572">CONCATENATE(C280," : ",C280)</f>
        <v>E3_5_1_1_mRNA : E3_5_1_1_mRNA</v>
      </c>
      <c r="H280" s="50" t="str">
        <f t="shared" si="572"/>
        <v>E3_5_1_1 : E3_5_1_1</v>
      </c>
      <c r="I280" s="51" t="str">
        <f t="shared" ref="I280:J280" si="573">CONCATENATE(C280," : ","0")</f>
        <v>E3_5_1_1_mRNA : 0</v>
      </c>
      <c r="J280" s="52" t="str">
        <f t="shared" si="573"/>
        <v>E3_5_1_1 : 0</v>
      </c>
      <c r="K280" s="53" t="str">
        <f t="shared" si="523"/>
        <v>0.00292 - (0.0093 * E3_5_1_1_mRNA)</v>
      </c>
      <c r="L280" s="54" t="str">
        <f t="shared" si="524"/>
        <v>(0.278 * E3_5_1_1_mRNA) - (0.00000278 * E3_5_1_1)</v>
      </c>
      <c r="M280" s="55" t="str">
        <f t="shared" si="525"/>
        <v>mRNA279: -&gt; E3_5_1_1_mRNA | 0.00292 - (0.0093 * E3_5_1_1_mRNA)</v>
      </c>
      <c r="N280" s="56" t="str">
        <f t="shared" si="526"/>
        <v>Peptide279: E3_5_1_1_mRNA -&gt; E3_5_1_1 | (0.278 * E3_5_1_1_mRNA) - (0.000000278 * E3_5_1_1)</v>
      </c>
    </row>
    <row r="281" spans="1:14" ht="29">
      <c r="A281" s="46">
        <v>280</v>
      </c>
      <c r="B281" s="7" t="s">
        <v>12570</v>
      </c>
      <c r="C281" s="27" t="str">
        <f t="shared" si="518"/>
        <v>E2_6_1_2_mRNA</v>
      </c>
      <c r="D281" s="47" t="str">
        <f t="shared" si="527"/>
        <v>E2_6_1_2</v>
      </c>
      <c r="E281" s="48" t="str">
        <f t="shared" si="519"/>
        <v>E2_6_1_2_kcat : 13.7</v>
      </c>
      <c r="F281" s="49" t="str">
        <f t="shared" si="520"/>
        <v>E2_6_1_2_km : 1</v>
      </c>
      <c r="G281" s="9" t="str">
        <f t="shared" ref="G281:H281" si="574">CONCATENATE(C281," : ",C281)</f>
        <v>E2_6_1_2_mRNA : E2_6_1_2_mRNA</v>
      </c>
      <c r="H281" s="50" t="str">
        <f t="shared" si="574"/>
        <v>E2_6_1_2 : E2_6_1_2</v>
      </c>
      <c r="I281" s="51" t="str">
        <f t="shared" ref="I281:J281" si="575">CONCATENATE(C281," : ","0")</f>
        <v>E2_6_1_2_mRNA : 0</v>
      </c>
      <c r="J281" s="52" t="str">
        <f t="shared" si="575"/>
        <v>E2_6_1_2 : 0</v>
      </c>
      <c r="K281" s="53" t="str">
        <f t="shared" si="523"/>
        <v>0.00292 - (0.0093 * E2_6_1_2_mRNA)</v>
      </c>
      <c r="L281" s="54" t="str">
        <f t="shared" si="524"/>
        <v>(0.278 * E2_6_1_2_mRNA) - (0.00000278 * E2_6_1_2)</v>
      </c>
      <c r="M281" s="55" t="str">
        <f t="shared" si="525"/>
        <v>mRNA280: -&gt; E2_6_1_2_mRNA | 0.00292 - (0.0093 * E2_6_1_2_mRNA)</v>
      </c>
      <c r="N281" s="56" t="str">
        <f t="shared" si="526"/>
        <v>Peptide280: E2_6_1_2_mRNA -&gt; E2_6_1_2 | (0.278 * E2_6_1_2_mRNA) - (0.000000278 * E2_6_1_2)</v>
      </c>
    </row>
    <row r="282" spans="1:14" ht="29">
      <c r="A282" s="46">
        <v>281</v>
      </c>
      <c r="B282" s="7" t="s">
        <v>12571</v>
      </c>
      <c r="C282" s="27" t="str">
        <f t="shared" si="518"/>
        <v>E2_1_1_182_mRNA</v>
      </c>
      <c r="D282" s="47" t="str">
        <f t="shared" si="527"/>
        <v>E2_1_1_182</v>
      </c>
      <c r="E282" s="48" t="str">
        <f t="shared" si="519"/>
        <v>E2_1_1_182_kcat : 13.7</v>
      </c>
      <c r="F282" s="49" t="str">
        <f t="shared" si="520"/>
        <v>E2_1_1_182_km : 1</v>
      </c>
      <c r="G282" s="9" t="str">
        <f t="shared" ref="G282:H282" si="576">CONCATENATE(C282," : ",C282)</f>
        <v>E2_1_1_182_mRNA : E2_1_1_182_mRNA</v>
      </c>
      <c r="H282" s="50" t="str">
        <f t="shared" si="576"/>
        <v>E2_1_1_182 : E2_1_1_182</v>
      </c>
      <c r="I282" s="51" t="str">
        <f t="shared" ref="I282:J282" si="577">CONCATENATE(C282," : ","0")</f>
        <v>E2_1_1_182_mRNA : 0</v>
      </c>
      <c r="J282" s="52" t="str">
        <f t="shared" si="577"/>
        <v>E2_1_1_182 : 0</v>
      </c>
      <c r="K282" s="53" t="str">
        <f t="shared" si="523"/>
        <v>0.00292 - (0.0093 * E2_1_1_182_mRNA)</v>
      </c>
      <c r="L282" s="54" t="str">
        <f t="shared" si="524"/>
        <v>(0.278 * E2_1_1_182_mRNA) - (0.00000278 * E2_1_1_182)</v>
      </c>
      <c r="M282" s="55" t="str">
        <f t="shared" si="525"/>
        <v>mRNA281: -&gt; E2_1_1_182_mRNA | 0.00292 - (0.0093 * E2_1_1_182_mRNA)</v>
      </c>
      <c r="N282" s="56" t="str">
        <f t="shared" si="526"/>
        <v>Peptide281: E2_1_1_182_mRNA -&gt; E2_1_1_182 | (0.278 * E2_1_1_182_mRNA) - (0.000000278 * E2_1_1_182)</v>
      </c>
    </row>
    <row r="283" spans="1:14" ht="29">
      <c r="A283" s="46">
        <v>282</v>
      </c>
      <c r="B283" s="7" t="s">
        <v>12572</v>
      </c>
      <c r="C283" s="27" t="str">
        <f t="shared" si="518"/>
        <v>E1_97_1_4_mRNA</v>
      </c>
      <c r="D283" s="47" t="str">
        <f t="shared" si="527"/>
        <v>E1_97_1_4</v>
      </c>
      <c r="E283" s="48" t="str">
        <f t="shared" si="519"/>
        <v>E1_97_1_4_kcat : 13.7</v>
      </c>
      <c r="F283" s="49" t="str">
        <f t="shared" si="520"/>
        <v>E1_97_1_4_km : 1</v>
      </c>
      <c r="G283" s="9" t="str">
        <f t="shared" ref="G283:H283" si="578">CONCATENATE(C283," : ",C283)</f>
        <v>E1_97_1_4_mRNA : E1_97_1_4_mRNA</v>
      </c>
      <c r="H283" s="50" t="str">
        <f t="shared" si="578"/>
        <v>E1_97_1_4 : E1_97_1_4</v>
      </c>
      <c r="I283" s="51" t="str">
        <f t="shared" ref="I283:J283" si="579">CONCATENATE(C283," : ","0")</f>
        <v>E1_97_1_4_mRNA : 0</v>
      </c>
      <c r="J283" s="52" t="str">
        <f t="shared" si="579"/>
        <v>E1_97_1_4 : 0</v>
      </c>
      <c r="K283" s="53" t="str">
        <f t="shared" si="523"/>
        <v>0.00292 - (0.0093 * E1_97_1_4_mRNA)</v>
      </c>
      <c r="L283" s="54" t="str">
        <f t="shared" si="524"/>
        <v>(0.278 * E1_97_1_4_mRNA) - (0.00000278 * E1_97_1_4)</v>
      </c>
      <c r="M283" s="55" t="str">
        <f t="shared" si="525"/>
        <v>mRNA282: -&gt; E1_97_1_4_mRNA | 0.00292 - (0.0093 * E1_97_1_4_mRNA)</v>
      </c>
      <c r="N283" s="56" t="str">
        <f t="shared" si="526"/>
        <v>Peptide282: E1_97_1_4_mRNA -&gt; E1_97_1_4 | (0.278 * E1_97_1_4_mRNA) - (0.000000278 * E1_97_1_4)</v>
      </c>
    </row>
    <row r="284" spans="1:14" ht="29">
      <c r="A284" s="46">
        <v>283</v>
      </c>
      <c r="B284" s="7" t="s">
        <v>12573</v>
      </c>
      <c r="C284" s="27" t="str">
        <f t="shared" si="518"/>
        <v>E3_6_1_7_mRNA</v>
      </c>
      <c r="D284" s="47" t="str">
        <f t="shared" si="527"/>
        <v>E3_6_1_7</v>
      </c>
      <c r="E284" s="48" t="str">
        <f t="shared" si="519"/>
        <v>E3_6_1_7_kcat : 13.7</v>
      </c>
      <c r="F284" s="49" t="str">
        <f t="shared" si="520"/>
        <v>E3_6_1_7_km : 1</v>
      </c>
      <c r="G284" s="9" t="str">
        <f t="shared" ref="G284:H284" si="580">CONCATENATE(C284," : ",C284)</f>
        <v>E3_6_1_7_mRNA : E3_6_1_7_mRNA</v>
      </c>
      <c r="H284" s="50" t="str">
        <f t="shared" si="580"/>
        <v>E3_6_1_7 : E3_6_1_7</v>
      </c>
      <c r="I284" s="51" t="str">
        <f t="shared" ref="I284:J284" si="581">CONCATENATE(C284," : ","0")</f>
        <v>E3_6_1_7_mRNA : 0</v>
      </c>
      <c r="J284" s="52" t="str">
        <f t="shared" si="581"/>
        <v>E3_6_1_7 : 0</v>
      </c>
      <c r="K284" s="53" t="str">
        <f t="shared" si="523"/>
        <v>0.00292 - (0.0093 * E3_6_1_7_mRNA)</v>
      </c>
      <c r="L284" s="54" t="str">
        <f t="shared" si="524"/>
        <v>(0.278 * E3_6_1_7_mRNA) - (0.00000278 * E3_6_1_7)</v>
      </c>
      <c r="M284" s="55" t="str">
        <f t="shared" si="525"/>
        <v>mRNA283: -&gt; E3_6_1_7_mRNA | 0.00292 - (0.0093 * E3_6_1_7_mRNA)</v>
      </c>
      <c r="N284" s="56" t="str">
        <f t="shared" si="526"/>
        <v>Peptide283: E3_6_1_7_mRNA -&gt; E3_6_1_7 | (0.278 * E3_6_1_7_mRNA) - (0.000000278 * E3_6_1_7)</v>
      </c>
    </row>
    <row r="285" spans="1:14" ht="29">
      <c r="A285" s="46">
        <v>284</v>
      </c>
      <c r="B285" s="7" t="s">
        <v>12574</v>
      </c>
      <c r="C285" s="27" t="str">
        <f t="shared" si="518"/>
        <v>E6_1_1_20_mRNA</v>
      </c>
      <c r="D285" s="47" t="str">
        <f t="shared" si="527"/>
        <v>E6_1_1_20</v>
      </c>
      <c r="E285" s="48" t="str">
        <f t="shared" si="519"/>
        <v>E6_1_1_20_kcat : 13.7</v>
      </c>
      <c r="F285" s="49" t="str">
        <f t="shared" si="520"/>
        <v>E6_1_1_20_km : 1</v>
      </c>
      <c r="G285" s="9" t="str">
        <f t="shared" ref="G285:H285" si="582">CONCATENATE(C285," : ",C285)</f>
        <v>E6_1_1_20_mRNA : E6_1_1_20_mRNA</v>
      </c>
      <c r="H285" s="50" t="str">
        <f t="shared" si="582"/>
        <v>E6_1_1_20 : E6_1_1_20</v>
      </c>
      <c r="I285" s="51" t="str">
        <f t="shared" ref="I285:J285" si="583">CONCATENATE(C285," : ","0")</f>
        <v>E6_1_1_20_mRNA : 0</v>
      </c>
      <c r="J285" s="52" t="str">
        <f t="shared" si="583"/>
        <v>E6_1_1_20 : 0</v>
      </c>
      <c r="K285" s="53" t="str">
        <f t="shared" si="523"/>
        <v>0.00292 - (0.0093 * E6_1_1_20_mRNA)</v>
      </c>
      <c r="L285" s="54" t="str">
        <f t="shared" si="524"/>
        <v>(0.278 * E6_1_1_20_mRNA) - (0.00000278 * E6_1_1_20)</v>
      </c>
      <c r="M285" s="55" t="str">
        <f t="shared" si="525"/>
        <v>mRNA284: -&gt; E6_1_1_20_mRNA | 0.00292 - (0.0093 * E6_1_1_20_mRNA)</v>
      </c>
      <c r="N285" s="56" t="str">
        <f t="shared" si="526"/>
        <v>Peptide284: E6_1_1_20_mRNA -&gt; E6_1_1_20 | (0.278 * E6_1_1_20_mRNA) - (0.000000278 * E6_1_1_20)</v>
      </c>
    </row>
    <row r="286" spans="1:14" ht="29">
      <c r="A286" s="46">
        <v>285</v>
      </c>
      <c r="B286" s="7" t="s">
        <v>12575</v>
      </c>
      <c r="C286" s="27" t="str">
        <f t="shared" si="518"/>
        <v>E2_1_1_189_mRNA</v>
      </c>
      <c r="D286" s="47" t="str">
        <f t="shared" si="527"/>
        <v>E2_1_1_189</v>
      </c>
      <c r="E286" s="48" t="str">
        <f t="shared" si="519"/>
        <v>E2_1_1_189_kcat : 13.7</v>
      </c>
      <c r="F286" s="49" t="str">
        <f t="shared" si="520"/>
        <v>E2_1_1_189_km : 1</v>
      </c>
      <c r="G286" s="9" t="str">
        <f t="shared" ref="G286:H286" si="584">CONCATENATE(C286," : ",C286)</f>
        <v>E2_1_1_189_mRNA : E2_1_1_189_mRNA</v>
      </c>
      <c r="H286" s="50" t="str">
        <f t="shared" si="584"/>
        <v>E2_1_1_189 : E2_1_1_189</v>
      </c>
      <c r="I286" s="51" t="str">
        <f t="shared" ref="I286:J286" si="585">CONCATENATE(C286," : ","0")</f>
        <v>E2_1_1_189_mRNA : 0</v>
      </c>
      <c r="J286" s="52" t="str">
        <f t="shared" si="585"/>
        <v>E2_1_1_189 : 0</v>
      </c>
      <c r="K286" s="53" t="str">
        <f t="shared" si="523"/>
        <v>0.00292 - (0.0093 * E2_1_1_189_mRNA)</v>
      </c>
      <c r="L286" s="54" t="str">
        <f t="shared" si="524"/>
        <v>(0.278 * E2_1_1_189_mRNA) - (0.00000278 * E2_1_1_189)</v>
      </c>
      <c r="M286" s="55" t="str">
        <f t="shared" si="525"/>
        <v>mRNA285: -&gt; E2_1_1_189_mRNA | 0.00292 - (0.0093 * E2_1_1_189_mRNA)</v>
      </c>
      <c r="N286" s="56" t="str">
        <f t="shared" si="526"/>
        <v>Peptide285: E2_1_1_189_mRNA -&gt; E2_1_1_189 | (0.278 * E2_1_1_189_mRNA) - (0.000000278 * E2_1_1_189)</v>
      </c>
    </row>
    <row r="287" spans="1:14" ht="29">
      <c r="A287" s="46">
        <v>286</v>
      </c>
      <c r="B287" s="7" t="s">
        <v>12576</v>
      </c>
      <c r="C287" s="27" t="str">
        <f t="shared" si="518"/>
        <v>E6_3_4_15_mRNA</v>
      </c>
      <c r="D287" s="47" t="str">
        <f t="shared" si="527"/>
        <v>E6_3_4_15</v>
      </c>
      <c r="E287" s="48" t="str">
        <f t="shared" si="519"/>
        <v>E6_3_4_15_kcat : 13.7</v>
      </c>
      <c r="F287" s="49" t="str">
        <f t="shared" si="520"/>
        <v>E6_3_4_15_km : 1</v>
      </c>
      <c r="G287" s="9" t="str">
        <f t="shared" ref="G287:H287" si="586">CONCATENATE(C287," : ",C287)</f>
        <v>E6_3_4_15_mRNA : E6_3_4_15_mRNA</v>
      </c>
      <c r="H287" s="50" t="str">
        <f t="shared" si="586"/>
        <v>E6_3_4_15 : E6_3_4_15</v>
      </c>
      <c r="I287" s="51" t="str">
        <f t="shared" ref="I287:J287" si="587">CONCATENATE(C287," : ","0")</f>
        <v>E6_3_4_15_mRNA : 0</v>
      </c>
      <c r="J287" s="52" t="str">
        <f t="shared" si="587"/>
        <v>E6_3_4_15 : 0</v>
      </c>
      <c r="K287" s="53" t="str">
        <f t="shared" si="523"/>
        <v>0.00292 - (0.0093 * E6_3_4_15_mRNA)</v>
      </c>
      <c r="L287" s="54" t="str">
        <f t="shared" si="524"/>
        <v>(0.278 * E6_3_4_15_mRNA) - (0.00000278 * E6_3_4_15)</v>
      </c>
      <c r="M287" s="55" t="str">
        <f t="shared" si="525"/>
        <v>mRNA286: -&gt; E6_3_4_15_mRNA | 0.00292 - (0.0093 * E6_3_4_15_mRNA)</v>
      </c>
      <c r="N287" s="56" t="str">
        <f t="shared" si="526"/>
        <v>Peptide286: E6_3_4_15_mRNA -&gt; E6_3_4_15 | (0.278 * E6_3_4_15_mRNA) - (0.000000278 * E6_3_4_15)</v>
      </c>
    </row>
    <row r="288" spans="1:14" ht="29">
      <c r="A288" s="46">
        <v>287</v>
      </c>
      <c r="B288" s="7" t="s">
        <v>12577</v>
      </c>
      <c r="C288" s="27" t="str">
        <f t="shared" si="518"/>
        <v>E2_4_1_7_mRNA</v>
      </c>
      <c r="D288" s="47" t="str">
        <f t="shared" si="527"/>
        <v>E2_4_1_7</v>
      </c>
      <c r="E288" s="48" t="str">
        <f t="shared" si="519"/>
        <v>E2_4_1_7_kcat : 13.7</v>
      </c>
      <c r="F288" s="49" t="str">
        <f t="shared" si="520"/>
        <v>E2_4_1_7_km : 1</v>
      </c>
      <c r="G288" s="9" t="str">
        <f t="shared" ref="G288:H288" si="588">CONCATENATE(C288," : ",C288)</f>
        <v>E2_4_1_7_mRNA : E2_4_1_7_mRNA</v>
      </c>
      <c r="H288" s="50" t="str">
        <f t="shared" si="588"/>
        <v>E2_4_1_7 : E2_4_1_7</v>
      </c>
      <c r="I288" s="51" t="str">
        <f t="shared" ref="I288:J288" si="589">CONCATENATE(C288," : ","0")</f>
        <v>E2_4_1_7_mRNA : 0</v>
      </c>
      <c r="J288" s="52" t="str">
        <f t="shared" si="589"/>
        <v>E2_4_1_7 : 0</v>
      </c>
      <c r="K288" s="53" t="str">
        <f t="shared" si="523"/>
        <v>0.00292 - (0.0093 * E2_4_1_7_mRNA)</v>
      </c>
      <c r="L288" s="54" t="str">
        <f t="shared" si="524"/>
        <v>(0.278 * E2_4_1_7_mRNA) - (0.00000278 * E2_4_1_7)</v>
      </c>
      <c r="M288" s="55" t="str">
        <f t="shared" si="525"/>
        <v>mRNA287: -&gt; E2_4_1_7_mRNA | 0.00292 - (0.0093 * E2_4_1_7_mRNA)</v>
      </c>
      <c r="N288" s="56" t="str">
        <f t="shared" si="526"/>
        <v>Peptide287: E2_4_1_7_mRNA -&gt; E2_4_1_7 | (0.278 * E2_4_1_7_mRNA) - (0.000000278 * E2_4_1_7)</v>
      </c>
    </row>
    <row r="289" spans="1:14" ht="29">
      <c r="A289" s="46">
        <v>288</v>
      </c>
      <c r="B289" s="7" t="s">
        <v>12578</v>
      </c>
      <c r="C289" s="27" t="str">
        <f t="shared" si="518"/>
        <v>E3_2_1_93_mRNA</v>
      </c>
      <c r="D289" s="47" t="str">
        <f t="shared" si="527"/>
        <v>E3_2_1_93</v>
      </c>
      <c r="E289" s="48" t="str">
        <f t="shared" si="519"/>
        <v>E3_2_1_93_kcat : 13.7</v>
      </c>
      <c r="F289" s="49" t="str">
        <f t="shared" si="520"/>
        <v>E3_2_1_93_km : 1</v>
      </c>
      <c r="G289" s="9" t="str">
        <f t="shared" ref="G289:H289" si="590">CONCATENATE(C289," : ",C289)</f>
        <v>E3_2_1_93_mRNA : E3_2_1_93_mRNA</v>
      </c>
      <c r="H289" s="50" t="str">
        <f t="shared" si="590"/>
        <v>E3_2_1_93 : E3_2_1_93</v>
      </c>
      <c r="I289" s="51" t="str">
        <f t="shared" ref="I289:J289" si="591">CONCATENATE(C289," : ","0")</f>
        <v>E3_2_1_93_mRNA : 0</v>
      </c>
      <c r="J289" s="52" t="str">
        <f t="shared" si="591"/>
        <v>E3_2_1_93 : 0</v>
      </c>
      <c r="K289" s="53" t="str">
        <f t="shared" si="523"/>
        <v>0.00292 - (0.0093 * E3_2_1_93_mRNA)</v>
      </c>
      <c r="L289" s="54" t="str">
        <f t="shared" si="524"/>
        <v>(0.278 * E3_2_1_93_mRNA) - (0.00000278 * E3_2_1_93)</v>
      </c>
      <c r="M289" s="55" t="str">
        <f t="shared" si="525"/>
        <v>mRNA288: -&gt; E3_2_1_93_mRNA | 0.00292 - (0.0093 * E3_2_1_93_mRNA)</v>
      </c>
      <c r="N289" s="56" t="str">
        <f t="shared" si="526"/>
        <v>Peptide288: E3_2_1_93_mRNA -&gt; E3_2_1_93 | (0.278 * E3_2_1_93_mRNA) - (0.000000278 * E3_2_1_93)</v>
      </c>
    </row>
    <row r="290" spans="1:14" ht="29">
      <c r="A290" s="46">
        <v>289</v>
      </c>
      <c r="B290" s="7" t="s">
        <v>12579</v>
      </c>
      <c r="C290" s="27" t="str">
        <f t="shared" si="518"/>
        <v>E5_1_1_3_mRNA</v>
      </c>
      <c r="D290" s="47" t="str">
        <f t="shared" si="527"/>
        <v>E5_1_1_3</v>
      </c>
      <c r="E290" s="48" t="str">
        <f t="shared" si="519"/>
        <v>E5_1_1_3_kcat : 13.7</v>
      </c>
      <c r="F290" s="49" t="str">
        <f t="shared" si="520"/>
        <v>E5_1_1_3_km : 1</v>
      </c>
      <c r="G290" s="9" t="str">
        <f t="shared" ref="G290:H290" si="592">CONCATENATE(C290," : ",C290)</f>
        <v>E5_1_1_3_mRNA : E5_1_1_3_mRNA</v>
      </c>
      <c r="H290" s="50" t="str">
        <f t="shared" si="592"/>
        <v>E5_1_1_3 : E5_1_1_3</v>
      </c>
      <c r="I290" s="51" t="str">
        <f t="shared" ref="I290:J290" si="593">CONCATENATE(C290," : ","0")</f>
        <v>E5_1_1_3_mRNA : 0</v>
      </c>
      <c r="J290" s="52" t="str">
        <f t="shared" si="593"/>
        <v>E5_1_1_3 : 0</v>
      </c>
      <c r="K290" s="53" t="str">
        <f t="shared" si="523"/>
        <v>0.00292 - (0.0093 * E5_1_1_3_mRNA)</v>
      </c>
      <c r="L290" s="54" t="str">
        <f t="shared" si="524"/>
        <v>(0.278 * E5_1_1_3_mRNA) - (0.00000278 * E5_1_1_3)</v>
      </c>
      <c r="M290" s="55" t="str">
        <f t="shared" si="525"/>
        <v>mRNA289: -&gt; E5_1_1_3_mRNA | 0.00292 - (0.0093 * E5_1_1_3_mRNA)</v>
      </c>
      <c r="N290" s="56" t="str">
        <f t="shared" si="526"/>
        <v>Peptide289: E5_1_1_3_mRNA -&gt; E5_1_1_3 | (0.278 * E5_1_1_3_mRNA) - (0.000000278 * E5_1_1_3)</v>
      </c>
    </row>
    <row r="291" spans="1:14" ht="29">
      <c r="A291" s="46">
        <v>290</v>
      </c>
      <c r="B291" s="7" t="s">
        <v>12580</v>
      </c>
      <c r="C291" s="27" t="str">
        <f t="shared" si="518"/>
        <v>E3_4_11_7_mRNA</v>
      </c>
      <c r="D291" s="47" t="str">
        <f t="shared" si="527"/>
        <v>E3_4_11_7</v>
      </c>
      <c r="E291" s="48" t="str">
        <f t="shared" si="519"/>
        <v>E3_4_11_7_kcat : 13.7</v>
      </c>
      <c r="F291" s="49" t="str">
        <f t="shared" si="520"/>
        <v>E3_4_11_7_km : 1</v>
      </c>
      <c r="G291" s="9" t="str">
        <f t="shared" ref="G291:H291" si="594">CONCATENATE(C291," : ",C291)</f>
        <v>E3_4_11_7_mRNA : E3_4_11_7_mRNA</v>
      </c>
      <c r="H291" s="50" t="str">
        <f t="shared" si="594"/>
        <v>E3_4_11_7 : E3_4_11_7</v>
      </c>
      <c r="I291" s="51" t="str">
        <f t="shared" ref="I291:J291" si="595">CONCATENATE(C291," : ","0")</f>
        <v>E3_4_11_7_mRNA : 0</v>
      </c>
      <c r="J291" s="52" t="str">
        <f t="shared" si="595"/>
        <v>E3_4_11_7 : 0</v>
      </c>
      <c r="K291" s="53" t="str">
        <f t="shared" si="523"/>
        <v>0.00292 - (0.0093 * E3_4_11_7_mRNA)</v>
      </c>
      <c r="L291" s="54" t="str">
        <f t="shared" si="524"/>
        <v>(0.278 * E3_4_11_7_mRNA) - (0.00000278 * E3_4_11_7)</v>
      </c>
      <c r="M291" s="55" t="str">
        <f t="shared" si="525"/>
        <v>mRNA290: -&gt; E3_4_11_7_mRNA | 0.00292 - (0.0093 * E3_4_11_7_mRNA)</v>
      </c>
      <c r="N291" s="56" t="str">
        <f t="shared" si="526"/>
        <v>Peptide290: E3_4_11_7_mRNA -&gt; E3_4_11_7 | (0.278 * E3_4_11_7_mRNA) - (0.000000278 * E3_4_11_7)</v>
      </c>
    </row>
    <row r="292" spans="1:14" ht="29">
      <c r="A292" s="46">
        <v>291</v>
      </c>
      <c r="B292" s="7" t="s">
        <v>12581</v>
      </c>
      <c r="C292" s="27" t="str">
        <f t="shared" si="518"/>
        <v>E1_1_1_90_mRNA</v>
      </c>
      <c r="D292" s="47" t="str">
        <f t="shared" si="527"/>
        <v>E1_1_1_90</v>
      </c>
      <c r="E292" s="48" t="str">
        <f t="shared" si="519"/>
        <v>E1_1_1_90_kcat : 13.7</v>
      </c>
      <c r="F292" s="49" t="str">
        <f t="shared" si="520"/>
        <v>E1_1_1_90_km : 1</v>
      </c>
      <c r="G292" s="9" t="str">
        <f t="shared" ref="G292:H292" si="596">CONCATENATE(C292," : ",C292)</f>
        <v>E1_1_1_90_mRNA : E1_1_1_90_mRNA</v>
      </c>
      <c r="H292" s="50" t="str">
        <f t="shared" si="596"/>
        <v>E1_1_1_90 : E1_1_1_90</v>
      </c>
      <c r="I292" s="51" t="str">
        <f t="shared" ref="I292:J292" si="597">CONCATENATE(C292," : ","0")</f>
        <v>E1_1_1_90_mRNA : 0</v>
      </c>
      <c r="J292" s="52" t="str">
        <f t="shared" si="597"/>
        <v>E1_1_1_90 : 0</v>
      </c>
      <c r="K292" s="53" t="str">
        <f t="shared" si="523"/>
        <v>0.00292 - (0.0093 * E1_1_1_90_mRNA)</v>
      </c>
      <c r="L292" s="54" t="str">
        <f t="shared" si="524"/>
        <v>(0.278 * E1_1_1_90_mRNA) - (0.00000278 * E1_1_1_90)</v>
      </c>
      <c r="M292" s="55" t="str">
        <f t="shared" si="525"/>
        <v>mRNA291: -&gt; E1_1_1_90_mRNA | 0.00292 - (0.0093 * E1_1_1_90_mRNA)</v>
      </c>
      <c r="N292" s="56" t="str">
        <f t="shared" si="526"/>
        <v>Peptide291: E1_1_1_90_mRNA -&gt; E1_1_1_90 | (0.278 * E1_1_1_90_mRNA) - (0.000000278 * E1_1_1_90)</v>
      </c>
    </row>
    <row r="293" spans="1:14" ht="29">
      <c r="A293" s="46">
        <v>292</v>
      </c>
      <c r="B293" s="7" t="s">
        <v>12582</v>
      </c>
      <c r="C293" s="27" t="str">
        <f t="shared" si="518"/>
        <v>E3_1_21_4_mRNA</v>
      </c>
      <c r="D293" s="47" t="str">
        <f t="shared" si="527"/>
        <v>E3_1_21_4</v>
      </c>
      <c r="E293" s="48" t="str">
        <f t="shared" si="519"/>
        <v>E3_1_21_4_kcat : 13.7</v>
      </c>
      <c r="F293" s="49" t="str">
        <f t="shared" si="520"/>
        <v>E3_1_21_4_km : 1</v>
      </c>
      <c r="G293" s="9" t="str">
        <f t="shared" ref="G293:H293" si="598">CONCATENATE(C293," : ",C293)</f>
        <v>E3_1_21_4_mRNA : E3_1_21_4_mRNA</v>
      </c>
      <c r="H293" s="50" t="str">
        <f t="shared" si="598"/>
        <v>E3_1_21_4 : E3_1_21_4</v>
      </c>
      <c r="I293" s="51" t="str">
        <f t="shared" ref="I293:J293" si="599">CONCATENATE(C293," : ","0")</f>
        <v>E3_1_21_4_mRNA : 0</v>
      </c>
      <c r="J293" s="52" t="str">
        <f t="shared" si="599"/>
        <v>E3_1_21_4 : 0</v>
      </c>
      <c r="K293" s="53" t="str">
        <f t="shared" si="523"/>
        <v>0.00292 - (0.0093 * E3_1_21_4_mRNA)</v>
      </c>
      <c r="L293" s="54" t="str">
        <f t="shared" si="524"/>
        <v>(0.278 * E3_1_21_4_mRNA) - (0.00000278 * E3_1_21_4)</v>
      </c>
      <c r="M293" s="55" t="str">
        <f t="shared" si="525"/>
        <v>mRNA292: -&gt; E3_1_21_4_mRNA | 0.00292 - (0.0093 * E3_1_21_4_mRNA)</v>
      </c>
      <c r="N293" s="56" t="str">
        <f t="shared" si="526"/>
        <v>Peptide292: E3_1_21_4_mRNA -&gt; E3_1_21_4 | (0.278 * E3_1_21_4_mRNA) - (0.000000278 * E3_1_21_4)</v>
      </c>
    </row>
    <row r="294" spans="1:14" ht="29">
      <c r="A294" s="46">
        <v>293</v>
      </c>
      <c r="B294" s="7" t="s">
        <v>12583</v>
      </c>
      <c r="C294" s="27" t="str">
        <f t="shared" si="518"/>
        <v>E2_4_2_22_mRNA</v>
      </c>
      <c r="D294" s="47" t="str">
        <f t="shared" si="527"/>
        <v>E2_4_2_22</v>
      </c>
      <c r="E294" s="48" t="str">
        <f t="shared" si="519"/>
        <v>E2_4_2_22_kcat : 13.7</v>
      </c>
      <c r="F294" s="49" t="str">
        <f t="shared" si="520"/>
        <v>E2_4_2_22_km : 1</v>
      </c>
      <c r="G294" s="9" t="str">
        <f t="shared" ref="G294:H294" si="600">CONCATENATE(C294," : ",C294)</f>
        <v>E2_4_2_22_mRNA : E2_4_2_22_mRNA</v>
      </c>
      <c r="H294" s="50" t="str">
        <f t="shared" si="600"/>
        <v>E2_4_2_22 : E2_4_2_22</v>
      </c>
      <c r="I294" s="51" t="str">
        <f t="shared" ref="I294:J294" si="601">CONCATENATE(C294," : ","0")</f>
        <v>E2_4_2_22_mRNA : 0</v>
      </c>
      <c r="J294" s="52" t="str">
        <f t="shared" si="601"/>
        <v>E2_4_2_22 : 0</v>
      </c>
      <c r="K294" s="53" t="str">
        <f t="shared" si="523"/>
        <v>0.00292 - (0.0093 * E2_4_2_22_mRNA)</v>
      </c>
      <c r="L294" s="54" t="str">
        <f t="shared" si="524"/>
        <v>(0.278 * E2_4_2_22_mRNA) - (0.00000278 * E2_4_2_22)</v>
      </c>
      <c r="M294" s="55" t="str">
        <f t="shared" si="525"/>
        <v>mRNA293: -&gt; E2_4_2_22_mRNA | 0.00292 - (0.0093 * E2_4_2_22_mRNA)</v>
      </c>
      <c r="N294" s="56" t="str">
        <f t="shared" si="526"/>
        <v>Peptide293: E2_4_2_22_mRNA -&gt; E2_4_2_22 | (0.278 * E2_4_2_22_mRNA) - (0.000000278 * E2_4_2_22)</v>
      </c>
    </row>
    <row r="295" spans="1:14" ht="29">
      <c r="A295" s="46">
        <v>294</v>
      </c>
      <c r="B295" s="7" t="s">
        <v>12584</v>
      </c>
      <c r="C295" s="27" t="str">
        <f t="shared" si="518"/>
        <v>E3_1_11_2_mRNA</v>
      </c>
      <c r="D295" s="47" t="str">
        <f t="shared" si="527"/>
        <v>E3_1_11_2</v>
      </c>
      <c r="E295" s="48" t="str">
        <f t="shared" si="519"/>
        <v>E3_1_11_2_kcat : 13.7</v>
      </c>
      <c r="F295" s="49" t="str">
        <f t="shared" si="520"/>
        <v>E3_1_11_2_km : 1</v>
      </c>
      <c r="G295" s="9" t="str">
        <f t="shared" ref="G295:H295" si="602">CONCATENATE(C295," : ",C295)</f>
        <v>E3_1_11_2_mRNA : E3_1_11_2_mRNA</v>
      </c>
      <c r="H295" s="50" t="str">
        <f t="shared" si="602"/>
        <v>E3_1_11_2 : E3_1_11_2</v>
      </c>
      <c r="I295" s="51" t="str">
        <f t="shared" ref="I295:J295" si="603">CONCATENATE(C295," : ","0")</f>
        <v>E3_1_11_2_mRNA : 0</v>
      </c>
      <c r="J295" s="52" t="str">
        <f t="shared" si="603"/>
        <v>E3_1_11_2 : 0</v>
      </c>
      <c r="K295" s="53" t="str">
        <f t="shared" si="523"/>
        <v>0.00292 - (0.0093 * E3_1_11_2_mRNA)</v>
      </c>
      <c r="L295" s="54" t="str">
        <f t="shared" si="524"/>
        <v>(0.278 * E3_1_11_2_mRNA) - (0.00000278 * E3_1_11_2)</v>
      </c>
      <c r="M295" s="55" t="str">
        <f t="shared" si="525"/>
        <v>mRNA294: -&gt; E3_1_11_2_mRNA | 0.00292 - (0.0093 * E3_1_11_2_mRNA)</v>
      </c>
      <c r="N295" s="56" t="str">
        <f t="shared" si="526"/>
        <v>Peptide294: E3_1_11_2_mRNA -&gt; E3_1_11_2 | (0.278 * E3_1_11_2_mRNA) - (0.000000278 * E3_1_11_2)</v>
      </c>
    </row>
    <row r="296" spans="1:14" ht="29">
      <c r="A296" s="46">
        <v>295</v>
      </c>
      <c r="B296" s="7" t="s">
        <v>12585</v>
      </c>
      <c r="C296" s="27" t="str">
        <f t="shared" si="518"/>
        <v>E2_6_1_87_mRNA</v>
      </c>
      <c r="D296" s="47" t="str">
        <f t="shared" si="527"/>
        <v>E2_6_1_87</v>
      </c>
      <c r="E296" s="48" t="str">
        <f t="shared" si="519"/>
        <v>E2_6_1_87_kcat : 13.7</v>
      </c>
      <c r="F296" s="49" t="str">
        <f t="shared" si="520"/>
        <v>E2_6_1_87_km : 1</v>
      </c>
      <c r="G296" s="9" t="str">
        <f t="shared" ref="G296:H296" si="604">CONCATENATE(C296," : ",C296)</f>
        <v>E2_6_1_87_mRNA : E2_6_1_87_mRNA</v>
      </c>
      <c r="H296" s="50" t="str">
        <f t="shared" si="604"/>
        <v>E2_6_1_87 : E2_6_1_87</v>
      </c>
      <c r="I296" s="51" t="str">
        <f t="shared" ref="I296:J296" si="605">CONCATENATE(C296," : ","0")</f>
        <v>E2_6_1_87_mRNA : 0</v>
      </c>
      <c r="J296" s="52" t="str">
        <f t="shared" si="605"/>
        <v>E2_6_1_87 : 0</v>
      </c>
      <c r="K296" s="53" t="str">
        <f t="shared" si="523"/>
        <v>0.00292 - (0.0093 * E2_6_1_87_mRNA)</v>
      </c>
      <c r="L296" s="54" t="str">
        <f t="shared" si="524"/>
        <v>(0.278 * E2_6_1_87_mRNA) - (0.00000278 * E2_6_1_87)</v>
      </c>
      <c r="M296" s="55" t="str">
        <f t="shared" si="525"/>
        <v>mRNA295: -&gt; E2_6_1_87_mRNA | 0.00292 - (0.0093 * E2_6_1_87_mRNA)</v>
      </c>
      <c r="N296" s="56" t="str">
        <f t="shared" si="526"/>
        <v>Peptide295: E2_6_1_87_mRNA -&gt; E2_6_1_87 | (0.278 * E2_6_1_87_mRNA) - (0.000000278 * E2_6_1_87)</v>
      </c>
    </row>
    <row r="297" spans="1:14" ht="29">
      <c r="A297" s="46">
        <v>296</v>
      </c>
      <c r="B297" s="7" t="s">
        <v>12586</v>
      </c>
      <c r="C297" s="27" t="str">
        <f t="shared" si="518"/>
        <v>E2_4_2_18_mRNA</v>
      </c>
      <c r="D297" s="47" t="str">
        <f t="shared" si="527"/>
        <v>E2_4_2_18</v>
      </c>
      <c r="E297" s="48" t="str">
        <f t="shared" si="519"/>
        <v>E2_4_2_18_kcat : 13.7</v>
      </c>
      <c r="F297" s="49" t="str">
        <f t="shared" si="520"/>
        <v>E2_4_2_18_km : 1</v>
      </c>
      <c r="G297" s="9" t="str">
        <f t="shared" ref="G297:H297" si="606">CONCATENATE(C297," : ",C297)</f>
        <v>E2_4_2_18_mRNA : E2_4_2_18_mRNA</v>
      </c>
      <c r="H297" s="50" t="str">
        <f t="shared" si="606"/>
        <v>E2_4_2_18 : E2_4_2_18</v>
      </c>
      <c r="I297" s="51" t="str">
        <f t="shared" ref="I297:J297" si="607">CONCATENATE(C297," : ","0")</f>
        <v>E2_4_2_18_mRNA : 0</v>
      </c>
      <c r="J297" s="52" t="str">
        <f t="shared" si="607"/>
        <v>E2_4_2_18 : 0</v>
      </c>
      <c r="K297" s="53" t="str">
        <f t="shared" si="523"/>
        <v>0.00292 - (0.0093 * E2_4_2_18_mRNA)</v>
      </c>
      <c r="L297" s="54" t="str">
        <f t="shared" si="524"/>
        <v>(0.278 * E2_4_2_18_mRNA) - (0.00000278 * E2_4_2_18)</v>
      </c>
      <c r="M297" s="55" t="str">
        <f t="shared" si="525"/>
        <v>mRNA296: -&gt; E2_4_2_18_mRNA | 0.00292 - (0.0093 * E2_4_2_18_mRNA)</v>
      </c>
      <c r="N297" s="56" t="str">
        <f t="shared" si="526"/>
        <v>Peptide296: E2_4_2_18_mRNA -&gt; E2_4_2_18 | (0.278 * E2_4_2_18_mRNA) - (0.000000278 * E2_4_2_18)</v>
      </c>
    </row>
    <row r="298" spans="1:14" ht="29">
      <c r="A298" s="46">
        <v>297</v>
      </c>
      <c r="B298" s="7" t="s">
        <v>12587</v>
      </c>
      <c r="C298" s="27" t="str">
        <f t="shared" si="518"/>
        <v>E3_2_1_39_mRNA</v>
      </c>
      <c r="D298" s="47" t="str">
        <f t="shared" si="527"/>
        <v>E3_2_1_39</v>
      </c>
      <c r="E298" s="48" t="str">
        <f t="shared" si="519"/>
        <v>E3_2_1_39_kcat : 13.7</v>
      </c>
      <c r="F298" s="49" t="str">
        <f t="shared" si="520"/>
        <v>E3_2_1_39_km : 1</v>
      </c>
      <c r="G298" s="9" t="str">
        <f t="shared" ref="G298:H298" si="608">CONCATENATE(C298," : ",C298)</f>
        <v>E3_2_1_39_mRNA : E3_2_1_39_mRNA</v>
      </c>
      <c r="H298" s="50" t="str">
        <f t="shared" si="608"/>
        <v>E3_2_1_39 : E3_2_1_39</v>
      </c>
      <c r="I298" s="51" t="str">
        <f t="shared" ref="I298:J298" si="609">CONCATENATE(C298," : ","0")</f>
        <v>E3_2_1_39_mRNA : 0</v>
      </c>
      <c r="J298" s="52" t="str">
        <f t="shared" si="609"/>
        <v>E3_2_1_39 : 0</v>
      </c>
      <c r="K298" s="53" t="str">
        <f t="shared" si="523"/>
        <v>0.00292 - (0.0093 * E3_2_1_39_mRNA)</v>
      </c>
      <c r="L298" s="54" t="str">
        <f t="shared" si="524"/>
        <v>(0.278 * E3_2_1_39_mRNA) - (0.00000278 * E3_2_1_39)</v>
      </c>
      <c r="M298" s="55" t="str">
        <f t="shared" si="525"/>
        <v>mRNA297: -&gt; E3_2_1_39_mRNA | 0.00292 - (0.0093 * E3_2_1_39_mRNA)</v>
      </c>
      <c r="N298" s="56" t="str">
        <f t="shared" si="526"/>
        <v>Peptide297: E3_2_1_39_mRNA -&gt; E3_2_1_39 | (0.278 * E3_2_1_39_mRNA) - (0.000000278 * E3_2_1_39)</v>
      </c>
    </row>
    <row r="299" spans="1:14" ht="29">
      <c r="A299" s="46">
        <v>298</v>
      </c>
      <c r="B299" s="7" t="s">
        <v>12588</v>
      </c>
      <c r="C299" s="27" t="str">
        <f t="shared" si="518"/>
        <v>E3_1_6_1_mRNA</v>
      </c>
      <c r="D299" s="47" t="str">
        <f t="shared" si="527"/>
        <v>E3_1_6_1</v>
      </c>
      <c r="E299" s="48" t="str">
        <f t="shared" si="519"/>
        <v>E3_1_6_1_kcat : 13.7</v>
      </c>
      <c r="F299" s="49" t="str">
        <f t="shared" si="520"/>
        <v>E3_1_6_1_km : 1</v>
      </c>
      <c r="G299" s="9" t="str">
        <f t="shared" ref="G299:H299" si="610">CONCATENATE(C299," : ",C299)</f>
        <v>E3_1_6_1_mRNA : E3_1_6_1_mRNA</v>
      </c>
      <c r="H299" s="50" t="str">
        <f t="shared" si="610"/>
        <v>E3_1_6_1 : E3_1_6_1</v>
      </c>
      <c r="I299" s="51" t="str">
        <f t="shared" ref="I299:J299" si="611">CONCATENATE(C299," : ","0")</f>
        <v>E3_1_6_1_mRNA : 0</v>
      </c>
      <c r="J299" s="52" t="str">
        <f t="shared" si="611"/>
        <v>E3_1_6_1 : 0</v>
      </c>
      <c r="K299" s="53" t="str">
        <f t="shared" si="523"/>
        <v>0.00292 - (0.0093 * E3_1_6_1_mRNA)</v>
      </c>
      <c r="L299" s="54" t="str">
        <f t="shared" si="524"/>
        <v>(0.278 * E3_1_6_1_mRNA) - (0.00000278 * E3_1_6_1)</v>
      </c>
      <c r="M299" s="55" t="str">
        <f t="shared" si="525"/>
        <v>mRNA298: -&gt; E3_1_6_1_mRNA | 0.00292 - (0.0093 * E3_1_6_1_mRNA)</v>
      </c>
      <c r="N299" s="56" t="str">
        <f t="shared" si="526"/>
        <v>Peptide298: E3_1_6_1_mRNA -&gt; E3_1_6_1 | (0.278 * E3_1_6_1_mRNA) - (0.000000278 * E3_1_6_1)</v>
      </c>
    </row>
    <row r="300" spans="1:14" ht="29">
      <c r="A300" s="46">
        <v>299</v>
      </c>
      <c r="B300" s="7" t="s">
        <v>12589</v>
      </c>
      <c r="C300" s="27" t="str">
        <f t="shared" si="518"/>
        <v>E2_7_11_1_mRNA</v>
      </c>
      <c r="D300" s="47" t="str">
        <f t="shared" si="527"/>
        <v>E2_7_11_1</v>
      </c>
      <c r="E300" s="48" t="str">
        <f t="shared" si="519"/>
        <v>E2_7_11_1_kcat : 13.7</v>
      </c>
      <c r="F300" s="49" t="str">
        <f t="shared" si="520"/>
        <v>E2_7_11_1_km : 1</v>
      </c>
      <c r="G300" s="9" t="str">
        <f t="shared" ref="G300:H300" si="612">CONCATENATE(C300," : ",C300)</f>
        <v>E2_7_11_1_mRNA : E2_7_11_1_mRNA</v>
      </c>
      <c r="H300" s="50" t="str">
        <f t="shared" si="612"/>
        <v>E2_7_11_1 : E2_7_11_1</v>
      </c>
      <c r="I300" s="51" t="str">
        <f t="shared" ref="I300:J300" si="613">CONCATENATE(C300," : ","0")</f>
        <v>E2_7_11_1_mRNA : 0</v>
      </c>
      <c r="J300" s="52" t="str">
        <f t="shared" si="613"/>
        <v>E2_7_11_1 : 0</v>
      </c>
      <c r="K300" s="53" t="str">
        <f t="shared" si="523"/>
        <v>0.00292 - (0.0093 * E2_7_11_1_mRNA)</v>
      </c>
      <c r="L300" s="54" t="str">
        <f t="shared" si="524"/>
        <v>(0.278 * E2_7_11_1_mRNA) - (0.00000278 * E2_7_11_1)</v>
      </c>
      <c r="M300" s="55" t="str">
        <f t="shared" si="525"/>
        <v>mRNA299: -&gt; E2_7_11_1_mRNA | 0.00292 - (0.0093 * E2_7_11_1_mRNA)</v>
      </c>
      <c r="N300" s="56" t="str">
        <f t="shared" si="526"/>
        <v>Peptide299: E2_7_11_1_mRNA -&gt; E2_7_11_1 | (0.278 * E2_7_11_1_mRNA) - (0.000000278 * E2_7_11_1)</v>
      </c>
    </row>
    <row r="301" spans="1:14" ht="29">
      <c r="A301" s="46">
        <v>300</v>
      </c>
      <c r="B301" s="7" t="s">
        <v>12590</v>
      </c>
      <c r="C301" s="27" t="str">
        <f t="shared" si="518"/>
        <v>E3_2_1_26_mRNA</v>
      </c>
      <c r="D301" s="47" t="str">
        <f t="shared" si="527"/>
        <v>E3_2_1_26</v>
      </c>
      <c r="E301" s="48" t="str">
        <f t="shared" si="519"/>
        <v>E3_2_1_26_kcat : 13.7</v>
      </c>
      <c r="F301" s="49" t="str">
        <f t="shared" si="520"/>
        <v>E3_2_1_26_km : 1</v>
      </c>
      <c r="G301" s="9" t="str">
        <f t="shared" ref="G301:H301" si="614">CONCATENATE(C301," : ",C301)</f>
        <v>E3_2_1_26_mRNA : E3_2_1_26_mRNA</v>
      </c>
      <c r="H301" s="50" t="str">
        <f t="shared" si="614"/>
        <v>E3_2_1_26 : E3_2_1_26</v>
      </c>
      <c r="I301" s="51" t="str">
        <f t="shared" ref="I301:J301" si="615">CONCATENATE(C301," : ","0")</f>
        <v>E3_2_1_26_mRNA : 0</v>
      </c>
      <c r="J301" s="52" t="str">
        <f t="shared" si="615"/>
        <v>E3_2_1_26 : 0</v>
      </c>
      <c r="K301" s="53" t="str">
        <f t="shared" si="523"/>
        <v>0.00292 - (0.0093 * E3_2_1_26_mRNA)</v>
      </c>
      <c r="L301" s="54" t="str">
        <f t="shared" si="524"/>
        <v>(0.278 * E3_2_1_26_mRNA) - (0.00000278 * E3_2_1_26)</v>
      </c>
      <c r="M301" s="55" t="str">
        <f t="shared" si="525"/>
        <v>mRNA300: -&gt; E3_2_1_26_mRNA | 0.00292 - (0.0093 * E3_2_1_26_mRNA)</v>
      </c>
      <c r="N301" s="56" t="str">
        <f t="shared" si="526"/>
        <v>Peptide300: E3_2_1_26_mRNA -&gt; E3_2_1_26 | (0.278 * E3_2_1_26_mRNA) - (0.000000278 * E3_2_1_26)</v>
      </c>
    </row>
    <row r="302" spans="1:14" ht="29">
      <c r="A302" s="46">
        <v>301</v>
      </c>
      <c r="B302" s="7" t="s">
        <v>12591</v>
      </c>
      <c r="C302" s="27" t="str">
        <f t="shared" si="518"/>
        <v>E3_6_4_6_mRNA</v>
      </c>
      <c r="D302" s="47" t="str">
        <f t="shared" si="527"/>
        <v>E3_6_4_6</v>
      </c>
      <c r="E302" s="48" t="str">
        <f t="shared" si="519"/>
        <v>E3_6_4_6_kcat : 13.7</v>
      </c>
      <c r="F302" s="49" t="str">
        <f t="shared" si="520"/>
        <v>E3_6_4_6_km : 1</v>
      </c>
      <c r="G302" s="9" t="str">
        <f t="shared" ref="G302:H302" si="616">CONCATENATE(C302," : ",C302)</f>
        <v>E3_6_4_6_mRNA : E3_6_4_6_mRNA</v>
      </c>
      <c r="H302" s="50" t="str">
        <f t="shared" si="616"/>
        <v>E3_6_4_6 : E3_6_4_6</v>
      </c>
      <c r="I302" s="51" t="str">
        <f t="shared" ref="I302:J302" si="617">CONCATENATE(C302," : ","0")</f>
        <v>E3_6_4_6_mRNA : 0</v>
      </c>
      <c r="J302" s="52" t="str">
        <f t="shared" si="617"/>
        <v>E3_6_4_6 : 0</v>
      </c>
      <c r="K302" s="53" t="str">
        <f t="shared" si="523"/>
        <v>0.00292 - (0.0093 * E3_6_4_6_mRNA)</v>
      </c>
      <c r="L302" s="54" t="str">
        <f t="shared" si="524"/>
        <v>(0.278 * E3_6_4_6_mRNA) - (0.00000278 * E3_6_4_6)</v>
      </c>
      <c r="M302" s="55" t="str">
        <f t="shared" si="525"/>
        <v>mRNA301: -&gt; E3_6_4_6_mRNA | 0.00292 - (0.0093 * E3_6_4_6_mRNA)</v>
      </c>
      <c r="N302" s="56" t="str">
        <f t="shared" si="526"/>
        <v>Peptide301: E3_6_4_6_mRNA -&gt; E3_6_4_6 | (0.278 * E3_6_4_6_mRNA) - (0.000000278 * E3_6_4_6)</v>
      </c>
    </row>
    <row r="303" spans="1:14" ht="29">
      <c r="A303" s="46">
        <v>302</v>
      </c>
      <c r="B303" s="7" t="s">
        <v>12592</v>
      </c>
      <c r="C303" s="27" t="str">
        <f t="shared" si="518"/>
        <v>E2_1_1_193_mRNA</v>
      </c>
      <c r="D303" s="47" t="str">
        <f t="shared" si="527"/>
        <v>E2_1_1_193</v>
      </c>
      <c r="E303" s="48" t="str">
        <f t="shared" si="519"/>
        <v>E2_1_1_193_kcat : 13.7</v>
      </c>
      <c r="F303" s="49" t="str">
        <f t="shared" si="520"/>
        <v>E2_1_1_193_km : 1</v>
      </c>
      <c r="G303" s="9" t="str">
        <f t="shared" ref="G303:H303" si="618">CONCATENATE(C303," : ",C303)</f>
        <v>E2_1_1_193_mRNA : E2_1_1_193_mRNA</v>
      </c>
      <c r="H303" s="50" t="str">
        <f t="shared" si="618"/>
        <v>E2_1_1_193 : E2_1_1_193</v>
      </c>
      <c r="I303" s="51" t="str">
        <f t="shared" ref="I303:J303" si="619">CONCATENATE(C303," : ","0")</f>
        <v>E2_1_1_193_mRNA : 0</v>
      </c>
      <c r="J303" s="52" t="str">
        <f t="shared" si="619"/>
        <v>E2_1_1_193 : 0</v>
      </c>
      <c r="K303" s="53" t="str">
        <f t="shared" si="523"/>
        <v>0.00292 - (0.0093 * E2_1_1_193_mRNA)</v>
      </c>
      <c r="L303" s="54" t="str">
        <f t="shared" si="524"/>
        <v>(0.278 * E2_1_1_193_mRNA) - (0.00000278 * E2_1_1_193)</v>
      </c>
      <c r="M303" s="55" t="str">
        <f t="shared" si="525"/>
        <v>mRNA302: -&gt; E2_1_1_193_mRNA | 0.00292 - (0.0093 * E2_1_1_193_mRNA)</v>
      </c>
      <c r="N303" s="56" t="str">
        <f t="shared" si="526"/>
        <v>Peptide302: E2_1_1_193_mRNA -&gt; E2_1_1_193 | (0.278 * E2_1_1_193_mRNA) - (0.000000278 * E2_1_1_193)</v>
      </c>
    </row>
    <row r="304" spans="1:14" ht="29">
      <c r="A304" s="46">
        <v>303</v>
      </c>
      <c r="B304" s="7" t="s">
        <v>12593</v>
      </c>
      <c r="C304" s="27" t="str">
        <f t="shared" si="518"/>
        <v>E3_4_24_15_mRNA</v>
      </c>
      <c r="D304" s="47" t="str">
        <f t="shared" si="527"/>
        <v>E3_4_24_15</v>
      </c>
      <c r="E304" s="48" t="str">
        <f t="shared" si="519"/>
        <v>E3_4_24_15_kcat : 13.7</v>
      </c>
      <c r="F304" s="49" t="str">
        <f t="shared" si="520"/>
        <v>E3_4_24_15_km : 1</v>
      </c>
      <c r="G304" s="9" t="str">
        <f t="shared" ref="G304:H304" si="620">CONCATENATE(C304," : ",C304)</f>
        <v>E3_4_24_15_mRNA : E3_4_24_15_mRNA</v>
      </c>
      <c r="H304" s="50" t="str">
        <f t="shared" si="620"/>
        <v>E3_4_24_15 : E3_4_24_15</v>
      </c>
      <c r="I304" s="51" t="str">
        <f t="shared" ref="I304:J304" si="621">CONCATENATE(C304," : ","0")</f>
        <v>E3_4_24_15_mRNA : 0</v>
      </c>
      <c r="J304" s="52" t="str">
        <f t="shared" si="621"/>
        <v>E3_4_24_15 : 0</v>
      </c>
      <c r="K304" s="53" t="str">
        <f t="shared" si="523"/>
        <v>0.00292 - (0.0093 * E3_4_24_15_mRNA)</v>
      </c>
      <c r="L304" s="54" t="str">
        <f t="shared" si="524"/>
        <v>(0.278 * E3_4_24_15_mRNA) - (0.00000278 * E3_4_24_15)</v>
      </c>
      <c r="M304" s="55" t="str">
        <f t="shared" si="525"/>
        <v>mRNA303: -&gt; E3_4_24_15_mRNA | 0.00292 - (0.0093 * E3_4_24_15_mRNA)</v>
      </c>
      <c r="N304" s="56" t="str">
        <f t="shared" si="526"/>
        <v>Peptide303: E3_4_24_15_mRNA -&gt; E3_4_24_15 | (0.278 * E3_4_24_15_mRNA) - (0.000000278 * E3_4_24_15)</v>
      </c>
    </row>
    <row r="305" spans="1:14" ht="29">
      <c r="A305" s="46">
        <v>304</v>
      </c>
      <c r="B305" s="7" t="s">
        <v>12594</v>
      </c>
      <c r="C305" s="27" t="str">
        <f t="shared" si="518"/>
        <v>E1_7_1_13_mRNA</v>
      </c>
      <c r="D305" s="47" t="str">
        <f t="shared" si="527"/>
        <v>E1_7_1_13</v>
      </c>
      <c r="E305" s="48" t="str">
        <f t="shared" si="519"/>
        <v>E1_7_1_13_kcat : 13.7</v>
      </c>
      <c r="F305" s="49" t="str">
        <f t="shared" si="520"/>
        <v>E1_7_1_13_km : 1</v>
      </c>
      <c r="G305" s="9" t="str">
        <f t="shared" ref="G305:H305" si="622">CONCATENATE(C305," : ",C305)</f>
        <v>E1_7_1_13_mRNA : E1_7_1_13_mRNA</v>
      </c>
      <c r="H305" s="50" t="str">
        <f t="shared" si="622"/>
        <v>E1_7_1_13 : E1_7_1_13</v>
      </c>
      <c r="I305" s="51" t="str">
        <f t="shared" ref="I305:J305" si="623">CONCATENATE(C305," : ","0")</f>
        <v>E1_7_1_13_mRNA : 0</v>
      </c>
      <c r="J305" s="52" t="str">
        <f t="shared" si="623"/>
        <v>E1_7_1_13 : 0</v>
      </c>
      <c r="K305" s="53" t="str">
        <f t="shared" si="523"/>
        <v>0.00292 - (0.0093 * E1_7_1_13_mRNA)</v>
      </c>
      <c r="L305" s="54" t="str">
        <f t="shared" si="524"/>
        <v>(0.278 * E1_7_1_13_mRNA) - (0.00000278 * E1_7_1_13)</v>
      </c>
      <c r="M305" s="55" t="str">
        <f t="shared" si="525"/>
        <v>mRNA304: -&gt; E1_7_1_13_mRNA | 0.00292 - (0.0093 * E1_7_1_13_mRNA)</v>
      </c>
      <c r="N305" s="56" t="str">
        <f t="shared" si="526"/>
        <v>Peptide304: E1_7_1_13_mRNA -&gt; E1_7_1_13 | (0.278 * E1_7_1_13_mRNA) - (0.000000278 * E1_7_1_13)</v>
      </c>
    </row>
    <row r="306" spans="1:14" ht="29">
      <c r="A306" s="46">
        <v>305</v>
      </c>
      <c r="B306" s="7" t="s">
        <v>12595</v>
      </c>
      <c r="C306" s="27" t="str">
        <f t="shared" si="518"/>
        <v>E1_8_1_9_mRNA</v>
      </c>
      <c r="D306" s="47" t="str">
        <f t="shared" si="527"/>
        <v>E1_8_1_9</v>
      </c>
      <c r="E306" s="48" t="str">
        <f t="shared" si="519"/>
        <v>E1_8_1_9_kcat : 13.7</v>
      </c>
      <c r="F306" s="49" t="str">
        <f t="shared" si="520"/>
        <v>E1_8_1_9_km : 1</v>
      </c>
      <c r="G306" s="9" t="str">
        <f t="shared" ref="G306:H306" si="624">CONCATENATE(C306," : ",C306)</f>
        <v>E1_8_1_9_mRNA : E1_8_1_9_mRNA</v>
      </c>
      <c r="H306" s="50" t="str">
        <f t="shared" si="624"/>
        <v>E1_8_1_9 : E1_8_1_9</v>
      </c>
      <c r="I306" s="51" t="str">
        <f t="shared" ref="I306:J306" si="625">CONCATENATE(C306," : ","0")</f>
        <v>E1_8_1_9_mRNA : 0</v>
      </c>
      <c r="J306" s="52" t="str">
        <f t="shared" si="625"/>
        <v>E1_8_1_9 : 0</v>
      </c>
      <c r="K306" s="53" t="str">
        <f t="shared" si="523"/>
        <v>0.00292 - (0.0093 * E1_8_1_9_mRNA)</v>
      </c>
      <c r="L306" s="54" t="str">
        <f t="shared" si="524"/>
        <v>(0.278 * E1_8_1_9_mRNA) - (0.00000278 * E1_8_1_9)</v>
      </c>
      <c r="M306" s="55" t="str">
        <f t="shared" si="525"/>
        <v>mRNA305: -&gt; E1_8_1_9_mRNA | 0.00292 - (0.0093 * E1_8_1_9_mRNA)</v>
      </c>
      <c r="N306" s="56" t="str">
        <f t="shared" si="526"/>
        <v>Peptide305: E1_8_1_9_mRNA -&gt; E1_8_1_9 | (0.278 * E1_8_1_9_mRNA) - (0.000000278 * E1_8_1_9)</v>
      </c>
    </row>
    <row r="307" spans="1:14" ht="29">
      <c r="A307" s="46">
        <v>306</v>
      </c>
      <c r="B307" s="7" t="s">
        <v>12596</v>
      </c>
      <c r="C307" s="27" t="str">
        <f t="shared" si="518"/>
        <v>E2_4_1_212_mRNA</v>
      </c>
      <c r="D307" s="47" t="str">
        <f t="shared" si="527"/>
        <v>E2_4_1_212</v>
      </c>
      <c r="E307" s="48" t="str">
        <f t="shared" si="519"/>
        <v>E2_4_1_212_kcat : 13.7</v>
      </c>
      <c r="F307" s="49" t="str">
        <f t="shared" si="520"/>
        <v>E2_4_1_212_km : 1</v>
      </c>
      <c r="G307" s="9" t="str">
        <f t="shared" ref="G307:H307" si="626">CONCATENATE(C307," : ",C307)</f>
        <v>E2_4_1_212_mRNA : E2_4_1_212_mRNA</v>
      </c>
      <c r="H307" s="50" t="str">
        <f t="shared" si="626"/>
        <v>E2_4_1_212 : E2_4_1_212</v>
      </c>
      <c r="I307" s="51" t="str">
        <f t="shared" ref="I307:J307" si="627">CONCATENATE(C307," : ","0")</f>
        <v>E2_4_1_212_mRNA : 0</v>
      </c>
      <c r="J307" s="52" t="str">
        <f t="shared" si="627"/>
        <v>E2_4_1_212 : 0</v>
      </c>
      <c r="K307" s="53" t="str">
        <f t="shared" si="523"/>
        <v>0.00292 - (0.0093 * E2_4_1_212_mRNA)</v>
      </c>
      <c r="L307" s="54" t="str">
        <f t="shared" si="524"/>
        <v>(0.278 * E2_4_1_212_mRNA) - (0.00000278 * E2_4_1_212)</v>
      </c>
      <c r="M307" s="55" t="str">
        <f t="shared" si="525"/>
        <v>mRNA306: -&gt; E2_4_1_212_mRNA | 0.00292 - (0.0093 * E2_4_1_212_mRNA)</v>
      </c>
      <c r="N307" s="56" t="str">
        <f t="shared" si="526"/>
        <v>Peptide306: E2_4_1_212_mRNA -&gt; E2_4_1_212 | (0.278 * E2_4_1_212_mRNA) - (0.000000278 * E2_4_1_212)</v>
      </c>
    </row>
    <row r="308" spans="1:14" ht="29">
      <c r="A308" s="46">
        <v>307</v>
      </c>
      <c r="B308" s="7" t="s">
        <v>12597</v>
      </c>
      <c r="C308" s="27" t="str">
        <f t="shared" si="518"/>
        <v>E2_4_1_52_mRNA</v>
      </c>
      <c r="D308" s="47" t="str">
        <f t="shared" si="527"/>
        <v>E2_4_1_52</v>
      </c>
      <c r="E308" s="48" t="str">
        <f t="shared" si="519"/>
        <v>E2_4_1_52_kcat : 13.7</v>
      </c>
      <c r="F308" s="49" t="str">
        <f t="shared" si="520"/>
        <v>E2_4_1_52_km : 1</v>
      </c>
      <c r="G308" s="9" t="str">
        <f t="shared" ref="G308:H308" si="628">CONCATENATE(C308," : ",C308)</f>
        <v>E2_4_1_52_mRNA : E2_4_1_52_mRNA</v>
      </c>
      <c r="H308" s="50" t="str">
        <f t="shared" si="628"/>
        <v>E2_4_1_52 : E2_4_1_52</v>
      </c>
      <c r="I308" s="51" t="str">
        <f t="shared" ref="I308:J308" si="629">CONCATENATE(C308," : ","0")</f>
        <v>E2_4_1_52_mRNA : 0</v>
      </c>
      <c r="J308" s="52" t="str">
        <f t="shared" si="629"/>
        <v>E2_4_1_52 : 0</v>
      </c>
      <c r="K308" s="53" t="str">
        <f t="shared" si="523"/>
        <v>0.00292 - (0.0093 * E2_4_1_52_mRNA)</v>
      </c>
      <c r="L308" s="54" t="str">
        <f t="shared" si="524"/>
        <v>(0.278 * E2_4_1_52_mRNA) - (0.00000278 * E2_4_1_52)</v>
      </c>
      <c r="M308" s="55" t="str">
        <f t="shared" si="525"/>
        <v>mRNA307: -&gt; E2_4_1_52_mRNA | 0.00292 - (0.0093 * E2_4_1_52_mRNA)</v>
      </c>
      <c r="N308" s="56" t="str">
        <f t="shared" si="526"/>
        <v>Peptide307: E2_4_1_52_mRNA -&gt; E2_4_1_52 | (0.278 * E2_4_1_52_mRNA) - (0.000000278 * E2_4_1_52)</v>
      </c>
    </row>
    <row r="309" spans="1:14" ht="29">
      <c r="A309" s="46">
        <v>308</v>
      </c>
      <c r="B309" s="7" t="s">
        <v>12598</v>
      </c>
      <c r="C309" s="27" t="str">
        <f t="shared" si="518"/>
        <v>E2_1_1_156_mRNA</v>
      </c>
      <c r="D309" s="47" t="str">
        <f t="shared" si="527"/>
        <v>E2_1_1_156</v>
      </c>
      <c r="E309" s="48" t="str">
        <f t="shared" si="519"/>
        <v>E2_1_1_156_kcat : 13.7</v>
      </c>
      <c r="F309" s="49" t="str">
        <f t="shared" si="520"/>
        <v>E2_1_1_156_km : 1</v>
      </c>
      <c r="G309" s="9" t="str">
        <f t="shared" ref="G309:H309" si="630">CONCATENATE(C309," : ",C309)</f>
        <v>E2_1_1_156_mRNA : E2_1_1_156_mRNA</v>
      </c>
      <c r="H309" s="50" t="str">
        <f t="shared" si="630"/>
        <v>E2_1_1_156 : E2_1_1_156</v>
      </c>
      <c r="I309" s="51" t="str">
        <f t="shared" ref="I309:J309" si="631">CONCATENATE(C309," : ","0")</f>
        <v>E2_1_1_156_mRNA : 0</v>
      </c>
      <c r="J309" s="52" t="str">
        <f t="shared" si="631"/>
        <v>E2_1_1_156 : 0</v>
      </c>
      <c r="K309" s="53" t="str">
        <f t="shared" si="523"/>
        <v>0.00292 - (0.0093 * E2_1_1_156_mRNA)</v>
      </c>
      <c r="L309" s="54" t="str">
        <f t="shared" si="524"/>
        <v>(0.278 * E2_1_1_156_mRNA) - (0.00000278 * E2_1_1_156)</v>
      </c>
      <c r="M309" s="55" t="str">
        <f t="shared" si="525"/>
        <v>mRNA308: -&gt; E2_1_1_156_mRNA | 0.00292 - (0.0093 * E2_1_1_156_mRNA)</v>
      </c>
      <c r="N309" s="56" t="str">
        <f t="shared" si="526"/>
        <v>Peptide308: E2_1_1_156_mRNA -&gt; E2_1_1_156 | (0.278 * E2_1_1_156_mRNA) - (0.000000278 * E2_1_1_156)</v>
      </c>
    </row>
    <row r="310" spans="1:14" ht="29">
      <c r="A310" s="46">
        <v>309</v>
      </c>
      <c r="B310" s="7" t="s">
        <v>12599</v>
      </c>
      <c r="C310" s="27" t="str">
        <f t="shared" si="518"/>
        <v>E2_7_4_8_mRNA</v>
      </c>
      <c r="D310" s="47" t="str">
        <f t="shared" si="527"/>
        <v>E2_7_4_8</v>
      </c>
      <c r="E310" s="48" t="str">
        <f t="shared" si="519"/>
        <v>E2_7_4_8_kcat : 13.7</v>
      </c>
      <c r="F310" s="49" t="str">
        <f t="shared" si="520"/>
        <v>E2_7_4_8_km : 1</v>
      </c>
      <c r="G310" s="9" t="str">
        <f t="shared" ref="G310:H310" si="632">CONCATENATE(C310," : ",C310)</f>
        <v>E2_7_4_8_mRNA : E2_7_4_8_mRNA</v>
      </c>
      <c r="H310" s="50" t="str">
        <f t="shared" si="632"/>
        <v>E2_7_4_8 : E2_7_4_8</v>
      </c>
      <c r="I310" s="51" t="str">
        <f t="shared" ref="I310:J310" si="633">CONCATENATE(C310," : ","0")</f>
        <v>E2_7_4_8_mRNA : 0</v>
      </c>
      <c r="J310" s="52" t="str">
        <f t="shared" si="633"/>
        <v>E2_7_4_8 : 0</v>
      </c>
      <c r="K310" s="53" t="str">
        <f t="shared" si="523"/>
        <v>0.00292 - (0.0093 * E2_7_4_8_mRNA)</v>
      </c>
      <c r="L310" s="54" t="str">
        <f t="shared" si="524"/>
        <v>(0.278 * E2_7_4_8_mRNA) - (0.00000278 * E2_7_4_8)</v>
      </c>
      <c r="M310" s="55" t="str">
        <f t="shared" si="525"/>
        <v>mRNA309: -&gt; E2_7_4_8_mRNA | 0.00292 - (0.0093 * E2_7_4_8_mRNA)</v>
      </c>
      <c r="N310" s="56" t="str">
        <f t="shared" si="526"/>
        <v>Peptide309: E2_7_4_8_mRNA -&gt; E2_7_4_8 | (0.278 * E2_7_4_8_mRNA) - (0.000000278 * E2_7_4_8)</v>
      </c>
    </row>
    <row r="311" spans="1:14" ht="29">
      <c r="A311" s="46">
        <v>310</v>
      </c>
      <c r="B311" s="7" t="s">
        <v>12600</v>
      </c>
      <c r="C311" s="27" t="str">
        <f t="shared" si="518"/>
        <v>E2_1_2_9_mRNA</v>
      </c>
      <c r="D311" s="47" t="str">
        <f t="shared" si="527"/>
        <v>E2_1_2_9</v>
      </c>
      <c r="E311" s="48" t="str">
        <f t="shared" si="519"/>
        <v>E2_1_2_9_kcat : 13.7</v>
      </c>
      <c r="F311" s="49" t="str">
        <f t="shared" si="520"/>
        <v>E2_1_2_9_km : 1</v>
      </c>
      <c r="G311" s="9" t="str">
        <f t="shared" ref="G311:H311" si="634">CONCATENATE(C311," : ",C311)</f>
        <v>E2_1_2_9_mRNA : E2_1_2_9_mRNA</v>
      </c>
      <c r="H311" s="50" t="str">
        <f t="shared" si="634"/>
        <v>E2_1_2_9 : E2_1_2_9</v>
      </c>
      <c r="I311" s="51" t="str">
        <f t="shared" ref="I311:J311" si="635">CONCATENATE(C311," : ","0")</f>
        <v>E2_1_2_9_mRNA : 0</v>
      </c>
      <c r="J311" s="52" t="str">
        <f t="shared" si="635"/>
        <v>E2_1_2_9 : 0</v>
      </c>
      <c r="K311" s="53" t="str">
        <f t="shared" si="523"/>
        <v>0.00292 - (0.0093 * E2_1_2_9_mRNA)</v>
      </c>
      <c r="L311" s="54" t="str">
        <f t="shared" si="524"/>
        <v>(0.278 * E2_1_2_9_mRNA) - (0.00000278 * E2_1_2_9)</v>
      </c>
      <c r="M311" s="55" t="str">
        <f t="shared" si="525"/>
        <v>mRNA310: -&gt; E2_1_2_9_mRNA | 0.00292 - (0.0093 * E2_1_2_9_mRNA)</v>
      </c>
      <c r="N311" s="56" t="str">
        <f t="shared" si="526"/>
        <v>Peptide310: E2_1_2_9_mRNA -&gt; E2_1_2_9 | (0.278 * E2_1_2_9_mRNA) - (0.000000278 * E2_1_2_9)</v>
      </c>
    </row>
    <row r="312" spans="1:14" ht="29">
      <c r="A312" s="46">
        <v>311</v>
      </c>
      <c r="B312" s="7" t="s">
        <v>12601</v>
      </c>
      <c r="C312" s="27" t="str">
        <f t="shared" si="518"/>
        <v>E2_1_1_176_mRNA</v>
      </c>
      <c r="D312" s="47" t="str">
        <f t="shared" si="527"/>
        <v>E2_1_1_176</v>
      </c>
      <c r="E312" s="48" t="str">
        <f t="shared" si="519"/>
        <v>E2_1_1_176_kcat : 13.7</v>
      </c>
      <c r="F312" s="49" t="str">
        <f t="shared" si="520"/>
        <v>E2_1_1_176_km : 1</v>
      </c>
      <c r="G312" s="9" t="str">
        <f t="shared" ref="G312:H312" si="636">CONCATENATE(C312," : ",C312)</f>
        <v>E2_1_1_176_mRNA : E2_1_1_176_mRNA</v>
      </c>
      <c r="H312" s="50" t="str">
        <f t="shared" si="636"/>
        <v>E2_1_1_176 : E2_1_1_176</v>
      </c>
      <c r="I312" s="51" t="str">
        <f t="shared" ref="I312:J312" si="637">CONCATENATE(C312," : ","0")</f>
        <v>E2_1_1_176_mRNA : 0</v>
      </c>
      <c r="J312" s="52" t="str">
        <f t="shared" si="637"/>
        <v>E2_1_1_176 : 0</v>
      </c>
      <c r="K312" s="53" t="str">
        <f t="shared" si="523"/>
        <v>0.00292 - (0.0093 * E2_1_1_176_mRNA)</v>
      </c>
      <c r="L312" s="54" t="str">
        <f t="shared" si="524"/>
        <v>(0.278 * E2_1_1_176_mRNA) - (0.00000278 * E2_1_1_176)</v>
      </c>
      <c r="M312" s="55" t="str">
        <f t="shared" si="525"/>
        <v>mRNA311: -&gt; E2_1_1_176_mRNA | 0.00292 - (0.0093 * E2_1_1_176_mRNA)</v>
      </c>
      <c r="N312" s="56" t="str">
        <f t="shared" si="526"/>
        <v>Peptide311: E2_1_1_176_mRNA -&gt; E2_1_1_176 | (0.278 * E2_1_1_176_mRNA) - (0.000000278 * E2_1_1_176)</v>
      </c>
    </row>
    <row r="313" spans="1:14" ht="29">
      <c r="A313" s="46">
        <v>312</v>
      </c>
      <c r="B313" s="7" t="s">
        <v>12602</v>
      </c>
      <c r="C313" s="27" t="str">
        <f t="shared" si="518"/>
        <v>E3_1_3_16_mRNA</v>
      </c>
      <c r="D313" s="47" t="str">
        <f t="shared" si="527"/>
        <v>E3_1_3_16</v>
      </c>
      <c r="E313" s="48" t="str">
        <f t="shared" si="519"/>
        <v>E3_1_3_16_kcat : 13.7</v>
      </c>
      <c r="F313" s="49" t="str">
        <f t="shared" si="520"/>
        <v>E3_1_3_16_km : 1</v>
      </c>
      <c r="G313" s="9" t="str">
        <f t="shared" ref="G313:H313" si="638">CONCATENATE(C313," : ",C313)</f>
        <v>E3_1_3_16_mRNA : E3_1_3_16_mRNA</v>
      </c>
      <c r="H313" s="50" t="str">
        <f t="shared" si="638"/>
        <v>E3_1_3_16 : E3_1_3_16</v>
      </c>
      <c r="I313" s="51" t="str">
        <f t="shared" ref="I313:J313" si="639">CONCATENATE(C313," : ","0")</f>
        <v>E3_1_3_16_mRNA : 0</v>
      </c>
      <c r="J313" s="52" t="str">
        <f t="shared" si="639"/>
        <v>E3_1_3_16 : 0</v>
      </c>
      <c r="K313" s="53" t="str">
        <f t="shared" si="523"/>
        <v>0.00292 - (0.0093 * E3_1_3_16_mRNA)</v>
      </c>
      <c r="L313" s="54" t="str">
        <f t="shared" si="524"/>
        <v>(0.278 * E3_1_3_16_mRNA) - (0.00000278 * E3_1_3_16)</v>
      </c>
      <c r="M313" s="55" t="str">
        <f t="shared" si="525"/>
        <v>mRNA312: -&gt; E3_1_3_16_mRNA | 0.00292 - (0.0093 * E3_1_3_16_mRNA)</v>
      </c>
      <c r="N313" s="56" t="str">
        <f t="shared" si="526"/>
        <v>Peptide312: E3_1_3_16_mRNA -&gt; E3_1_3_16 | (0.278 * E3_1_3_16_mRNA) - (0.000000278 * E3_1_3_16)</v>
      </c>
    </row>
    <row r="314" spans="1:14" ht="29">
      <c r="A314" s="46">
        <v>313</v>
      </c>
      <c r="B314" s="7" t="s">
        <v>12603</v>
      </c>
      <c r="C314" s="27" t="str">
        <f t="shared" si="518"/>
        <v>E2_3_3_10_mRNA</v>
      </c>
      <c r="D314" s="47" t="str">
        <f t="shared" si="527"/>
        <v>E2_3_3_10</v>
      </c>
      <c r="E314" s="48" t="str">
        <f t="shared" si="519"/>
        <v>E2_3_3_10_kcat : 13.7</v>
      </c>
      <c r="F314" s="49" t="str">
        <f t="shared" si="520"/>
        <v>E2_3_3_10_km : 1</v>
      </c>
      <c r="G314" s="9" t="str">
        <f t="shared" ref="G314:H314" si="640">CONCATENATE(C314," : ",C314)</f>
        <v>E2_3_3_10_mRNA : E2_3_3_10_mRNA</v>
      </c>
      <c r="H314" s="50" t="str">
        <f t="shared" si="640"/>
        <v>E2_3_3_10 : E2_3_3_10</v>
      </c>
      <c r="I314" s="51" t="str">
        <f t="shared" ref="I314:J314" si="641">CONCATENATE(C314," : ","0")</f>
        <v>E2_3_3_10_mRNA : 0</v>
      </c>
      <c r="J314" s="52" t="str">
        <f t="shared" si="641"/>
        <v>E2_3_3_10 : 0</v>
      </c>
      <c r="K314" s="53" t="str">
        <f t="shared" si="523"/>
        <v>0.00292 - (0.0093 * E2_3_3_10_mRNA)</v>
      </c>
      <c r="L314" s="54" t="str">
        <f t="shared" si="524"/>
        <v>(0.278 * E2_3_3_10_mRNA) - (0.00000278 * E2_3_3_10)</v>
      </c>
      <c r="M314" s="55" t="str">
        <f t="shared" si="525"/>
        <v>mRNA313: -&gt; E2_3_3_10_mRNA | 0.00292 - (0.0093 * E2_3_3_10_mRNA)</v>
      </c>
      <c r="N314" s="56" t="str">
        <f t="shared" si="526"/>
        <v>Peptide313: E2_3_3_10_mRNA -&gt; E2_3_3_10 | (0.278 * E2_3_3_10_mRNA) - (0.000000278 * E2_3_3_10)</v>
      </c>
    </row>
    <row r="315" spans="1:14" ht="29">
      <c r="A315" s="46">
        <v>314</v>
      </c>
      <c r="B315" s="7" t="s">
        <v>12604</v>
      </c>
      <c r="C315" s="27" t="str">
        <f t="shared" si="518"/>
        <v>E1_1_1_88_mRNA</v>
      </c>
      <c r="D315" s="47" t="str">
        <f t="shared" si="527"/>
        <v>E1_1_1_88</v>
      </c>
      <c r="E315" s="48" t="str">
        <f t="shared" si="519"/>
        <v>E1_1_1_88_kcat : 13.7</v>
      </c>
      <c r="F315" s="49" t="str">
        <f t="shared" si="520"/>
        <v>E1_1_1_88_km : 1</v>
      </c>
      <c r="G315" s="9" t="str">
        <f t="shared" ref="G315:H315" si="642">CONCATENATE(C315," : ",C315)</f>
        <v>E1_1_1_88_mRNA : E1_1_1_88_mRNA</v>
      </c>
      <c r="H315" s="50" t="str">
        <f t="shared" si="642"/>
        <v>E1_1_1_88 : E1_1_1_88</v>
      </c>
      <c r="I315" s="51" t="str">
        <f t="shared" ref="I315:J315" si="643">CONCATENATE(C315," : ","0")</f>
        <v>E1_1_1_88_mRNA : 0</v>
      </c>
      <c r="J315" s="52" t="str">
        <f t="shared" si="643"/>
        <v>E1_1_1_88 : 0</v>
      </c>
      <c r="K315" s="53" t="str">
        <f t="shared" si="523"/>
        <v>0.00292 - (0.0093 * E1_1_1_88_mRNA)</v>
      </c>
      <c r="L315" s="54" t="str">
        <f t="shared" si="524"/>
        <v>(0.278 * E1_1_1_88_mRNA) - (0.00000278 * E1_1_1_88)</v>
      </c>
      <c r="M315" s="55" t="str">
        <f t="shared" si="525"/>
        <v>mRNA314: -&gt; E1_1_1_88_mRNA | 0.00292 - (0.0093 * E1_1_1_88_mRNA)</v>
      </c>
      <c r="N315" s="56" t="str">
        <f t="shared" si="526"/>
        <v>Peptide314: E1_1_1_88_mRNA -&gt; E1_1_1_88 | (0.278 * E1_1_1_88_mRNA) - (0.000000278 * E1_1_1_88)</v>
      </c>
    </row>
    <row r="316" spans="1:14" ht="29">
      <c r="A316" s="46">
        <v>315</v>
      </c>
      <c r="B316" s="7" t="s">
        <v>12605</v>
      </c>
      <c r="C316" s="27" t="str">
        <f t="shared" si="518"/>
        <v>E2_7_8_7_mRNA</v>
      </c>
      <c r="D316" s="47" t="str">
        <f t="shared" si="527"/>
        <v>E2_7_8_7</v>
      </c>
      <c r="E316" s="48" t="str">
        <f t="shared" si="519"/>
        <v>E2_7_8_7_kcat : 13.7</v>
      </c>
      <c r="F316" s="49" t="str">
        <f t="shared" si="520"/>
        <v>E2_7_8_7_km : 1</v>
      </c>
      <c r="G316" s="9" t="str">
        <f t="shared" ref="G316:H316" si="644">CONCATENATE(C316," : ",C316)</f>
        <v>E2_7_8_7_mRNA : E2_7_8_7_mRNA</v>
      </c>
      <c r="H316" s="50" t="str">
        <f t="shared" si="644"/>
        <v>E2_7_8_7 : E2_7_8_7</v>
      </c>
      <c r="I316" s="51" t="str">
        <f t="shared" ref="I316:J316" si="645">CONCATENATE(C316," : ","0")</f>
        <v>E2_7_8_7_mRNA : 0</v>
      </c>
      <c r="J316" s="52" t="str">
        <f t="shared" si="645"/>
        <v>E2_7_8_7 : 0</v>
      </c>
      <c r="K316" s="53" t="str">
        <f t="shared" si="523"/>
        <v>0.00292 - (0.0093 * E2_7_8_7_mRNA)</v>
      </c>
      <c r="L316" s="54" t="str">
        <f t="shared" si="524"/>
        <v>(0.278 * E2_7_8_7_mRNA) - (0.00000278 * E2_7_8_7)</v>
      </c>
      <c r="M316" s="55" t="str">
        <f t="shared" si="525"/>
        <v>mRNA315: -&gt; E2_7_8_7_mRNA | 0.00292 - (0.0093 * E2_7_8_7_mRNA)</v>
      </c>
      <c r="N316" s="56" t="str">
        <f t="shared" si="526"/>
        <v>Peptide315: E2_7_8_7_mRNA -&gt; E2_7_8_7 | (0.278 * E2_7_8_7_mRNA) - (0.000000278 * E2_7_8_7)</v>
      </c>
    </row>
    <row r="317" spans="1:14" ht="29">
      <c r="A317" s="46">
        <v>316</v>
      </c>
      <c r="B317" s="7" t="s">
        <v>12606</v>
      </c>
      <c r="C317" s="27" t="str">
        <f t="shared" si="518"/>
        <v>E5_1_1_1_mRNA</v>
      </c>
      <c r="D317" s="47" t="str">
        <f t="shared" si="527"/>
        <v>E5_1_1_1</v>
      </c>
      <c r="E317" s="48" t="str">
        <f t="shared" si="519"/>
        <v>E5_1_1_1_kcat : 13.7</v>
      </c>
      <c r="F317" s="49" t="str">
        <f t="shared" si="520"/>
        <v>E5_1_1_1_km : 1</v>
      </c>
      <c r="G317" s="9" t="str">
        <f t="shared" ref="G317:H317" si="646">CONCATENATE(C317," : ",C317)</f>
        <v>E5_1_1_1_mRNA : E5_1_1_1_mRNA</v>
      </c>
      <c r="H317" s="50" t="str">
        <f t="shared" si="646"/>
        <v>E5_1_1_1 : E5_1_1_1</v>
      </c>
      <c r="I317" s="51" t="str">
        <f t="shared" ref="I317:J317" si="647">CONCATENATE(C317," : ","0")</f>
        <v>E5_1_1_1_mRNA : 0</v>
      </c>
      <c r="J317" s="52" t="str">
        <f t="shared" si="647"/>
        <v>E5_1_1_1 : 0</v>
      </c>
      <c r="K317" s="53" t="str">
        <f t="shared" si="523"/>
        <v>0.00292 - (0.0093 * E5_1_1_1_mRNA)</v>
      </c>
      <c r="L317" s="54" t="str">
        <f t="shared" si="524"/>
        <v>(0.278 * E5_1_1_1_mRNA) - (0.00000278 * E5_1_1_1)</v>
      </c>
      <c r="M317" s="55" t="str">
        <f t="shared" si="525"/>
        <v>mRNA316: -&gt; E5_1_1_1_mRNA | 0.00292 - (0.0093 * E5_1_1_1_mRNA)</v>
      </c>
      <c r="N317" s="56" t="str">
        <f t="shared" si="526"/>
        <v>Peptide316: E5_1_1_1_mRNA -&gt; E5_1_1_1 | (0.278 * E5_1_1_1_mRNA) - (0.000000278 * E5_1_1_1)</v>
      </c>
    </row>
    <row r="318" spans="1:14" ht="29">
      <c r="A318" s="46">
        <v>317</v>
      </c>
      <c r="B318" s="7" t="s">
        <v>12607</v>
      </c>
      <c r="C318" s="27" t="str">
        <f t="shared" si="518"/>
        <v>E3_1_1_41_mRNA</v>
      </c>
      <c r="D318" s="47" t="str">
        <f t="shared" si="527"/>
        <v>E3_1_1_41</v>
      </c>
      <c r="E318" s="48" t="str">
        <f t="shared" si="519"/>
        <v>E3_1_1_41_kcat : 13.7</v>
      </c>
      <c r="F318" s="49" t="str">
        <f t="shared" si="520"/>
        <v>E3_1_1_41_km : 1</v>
      </c>
      <c r="G318" s="9" t="str">
        <f t="shared" ref="G318:H318" si="648">CONCATENATE(C318," : ",C318)</f>
        <v>E3_1_1_41_mRNA : E3_1_1_41_mRNA</v>
      </c>
      <c r="H318" s="50" t="str">
        <f t="shared" si="648"/>
        <v>E3_1_1_41 : E3_1_1_41</v>
      </c>
      <c r="I318" s="51" t="str">
        <f t="shared" ref="I318:J318" si="649">CONCATENATE(C318," : ","0")</f>
        <v>E3_1_1_41_mRNA : 0</v>
      </c>
      <c r="J318" s="52" t="str">
        <f t="shared" si="649"/>
        <v>E3_1_1_41 : 0</v>
      </c>
      <c r="K318" s="53" t="str">
        <f t="shared" si="523"/>
        <v>0.00292 - (0.0093 * E3_1_1_41_mRNA)</v>
      </c>
      <c r="L318" s="54" t="str">
        <f t="shared" si="524"/>
        <v>(0.278 * E3_1_1_41_mRNA) - (0.00000278 * E3_1_1_41)</v>
      </c>
      <c r="M318" s="55" t="str">
        <f t="shared" si="525"/>
        <v>mRNA317: -&gt; E3_1_1_41_mRNA | 0.00292 - (0.0093 * E3_1_1_41_mRNA)</v>
      </c>
      <c r="N318" s="56" t="str">
        <f t="shared" si="526"/>
        <v>Peptide317: E3_1_1_41_mRNA -&gt; E3_1_1_41 | (0.278 * E3_1_1_41_mRNA) - (0.000000278 * E3_1_1_41)</v>
      </c>
    </row>
    <row r="319" spans="1:14" ht="29">
      <c r="A319" s="46">
        <v>318</v>
      </c>
      <c r="B319" s="7" t="s">
        <v>12608</v>
      </c>
      <c r="C319" s="27" t="str">
        <f t="shared" si="518"/>
        <v>E3_2_1_18_mRNA</v>
      </c>
      <c r="D319" s="47" t="str">
        <f t="shared" si="527"/>
        <v>E3_2_1_18</v>
      </c>
      <c r="E319" s="48" t="str">
        <f t="shared" si="519"/>
        <v>E3_2_1_18_kcat : 13.7</v>
      </c>
      <c r="F319" s="49" t="str">
        <f t="shared" si="520"/>
        <v>E3_2_1_18_km : 1</v>
      </c>
      <c r="G319" s="9" t="str">
        <f t="shared" ref="G319:H319" si="650">CONCATENATE(C319," : ",C319)</f>
        <v>E3_2_1_18_mRNA : E3_2_1_18_mRNA</v>
      </c>
      <c r="H319" s="50" t="str">
        <f t="shared" si="650"/>
        <v>E3_2_1_18 : E3_2_1_18</v>
      </c>
      <c r="I319" s="51" t="str">
        <f t="shared" ref="I319:J319" si="651">CONCATENATE(C319," : ","0")</f>
        <v>E3_2_1_18_mRNA : 0</v>
      </c>
      <c r="J319" s="52" t="str">
        <f t="shared" si="651"/>
        <v>E3_2_1_18 : 0</v>
      </c>
      <c r="K319" s="53" t="str">
        <f t="shared" si="523"/>
        <v>0.00292 - (0.0093 * E3_2_1_18_mRNA)</v>
      </c>
      <c r="L319" s="54" t="str">
        <f t="shared" si="524"/>
        <v>(0.278 * E3_2_1_18_mRNA) - (0.00000278 * E3_2_1_18)</v>
      </c>
      <c r="M319" s="55" t="str">
        <f t="shared" si="525"/>
        <v>mRNA318: -&gt; E3_2_1_18_mRNA | 0.00292 - (0.0093 * E3_2_1_18_mRNA)</v>
      </c>
      <c r="N319" s="56" t="str">
        <f t="shared" si="526"/>
        <v>Peptide318: E3_2_1_18_mRNA -&gt; E3_2_1_18 | (0.278 * E3_2_1_18_mRNA) - (0.000000278 * E3_2_1_18)</v>
      </c>
    </row>
    <row r="320" spans="1:14" ht="29">
      <c r="A320" s="46">
        <v>319</v>
      </c>
      <c r="B320" s="7" t="s">
        <v>12609</v>
      </c>
      <c r="C320" s="27" t="str">
        <f t="shared" si="518"/>
        <v>E2_4_1_129_mRNA</v>
      </c>
      <c r="D320" s="47" t="str">
        <f t="shared" si="527"/>
        <v>E2_4_1_129</v>
      </c>
      <c r="E320" s="48" t="str">
        <f t="shared" si="519"/>
        <v>E2_4_1_129_kcat : 13.7</v>
      </c>
      <c r="F320" s="49" t="str">
        <f t="shared" si="520"/>
        <v>E2_4_1_129_km : 1</v>
      </c>
      <c r="G320" s="9" t="str">
        <f t="shared" ref="G320:H320" si="652">CONCATENATE(C320," : ",C320)</f>
        <v>E2_4_1_129_mRNA : E2_4_1_129_mRNA</v>
      </c>
      <c r="H320" s="50" t="str">
        <f t="shared" si="652"/>
        <v>E2_4_1_129 : E2_4_1_129</v>
      </c>
      <c r="I320" s="51" t="str">
        <f t="shared" ref="I320:J320" si="653">CONCATENATE(C320," : ","0")</f>
        <v>E2_4_1_129_mRNA : 0</v>
      </c>
      <c r="J320" s="52" t="str">
        <f t="shared" si="653"/>
        <v>E2_4_1_129 : 0</v>
      </c>
      <c r="K320" s="53" t="str">
        <f t="shared" si="523"/>
        <v>0.00292 - (0.0093 * E2_4_1_129_mRNA)</v>
      </c>
      <c r="L320" s="54" t="str">
        <f t="shared" si="524"/>
        <v>(0.278 * E2_4_1_129_mRNA) - (0.00000278 * E2_4_1_129)</v>
      </c>
      <c r="M320" s="55" t="str">
        <f t="shared" si="525"/>
        <v>mRNA319: -&gt; E2_4_1_129_mRNA | 0.00292 - (0.0093 * E2_4_1_129_mRNA)</v>
      </c>
      <c r="N320" s="56" t="str">
        <f t="shared" si="526"/>
        <v>Peptide319: E2_4_1_129_mRNA -&gt; E2_4_1_129 | (0.278 * E2_4_1_129_mRNA) - (0.000000278 * E2_4_1_129)</v>
      </c>
    </row>
    <row r="321" spans="1:14" ht="29">
      <c r="A321" s="46">
        <v>320</v>
      </c>
      <c r="B321" s="7" t="s">
        <v>12610</v>
      </c>
      <c r="C321" s="27" t="str">
        <f t="shared" si="518"/>
        <v>E6_3_2_4_mRNA</v>
      </c>
      <c r="D321" s="47" t="str">
        <f t="shared" si="527"/>
        <v>E6_3_2_4</v>
      </c>
      <c r="E321" s="48" t="str">
        <f t="shared" si="519"/>
        <v>E6_3_2_4_kcat : 13.7</v>
      </c>
      <c r="F321" s="49" t="str">
        <f t="shared" si="520"/>
        <v>E6_3_2_4_km : 1</v>
      </c>
      <c r="G321" s="9" t="str">
        <f t="shared" ref="G321:H321" si="654">CONCATENATE(C321," : ",C321)</f>
        <v>E6_3_2_4_mRNA : E6_3_2_4_mRNA</v>
      </c>
      <c r="H321" s="50" t="str">
        <f t="shared" si="654"/>
        <v>E6_3_2_4 : E6_3_2_4</v>
      </c>
      <c r="I321" s="51" t="str">
        <f t="shared" ref="I321:J321" si="655">CONCATENATE(C321," : ","0")</f>
        <v>E6_3_2_4_mRNA : 0</v>
      </c>
      <c r="J321" s="52" t="str">
        <f t="shared" si="655"/>
        <v>E6_3_2_4 : 0</v>
      </c>
      <c r="K321" s="53" t="str">
        <f t="shared" si="523"/>
        <v>0.00292 - (0.0093 * E6_3_2_4_mRNA)</v>
      </c>
      <c r="L321" s="54" t="str">
        <f t="shared" si="524"/>
        <v>(0.278 * E6_3_2_4_mRNA) - (0.00000278 * E6_3_2_4)</v>
      </c>
      <c r="M321" s="55" t="str">
        <f t="shared" si="525"/>
        <v>mRNA320: -&gt; E6_3_2_4_mRNA | 0.00292 - (0.0093 * E6_3_2_4_mRNA)</v>
      </c>
      <c r="N321" s="56" t="str">
        <f t="shared" si="526"/>
        <v>Peptide320: E6_3_2_4_mRNA -&gt; E6_3_2_4 | (0.278 * E6_3_2_4_mRNA) - (0.000000278 * E6_3_2_4)</v>
      </c>
    </row>
    <row r="322" spans="1:14" ht="29">
      <c r="A322" s="46">
        <v>321</v>
      </c>
      <c r="B322" s="7" t="s">
        <v>12611</v>
      </c>
      <c r="C322" s="27" t="str">
        <f t="shared" si="518"/>
        <v>E6_3_2_10_mRNA</v>
      </c>
      <c r="D322" s="47" t="str">
        <f t="shared" si="527"/>
        <v>E6_3_2_10</v>
      </c>
      <c r="E322" s="48" t="str">
        <f t="shared" si="519"/>
        <v>E6_3_2_10_kcat : 13.7</v>
      </c>
      <c r="F322" s="49" t="str">
        <f t="shared" si="520"/>
        <v>E6_3_2_10_km : 1</v>
      </c>
      <c r="G322" s="9" t="str">
        <f t="shared" ref="G322:H322" si="656">CONCATENATE(C322," : ",C322)</f>
        <v>E6_3_2_10_mRNA : E6_3_2_10_mRNA</v>
      </c>
      <c r="H322" s="50" t="str">
        <f t="shared" si="656"/>
        <v>E6_3_2_10 : E6_3_2_10</v>
      </c>
      <c r="I322" s="51" t="str">
        <f t="shared" ref="I322:J322" si="657">CONCATENATE(C322," : ","0")</f>
        <v>E6_3_2_10_mRNA : 0</v>
      </c>
      <c r="J322" s="52" t="str">
        <f t="shared" si="657"/>
        <v>E6_3_2_10 : 0</v>
      </c>
      <c r="K322" s="53" t="str">
        <f t="shared" si="523"/>
        <v>0.00292 - (0.0093 * E6_3_2_10_mRNA)</v>
      </c>
      <c r="L322" s="54" t="str">
        <f t="shared" si="524"/>
        <v>(0.278 * E6_3_2_10_mRNA) - (0.00000278 * E6_3_2_10)</v>
      </c>
      <c r="M322" s="55" t="str">
        <f t="shared" si="525"/>
        <v>mRNA321: -&gt; E6_3_2_10_mRNA | 0.00292 - (0.0093 * E6_3_2_10_mRNA)</v>
      </c>
      <c r="N322" s="56" t="str">
        <f t="shared" si="526"/>
        <v>Peptide321: E6_3_2_10_mRNA -&gt; E6_3_2_10 | (0.278 * E6_3_2_10_mRNA) - (0.000000278 * E6_3_2_10)</v>
      </c>
    </row>
    <row r="323" spans="1:14" ht="29">
      <c r="A323" s="46">
        <v>322</v>
      </c>
      <c r="B323" s="7" t="s">
        <v>12612</v>
      </c>
      <c r="C323" s="27" t="str">
        <f t="shared" si="518"/>
        <v>E6_1_1_5_mRNA</v>
      </c>
      <c r="D323" s="47" t="str">
        <f t="shared" si="527"/>
        <v>E6_1_1_5</v>
      </c>
      <c r="E323" s="48" t="str">
        <f t="shared" si="519"/>
        <v>E6_1_1_5_kcat : 13.7</v>
      </c>
      <c r="F323" s="49" t="str">
        <f t="shared" si="520"/>
        <v>E6_1_1_5_km : 1</v>
      </c>
      <c r="G323" s="9" t="str">
        <f t="shared" ref="G323:H323" si="658">CONCATENATE(C323," : ",C323)</f>
        <v>E6_1_1_5_mRNA : E6_1_1_5_mRNA</v>
      </c>
      <c r="H323" s="50" t="str">
        <f t="shared" si="658"/>
        <v>E6_1_1_5 : E6_1_1_5</v>
      </c>
      <c r="I323" s="51" t="str">
        <f t="shared" ref="I323:J323" si="659">CONCATENATE(C323," : ","0")</f>
        <v>E6_1_1_5_mRNA : 0</v>
      </c>
      <c r="J323" s="52" t="str">
        <f t="shared" si="659"/>
        <v>E6_1_1_5 : 0</v>
      </c>
      <c r="K323" s="53" t="str">
        <f t="shared" si="523"/>
        <v>0.00292 - (0.0093 * E6_1_1_5_mRNA)</v>
      </c>
      <c r="L323" s="54" t="str">
        <f t="shared" si="524"/>
        <v>(0.278 * E6_1_1_5_mRNA) - (0.00000278 * E6_1_1_5)</v>
      </c>
      <c r="M323" s="55" t="str">
        <f t="shared" si="525"/>
        <v>mRNA322: -&gt; E6_1_1_5_mRNA | 0.00292 - (0.0093 * E6_1_1_5_mRNA)</v>
      </c>
      <c r="N323" s="56" t="str">
        <f t="shared" si="526"/>
        <v>Peptide322: E6_1_1_5_mRNA -&gt; E6_1_1_5 | (0.278 * E6_1_1_5_mRNA) - (0.000000278 * E6_1_1_5)</v>
      </c>
    </row>
    <row r="324" spans="1:14" ht="29">
      <c r="A324" s="46">
        <v>323</v>
      </c>
      <c r="B324" s="7" t="s">
        <v>12613</v>
      </c>
      <c r="C324" s="27" t="str">
        <f t="shared" si="518"/>
        <v>E2_7_6_5_mRNA</v>
      </c>
      <c r="D324" s="47" t="str">
        <f t="shared" si="527"/>
        <v>E2_7_6_5</v>
      </c>
      <c r="E324" s="48" t="str">
        <f t="shared" si="519"/>
        <v>E2_7_6_5_kcat : 13.7</v>
      </c>
      <c r="F324" s="49" t="str">
        <f t="shared" si="520"/>
        <v>E2_7_6_5_km : 1</v>
      </c>
      <c r="G324" s="9" t="str">
        <f t="shared" ref="G324:H324" si="660">CONCATENATE(C324," : ",C324)</f>
        <v>E2_7_6_5_mRNA : E2_7_6_5_mRNA</v>
      </c>
      <c r="H324" s="50" t="str">
        <f t="shared" si="660"/>
        <v>E2_7_6_5 : E2_7_6_5</v>
      </c>
      <c r="I324" s="51" t="str">
        <f t="shared" ref="I324:J324" si="661">CONCATENATE(C324," : ","0")</f>
        <v>E2_7_6_5_mRNA : 0</v>
      </c>
      <c r="J324" s="52" t="str">
        <f t="shared" si="661"/>
        <v>E2_7_6_5 : 0</v>
      </c>
      <c r="K324" s="53" t="str">
        <f t="shared" si="523"/>
        <v>0.00292 - (0.0093 * E2_7_6_5_mRNA)</v>
      </c>
      <c r="L324" s="54" t="str">
        <f t="shared" si="524"/>
        <v>(0.278 * E2_7_6_5_mRNA) - (0.00000278 * E2_7_6_5)</v>
      </c>
      <c r="M324" s="55" t="str">
        <f t="shared" si="525"/>
        <v>mRNA323: -&gt; E2_7_6_5_mRNA | 0.00292 - (0.0093 * E2_7_6_5_mRNA)</v>
      </c>
      <c r="N324" s="56" t="str">
        <f t="shared" si="526"/>
        <v>Peptide323: E2_7_6_5_mRNA -&gt; E2_7_6_5 | (0.278 * E2_7_6_5_mRNA) - (0.000000278 * E2_7_6_5)</v>
      </c>
    </row>
    <row r="325" spans="1:14" ht="29">
      <c r="A325" s="46">
        <v>324</v>
      </c>
      <c r="B325" s="7" t="s">
        <v>12614</v>
      </c>
      <c r="C325" s="27" t="str">
        <f t="shared" si="518"/>
        <v>E6_1_1_3_mRNA</v>
      </c>
      <c r="D325" s="47" t="str">
        <f t="shared" si="527"/>
        <v>E6_1_1_3</v>
      </c>
      <c r="E325" s="48" t="str">
        <f t="shared" si="519"/>
        <v>E6_1_1_3_kcat : 13.7</v>
      </c>
      <c r="F325" s="49" t="str">
        <f t="shared" si="520"/>
        <v>E6_1_1_3_km : 1</v>
      </c>
      <c r="G325" s="9" t="str">
        <f t="shared" ref="G325:H325" si="662">CONCATENATE(C325," : ",C325)</f>
        <v>E6_1_1_3_mRNA : E6_1_1_3_mRNA</v>
      </c>
      <c r="H325" s="50" t="str">
        <f t="shared" si="662"/>
        <v>E6_1_1_3 : E6_1_1_3</v>
      </c>
      <c r="I325" s="51" t="str">
        <f t="shared" ref="I325:J325" si="663">CONCATENATE(C325," : ","0")</f>
        <v>E6_1_1_3_mRNA : 0</v>
      </c>
      <c r="J325" s="52" t="str">
        <f t="shared" si="663"/>
        <v>E6_1_1_3 : 0</v>
      </c>
      <c r="K325" s="53" t="str">
        <f t="shared" si="523"/>
        <v>0.00292 - (0.0093 * E6_1_1_3_mRNA)</v>
      </c>
      <c r="L325" s="54" t="str">
        <f t="shared" si="524"/>
        <v>(0.278 * E6_1_1_3_mRNA) - (0.00000278 * E6_1_1_3)</v>
      </c>
      <c r="M325" s="55" t="str">
        <f t="shared" si="525"/>
        <v>mRNA324: -&gt; E6_1_1_3_mRNA | 0.00292 - (0.0093 * E6_1_1_3_mRNA)</v>
      </c>
      <c r="N325" s="56" t="str">
        <f t="shared" si="526"/>
        <v>Peptide324: E6_1_1_3_mRNA -&gt; E6_1_1_3 | (0.278 * E6_1_1_3_mRNA) - (0.000000278 * E6_1_1_3)</v>
      </c>
    </row>
    <row r="326" spans="1:14" ht="29">
      <c r="A326" s="46">
        <v>325</v>
      </c>
      <c r="B326" s="7" t="s">
        <v>12615</v>
      </c>
      <c r="C326" s="27" t="str">
        <f t="shared" si="518"/>
        <v>E3_6_3_8_mRNA</v>
      </c>
      <c r="D326" s="47" t="str">
        <f t="shared" si="527"/>
        <v>E3_6_3_8</v>
      </c>
      <c r="E326" s="48" t="str">
        <f t="shared" si="519"/>
        <v>E3_6_3_8_kcat : 13.7</v>
      </c>
      <c r="F326" s="49" t="str">
        <f t="shared" si="520"/>
        <v>E3_6_3_8_km : 1</v>
      </c>
      <c r="G326" s="9" t="str">
        <f t="shared" ref="G326:H326" si="664">CONCATENATE(C326," : ",C326)</f>
        <v>E3_6_3_8_mRNA : E3_6_3_8_mRNA</v>
      </c>
      <c r="H326" s="50" t="str">
        <f t="shared" si="664"/>
        <v>E3_6_3_8 : E3_6_3_8</v>
      </c>
      <c r="I326" s="51" t="str">
        <f t="shared" ref="I326:J326" si="665">CONCATENATE(C326," : ","0")</f>
        <v>E3_6_3_8_mRNA : 0</v>
      </c>
      <c r="J326" s="52" t="str">
        <f t="shared" si="665"/>
        <v>E3_6_3_8 : 0</v>
      </c>
      <c r="K326" s="53" t="str">
        <f t="shared" si="523"/>
        <v>0.00292 - (0.0093 * E3_6_3_8_mRNA)</v>
      </c>
      <c r="L326" s="54" t="str">
        <f t="shared" si="524"/>
        <v>(0.278 * E3_6_3_8_mRNA) - (0.00000278 * E3_6_3_8)</v>
      </c>
      <c r="M326" s="55" t="str">
        <f t="shared" si="525"/>
        <v>mRNA325: -&gt; E3_6_3_8_mRNA | 0.00292 - (0.0093 * E3_6_3_8_mRNA)</v>
      </c>
      <c r="N326" s="56" t="str">
        <f t="shared" si="526"/>
        <v>Peptide325: E3_6_3_8_mRNA -&gt; E3_6_3_8 | (0.278 * E3_6_3_8_mRNA) - (0.000000278 * E3_6_3_8)</v>
      </c>
    </row>
    <row r="327" spans="1:14" ht="29">
      <c r="A327" s="46">
        <v>326</v>
      </c>
      <c r="B327" s="7" t="s">
        <v>12616</v>
      </c>
      <c r="C327" s="27" t="str">
        <f t="shared" si="518"/>
        <v>E2_1_1_217_mRNA</v>
      </c>
      <c r="D327" s="47" t="str">
        <f t="shared" si="527"/>
        <v>E2_1_1_217</v>
      </c>
      <c r="E327" s="48" t="str">
        <f t="shared" si="519"/>
        <v>E2_1_1_217_kcat : 13.7</v>
      </c>
      <c r="F327" s="49" t="str">
        <f t="shared" si="520"/>
        <v>E2_1_1_217_km : 1</v>
      </c>
      <c r="G327" s="9" t="str">
        <f t="shared" ref="G327:H327" si="666">CONCATENATE(C327," : ",C327)</f>
        <v>E2_1_1_217_mRNA : E2_1_1_217_mRNA</v>
      </c>
      <c r="H327" s="50" t="str">
        <f t="shared" si="666"/>
        <v>E2_1_1_217 : E2_1_1_217</v>
      </c>
      <c r="I327" s="51" t="str">
        <f t="shared" ref="I327:J327" si="667">CONCATENATE(C327," : ","0")</f>
        <v>E2_1_1_217_mRNA : 0</v>
      </c>
      <c r="J327" s="52" t="str">
        <f t="shared" si="667"/>
        <v>E2_1_1_217 : 0</v>
      </c>
      <c r="K327" s="53" t="str">
        <f t="shared" si="523"/>
        <v>0.00292 - (0.0093 * E2_1_1_217_mRNA)</v>
      </c>
      <c r="L327" s="54" t="str">
        <f t="shared" si="524"/>
        <v>(0.278 * E2_1_1_217_mRNA) - (0.00000278 * E2_1_1_217)</v>
      </c>
      <c r="M327" s="55" t="str">
        <f t="shared" si="525"/>
        <v>mRNA326: -&gt; E2_1_1_217_mRNA | 0.00292 - (0.0093 * E2_1_1_217_mRNA)</v>
      </c>
      <c r="N327" s="56" t="str">
        <f t="shared" si="526"/>
        <v>Peptide326: E2_1_1_217_mRNA -&gt; E2_1_1_217 | (0.278 * E2_1_1_217_mRNA) - (0.000000278 * E2_1_1_217)</v>
      </c>
    </row>
    <row r="328" spans="1:14" ht="29">
      <c r="A328" s="46">
        <v>327</v>
      </c>
      <c r="B328" s="7" t="s">
        <v>12617</v>
      </c>
      <c r="C328" s="27" t="str">
        <f t="shared" si="518"/>
        <v>E1_4_3_19_mRNA</v>
      </c>
      <c r="D328" s="47" t="str">
        <f t="shared" si="527"/>
        <v>E1_4_3_19</v>
      </c>
      <c r="E328" s="48" t="str">
        <f t="shared" si="519"/>
        <v>E1_4_3_19_kcat : 13.7</v>
      </c>
      <c r="F328" s="49" t="str">
        <f t="shared" si="520"/>
        <v>E1_4_3_19_km : 1</v>
      </c>
      <c r="G328" s="9" t="str">
        <f t="shared" ref="G328:H328" si="668">CONCATENATE(C328," : ",C328)</f>
        <v>E1_4_3_19_mRNA : E1_4_3_19_mRNA</v>
      </c>
      <c r="H328" s="50" t="str">
        <f t="shared" si="668"/>
        <v>E1_4_3_19 : E1_4_3_19</v>
      </c>
      <c r="I328" s="51" t="str">
        <f t="shared" ref="I328:J328" si="669">CONCATENATE(C328," : ","0")</f>
        <v>E1_4_3_19_mRNA : 0</v>
      </c>
      <c r="J328" s="52" t="str">
        <f t="shared" si="669"/>
        <v>E1_4_3_19 : 0</v>
      </c>
      <c r="K328" s="53" t="str">
        <f t="shared" si="523"/>
        <v>0.00292 - (0.0093 * E1_4_3_19_mRNA)</v>
      </c>
      <c r="L328" s="54" t="str">
        <f t="shared" si="524"/>
        <v>(0.278 * E1_4_3_19_mRNA) - (0.00000278 * E1_4_3_19)</v>
      </c>
      <c r="M328" s="55" t="str">
        <f t="shared" si="525"/>
        <v>mRNA327: -&gt; E1_4_3_19_mRNA | 0.00292 - (0.0093 * E1_4_3_19_mRNA)</v>
      </c>
      <c r="N328" s="56" t="str">
        <f t="shared" si="526"/>
        <v>Peptide327: E1_4_3_19_mRNA -&gt; E1_4_3_19 | (0.278 * E1_4_3_19_mRNA) - (0.000000278 * E1_4_3_19)</v>
      </c>
    </row>
    <row r="329" spans="1:14" ht="29">
      <c r="A329" s="46">
        <v>328</v>
      </c>
      <c r="B329" s="7" t="s">
        <v>12618</v>
      </c>
      <c r="C329" s="27" t="str">
        <f t="shared" si="518"/>
        <v>E2_7_4_14_mRNA</v>
      </c>
      <c r="D329" s="47" t="str">
        <f t="shared" si="527"/>
        <v>E2_7_4_14</v>
      </c>
      <c r="E329" s="48" t="str">
        <f t="shared" si="519"/>
        <v>E2_7_4_14_kcat : 13.7</v>
      </c>
      <c r="F329" s="49" t="str">
        <f t="shared" si="520"/>
        <v>E2_7_4_14_km : 1</v>
      </c>
      <c r="G329" s="9" t="str">
        <f t="shared" ref="G329:H329" si="670">CONCATENATE(C329," : ",C329)</f>
        <v>E2_7_4_14_mRNA : E2_7_4_14_mRNA</v>
      </c>
      <c r="H329" s="50" t="str">
        <f t="shared" si="670"/>
        <v>E2_7_4_14 : E2_7_4_14</v>
      </c>
      <c r="I329" s="51" t="str">
        <f t="shared" ref="I329:J329" si="671">CONCATENATE(C329," : ","0")</f>
        <v>E2_7_4_14_mRNA : 0</v>
      </c>
      <c r="J329" s="52" t="str">
        <f t="shared" si="671"/>
        <v>E2_7_4_14 : 0</v>
      </c>
      <c r="K329" s="53" t="str">
        <f t="shared" si="523"/>
        <v>0.00292 - (0.0093 * E2_7_4_14_mRNA)</v>
      </c>
      <c r="L329" s="54" t="str">
        <f t="shared" si="524"/>
        <v>(0.278 * E2_7_4_14_mRNA) - (0.00000278 * E2_7_4_14)</v>
      </c>
      <c r="M329" s="55" t="str">
        <f t="shared" si="525"/>
        <v>mRNA328: -&gt; E2_7_4_14_mRNA | 0.00292 - (0.0093 * E2_7_4_14_mRNA)</v>
      </c>
      <c r="N329" s="56" t="str">
        <f t="shared" si="526"/>
        <v>Peptide328: E2_7_4_14_mRNA -&gt; E2_7_4_14 | (0.278 * E2_7_4_14_mRNA) - (0.000000278 * E2_7_4_14)</v>
      </c>
    </row>
    <row r="330" spans="1:14" ht="29">
      <c r="A330" s="46">
        <v>329</v>
      </c>
      <c r="B330" s="7" t="s">
        <v>12619</v>
      </c>
      <c r="C330" s="27" t="str">
        <f t="shared" si="518"/>
        <v>E2_7_4_25_mRNA</v>
      </c>
      <c r="D330" s="47" t="str">
        <f t="shared" si="527"/>
        <v>E2_7_4_25</v>
      </c>
      <c r="E330" s="48" t="str">
        <f t="shared" si="519"/>
        <v>E2_7_4_25_kcat : 13.7</v>
      </c>
      <c r="F330" s="49" t="str">
        <f t="shared" si="520"/>
        <v>E2_7_4_25_km : 1</v>
      </c>
      <c r="G330" s="9" t="str">
        <f t="shared" ref="G330:H330" si="672">CONCATENATE(C330," : ",C330)</f>
        <v>E2_7_4_25_mRNA : E2_7_4_25_mRNA</v>
      </c>
      <c r="H330" s="50" t="str">
        <f t="shared" si="672"/>
        <v>E2_7_4_25 : E2_7_4_25</v>
      </c>
      <c r="I330" s="51" t="str">
        <f t="shared" ref="I330:J330" si="673">CONCATENATE(C330," : ","0")</f>
        <v>E2_7_4_25_mRNA : 0</v>
      </c>
      <c r="J330" s="52" t="str">
        <f t="shared" si="673"/>
        <v>E2_7_4_25 : 0</v>
      </c>
      <c r="K330" s="53" t="str">
        <f t="shared" si="523"/>
        <v>0.00292 - (0.0093 * E2_7_4_25_mRNA)</v>
      </c>
      <c r="L330" s="54" t="str">
        <f t="shared" si="524"/>
        <v>(0.278 * E2_7_4_25_mRNA) - (0.00000278 * E2_7_4_25)</v>
      </c>
      <c r="M330" s="55" t="str">
        <f t="shared" si="525"/>
        <v>mRNA329: -&gt; E2_7_4_25_mRNA | 0.00292 - (0.0093 * E2_7_4_25_mRNA)</v>
      </c>
      <c r="N330" s="56" t="str">
        <f t="shared" si="526"/>
        <v>Peptide329: E2_7_4_25_mRNA -&gt; E2_7_4_25 | (0.278 * E2_7_4_25_mRNA) - (0.000000278 * E2_7_4_25)</v>
      </c>
    </row>
    <row r="331" spans="1:14" ht="29">
      <c r="A331" s="46">
        <v>330</v>
      </c>
      <c r="B331" s="7" t="s">
        <v>12620</v>
      </c>
      <c r="C331" s="27" t="str">
        <f t="shared" si="518"/>
        <v>E3_4_13_9_mRNA</v>
      </c>
      <c r="D331" s="47" t="str">
        <f t="shared" si="527"/>
        <v>E3_4_13_9</v>
      </c>
      <c r="E331" s="48" t="str">
        <f t="shared" si="519"/>
        <v>E3_4_13_9_kcat : 13.7</v>
      </c>
      <c r="F331" s="49" t="str">
        <f t="shared" si="520"/>
        <v>E3_4_13_9_km : 1</v>
      </c>
      <c r="G331" s="9" t="str">
        <f t="shared" ref="G331:H331" si="674">CONCATENATE(C331," : ",C331)</f>
        <v>E3_4_13_9_mRNA : E3_4_13_9_mRNA</v>
      </c>
      <c r="H331" s="50" t="str">
        <f t="shared" si="674"/>
        <v>E3_4_13_9 : E3_4_13_9</v>
      </c>
      <c r="I331" s="51" t="str">
        <f t="shared" ref="I331:J331" si="675">CONCATENATE(C331," : ","0")</f>
        <v>E3_4_13_9_mRNA : 0</v>
      </c>
      <c r="J331" s="52" t="str">
        <f t="shared" si="675"/>
        <v>E3_4_13_9 : 0</v>
      </c>
      <c r="K331" s="53" t="str">
        <f t="shared" si="523"/>
        <v>0.00292 - (0.0093 * E3_4_13_9_mRNA)</v>
      </c>
      <c r="L331" s="54" t="str">
        <f t="shared" si="524"/>
        <v>(0.278 * E3_4_13_9_mRNA) - (0.00000278 * E3_4_13_9)</v>
      </c>
      <c r="M331" s="55" t="str">
        <f t="shared" si="525"/>
        <v>mRNA330: -&gt; E3_4_13_9_mRNA | 0.00292 - (0.0093 * E3_4_13_9_mRNA)</v>
      </c>
      <c r="N331" s="56" t="str">
        <f t="shared" si="526"/>
        <v>Peptide330: E3_4_13_9_mRNA -&gt; E3_4_13_9 | (0.278 * E3_4_13_9_mRNA) - (0.000000278 * E3_4_13_9)</v>
      </c>
    </row>
    <row r="332" spans="1:14" ht="29">
      <c r="A332" s="46">
        <v>331</v>
      </c>
      <c r="B332" s="7" t="s">
        <v>12621</v>
      </c>
      <c r="C332" s="27" t="str">
        <f t="shared" si="518"/>
        <v>E6_3_5_10_mRNA</v>
      </c>
      <c r="D332" s="47" t="str">
        <f t="shared" si="527"/>
        <v>E6_3_5_10</v>
      </c>
      <c r="E332" s="48" t="str">
        <f t="shared" si="519"/>
        <v>E6_3_5_10_kcat : 13.7</v>
      </c>
      <c r="F332" s="49" t="str">
        <f t="shared" si="520"/>
        <v>E6_3_5_10_km : 1</v>
      </c>
      <c r="G332" s="9" t="str">
        <f t="shared" ref="G332:H332" si="676">CONCATENATE(C332," : ",C332)</f>
        <v>E6_3_5_10_mRNA : E6_3_5_10_mRNA</v>
      </c>
      <c r="H332" s="50" t="str">
        <f t="shared" si="676"/>
        <v>E6_3_5_10 : E6_3_5_10</v>
      </c>
      <c r="I332" s="51" t="str">
        <f t="shared" ref="I332:J332" si="677">CONCATENATE(C332," : ","0")</f>
        <v>E6_3_5_10_mRNA : 0</v>
      </c>
      <c r="J332" s="52" t="str">
        <f t="shared" si="677"/>
        <v>E6_3_5_10 : 0</v>
      </c>
      <c r="K332" s="53" t="str">
        <f t="shared" si="523"/>
        <v>0.00292 - (0.0093 * E6_3_5_10_mRNA)</v>
      </c>
      <c r="L332" s="54" t="str">
        <f t="shared" si="524"/>
        <v>(0.278 * E6_3_5_10_mRNA) - (0.00000278 * E6_3_5_10)</v>
      </c>
      <c r="M332" s="55" t="str">
        <f t="shared" si="525"/>
        <v>mRNA331: -&gt; E6_3_5_10_mRNA | 0.00292 - (0.0093 * E6_3_5_10_mRNA)</v>
      </c>
      <c r="N332" s="56" t="str">
        <f t="shared" si="526"/>
        <v>Peptide331: E6_3_5_10_mRNA -&gt; E6_3_5_10 | (0.278 * E6_3_5_10_mRNA) - (0.000000278 * E6_3_5_10)</v>
      </c>
    </row>
    <row r="333" spans="1:14" ht="29">
      <c r="A333" s="46">
        <v>332</v>
      </c>
      <c r="B333" s="7" t="s">
        <v>12622</v>
      </c>
      <c r="C333" s="27" t="str">
        <f t="shared" si="518"/>
        <v>E1_16_1_1_mRNA</v>
      </c>
      <c r="D333" s="47" t="str">
        <f t="shared" si="527"/>
        <v>E1_16_1_1</v>
      </c>
      <c r="E333" s="48" t="str">
        <f t="shared" si="519"/>
        <v>E1_16_1_1_kcat : 13.7</v>
      </c>
      <c r="F333" s="49" t="str">
        <f t="shared" si="520"/>
        <v>E1_16_1_1_km : 1</v>
      </c>
      <c r="G333" s="9" t="str">
        <f t="shared" ref="G333:H333" si="678">CONCATENATE(C333," : ",C333)</f>
        <v>E1_16_1_1_mRNA : E1_16_1_1_mRNA</v>
      </c>
      <c r="H333" s="50" t="str">
        <f t="shared" si="678"/>
        <v>E1_16_1_1 : E1_16_1_1</v>
      </c>
      <c r="I333" s="51" t="str">
        <f t="shared" ref="I333:J333" si="679">CONCATENATE(C333," : ","0")</f>
        <v>E1_16_1_1_mRNA : 0</v>
      </c>
      <c r="J333" s="52" t="str">
        <f t="shared" si="679"/>
        <v>E1_16_1_1 : 0</v>
      </c>
      <c r="K333" s="53" t="str">
        <f t="shared" si="523"/>
        <v>0.00292 - (0.0093 * E1_16_1_1_mRNA)</v>
      </c>
      <c r="L333" s="54" t="str">
        <f t="shared" si="524"/>
        <v>(0.278 * E1_16_1_1_mRNA) - (0.00000278 * E1_16_1_1)</v>
      </c>
      <c r="M333" s="55" t="str">
        <f t="shared" si="525"/>
        <v>mRNA332: -&gt; E1_16_1_1_mRNA | 0.00292 - (0.0093 * E1_16_1_1_mRNA)</v>
      </c>
      <c r="N333" s="56" t="str">
        <f t="shared" si="526"/>
        <v>Peptide332: E1_16_1_1_mRNA -&gt; E1_16_1_1 | (0.278 * E1_16_1_1_mRNA) - (0.000000278 * E1_16_1_1)</v>
      </c>
    </row>
    <row r="334" spans="1:14" ht="29">
      <c r="A334" s="46">
        <v>333</v>
      </c>
      <c r="B334" s="7" t="s">
        <v>12623</v>
      </c>
      <c r="C334" s="27" t="str">
        <f t="shared" si="518"/>
        <v>E1_8_1_4_mRNA</v>
      </c>
      <c r="D334" s="47" t="str">
        <f t="shared" si="527"/>
        <v>E1_8_1_4</v>
      </c>
      <c r="E334" s="48" t="str">
        <f t="shared" si="519"/>
        <v>E1_8_1_4_kcat : 13.7</v>
      </c>
      <c r="F334" s="49" t="str">
        <f t="shared" si="520"/>
        <v>E1_8_1_4_km : 1</v>
      </c>
      <c r="G334" s="9" t="str">
        <f t="shared" ref="G334:H334" si="680">CONCATENATE(C334," : ",C334)</f>
        <v>E1_8_1_4_mRNA : E1_8_1_4_mRNA</v>
      </c>
      <c r="H334" s="50" t="str">
        <f t="shared" si="680"/>
        <v>E1_8_1_4 : E1_8_1_4</v>
      </c>
      <c r="I334" s="51" t="str">
        <f t="shared" ref="I334:J334" si="681">CONCATENATE(C334," : ","0")</f>
        <v>E1_8_1_4_mRNA : 0</v>
      </c>
      <c r="J334" s="52" t="str">
        <f t="shared" si="681"/>
        <v>E1_8_1_4 : 0</v>
      </c>
      <c r="K334" s="53" t="str">
        <f t="shared" si="523"/>
        <v>0.00292 - (0.0093 * E1_8_1_4_mRNA)</v>
      </c>
      <c r="L334" s="54" t="str">
        <f t="shared" si="524"/>
        <v>(0.278 * E1_8_1_4_mRNA) - (0.00000278 * E1_8_1_4)</v>
      </c>
      <c r="M334" s="55" t="str">
        <f t="shared" si="525"/>
        <v>mRNA333: -&gt; E1_8_1_4_mRNA | 0.00292 - (0.0093 * E1_8_1_4_mRNA)</v>
      </c>
      <c r="N334" s="56" t="str">
        <f t="shared" si="526"/>
        <v>Peptide333: E1_8_1_4_mRNA -&gt; E1_8_1_4 | (0.278 * E1_8_1_4_mRNA) - (0.000000278 * E1_8_1_4)</v>
      </c>
    </row>
    <row r="335" spans="1:14" ht="29">
      <c r="A335" s="46">
        <v>334</v>
      </c>
      <c r="B335" s="7" t="s">
        <v>12624</v>
      </c>
      <c r="C335" s="27" t="str">
        <f t="shared" si="518"/>
        <v>E3_6_4_13_mRNA</v>
      </c>
      <c r="D335" s="47" t="str">
        <f t="shared" si="527"/>
        <v>E3_6_4_13</v>
      </c>
      <c r="E335" s="48" t="str">
        <f t="shared" si="519"/>
        <v>E3_6_4_13_kcat : 13.7</v>
      </c>
      <c r="F335" s="49" t="str">
        <f t="shared" si="520"/>
        <v>E3_6_4_13_km : 1</v>
      </c>
      <c r="G335" s="9" t="str">
        <f t="shared" ref="G335:H335" si="682">CONCATENATE(C335," : ",C335)</f>
        <v>E3_6_4_13_mRNA : E3_6_4_13_mRNA</v>
      </c>
      <c r="H335" s="50" t="str">
        <f t="shared" si="682"/>
        <v>E3_6_4_13 : E3_6_4_13</v>
      </c>
      <c r="I335" s="51" t="str">
        <f t="shared" ref="I335:J335" si="683">CONCATENATE(C335," : ","0")</f>
        <v>E3_6_4_13_mRNA : 0</v>
      </c>
      <c r="J335" s="52" t="str">
        <f t="shared" si="683"/>
        <v>E3_6_4_13 : 0</v>
      </c>
      <c r="K335" s="53" t="str">
        <f t="shared" si="523"/>
        <v>0.00292 - (0.0093 * E3_6_4_13_mRNA)</v>
      </c>
      <c r="L335" s="54" t="str">
        <f t="shared" si="524"/>
        <v>(0.278 * E3_6_4_13_mRNA) - (0.00000278 * E3_6_4_13)</v>
      </c>
      <c r="M335" s="55" t="str">
        <f t="shared" si="525"/>
        <v>mRNA334: -&gt; E3_6_4_13_mRNA | 0.00292 - (0.0093 * E3_6_4_13_mRNA)</v>
      </c>
      <c r="N335" s="56" t="str">
        <f t="shared" si="526"/>
        <v>Peptide334: E3_6_4_13_mRNA -&gt; E3_6_4_13 | (0.278 * E3_6_4_13_mRNA) - (0.000000278 * E3_6_4_13)</v>
      </c>
    </row>
    <row r="336" spans="1:14" ht="29">
      <c r="A336" s="46">
        <v>335</v>
      </c>
      <c r="B336" s="7" t="s">
        <v>12625</v>
      </c>
      <c r="C336" s="27" t="str">
        <f t="shared" si="518"/>
        <v>E2_4_2_7_mRNA</v>
      </c>
      <c r="D336" s="47" t="str">
        <f t="shared" si="527"/>
        <v>E2_4_2_7</v>
      </c>
      <c r="E336" s="48" t="str">
        <f t="shared" si="519"/>
        <v>E2_4_2_7_kcat : 13.7</v>
      </c>
      <c r="F336" s="49" t="str">
        <f t="shared" si="520"/>
        <v>E2_4_2_7_km : 1</v>
      </c>
      <c r="G336" s="9" t="str">
        <f t="shared" ref="G336:H336" si="684">CONCATENATE(C336," : ",C336)</f>
        <v>E2_4_2_7_mRNA : E2_4_2_7_mRNA</v>
      </c>
      <c r="H336" s="50" t="str">
        <f t="shared" si="684"/>
        <v>E2_4_2_7 : E2_4_2_7</v>
      </c>
      <c r="I336" s="51" t="str">
        <f t="shared" ref="I336:J336" si="685">CONCATENATE(C336," : ","0")</f>
        <v>E2_4_2_7_mRNA : 0</v>
      </c>
      <c r="J336" s="52" t="str">
        <f t="shared" si="685"/>
        <v>E2_4_2_7 : 0</v>
      </c>
      <c r="K336" s="53" t="str">
        <f t="shared" si="523"/>
        <v>0.00292 - (0.0093 * E2_4_2_7_mRNA)</v>
      </c>
      <c r="L336" s="54" t="str">
        <f t="shared" si="524"/>
        <v>(0.278 * E2_4_2_7_mRNA) - (0.00000278 * E2_4_2_7)</v>
      </c>
      <c r="M336" s="55" t="str">
        <f t="shared" si="525"/>
        <v>mRNA335: -&gt; E2_4_2_7_mRNA | 0.00292 - (0.0093 * E2_4_2_7_mRNA)</v>
      </c>
      <c r="N336" s="56" t="str">
        <f t="shared" si="526"/>
        <v>Peptide335: E2_4_2_7_mRNA -&gt; E2_4_2_7 | (0.278 * E2_4_2_7_mRNA) - (0.000000278 * E2_4_2_7)</v>
      </c>
    </row>
    <row r="337" spans="1:14" ht="29">
      <c r="A337" s="46">
        <v>336</v>
      </c>
      <c r="B337" s="7" t="s">
        <v>12626</v>
      </c>
      <c r="C337" s="27" t="str">
        <f t="shared" si="518"/>
        <v>E2_3_1_46_mRNA</v>
      </c>
      <c r="D337" s="47" t="str">
        <f t="shared" si="527"/>
        <v>E2_3_1_46</v>
      </c>
      <c r="E337" s="48" t="str">
        <f t="shared" si="519"/>
        <v>E2_3_1_46_kcat : 13.7</v>
      </c>
      <c r="F337" s="49" t="str">
        <f t="shared" si="520"/>
        <v>E2_3_1_46_km : 1</v>
      </c>
      <c r="G337" s="9" t="str">
        <f t="shared" ref="G337:H337" si="686">CONCATENATE(C337," : ",C337)</f>
        <v>E2_3_1_46_mRNA : E2_3_1_46_mRNA</v>
      </c>
      <c r="H337" s="50" t="str">
        <f t="shared" si="686"/>
        <v>E2_3_1_46 : E2_3_1_46</v>
      </c>
      <c r="I337" s="51" t="str">
        <f t="shared" ref="I337:J337" si="687">CONCATENATE(C337," : ","0")</f>
        <v>E2_3_1_46_mRNA : 0</v>
      </c>
      <c r="J337" s="52" t="str">
        <f t="shared" si="687"/>
        <v>E2_3_1_46 : 0</v>
      </c>
      <c r="K337" s="53" t="str">
        <f t="shared" si="523"/>
        <v>0.00292 - (0.0093 * E2_3_1_46_mRNA)</v>
      </c>
      <c r="L337" s="54" t="str">
        <f t="shared" si="524"/>
        <v>(0.278 * E2_3_1_46_mRNA) - (0.00000278 * E2_3_1_46)</v>
      </c>
      <c r="M337" s="55" t="str">
        <f t="shared" si="525"/>
        <v>mRNA336: -&gt; E2_3_1_46_mRNA | 0.00292 - (0.0093 * E2_3_1_46_mRNA)</v>
      </c>
      <c r="N337" s="56" t="str">
        <f t="shared" si="526"/>
        <v>Peptide336: E2_3_1_46_mRNA -&gt; E2_3_1_46 | (0.278 * E2_3_1_46_mRNA) - (0.000000278 * E2_3_1_46)</v>
      </c>
    </row>
    <row r="338" spans="1:14" ht="29">
      <c r="A338" s="46">
        <v>337</v>
      </c>
      <c r="B338" s="7" t="s">
        <v>12627</v>
      </c>
      <c r="C338" s="27" t="str">
        <f t="shared" si="518"/>
        <v>E5_3_1_1_mRNA</v>
      </c>
      <c r="D338" s="47" t="str">
        <f t="shared" si="527"/>
        <v>E5_3_1_1</v>
      </c>
      <c r="E338" s="48" t="str">
        <f t="shared" si="519"/>
        <v>E5_3_1_1_kcat : 13.7</v>
      </c>
      <c r="F338" s="49" t="str">
        <f t="shared" si="520"/>
        <v>E5_3_1_1_km : 1</v>
      </c>
      <c r="G338" s="9" t="str">
        <f t="shared" ref="G338:H338" si="688">CONCATENATE(C338," : ",C338)</f>
        <v>E5_3_1_1_mRNA : E5_3_1_1_mRNA</v>
      </c>
      <c r="H338" s="50" t="str">
        <f t="shared" si="688"/>
        <v>E5_3_1_1 : E5_3_1_1</v>
      </c>
      <c r="I338" s="51" t="str">
        <f t="shared" ref="I338:J338" si="689">CONCATENATE(C338," : ","0")</f>
        <v>E5_3_1_1_mRNA : 0</v>
      </c>
      <c r="J338" s="52" t="str">
        <f t="shared" si="689"/>
        <v>E5_3_1_1 : 0</v>
      </c>
      <c r="K338" s="53" t="str">
        <f t="shared" si="523"/>
        <v>0.00292 - (0.0093 * E5_3_1_1_mRNA)</v>
      </c>
      <c r="L338" s="54" t="str">
        <f t="shared" si="524"/>
        <v>(0.278 * E5_3_1_1_mRNA) - (0.00000278 * E5_3_1_1)</v>
      </c>
      <c r="M338" s="55" t="str">
        <f t="shared" si="525"/>
        <v>mRNA337: -&gt; E5_3_1_1_mRNA | 0.00292 - (0.0093 * E5_3_1_1_mRNA)</v>
      </c>
      <c r="N338" s="56" t="str">
        <f t="shared" si="526"/>
        <v>Peptide337: E5_3_1_1_mRNA -&gt; E5_3_1_1 | (0.278 * E5_3_1_1_mRNA) - (0.000000278 * E5_3_1_1)</v>
      </c>
    </row>
    <row r="339" spans="1:14" ht="29">
      <c r="A339" s="46">
        <v>338</v>
      </c>
      <c r="B339" s="7" t="s">
        <v>12628</v>
      </c>
      <c r="C339" s="27" t="str">
        <f t="shared" si="518"/>
        <v>E3_2_1_92_mRNA</v>
      </c>
      <c r="D339" s="47" t="str">
        <f t="shared" si="527"/>
        <v>E3_2_1_92</v>
      </c>
      <c r="E339" s="48" t="str">
        <f t="shared" si="519"/>
        <v>E3_2_1_92_kcat : 13.7</v>
      </c>
      <c r="F339" s="49" t="str">
        <f t="shared" si="520"/>
        <v>E3_2_1_92_km : 1</v>
      </c>
      <c r="G339" s="9" t="str">
        <f t="shared" ref="G339:H339" si="690">CONCATENATE(C339," : ",C339)</f>
        <v>E3_2_1_92_mRNA : E3_2_1_92_mRNA</v>
      </c>
      <c r="H339" s="50" t="str">
        <f t="shared" si="690"/>
        <v>E3_2_1_92 : E3_2_1_92</v>
      </c>
      <c r="I339" s="51" t="str">
        <f t="shared" ref="I339:J339" si="691">CONCATENATE(C339," : ","0")</f>
        <v>E3_2_1_92_mRNA : 0</v>
      </c>
      <c r="J339" s="52" t="str">
        <f t="shared" si="691"/>
        <v>E3_2_1_92 : 0</v>
      </c>
      <c r="K339" s="53" t="str">
        <f t="shared" si="523"/>
        <v>0.00292 - (0.0093 * E3_2_1_92_mRNA)</v>
      </c>
      <c r="L339" s="54" t="str">
        <f t="shared" si="524"/>
        <v>(0.278 * E3_2_1_92_mRNA) - (0.00000278 * E3_2_1_92)</v>
      </c>
      <c r="M339" s="55" t="str">
        <f t="shared" si="525"/>
        <v>mRNA338: -&gt; E3_2_1_92_mRNA | 0.00292 - (0.0093 * E3_2_1_92_mRNA)</v>
      </c>
      <c r="N339" s="56" t="str">
        <f t="shared" si="526"/>
        <v>Peptide338: E3_2_1_92_mRNA -&gt; E3_2_1_92 | (0.278 * E3_2_1_92_mRNA) - (0.000000278 * E3_2_1_92)</v>
      </c>
    </row>
    <row r="340" spans="1:14" ht="29">
      <c r="A340" s="46">
        <v>339</v>
      </c>
      <c r="B340" s="7" t="s">
        <v>12629</v>
      </c>
      <c r="C340" s="27" t="str">
        <f t="shared" si="518"/>
        <v>E1_5_1_3_mRNA</v>
      </c>
      <c r="D340" s="47" t="str">
        <f t="shared" si="527"/>
        <v>E1_5_1_3</v>
      </c>
      <c r="E340" s="48" t="str">
        <f t="shared" si="519"/>
        <v>E1_5_1_3_kcat : 13.7</v>
      </c>
      <c r="F340" s="49" t="str">
        <f t="shared" si="520"/>
        <v>E1_5_1_3_km : 1</v>
      </c>
      <c r="G340" s="9" t="str">
        <f t="shared" ref="G340:H340" si="692">CONCATENATE(C340," : ",C340)</f>
        <v>E1_5_1_3_mRNA : E1_5_1_3_mRNA</v>
      </c>
      <c r="H340" s="50" t="str">
        <f t="shared" si="692"/>
        <v>E1_5_1_3 : E1_5_1_3</v>
      </c>
      <c r="I340" s="51" t="str">
        <f t="shared" ref="I340:J340" si="693">CONCATENATE(C340," : ","0")</f>
        <v>E1_5_1_3_mRNA : 0</v>
      </c>
      <c r="J340" s="52" t="str">
        <f t="shared" si="693"/>
        <v>E1_5_1_3 : 0</v>
      </c>
      <c r="K340" s="53" t="str">
        <f t="shared" si="523"/>
        <v>0.00292 - (0.0093 * E1_5_1_3_mRNA)</v>
      </c>
      <c r="L340" s="54" t="str">
        <f t="shared" si="524"/>
        <v>(0.278 * E1_5_1_3_mRNA) - (0.00000278 * E1_5_1_3)</v>
      </c>
      <c r="M340" s="55" t="str">
        <f t="shared" si="525"/>
        <v>mRNA339: -&gt; E1_5_1_3_mRNA | 0.00292 - (0.0093 * E1_5_1_3_mRNA)</v>
      </c>
      <c r="N340" s="56" t="str">
        <f t="shared" si="526"/>
        <v>Peptide339: E1_5_1_3_mRNA -&gt; E1_5_1_3 | (0.278 * E1_5_1_3_mRNA) - (0.000000278 * E1_5_1_3)</v>
      </c>
    </row>
    <row r="341" spans="1:14" ht="29">
      <c r="A341" s="46">
        <v>340</v>
      </c>
      <c r="B341" s="7" t="s">
        <v>12630</v>
      </c>
      <c r="C341" s="27" t="str">
        <f t="shared" si="518"/>
        <v>E6_3_2_8_mRNA</v>
      </c>
      <c r="D341" s="47" t="str">
        <f t="shared" si="527"/>
        <v>E6_3_2_8</v>
      </c>
      <c r="E341" s="48" t="str">
        <f t="shared" si="519"/>
        <v>E6_3_2_8_kcat : 13.7</v>
      </c>
      <c r="F341" s="49" t="str">
        <f t="shared" si="520"/>
        <v>E6_3_2_8_km : 1</v>
      </c>
      <c r="G341" s="9" t="str">
        <f t="shared" ref="G341:H341" si="694">CONCATENATE(C341," : ",C341)</f>
        <v>E6_3_2_8_mRNA : E6_3_2_8_mRNA</v>
      </c>
      <c r="H341" s="50" t="str">
        <f t="shared" si="694"/>
        <v>E6_3_2_8 : E6_3_2_8</v>
      </c>
      <c r="I341" s="51" t="str">
        <f t="shared" ref="I341:J341" si="695">CONCATENATE(C341," : ","0")</f>
        <v>E6_3_2_8_mRNA : 0</v>
      </c>
      <c r="J341" s="52" t="str">
        <f t="shared" si="695"/>
        <v>E6_3_2_8 : 0</v>
      </c>
      <c r="K341" s="53" t="str">
        <f t="shared" si="523"/>
        <v>0.00292 - (0.0093 * E6_3_2_8_mRNA)</v>
      </c>
      <c r="L341" s="54" t="str">
        <f t="shared" si="524"/>
        <v>(0.278 * E6_3_2_8_mRNA) - (0.00000278 * E6_3_2_8)</v>
      </c>
      <c r="M341" s="55" t="str">
        <f t="shared" si="525"/>
        <v>mRNA340: -&gt; E6_3_2_8_mRNA | 0.00292 - (0.0093 * E6_3_2_8_mRNA)</v>
      </c>
      <c r="N341" s="56" t="str">
        <f t="shared" si="526"/>
        <v>Peptide340: E6_3_2_8_mRNA -&gt; E6_3_2_8 | (0.278 * E6_3_2_8_mRNA) - (0.000000278 * E6_3_2_8)</v>
      </c>
    </row>
    <row r="342" spans="1:14" ht="29">
      <c r="A342" s="46">
        <v>341</v>
      </c>
      <c r="B342" s="7" t="s">
        <v>12631</v>
      </c>
      <c r="C342" s="27" t="str">
        <f t="shared" si="518"/>
        <v>E3_6_3_14_mRNA</v>
      </c>
      <c r="D342" s="47" t="str">
        <f t="shared" si="527"/>
        <v>E3_6_3_14</v>
      </c>
      <c r="E342" s="48" t="str">
        <f t="shared" si="519"/>
        <v>E3_6_3_14_kcat : 13.7</v>
      </c>
      <c r="F342" s="49" t="str">
        <f t="shared" si="520"/>
        <v>E3_6_3_14_km : 1</v>
      </c>
      <c r="G342" s="9" t="str">
        <f t="shared" ref="G342:H342" si="696">CONCATENATE(C342," : ",C342)</f>
        <v>E3_6_3_14_mRNA : E3_6_3_14_mRNA</v>
      </c>
      <c r="H342" s="50" t="str">
        <f t="shared" si="696"/>
        <v>E3_6_3_14 : E3_6_3_14</v>
      </c>
      <c r="I342" s="51" t="str">
        <f t="shared" ref="I342:J342" si="697">CONCATENATE(C342," : ","0")</f>
        <v>E3_6_3_14_mRNA : 0</v>
      </c>
      <c r="J342" s="52" t="str">
        <f t="shared" si="697"/>
        <v>E3_6_3_14 : 0</v>
      </c>
      <c r="K342" s="53" t="str">
        <f t="shared" si="523"/>
        <v>0.00292 - (0.0093 * E3_6_3_14_mRNA)</v>
      </c>
      <c r="L342" s="54" t="str">
        <f t="shared" si="524"/>
        <v>(0.278 * E3_6_3_14_mRNA) - (0.00000278 * E3_6_3_14)</v>
      </c>
      <c r="M342" s="55" t="str">
        <f t="shared" si="525"/>
        <v>mRNA341: -&gt; E3_6_3_14_mRNA | 0.00292 - (0.0093 * E3_6_3_14_mRNA)</v>
      </c>
      <c r="N342" s="56" t="str">
        <f t="shared" si="526"/>
        <v>Peptide341: E3_6_3_14_mRNA -&gt; E3_6_3_14 | (0.278 * E3_6_3_14_mRNA) - (0.000000278 * E3_6_3_14)</v>
      </c>
    </row>
    <row r="343" spans="1:14" ht="29">
      <c r="A343" s="46">
        <v>342</v>
      </c>
      <c r="B343" s="7" t="s">
        <v>12632</v>
      </c>
      <c r="C343" s="27" t="str">
        <f t="shared" si="518"/>
        <v>E5_4_2_2_mRNA</v>
      </c>
      <c r="D343" s="47" t="str">
        <f t="shared" si="527"/>
        <v>E5_4_2_2</v>
      </c>
      <c r="E343" s="48" t="str">
        <f t="shared" si="519"/>
        <v>E5_4_2_2_kcat : 13.7</v>
      </c>
      <c r="F343" s="49" t="str">
        <f t="shared" si="520"/>
        <v>E5_4_2_2_km : 1</v>
      </c>
      <c r="G343" s="9" t="str">
        <f t="shared" ref="G343:H343" si="698">CONCATENATE(C343," : ",C343)</f>
        <v>E5_4_2_2_mRNA : E5_4_2_2_mRNA</v>
      </c>
      <c r="H343" s="50" t="str">
        <f t="shared" si="698"/>
        <v>E5_4_2_2 : E5_4_2_2</v>
      </c>
      <c r="I343" s="51" t="str">
        <f t="shared" ref="I343:J343" si="699">CONCATENATE(C343," : ","0")</f>
        <v>E5_4_2_2_mRNA : 0</v>
      </c>
      <c r="J343" s="52" t="str">
        <f t="shared" si="699"/>
        <v>E5_4_2_2 : 0</v>
      </c>
      <c r="K343" s="53" t="str">
        <f t="shared" si="523"/>
        <v>0.00292 - (0.0093 * E5_4_2_2_mRNA)</v>
      </c>
      <c r="L343" s="54" t="str">
        <f t="shared" si="524"/>
        <v>(0.278 * E5_4_2_2_mRNA) - (0.00000278 * E5_4_2_2)</v>
      </c>
      <c r="M343" s="55" t="str">
        <f t="shared" si="525"/>
        <v>mRNA342: -&gt; E5_4_2_2_mRNA | 0.00292 - (0.0093 * E5_4_2_2_mRNA)</v>
      </c>
      <c r="N343" s="56" t="str">
        <f t="shared" si="526"/>
        <v>Peptide342: E5_4_2_2_mRNA -&gt; E5_4_2_2 | (0.278 * E5_4_2_2_mRNA) - (0.000000278 * E5_4_2_2)</v>
      </c>
    </row>
    <row r="344" spans="1:14" ht="29">
      <c r="A344" s="46">
        <v>343</v>
      </c>
      <c r="B344" s="7" t="s">
        <v>12633</v>
      </c>
      <c r="C344" s="27" t="str">
        <f t="shared" si="518"/>
        <v>E5_4_2_8_mRNA</v>
      </c>
      <c r="D344" s="47" t="str">
        <f t="shared" si="527"/>
        <v>E5_4_2_8</v>
      </c>
      <c r="E344" s="48" t="str">
        <f t="shared" si="519"/>
        <v>E5_4_2_8_kcat : 13.7</v>
      </c>
      <c r="F344" s="49" t="str">
        <f t="shared" si="520"/>
        <v>E5_4_2_8_km : 1</v>
      </c>
      <c r="G344" s="9" t="str">
        <f t="shared" ref="G344:H344" si="700">CONCATENATE(C344," : ",C344)</f>
        <v>E5_4_2_8_mRNA : E5_4_2_8_mRNA</v>
      </c>
      <c r="H344" s="50" t="str">
        <f t="shared" si="700"/>
        <v>E5_4_2_8 : E5_4_2_8</v>
      </c>
      <c r="I344" s="51" t="str">
        <f t="shared" ref="I344:J344" si="701">CONCATENATE(C344," : ","0")</f>
        <v>E5_4_2_8_mRNA : 0</v>
      </c>
      <c r="J344" s="52" t="str">
        <f t="shared" si="701"/>
        <v>E5_4_2_8 : 0</v>
      </c>
      <c r="K344" s="53" t="str">
        <f t="shared" si="523"/>
        <v>0.00292 - (0.0093 * E5_4_2_8_mRNA)</v>
      </c>
      <c r="L344" s="54" t="str">
        <f t="shared" si="524"/>
        <v>(0.278 * E5_4_2_8_mRNA) - (0.00000278 * E5_4_2_8)</v>
      </c>
      <c r="M344" s="55" t="str">
        <f t="shared" si="525"/>
        <v>mRNA343: -&gt; E5_4_2_8_mRNA | 0.00292 - (0.0093 * E5_4_2_8_mRNA)</v>
      </c>
      <c r="N344" s="56" t="str">
        <f t="shared" si="526"/>
        <v>Peptide343: E5_4_2_8_mRNA -&gt; E5_4_2_8 | (0.278 * E5_4_2_8_mRNA) - (0.000000278 * E5_4_2_8)</v>
      </c>
    </row>
    <row r="345" spans="1:14" ht="29">
      <c r="A345" s="46">
        <v>344</v>
      </c>
      <c r="B345" s="7" t="s">
        <v>12634</v>
      </c>
      <c r="C345" s="27" t="str">
        <f t="shared" si="518"/>
        <v>E6_1_1_14_mRNA</v>
      </c>
      <c r="D345" s="47" t="str">
        <f t="shared" si="527"/>
        <v>E6_1_1_14</v>
      </c>
      <c r="E345" s="48" t="str">
        <f t="shared" si="519"/>
        <v>E6_1_1_14_kcat : 13.7</v>
      </c>
      <c r="F345" s="49" t="str">
        <f t="shared" si="520"/>
        <v>E6_1_1_14_km : 1</v>
      </c>
      <c r="G345" s="9" t="str">
        <f t="shared" ref="G345:H345" si="702">CONCATENATE(C345," : ",C345)</f>
        <v>E6_1_1_14_mRNA : E6_1_1_14_mRNA</v>
      </c>
      <c r="H345" s="50" t="str">
        <f t="shared" si="702"/>
        <v>E6_1_1_14 : E6_1_1_14</v>
      </c>
      <c r="I345" s="51" t="str">
        <f t="shared" ref="I345:J345" si="703">CONCATENATE(C345," : ","0")</f>
        <v>E6_1_1_14_mRNA : 0</v>
      </c>
      <c r="J345" s="52" t="str">
        <f t="shared" si="703"/>
        <v>E6_1_1_14 : 0</v>
      </c>
      <c r="K345" s="53" t="str">
        <f t="shared" si="523"/>
        <v>0.00292 - (0.0093 * E6_1_1_14_mRNA)</v>
      </c>
      <c r="L345" s="54" t="str">
        <f t="shared" si="524"/>
        <v>(0.278 * E6_1_1_14_mRNA) - (0.00000278 * E6_1_1_14)</v>
      </c>
      <c r="M345" s="55" t="str">
        <f t="shared" si="525"/>
        <v>mRNA344: -&gt; E6_1_1_14_mRNA | 0.00292 - (0.0093 * E6_1_1_14_mRNA)</v>
      </c>
      <c r="N345" s="56" t="str">
        <f t="shared" si="526"/>
        <v>Peptide344: E6_1_1_14_mRNA -&gt; E6_1_1_14 | (0.278 * E6_1_1_14_mRNA) - (0.000000278 * E6_1_1_14)</v>
      </c>
    </row>
    <row r="346" spans="1:14" ht="29">
      <c r="A346" s="46">
        <v>345</v>
      </c>
      <c r="B346" s="7" t="s">
        <v>12635</v>
      </c>
      <c r="C346" s="27" t="str">
        <f t="shared" si="518"/>
        <v>E3_1_3_23_mRNA</v>
      </c>
      <c r="D346" s="47" t="str">
        <f t="shared" si="527"/>
        <v>E3_1_3_23</v>
      </c>
      <c r="E346" s="48" t="str">
        <f t="shared" si="519"/>
        <v>E3_1_3_23_kcat : 13.7</v>
      </c>
      <c r="F346" s="49" t="str">
        <f t="shared" si="520"/>
        <v>E3_1_3_23_km : 1</v>
      </c>
      <c r="G346" s="9" t="str">
        <f t="shared" ref="G346:H346" si="704">CONCATENATE(C346," : ",C346)</f>
        <v>E3_1_3_23_mRNA : E3_1_3_23_mRNA</v>
      </c>
      <c r="H346" s="50" t="str">
        <f t="shared" si="704"/>
        <v>E3_1_3_23 : E3_1_3_23</v>
      </c>
      <c r="I346" s="51" t="str">
        <f t="shared" ref="I346:J346" si="705">CONCATENATE(C346," : ","0")</f>
        <v>E3_1_3_23_mRNA : 0</v>
      </c>
      <c r="J346" s="52" t="str">
        <f t="shared" si="705"/>
        <v>E3_1_3_23 : 0</v>
      </c>
      <c r="K346" s="53" t="str">
        <f t="shared" si="523"/>
        <v>0.00292 - (0.0093 * E3_1_3_23_mRNA)</v>
      </c>
      <c r="L346" s="54" t="str">
        <f t="shared" si="524"/>
        <v>(0.278 * E3_1_3_23_mRNA) - (0.00000278 * E3_1_3_23)</v>
      </c>
      <c r="M346" s="55" t="str">
        <f t="shared" si="525"/>
        <v>mRNA345: -&gt; E3_1_3_23_mRNA | 0.00292 - (0.0093 * E3_1_3_23_mRNA)</v>
      </c>
      <c r="N346" s="56" t="str">
        <f t="shared" si="526"/>
        <v>Peptide345: E3_1_3_23_mRNA -&gt; E3_1_3_23 | (0.278 * E3_1_3_23_mRNA) - (0.000000278 * E3_1_3_23)</v>
      </c>
    </row>
    <row r="347" spans="1:14" ht="29">
      <c r="A347" s="46">
        <v>346</v>
      </c>
      <c r="B347" s="7" t="s">
        <v>12636</v>
      </c>
      <c r="C347" s="27" t="str">
        <f t="shared" si="518"/>
        <v>E6_3_5_2_mRNA</v>
      </c>
      <c r="D347" s="47" t="str">
        <f t="shared" si="527"/>
        <v>E6_3_5_2</v>
      </c>
      <c r="E347" s="48" t="str">
        <f t="shared" si="519"/>
        <v>E6_3_5_2_kcat : 13.7</v>
      </c>
      <c r="F347" s="49" t="str">
        <f t="shared" si="520"/>
        <v>E6_3_5_2_km : 1</v>
      </c>
      <c r="G347" s="9" t="str">
        <f t="shared" ref="G347:H347" si="706">CONCATENATE(C347," : ",C347)</f>
        <v>E6_3_5_2_mRNA : E6_3_5_2_mRNA</v>
      </c>
      <c r="H347" s="50" t="str">
        <f t="shared" si="706"/>
        <v>E6_3_5_2 : E6_3_5_2</v>
      </c>
      <c r="I347" s="51" t="str">
        <f t="shared" ref="I347:J347" si="707">CONCATENATE(C347," : ","0")</f>
        <v>E6_3_5_2_mRNA : 0</v>
      </c>
      <c r="J347" s="52" t="str">
        <f t="shared" si="707"/>
        <v>E6_3_5_2 : 0</v>
      </c>
      <c r="K347" s="53" t="str">
        <f t="shared" si="523"/>
        <v>0.00292 - (0.0093 * E6_3_5_2_mRNA)</v>
      </c>
      <c r="L347" s="54" t="str">
        <f t="shared" si="524"/>
        <v>(0.278 * E6_3_5_2_mRNA) - (0.00000278 * E6_3_5_2)</v>
      </c>
      <c r="M347" s="55" t="str">
        <f t="shared" si="525"/>
        <v>mRNA346: -&gt; E6_3_5_2_mRNA | 0.00292 - (0.0093 * E6_3_5_2_mRNA)</v>
      </c>
      <c r="N347" s="56" t="str">
        <f t="shared" si="526"/>
        <v>Peptide346: E6_3_5_2_mRNA -&gt; E6_3_5_2 | (0.278 * E6_3_5_2_mRNA) - (0.000000278 * E6_3_5_2)</v>
      </c>
    </row>
    <row r="348" spans="1:14" ht="29">
      <c r="A348" s="46">
        <v>347</v>
      </c>
      <c r="B348" s="7" t="s">
        <v>12637</v>
      </c>
      <c r="C348" s="27" t="str">
        <f t="shared" si="518"/>
        <v>E3_6_3_42_mRNA</v>
      </c>
      <c r="D348" s="47" t="str">
        <f t="shared" si="527"/>
        <v>E3_6_3_42</v>
      </c>
      <c r="E348" s="48" t="str">
        <f t="shared" si="519"/>
        <v>E3_6_3_42_kcat : 13.7</v>
      </c>
      <c r="F348" s="49" t="str">
        <f t="shared" si="520"/>
        <v>E3_6_3_42_km : 1</v>
      </c>
      <c r="G348" s="9" t="str">
        <f t="shared" ref="G348:H348" si="708">CONCATENATE(C348," : ",C348)</f>
        <v>E3_6_3_42_mRNA : E3_6_3_42_mRNA</v>
      </c>
      <c r="H348" s="50" t="str">
        <f t="shared" si="708"/>
        <v>E3_6_3_42 : E3_6_3_42</v>
      </c>
      <c r="I348" s="51" t="str">
        <f t="shared" ref="I348:J348" si="709">CONCATENATE(C348," : ","0")</f>
        <v>E3_6_3_42_mRNA : 0</v>
      </c>
      <c r="J348" s="52" t="str">
        <f t="shared" si="709"/>
        <v>E3_6_3_42 : 0</v>
      </c>
      <c r="K348" s="53" t="str">
        <f t="shared" si="523"/>
        <v>0.00292 - (0.0093 * E3_6_3_42_mRNA)</v>
      </c>
      <c r="L348" s="54" t="str">
        <f t="shared" si="524"/>
        <v>(0.278 * E3_6_3_42_mRNA) - (0.00000278 * E3_6_3_42)</v>
      </c>
      <c r="M348" s="55" t="str">
        <f t="shared" si="525"/>
        <v>mRNA347: -&gt; E3_6_3_42_mRNA | 0.00292 - (0.0093 * E3_6_3_42_mRNA)</v>
      </c>
      <c r="N348" s="56" t="str">
        <f t="shared" si="526"/>
        <v>Peptide347: E3_6_3_42_mRNA -&gt; E3_6_3_42 | (0.278 * E3_6_3_42_mRNA) - (0.000000278 * E3_6_3_42)</v>
      </c>
    </row>
    <row r="349" spans="1:14" ht="29">
      <c r="A349" s="46">
        <v>348</v>
      </c>
      <c r="B349" s="7" t="s">
        <v>12638</v>
      </c>
      <c r="C349" s="27" t="str">
        <f t="shared" si="518"/>
        <v>E6_3_1_5_mRNA</v>
      </c>
      <c r="D349" s="47" t="str">
        <f t="shared" si="527"/>
        <v>E6_3_1_5</v>
      </c>
      <c r="E349" s="48" t="str">
        <f t="shared" si="519"/>
        <v>E6_3_1_5_kcat : 13.7</v>
      </c>
      <c r="F349" s="49" t="str">
        <f t="shared" si="520"/>
        <v>E6_3_1_5_km : 1</v>
      </c>
      <c r="G349" s="9" t="str">
        <f t="shared" ref="G349:H349" si="710">CONCATENATE(C349," : ",C349)</f>
        <v>E6_3_1_5_mRNA : E6_3_1_5_mRNA</v>
      </c>
      <c r="H349" s="50" t="str">
        <f t="shared" si="710"/>
        <v>E6_3_1_5 : E6_3_1_5</v>
      </c>
      <c r="I349" s="51" t="str">
        <f t="shared" ref="I349:J349" si="711">CONCATENATE(C349," : ","0")</f>
        <v>E6_3_1_5_mRNA : 0</v>
      </c>
      <c r="J349" s="52" t="str">
        <f t="shared" si="711"/>
        <v>E6_3_1_5 : 0</v>
      </c>
      <c r="K349" s="53" t="str">
        <f t="shared" si="523"/>
        <v>0.00292 - (0.0093 * E6_3_1_5_mRNA)</v>
      </c>
      <c r="L349" s="54" t="str">
        <f t="shared" si="524"/>
        <v>(0.278 * E6_3_1_5_mRNA) - (0.00000278 * E6_3_1_5)</v>
      </c>
      <c r="M349" s="55" t="str">
        <f t="shared" si="525"/>
        <v>mRNA348: -&gt; E6_3_1_5_mRNA | 0.00292 - (0.0093 * E6_3_1_5_mRNA)</v>
      </c>
      <c r="N349" s="56" t="str">
        <f t="shared" si="526"/>
        <v>Peptide348: E6_3_1_5_mRNA -&gt; E6_3_1_5 | (0.278 * E6_3_1_5_mRNA) - (0.000000278 * E6_3_1_5)</v>
      </c>
    </row>
    <row r="350" spans="1:14" ht="29">
      <c r="A350" s="46">
        <v>349</v>
      </c>
      <c r="B350" s="7" t="s">
        <v>12639</v>
      </c>
      <c r="C350" s="27" t="str">
        <f t="shared" si="518"/>
        <v>E3_5_99_6_mRNA</v>
      </c>
      <c r="D350" s="47" t="str">
        <f t="shared" si="527"/>
        <v>E3_5_99_6</v>
      </c>
      <c r="E350" s="48" t="str">
        <f t="shared" si="519"/>
        <v>E3_5_99_6_kcat : 13.7</v>
      </c>
      <c r="F350" s="49" t="str">
        <f t="shared" si="520"/>
        <v>E3_5_99_6_km : 1</v>
      </c>
      <c r="G350" s="9" t="str">
        <f t="shared" ref="G350:H350" si="712">CONCATENATE(C350," : ",C350)</f>
        <v>E3_5_99_6_mRNA : E3_5_99_6_mRNA</v>
      </c>
      <c r="H350" s="50" t="str">
        <f t="shared" si="712"/>
        <v>E3_5_99_6 : E3_5_99_6</v>
      </c>
      <c r="I350" s="51" t="str">
        <f t="shared" ref="I350:J350" si="713">CONCATENATE(C350," : ","0")</f>
        <v>E3_5_99_6_mRNA : 0</v>
      </c>
      <c r="J350" s="52" t="str">
        <f t="shared" si="713"/>
        <v>E3_5_99_6 : 0</v>
      </c>
      <c r="K350" s="53" t="str">
        <f t="shared" si="523"/>
        <v>0.00292 - (0.0093 * E3_5_99_6_mRNA)</v>
      </c>
      <c r="L350" s="54" t="str">
        <f t="shared" si="524"/>
        <v>(0.278 * E3_5_99_6_mRNA) - (0.00000278 * E3_5_99_6)</v>
      </c>
      <c r="M350" s="55" t="str">
        <f t="shared" si="525"/>
        <v>mRNA349: -&gt; E3_5_99_6_mRNA | 0.00292 - (0.0093 * E3_5_99_6_mRNA)</v>
      </c>
      <c r="N350" s="56" t="str">
        <f t="shared" si="526"/>
        <v>Peptide349: E3_5_99_6_mRNA -&gt; E3_5_99_6 | (0.278 * E3_5_99_6_mRNA) - (0.000000278 * E3_5_99_6)</v>
      </c>
    </row>
    <row r="351" spans="1:14" ht="29">
      <c r="A351" s="46">
        <v>350</v>
      </c>
      <c r="B351" s="7" t="s">
        <v>12640</v>
      </c>
      <c r="C351" s="27" t="str">
        <f t="shared" si="518"/>
        <v>E1_3_99_22_mRNA</v>
      </c>
      <c r="D351" s="47" t="str">
        <f t="shared" si="527"/>
        <v>E1_3_99_22</v>
      </c>
      <c r="E351" s="48" t="str">
        <f t="shared" si="519"/>
        <v>E1_3_99_22_kcat : 13.7</v>
      </c>
      <c r="F351" s="49" t="str">
        <f t="shared" si="520"/>
        <v>E1_3_99_22_km : 1</v>
      </c>
      <c r="G351" s="9" t="str">
        <f t="shared" ref="G351:H351" si="714">CONCATENATE(C351," : ",C351)</f>
        <v>E1_3_99_22_mRNA : E1_3_99_22_mRNA</v>
      </c>
      <c r="H351" s="50" t="str">
        <f t="shared" si="714"/>
        <v>E1_3_99_22 : E1_3_99_22</v>
      </c>
      <c r="I351" s="51" t="str">
        <f t="shared" ref="I351:J351" si="715">CONCATENATE(C351," : ","0")</f>
        <v>E1_3_99_22_mRNA : 0</v>
      </c>
      <c r="J351" s="52" t="str">
        <f t="shared" si="715"/>
        <v>E1_3_99_22 : 0</v>
      </c>
      <c r="K351" s="53" t="str">
        <f t="shared" si="523"/>
        <v>0.00292 - (0.0093 * E1_3_99_22_mRNA)</v>
      </c>
      <c r="L351" s="54" t="str">
        <f t="shared" si="524"/>
        <v>(0.278 * E1_3_99_22_mRNA) - (0.00000278 * E1_3_99_22)</v>
      </c>
      <c r="M351" s="55" t="str">
        <f t="shared" si="525"/>
        <v>mRNA350: -&gt; E1_3_99_22_mRNA | 0.00292 - (0.0093 * E1_3_99_22_mRNA)</v>
      </c>
      <c r="N351" s="56" t="str">
        <f t="shared" si="526"/>
        <v>Peptide350: E1_3_99_22_mRNA -&gt; E1_3_99_22 | (0.278 * E1_3_99_22_mRNA) - (0.000000278 * E1_3_99_22)</v>
      </c>
    </row>
    <row r="352" spans="1:14" ht="29">
      <c r="A352" s="46">
        <v>351</v>
      </c>
      <c r="B352" s="7" t="s">
        <v>12641</v>
      </c>
      <c r="C352" s="27" t="str">
        <f t="shared" si="518"/>
        <v>E1_3_3_3_mRNA</v>
      </c>
      <c r="D352" s="47" t="str">
        <f t="shared" si="527"/>
        <v>E1_3_3_3</v>
      </c>
      <c r="E352" s="48" t="str">
        <f t="shared" si="519"/>
        <v>E1_3_3_3_kcat : 13.7</v>
      </c>
      <c r="F352" s="49" t="str">
        <f t="shared" si="520"/>
        <v>E1_3_3_3_km : 1</v>
      </c>
      <c r="G352" s="9" t="str">
        <f t="shared" ref="G352:H352" si="716">CONCATENATE(C352," : ",C352)</f>
        <v>E1_3_3_3_mRNA : E1_3_3_3_mRNA</v>
      </c>
      <c r="H352" s="50" t="str">
        <f t="shared" si="716"/>
        <v>E1_3_3_3 : E1_3_3_3</v>
      </c>
      <c r="I352" s="51" t="str">
        <f t="shared" ref="I352:J352" si="717">CONCATENATE(C352," : ","0")</f>
        <v>E1_3_3_3_mRNA : 0</v>
      </c>
      <c r="J352" s="52" t="str">
        <f t="shared" si="717"/>
        <v>E1_3_3_3 : 0</v>
      </c>
      <c r="K352" s="53" t="str">
        <f t="shared" si="523"/>
        <v>0.00292 - (0.0093 * E1_3_3_3_mRNA)</v>
      </c>
      <c r="L352" s="54" t="str">
        <f t="shared" si="524"/>
        <v>(0.278 * E1_3_3_3_mRNA) - (0.00000278 * E1_3_3_3)</v>
      </c>
      <c r="M352" s="55" t="str">
        <f t="shared" si="525"/>
        <v>mRNA351: -&gt; E1_3_3_3_mRNA | 0.00292 - (0.0093 * E1_3_3_3_mRNA)</v>
      </c>
      <c r="N352" s="56" t="str">
        <f t="shared" si="526"/>
        <v>Peptide351: E1_3_3_3_mRNA -&gt; E1_3_3_3 | (0.278 * E1_3_3_3_mRNA) - (0.000000278 * E1_3_3_3)</v>
      </c>
    </row>
    <row r="353" spans="1:14" ht="29">
      <c r="A353" s="46">
        <v>352</v>
      </c>
      <c r="B353" s="7" t="s">
        <v>12642</v>
      </c>
      <c r="C353" s="27" t="str">
        <f t="shared" si="518"/>
        <v>E3_1_2_14_mRNA</v>
      </c>
      <c r="D353" s="47" t="str">
        <f t="shared" si="527"/>
        <v>E3_1_2_14</v>
      </c>
      <c r="E353" s="48" t="str">
        <f t="shared" si="519"/>
        <v>E3_1_2_14_kcat : 13.7</v>
      </c>
      <c r="F353" s="49" t="str">
        <f t="shared" si="520"/>
        <v>E3_1_2_14_km : 1</v>
      </c>
      <c r="G353" s="9" t="str">
        <f t="shared" ref="G353:H353" si="718">CONCATENATE(C353," : ",C353)</f>
        <v>E3_1_2_14_mRNA : E3_1_2_14_mRNA</v>
      </c>
      <c r="H353" s="50" t="str">
        <f t="shared" si="718"/>
        <v>E3_1_2_14 : E3_1_2_14</v>
      </c>
      <c r="I353" s="51" t="str">
        <f t="shared" ref="I353:J353" si="719">CONCATENATE(C353," : ","0")</f>
        <v>E3_1_2_14_mRNA : 0</v>
      </c>
      <c r="J353" s="52" t="str">
        <f t="shared" si="719"/>
        <v>E3_1_2_14 : 0</v>
      </c>
      <c r="K353" s="53" t="str">
        <f t="shared" si="523"/>
        <v>0.00292 - (0.0093 * E3_1_2_14_mRNA)</v>
      </c>
      <c r="L353" s="54" t="str">
        <f t="shared" si="524"/>
        <v>(0.278 * E3_1_2_14_mRNA) - (0.00000278 * E3_1_2_14)</v>
      </c>
      <c r="M353" s="55" t="str">
        <f t="shared" si="525"/>
        <v>mRNA352: -&gt; E3_1_2_14_mRNA | 0.00292 - (0.0093 * E3_1_2_14_mRNA)</v>
      </c>
      <c r="N353" s="56" t="str">
        <f t="shared" si="526"/>
        <v>Peptide352: E3_1_2_14_mRNA -&gt; E3_1_2_14 | (0.278 * E3_1_2_14_mRNA) - (0.000000278 * E3_1_2_14)</v>
      </c>
    </row>
    <row r="354" spans="1:14" ht="29">
      <c r="A354" s="46">
        <v>353</v>
      </c>
      <c r="B354" s="7" t="s">
        <v>12643</v>
      </c>
      <c r="C354" s="27" t="str">
        <f t="shared" si="518"/>
        <v>E3_1_3_25_mRNA</v>
      </c>
      <c r="D354" s="47" t="str">
        <f t="shared" si="527"/>
        <v>E3_1_3_25</v>
      </c>
      <c r="E354" s="48" t="str">
        <f t="shared" si="519"/>
        <v>E3_1_3_25_kcat : 13.7</v>
      </c>
      <c r="F354" s="49" t="str">
        <f t="shared" si="520"/>
        <v>E3_1_3_25_km : 1</v>
      </c>
      <c r="G354" s="9" t="str">
        <f t="shared" ref="G354:H354" si="720">CONCATENATE(C354," : ",C354)</f>
        <v>E3_1_3_25_mRNA : E3_1_3_25_mRNA</v>
      </c>
      <c r="H354" s="50" t="str">
        <f t="shared" si="720"/>
        <v>E3_1_3_25 : E3_1_3_25</v>
      </c>
      <c r="I354" s="51" t="str">
        <f t="shared" ref="I354:J354" si="721">CONCATENATE(C354," : ","0")</f>
        <v>E3_1_3_25_mRNA : 0</v>
      </c>
      <c r="J354" s="52" t="str">
        <f t="shared" si="721"/>
        <v>E3_1_3_25 : 0</v>
      </c>
      <c r="K354" s="53" t="str">
        <f t="shared" si="523"/>
        <v>0.00292 - (0.0093 * E3_1_3_25_mRNA)</v>
      </c>
      <c r="L354" s="54" t="str">
        <f t="shared" si="524"/>
        <v>(0.278 * E3_1_3_25_mRNA) - (0.00000278 * E3_1_3_25)</v>
      </c>
      <c r="M354" s="55" t="str">
        <f t="shared" si="525"/>
        <v>mRNA353: -&gt; E3_1_3_25_mRNA | 0.00292 - (0.0093 * E3_1_3_25_mRNA)</v>
      </c>
      <c r="N354" s="56" t="str">
        <f t="shared" si="526"/>
        <v>Peptide353: E3_1_3_25_mRNA -&gt; E3_1_3_25 | (0.278 * E3_1_3_25_mRNA) - (0.000000278 * E3_1_3_25)</v>
      </c>
    </row>
    <row r="355" spans="1:14" ht="29">
      <c r="A355" s="46">
        <v>354</v>
      </c>
      <c r="B355" s="7" t="s">
        <v>12644</v>
      </c>
      <c r="C355" s="27" t="str">
        <f t="shared" si="518"/>
        <v>E2_1_1_178_mRNA</v>
      </c>
      <c r="D355" s="47" t="str">
        <f t="shared" si="527"/>
        <v>E2_1_1_178</v>
      </c>
      <c r="E355" s="48" t="str">
        <f t="shared" si="519"/>
        <v>E2_1_1_178_kcat : 13.7</v>
      </c>
      <c r="F355" s="49" t="str">
        <f t="shared" si="520"/>
        <v>E2_1_1_178_km : 1</v>
      </c>
      <c r="G355" s="9" t="str">
        <f t="shared" ref="G355:H355" si="722">CONCATENATE(C355," : ",C355)</f>
        <v>E2_1_1_178_mRNA : E2_1_1_178_mRNA</v>
      </c>
      <c r="H355" s="50" t="str">
        <f t="shared" si="722"/>
        <v>E2_1_1_178 : E2_1_1_178</v>
      </c>
      <c r="I355" s="51" t="str">
        <f t="shared" ref="I355:J355" si="723">CONCATENATE(C355," : ","0")</f>
        <v>E2_1_1_178_mRNA : 0</v>
      </c>
      <c r="J355" s="52" t="str">
        <f t="shared" si="723"/>
        <v>E2_1_1_178 : 0</v>
      </c>
      <c r="K355" s="53" t="str">
        <f t="shared" si="523"/>
        <v>0.00292 - (0.0093 * E2_1_1_178_mRNA)</v>
      </c>
      <c r="L355" s="54" t="str">
        <f t="shared" si="524"/>
        <v>(0.278 * E2_1_1_178_mRNA) - (0.00000278 * E2_1_1_178)</v>
      </c>
      <c r="M355" s="55" t="str">
        <f t="shared" si="525"/>
        <v>mRNA354: -&gt; E2_1_1_178_mRNA | 0.00292 - (0.0093 * E2_1_1_178_mRNA)</v>
      </c>
      <c r="N355" s="56" t="str">
        <f t="shared" si="526"/>
        <v>Peptide354: E2_1_1_178_mRNA -&gt; E2_1_1_178 | (0.278 * E2_1_1_178_mRNA) - (0.000000278 * E2_1_1_178)</v>
      </c>
    </row>
    <row r="356" spans="1:14" ht="29">
      <c r="A356" s="46">
        <v>355</v>
      </c>
      <c r="B356" s="7" t="s">
        <v>12645</v>
      </c>
      <c r="C356" s="27" t="str">
        <f t="shared" si="518"/>
        <v>E4_1_1_5_mRNA</v>
      </c>
      <c r="D356" s="47" t="str">
        <f t="shared" si="527"/>
        <v>E4_1_1_5</v>
      </c>
      <c r="E356" s="48" t="str">
        <f t="shared" si="519"/>
        <v>E4_1_1_5_kcat : 13.7</v>
      </c>
      <c r="F356" s="49" t="str">
        <f t="shared" si="520"/>
        <v>E4_1_1_5_km : 1</v>
      </c>
      <c r="G356" s="9" t="str">
        <f t="shared" ref="G356:H356" si="724">CONCATENATE(C356," : ",C356)</f>
        <v>E4_1_1_5_mRNA : E4_1_1_5_mRNA</v>
      </c>
      <c r="H356" s="50" t="str">
        <f t="shared" si="724"/>
        <v>E4_1_1_5 : E4_1_1_5</v>
      </c>
      <c r="I356" s="51" t="str">
        <f t="shared" ref="I356:J356" si="725">CONCATENATE(C356," : ","0")</f>
        <v>E4_1_1_5_mRNA : 0</v>
      </c>
      <c r="J356" s="52" t="str">
        <f t="shared" si="725"/>
        <v>E4_1_1_5 : 0</v>
      </c>
      <c r="K356" s="53" t="str">
        <f t="shared" si="523"/>
        <v>0.00292 - (0.0093 * E4_1_1_5_mRNA)</v>
      </c>
      <c r="L356" s="54" t="str">
        <f t="shared" si="524"/>
        <v>(0.278 * E4_1_1_5_mRNA) - (0.00000278 * E4_1_1_5)</v>
      </c>
      <c r="M356" s="55" t="str">
        <f t="shared" si="525"/>
        <v>mRNA355: -&gt; E4_1_1_5_mRNA | 0.00292 - (0.0093 * E4_1_1_5_mRNA)</v>
      </c>
      <c r="N356" s="56" t="str">
        <f t="shared" si="526"/>
        <v>Peptide355: E4_1_1_5_mRNA -&gt; E4_1_1_5 | (0.278 * E4_1_1_5_mRNA) - (0.000000278 * E4_1_1_5)</v>
      </c>
    </row>
    <row r="357" spans="1:14" ht="29">
      <c r="A357" s="46">
        <v>356</v>
      </c>
      <c r="B357" s="7" t="s">
        <v>12646</v>
      </c>
      <c r="C357" s="27" t="str">
        <f t="shared" si="518"/>
        <v>E1_3_1_98_mRNA</v>
      </c>
      <c r="D357" s="47" t="str">
        <f t="shared" si="527"/>
        <v>E1_3_1_98</v>
      </c>
      <c r="E357" s="48" t="str">
        <f t="shared" si="519"/>
        <v>E1_3_1_98_kcat : 13.7</v>
      </c>
      <c r="F357" s="49" t="str">
        <f t="shared" si="520"/>
        <v>E1_3_1_98_km : 1</v>
      </c>
      <c r="G357" s="9" t="str">
        <f t="shared" ref="G357:H357" si="726">CONCATENATE(C357," : ",C357)</f>
        <v>E1_3_1_98_mRNA : E1_3_1_98_mRNA</v>
      </c>
      <c r="H357" s="50" t="str">
        <f t="shared" si="726"/>
        <v>E1_3_1_98 : E1_3_1_98</v>
      </c>
      <c r="I357" s="51" t="str">
        <f t="shared" ref="I357:J357" si="727">CONCATENATE(C357," : ","0")</f>
        <v>E1_3_1_98_mRNA : 0</v>
      </c>
      <c r="J357" s="52" t="str">
        <f t="shared" si="727"/>
        <v>E1_3_1_98 : 0</v>
      </c>
      <c r="K357" s="53" t="str">
        <f t="shared" si="523"/>
        <v>0.00292 - (0.0093 * E1_3_1_98_mRNA)</v>
      </c>
      <c r="L357" s="54" t="str">
        <f t="shared" si="524"/>
        <v>(0.278 * E1_3_1_98_mRNA) - (0.00000278 * E1_3_1_98)</v>
      </c>
      <c r="M357" s="55" t="str">
        <f t="shared" si="525"/>
        <v>mRNA356: -&gt; E1_3_1_98_mRNA | 0.00292 - (0.0093 * E1_3_1_98_mRNA)</v>
      </c>
      <c r="N357" s="56" t="str">
        <f t="shared" si="526"/>
        <v>Peptide356: E1_3_1_98_mRNA -&gt; E1_3_1_98 | (0.278 * E1_3_1_98_mRNA) - (0.000000278 * E1_3_1_98)</v>
      </c>
    </row>
    <row r="358" spans="1:14" ht="29">
      <c r="A358" s="46">
        <v>357</v>
      </c>
      <c r="B358" s="7" t="s">
        <v>12647</v>
      </c>
      <c r="C358" s="27" t="str">
        <f t="shared" si="518"/>
        <v>E6_1_1_7_mRNA</v>
      </c>
      <c r="D358" s="47" t="str">
        <f t="shared" si="527"/>
        <v>E6_1_1_7</v>
      </c>
      <c r="E358" s="48" t="str">
        <f t="shared" si="519"/>
        <v>E6_1_1_7_kcat : 13.7</v>
      </c>
      <c r="F358" s="49" t="str">
        <f t="shared" si="520"/>
        <v>E6_1_1_7_km : 1</v>
      </c>
      <c r="G358" s="9" t="str">
        <f t="shared" ref="G358:H358" si="728">CONCATENATE(C358," : ",C358)</f>
        <v>E6_1_1_7_mRNA : E6_1_1_7_mRNA</v>
      </c>
      <c r="H358" s="50" t="str">
        <f t="shared" si="728"/>
        <v>E6_1_1_7 : E6_1_1_7</v>
      </c>
      <c r="I358" s="51" t="str">
        <f t="shared" ref="I358:J358" si="729">CONCATENATE(C358," : ","0")</f>
        <v>E6_1_1_7_mRNA : 0</v>
      </c>
      <c r="J358" s="52" t="str">
        <f t="shared" si="729"/>
        <v>E6_1_1_7 : 0</v>
      </c>
      <c r="K358" s="53" t="str">
        <f t="shared" si="523"/>
        <v>0.00292 - (0.0093 * E6_1_1_7_mRNA)</v>
      </c>
      <c r="L358" s="54" t="str">
        <f t="shared" si="524"/>
        <v>(0.278 * E6_1_1_7_mRNA) - (0.00000278 * E6_1_1_7)</v>
      </c>
      <c r="M358" s="55" t="str">
        <f t="shared" si="525"/>
        <v>mRNA357: -&gt; E6_1_1_7_mRNA | 0.00292 - (0.0093 * E6_1_1_7_mRNA)</v>
      </c>
      <c r="N358" s="56" t="str">
        <f t="shared" si="526"/>
        <v>Peptide357: E6_1_1_7_mRNA -&gt; E6_1_1_7 | (0.278 * E6_1_1_7_mRNA) - (0.000000278 * E6_1_1_7)</v>
      </c>
    </row>
    <row r="359" spans="1:14" ht="29">
      <c r="A359" s="46">
        <v>358</v>
      </c>
      <c r="B359" s="7" t="s">
        <v>12648</v>
      </c>
      <c r="C359" s="27" t="str">
        <f t="shared" si="518"/>
        <v>E3_2_1_1_mRNA</v>
      </c>
      <c r="D359" s="47" t="str">
        <f t="shared" si="527"/>
        <v>E3_2_1_1</v>
      </c>
      <c r="E359" s="48" t="str">
        <f t="shared" si="519"/>
        <v>E3_2_1_1_kcat : 13.7</v>
      </c>
      <c r="F359" s="49" t="str">
        <f t="shared" si="520"/>
        <v>E3_2_1_1_km : 1</v>
      </c>
      <c r="G359" s="9" t="str">
        <f t="shared" ref="G359:H359" si="730">CONCATENATE(C359," : ",C359)</f>
        <v>E3_2_1_1_mRNA : E3_2_1_1_mRNA</v>
      </c>
      <c r="H359" s="50" t="str">
        <f t="shared" si="730"/>
        <v>E3_2_1_1 : E3_2_1_1</v>
      </c>
      <c r="I359" s="51" t="str">
        <f t="shared" ref="I359:J359" si="731">CONCATENATE(C359," : ","0")</f>
        <v>E3_2_1_1_mRNA : 0</v>
      </c>
      <c r="J359" s="52" t="str">
        <f t="shared" si="731"/>
        <v>E3_2_1_1 : 0</v>
      </c>
      <c r="K359" s="53" t="str">
        <f t="shared" si="523"/>
        <v>0.00292 - (0.0093 * E3_2_1_1_mRNA)</v>
      </c>
      <c r="L359" s="54" t="str">
        <f t="shared" si="524"/>
        <v>(0.278 * E3_2_1_1_mRNA) - (0.00000278 * E3_2_1_1)</v>
      </c>
      <c r="M359" s="55" t="str">
        <f t="shared" si="525"/>
        <v>mRNA358: -&gt; E3_2_1_1_mRNA | 0.00292 - (0.0093 * E3_2_1_1_mRNA)</v>
      </c>
      <c r="N359" s="56" t="str">
        <f t="shared" si="526"/>
        <v>Peptide358: E3_2_1_1_mRNA -&gt; E3_2_1_1 | (0.278 * E3_2_1_1_mRNA) - (0.000000278 * E3_2_1_1)</v>
      </c>
    </row>
    <row r="360" spans="1:14" ht="29">
      <c r="A360" s="46">
        <v>359</v>
      </c>
      <c r="B360" s="7" t="s">
        <v>12649</v>
      </c>
      <c r="C360" s="27" t="str">
        <f t="shared" si="518"/>
        <v>E2_1_1_191_mRNA</v>
      </c>
      <c r="D360" s="47" t="str">
        <f t="shared" si="527"/>
        <v>E2_1_1_191</v>
      </c>
      <c r="E360" s="48" t="str">
        <f t="shared" si="519"/>
        <v>E2_1_1_191_kcat : 13.7</v>
      </c>
      <c r="F360" s="49" t="str">
        <f t="shared" si="520"/>
        <v>E2_1_1_191_km : 1</v>
      </c>
      <c r="G360" s="9" t="str">
        <f t="shared" ref="G360:H360" si="732">CONCATENATE(C360," : ",C360)</f>
        <v>E2_1_1_191_mRNA : E2_1_1_191_mRNA</v>
      </c>
      <c r="H360" s="50" t="str">
        <f t="shared" si="732"/>
        <v>E2_1_1_191 : E2_1_1_191</v>
      </c>
      <c r="I360" s="51" t="str">
        <f t="shared" ref="I360:J360" si="733">CONCATENATE(C360," : ","0")</f>
        <v>E2_1_1_191_mRNA : 0</v>
      </c>
      <c r="J360" s="52" t="str">
        <f t="shared" si="733"/>
        <v>E2_1_1_191 : 0</v>
      </c>
      <c r="K360" s="53" t="str">
        <f t="shared" si="523"/>
        <v>0.00292 - (0.0093 * E2_1_1_191_mRNA)</v>
      </c>
      <c r="L360" s="54" t="str">
        <f t="shared" si="524"/>
        <v>(0.278 * E2_1_1_191_mRNA) - (0.00000278 * E2_1_1_191)</v>
      </c>
      <c r="M360" s="55" t="str">
        <f t="shared" si="525"/>
        <v>mRNA359: -&gt; E2_1_1_191_mRNA | 0.00292 - (0.0093 * E2_1_1_191_mRNA)</v>
      </c>
      <c r="N360" s="56" t="str">
        <f t="shared" si="526"/>
        <v>Peptide359: E2_1_1_191_mRNA -&gt; E2_1_1_191 | (0.278 * E2_1_1_191_mRNA) - (0.000000278 * E2_1_1_191)</v>
      </c>
    </row>
    <row r="361" spans="1:14" ht="29">
      <c r="A361" s="46">
        <v>360</v>
      </c>
      <c r="B361" s="7" t="s">
        <v>12650</v>
      </c>
      <c r="C361" s="27" t="str">
        <f t="shared" si="518"/>
        <v>E4_2_1_10_mRNA</v>
      </c>
      <c r="D361" s="47" t="str">
        <f t="shared" si="527"/>
        <v>E4_2_1_10</v>
      </c>
      <c r="E361" s="48" t="str">
        <f t="shared" si="519"/>
        <v>E4_2_1_10_kcat : 13.7</v>
      </c>
      <c r="F361" s="49" t="str">
        <f t="shared" si="520"/>
        <v>E4_2_1_10_km : 1</v>
      </c>
      <c r="G361" s="9" t="str">
        <f t="shared" ref="G361:H361" si="734">CONCATENATE(C361," : ",C361)</f>
        <v>E4_2_1_10_mRNA : E4_2_1_10_mRNA</v>
      </c>
      <c r="H361" s="50" t="str">
        <f t="shared" si="734"/>
        <v>E4_2_1_10 : E4_2_1_10</v>
      </c>
      <c r="I361" s="51" t="str">
        <f t="shared" ref="I361:J361" si="735">CONCATENATE(C361," : ","0")</f>
        <v>E4_2_1_10_mRNA : 0</v>
      </c>
      <c r="J361" s="52" t="str">
        <f t="shared" si="735"/>
        <v>E4_2_1_10 : 0</v>
      </c>
      <c r="K361" s="53" t="str">
        <f t="shared" si="523"/>
        <v>0.00292 - (0.0093 * E4_2_1_10_mRNA)</v>
      </c>
      <c r="L361" s="54" t="str">
        <f t="shared" si="524"/>
        <v>(0.278 * E4_2_1_10_mRNA) - (0.00000278 * E4_2_1_10)</v>
      </c>
      <c r="M361" s="55" t="str">
        <f t="shared" si="525"/>
        <v>mRNA360: -&gt; E4_2_1_10_mRNA | 0.00292 - (0.0093 * E4_2_1_10_mRNA)</v>
      </c>
      <c r="N361" s="56" t="str">
        <f t="shared" si="526"/>
        <v>Peptide360: E4_2_1_10_mRNA -&gt; E4_2_1_10 | (0.278 * E4_2_1_10_mRNA) - (0.000000278 * E4_2_1_10)</v>
      </c>
    </row>
    <row r="362" spans="1:14" ht="29">
      <c r="A362" s="46">
        <v>361</v>
      </c>
      <c r="B362" s="7" t="s">
        <v>12651</v>
      </c>
      <c r="C362" s="27" t="str">
        <f t="shared" si="518"/>
        <v>E1_1_1_25_mRNA</v>
      </c>
      <c r="D362" s="47" t="str">
        <f t="shared" si="527"/>
        <v>E1_1_1_25</v>
      </c>
      <c r="E362" s="48" t="str">
        <f t="shared" si="519"/>
        <v>E1_1_1_25_kcat : 13.7</v>
      </c>
      <c r="F362" s="49" t="str">
        <f t="shared" si="520"/>
        <v>E1_1_1_25_km : 1</v>
      </c>
      <c r="G362" s="9" t="str">
        <f t="shared" ref="G362:H362" si="736">CONCATENATE(C362," : ",C362)</f>
        <v>E1_1_1_25_mRNA : E1_1_1_25_mRNA</v>
      </c>
      <c r="H362" s="50" t="str">
        <f t="shared" si="736"/>
        <v>E1_1_1_25 : E1_1_1_25</v>
      </c>
      <c r="I362" s="51" t="str">
        <f t="shared" ref="I362:J362" si="737">CONCATENATE(C362," : ","0")</f>
        <v>E1_1_1_25_mRNA : 0</v>
      </c>
      <c r="J362" s="52" t="str">
        <f t="shared" si="737"/>
        <v>E1_1_1_25 : 0</v>
      </c>
      <c r="K362" s="53" t="str">
        <f t="shared" si="523"/>
        <v>0.00292 - (0.0093 * E1_1_1_25_mRNA)</v>
      </c>
      <c r="L362" s="54" t="str">
        <f t="shared" si="524"/>
        <v>(0.278 * E1_1_1_25_mRNA) - (0.00000278 * E1_1_1_25)</v>
      </c>
      <c r="M362" s="55" t="str">
        <f t="shared" si="525"/>
        <v>mRNA361: -&gt; E1_1_1_25_mRNA | 0.00292 - (0.0093 * E1_1_1_25_mRNA)</v>
      </c>
      <c r="N362" s="56" t="str">
        <f t="shared" si="526"/>
        <v>Peptide361: E1_1_1_25_mRNA -&gt; E1_1_1_25 | (0.278 * E1_1_1_25_mRNA) - (0.000000278 * E1_1_1_25)</v>
      </c>
    </row>
    <row r="363" spans="1:14" ht="29">
      <c r="A363" s="46">
        <v>362</v>
      </c>
      <c r="B363" s="7" t="s">
        <v>12652</v>
      </c>
      <c r="C363" s="27" t="str">
        <f t="shared" si="518"/>
        <v>E4_2_3_4_mRNA</v>
      </c>
      <c r="D363" s="47" t="str">
        <f t="shared" si="527"/>
        <v>E4_2_3_4</v>
      </c>
      <c r="E363" s="48" t="str">
        <f t="shared" si="519"/>
        <v>E4_2_3_4_kcat : 13.7</v>
      </c>
      <c r="F363" s="49" t="str">
        <f t="shared" si="520"/>
        <v>E4_2_3_4_km : 1</v>
      </c>
      <c r="G363" s="9" t="str">
        <f t="shared" ref="G363:H363" si="738">CONCATENATE(C363," : ",C363)</f>
        <v>E4_2_3_4_mRNA : E4_2_3_4_mRNA</v>
      </c>
      <c r="H363" s="50" t="str">
        <f t="shared" si="738"/>
        <v>E4_2_3_4 : E4_2_3_4</v>
      </c>
      <c r="I363" s="51" t="str">
        <f t="shared" ref="I363:J363" si="739">CONCATENATE(C363," : ","0")</f>
        <v>E4_2_3_4_mRNA : 0</v>
      </c>
      <c r="J363" s="52" t="str">
        <f t="shared" si="739"/>
        <v>E4_2_3_4 : 0</v>
      </c>
      <c r="K363" s="53" t="str">
        <f t="shared" si="523"/>
        <v>0.00292 - (0.0093 * E4_2_3_4_mRNA)</v>
      </c>
      <c r="L363" s="54" t="str">
        <f t="shared" si="524"/>
        <v>(0.278 * E4_2_3_4_mRNA) - (0.00000278 * E4_2_3_4)</v>
      </c>
      <c r="M363" s="55" t="str">
        <f t="shared" si="525"/>
        <v>mRNA362: -&gt; E4_2_3_4_mRNA | 0.00292 - (0.0093 * E4_2_3_4_mRNA)</v>
      </c>
      <c r="N363" s="56" t="str">
        <f t="shared" si="526"/>
        <v>Peptide362: E4_2_3_4_mRNA -&gt; E4_2_3_4 | (0.278 * E4_2_3_4_mRNA) - (0.000000278 * E4_2_3_4)</v>
      </c>
    </row>
    <row r="364" spans="1:14" ht="29">
      <c r="A364" s="46">
        <v>363</v>
      </c>
      <c r="B364" s="7" t="s">
        <v>12653</v>
      </c>
      <c r="C364" s="27" t="str">
        <f t="shared" si="518"/>
        <v>E4_2_3_5_mRNA</v>
      </c>
      <c r="D364" s="47" t="str">
        <f t="shared" si="527"/>
        <v>E4_2_3_5</v>
      </c>
      <c r="E364" s="48" t="str">
        <f t="shared" si="519"/>
        <v>E4_2_3_5_kcat : 13.7</v>
      </c>
      <c r="F364" s="49" t="str">
        <f t="shared" si="520"/>
        <v>E4_2_3_5_km : 1</v>
      </c>
      <c r="G364" s="9" t="str">
        <f t="shared" ref="G364:H364" si="740">CONCATENATE(C364," : ",C364)</f>
        <v>E4_2_3_5_mRNA : E4_2_3_5_mRNA</v>
      </c>
      <c r="H364" s="50" t="str">
        <f t="shared" si="740"/>
        <v>E4_2_3_5 : E4_2_3_5</v>
      </c>
      <c r="I364" s="51" t="str">
        <f t="shared" ref="I364:J364" si="741">CONCATENATE(C364," : ","0")</f>
        <v>E4_2_3_5_mRNA : 0</v>
      </c>
      <c r="J364" s="52" t="str">
        <f t="shared" si="741"/>
        <v>E4_2_3_5 : 0</v>
      </c>
      <c r="K364" s="53" t="str">
        <f t="shared" si="523"/>
        <v>0.00292 - (0.0093 * E4_2_3_5_mRNA)</v>
      </c>
      <c r="L364" s="54" t="str">
        <f t="shared" si="524"/>
        <v>(0.278 * E4_2_3_5_mRNA) - (0.00000278 * E4_2_3_5)</v>
      </c>
      <c r="M364" s="55" t="str">
        <f t="shared" si="525"/>
        <v>mRNA363: -&gt; E4_2_3_5_mRNA | 0.00292 - (0.0093 * E4_2_3_5_mRNA)</v>
      </c>
      <c r="N364" s="56" t="str">
        <f t="shared" si="526"/>
        <v>Peptide363: E4_2_3_5_mRNA -&gt; E4_2_3_5 | (0.278 * E4_2_3_5_mRNA) - (0.000000278 * E4_2_3_5)</v>
      </c>
    </row>
    <row r="365" spans="1:14" ht="29">
      <c r="A365" s="46">
        <v>364</v>
      </c>
      <c r="B365" s="7" t="s">
        <v>12654</v>
      </c>
      <c r="C365" s="27" t="str">
        <f t="shared" si="518"/>
        <v>E1_3_1_12_mRNA</v>
      </c>
      <c r="D365" s="47" t="str">
        <f t="shared" si="527"/>
        <v>E1_3_1_12</v>
      </c>
      <c r="E365" s="48" t="str">
        <f t="shared" si="519"/>
        <v>E1_3_1_12_kcat : 13.7</v>
      </c>
      <c r="F365" s="49" t="str">
        <f t="shared" si="520"/>
        <v>E1_3_1_12_km : 1</v>
      </c>
      <c r="G365" s="9" t="str">
        <f t="shared" ref="G365:H365" si="742">CONCATENATE(C365," : ",C365)</f>
        <v>E1_3_1_12_mRNA : E1_3_1_12_mRNA</v>
      </c>
      <c r="H365" s="50" t="str">
        <f t="shared" si="742"/>
        <v>E1_3_1_12 : E1_3_1_12</v>
      </c>
      <c r="I365" s="51" t="str">
        <f t="shared" ref="I365:J365" si="743">CONCATENATE(C365," : ","0")</f>
        <v>E1_3_1_12_mRNA : 0</v>
      </c>
      <c r="J365" s="52" t="str">
        <f t="shared" si="743"/>
        <v>E1_3_1_12 : 0</v>
      </c>
      <c r="K365" s="53" t="str">
        <f t="shared" si="523"/>
        <v>0.00292 - (0.0093 * E1_3_1_12_mRNA)</v>
      </c>
      <c r="L365" s="54" t="str">
        <f t="shared" si="524"/>
        <v>(0.278 * E1_3_1_12_mRNA) - (0.00000278 * E1_3_1_12)</v>
      </c>
      <c r="M365" s="55" t="str">
        <f t="shared" si="525"/>
        <v>mRNA364: -&gt; E1_3_1_12_mRNA | 0.00292 - (0.0093 * E1_3_1_12_mRNA)</v>
      </c>
      <c r="N365" s="56" t="str">
        <f t="shared" si="526"/>
        <v>Peptide364: E1_3_1_12_mRNA -&gt; E1_3_1_12 | (0.278 * E1_3_1_12_mRNA) - (0.000000278 * E1_3_1_12)</v>
      </c>
    </row>
    <row r="366" spans="1:14" ht="29">
      <c r="A366" s="46">
        <v>365</v>
      </c>
      <c r="B366" s="7" t="s">
        <v>12655</v>
      </c>
      <c r="C366" s="27" t="str">
        <f t="shared" si="518"/>
        <v>E1_3_1_43_mRNA</v>
      </c>
      <c r="D366" s="47" t="str">
        <f t="shared" si="527"/>
        <v>E1_3_1_43</v>
      </c>
      <c r="E366" s="48" t="str">
        <f t="shared" si="519"/>
        <v>E1_3_1_43_kcat : 13.7</v>
      </c>
      <c r="F366" s="49" t="str">
        <f t="shared" si="520"/>
        <v>E1_3_1_43_km : 1</v>
      </c>
      <c r="G366" s="9" t="str">
        <f t="shared" ref="G366:H366" si="744">CONCATENATE(C366," : ",C366)</f>
        <v>E1_3_1_43_mRNA : E1_3_1_43_mRNA</v>
      </c>
      <c r="H366" s="50" t="str">
        <f t="shared" si="744"/>
        <v>E1_3_1_43 : E1_3_1_43</v>
      </c>
      <c r="I366" s="51" t="str">
        <f t="shared" ref="I366:J366" si="745">CONCATENATE(C366," : ","0")</f>
        <v>E1_3_1_43_mRNA : 0</v>
      </c>
      <c r="J366" s="52" t="str">
        <f t="shared" si="745"/>
        <v>E1_3_1_43 : 0</v>
      </c>
      <c r="K366" s="53" t="str">
        <f t="shared" si="523"/>
        <v>0.00292 - (0.0093 * E1_3_1_43_mRNA)</v>
      </c>
      <c r="L366" s="54" t="str">
        <f t="shared" si="524"/>
        <v>(0.278 * E1_3_1_43_mRNA) - (0.00000278 * E1_3_1_43)</v>
      </c>
      <c r="M366" s="55" t="str">
        <f t="shared" si="525"/>
        <v>mRNA365: -&gt; E1_3_1_43_mRNA | 0.00292 - (0.0093 * E1_3_1_43_mRNA)</v>
      </c>
      <c r="N366" s="56" t="str">
        <f t="shared" si="526"/>
        <v>Peptide365: E1_3_1_43_mRNA -&gt; E1_3_1_43 | (0.278 * E1_3_1_43_mRNA) - (0.000000278 * E1_3_1_43)</v>
      </c>
    </row>
    <row r="367" spans="1:14" ht="29">
      <c r="A367" s="46">
        <v>366</v>
      </c>
      <c r="B367" s="7" t="s">
        <v>12656</v>
      </c>
      <c r="C367" s="27" t="str">
        <f t="shared" si="518"/>
        <v>E2_5_1_19_mRNA</v>
      </c>
      <c r="D367" s="47" t="str">
        <f t="shared" si="527"/>
        <v>E2_5_1_19</v>
      </c>
      <c r="E367" s="48" t="str">
        <f t="shared" si="519"/>
        <v>E2_5_1_19_kcat : 13.7</v>
      </c>
      <c r="F367" s="49" t="str">
        <f t="shared" si="520"/>
        <v>E2_5_1_19_km : 1</v>
      </c>
      <c r="G367" s="9" t="str">
        <f t="shared" ref="G367:H367" si="746">CONCATENATE(C367," : ",C367)</f>
        <v>E2_5_1_19_mRNA : E2_5_1_19_mRNA</v>
      </c>
      <c r="H367" s="50" t="str">
        <f t="shared" si="746"/>
        <v>E2_5_1_19 : E2_5_1_19</v>
      </c>
      <c r="I367" s="51" t="str">
        <f t="shared" ref="I367:J367" si="747">CONCATENATE(C367," : ","0")</f>
        <v>E2_5_1_19_mRNA : 0</v>
      </c>
      <c r="J367" s="52" t="str">
        <f t="shared" si="747"/>
        <v>E2_5_1_19 : 0</v>
      </c>
      <c r="K367" s="53" t="str">
        <f t="shared" si="523"/>
        <v>0.00292 - (0.0093 * E2_5_1_19_mRNA)</v>
      </c>
      <c r="L367" s="54" t="str">
        <f t="shared" si="524"/>
        <v>(0.278 * E2_5_1_19_mRNA) - (0.00000278 * E2_5_1_19)</v>
      </c>
      <c r="M367" s="55" t="str">
        <f t="shared" si="525"/>
        <v>mRNA366: -&gt; E2_5_1_19_mRNA | 0.00292 - (0.0093 * E2_5_1_19_mRNA)</v>
      </c>
      <c r="N367" s="56" t="str">
        <f t="shared" si="526"/>
        <v>Peptide366: E2_5_1_19_mRNA -&gt; E2_5_1_19 | (0.278 * E2_5_1_19_mRNA) - (0.000000278 * E2_5_1_19)</v>
      </c>
    </row>
    <row r="368" spans="1:14" ht="29">
      <c r="A368" s="46">
        <v>367</v>
      </c>
      <c r="B368" s="7" t="s">
        <v>12657</v>
      </c>
      <c r="C368" s="27" t="str">
        <f t="shared" si="518"/>
        <v>E3_1_3_27_mRNA</v>
      </c>
      <c r="D368" s="47" t="str">
        <f t="shared" si="527"/>
        <v>E3_1_3_27</v>
      </c>
      <c r="E368" s="48" t="str">
        <f t="shared" si="519"/>
        <v>E3_1_3_27_kcat : 13.7</v>
      </c>
      <c r="F368" s="49" t="str">
        <f t="shared" si="520"/>
        <v>E3_1_3_27_km : 1</v>
      </c>
      <c r="G368" s="9" t="str">
        <f t="shared" ref="G368:H368" si="748">CONCATENATE(C368," : ",C368)</f>
        <v>E3_1_3_27_mRNA : E3_1_3_27_mRNA</v>
      </c>
      <c r="H368" s="50" t="str">
        <f t="shared" si="748"/>
        <v>E3_1_3_27 : E3_1_3_27</v>
      </c>
      <c r="I368" s="51" t="str">
        <f t="shared" ref="I368:J368" si="749">CONCATENATE(C368," : ","0")</f>
        <v>E3_1_3_27_mRNA : 0</v>
      </c>
      <c r="J368" s="52" t="str">
        <f t="shared" si="749"/>
        <v>E3_1_3_27 : 0</v>
      </c>
      <c r="K368" s="53" t="str">
        <f t="shared" si="523"/>
        <v>0.00292 - (0.0093 * E3_1_3_27_mRNA)</v>
      </c>
      <c r="L368" s="54" t="str">
        <f t="shared" si="524"/>
        <v>(0.278 * E3_1_3_27_mRNA) - (0.00000278 * E3_1_3_27)</v>
      </c>
      <c r="M368" s="55" t="str">
        <f t="shared" si="525"/>
        <v>mRNA367: -&gt; E3_1_3_27_mRNA | 0.00292 - (0.0093 * E3_1_3_27_mRNA)</v>
      </c>
      <c r="N368" s="56" t="str">
        <f t="shared" si="526"/>
        <v>Peptide367: E3_1_3_27_mRNA -&gt; E3_1_3_27 | (0.278 * E3_1_3_27_mRNA) - (0.000000278 * E3_1_3_27)</v>
      </c>
    </row>
    <row r="369" spans="1:14" ht="29">
      <c r="A369" s="46">
        <v>368</v>
      </c>
      <c r="B369" s="7" t="s">
        <v>12658</v>
      </c>
      <c r="C369" s="27" t="str">
        <f t="shared" si="518"/>
        <v>E1_4_1_4_mRNA</v>
      </c>
      <c r="D369" s="47" t="str">
        <f t="shared" si="527"/>
        <v>E1_4_1_4</v>
      </c>
      <c r="E369" s="48" t="str">
        <f t="shared" si="519"/>
        <v>E1_4_1_4_kcat : 13.7</v>
      </c>
      <c r="F369" s="49" t="str">
        <f t="shared" si="520"/>
        <v>E1_4_1_4_km : 1</v>
      </c>
      <c r="G369" s="9" t="str">
        <f t="shared" ref="G369:H369" si="750">CONCATENATE(C369," : ",C369)</f>
        <v>E1_4_1_4_mRNA : E1_4_1_4_mRNA</v>
      </c>
      <c r="H369" s="50" t="str">
        <f t="shared" si="750"/>
        <v>E1_4_1_4 : E1_4_1_4</v>
      </c>
      <c r="I369" s="51" t="str">
        <f t="shared" ref="I369:J369" si="751">CONCATENATE(C369," : ","0")</f>
        <v>E1_4_1_4_mRNA : 0</v>
      </c>
      <c r="J369" s="52" t="str">
        <f t="shared" si="751"/>
        <v>E1_4_1_4 : 0</v>
      </c>
      <c r="K369" s="53" t="str">
        <f t="shared" si="523"/>
        <v>0.00292 - (0.0093 * E1_4_1_4_mRNA)</v>
      </c>
      <c r="L369" s="54" t="str">
        <f t="shared" si="524"/>
        <v>(0.278 * E1_4_1_4_mRNA) - (0.00000278 * E1_4_1_4)</v>
      </c>
      <c r="M369" s="55" t="str">
        <f t="shared" si="525"/>
        <v>mRNA368: -&gt; E1_4_1_4_mRNA | 0.00292 - (0.0093 * E1_4_1_4_mRNA)</v>
      </c>
      <c r="N369" s="56" t="str">
        <f t="shared" si="526"/>
        <v>Peptide368: E1_4_1_4_mRNA -&gt; E1_4_1_4 | (0.278 * E1_4_1_4_mRNA) - (0.000000278 * E1_4_1_4)</v>
      </c>
    </row>
    <row r="370" spans="1:14" ht="29">
      <c r="A370" s="46">
        <v>369</v>
      </c>
      <c r="B370" s="7" t="s">
        <v>12659</v>
      </c>
      <c r="C370" s="27" t="str">
        <f t="shared" si="518"/>
        <v>E2_7_7_60_mRNA</v>
      </c>
      <c r="D370" s="47" t="str">
        <f t="shared" si="527"/>
        <v>E2_7_7_60</v>
      </c>
      <c r="E370" s="48" t="str">
        <f t="shared" si="519"/>
        <v>E2_7_7_60_kcat : 13.7</v>
      </c>
      <c r="F370" s="49" t="str">
        <f t="shared" si="520"/>
        <v>E2_7_7_60_km : 1</v>
      </c>
      <c r="G370" s="9" t="str">
        <f t="shared" ref="G370:H370" si="752">CONCATENATE(C370," : ",C370)</f>
        <v>E2_7_7_60_mRNA : E2_7_7_60_mRNA</v>
      </c>
      <c r="H370" s="50" t="str">
        <f t="shared" si="752"/>
        <v>E2_7_7_60 : E2_7_7_60</v>
      </c>
      <c r="I370" s="51" t="str">
        <f t="shared" ref="I370:J370" si="753">CONCATENATE(C370," : ","0")</f>
        <v>E2_7_7_60_mRNA : 0</v>
      </c>
      <c r="J370" s="52" t="str">
        <f t="shared" si="753"/>
        <v>E2_7_7_60 : 0</v>
      </c>
      <c r="K370" s="53" t="str">
        <f t="shared" si="523"/>
        <v>0.00292 - (0.0093 * E2_7_7_60_mRNA)</v>
      </c>
      <c r="L370" s="54" t="str">
        <f t="shared" si="524"/>
        <v>(0.278 * E2_7_7_60_mRNA) - (0.00000278 * E2_7_7_60)</v>
      </c>
      <c r="M370" s="55" t="str">
        <f t="shared" si="525"/>
        <v>mRNA369: -&gt; E2_7_7_60_mRNA | 0.00292 - (0.0093 * E2_7_7_60_mRNA)</v>
      </c>
      <c r="N370" s="56" t="str">
        <f t="shared" si="526"/>
        <v>Peptide369: E2_7_7_60_mRNA -&gt; E2_7_7_60 | (0.278 * E2_7_7_60_mRNA) - (0.000000278 * E2_7_7_60)</v>
      </c>
    </row>
    <row r="371" spans="1:14" ht="29">
      <c r="A371" s="46">
        <v>370</v>
      </c>
      <c r="B371" s="7" t="s">
        <v>12660</v>
      </c>
      <c r="C371" s="27" t="str">
        <f t="shared" si="518"/>
        <v>E1_1_1_264_mRNA</v>
      </c>
      <c r="D371" s="47" t="str">
        <f t="shared" si="527"/>
        <v>E1_1_1_264</v>
      </c>
      <c r="E371" s="48" t="str">
        <f t="shared" si="519"/>
        <v>E1_1_1_264_kcat : 13.7</v>
      </c>
      <c r="F371" s="49" t="str">
        <f t="shared" si="520"/>
        <v>E1_1_1_264_km : 1</v>
      </c>
      <c r="G371" s="9" t="str">
        <f t="shared" ref="G371:H371" si="754">CONCATENATE(C371," : ",C371)</f>
        <v>E1_1_1_264_mRNA : E1_1_1_264_mRNA</v>
      </c>
      <c r="H371" s="50" t="str">
        <f t="shared" si="754"/>
        <v>E1_1_1_264 : E1_1_1_264</v>
      </c>
      <c r="I371" s="51" t="str">
        <f t="shared" ref="I371:J371" si="755">CONCATENATE(C371," : ","0")</f>
        <v>E1_1_1_264_mRNA : 0</v>
      </c>
      <c r="J371" s="52" t="str">
        <f t="shared" si="755"/>
        <v>E1_1_1_264 : 0</v>
      </c>
      <c r="K371" s="53" t="str">
        <f t="shared" si="523"/>
        <v>0.00292 - (0.0093 * E1_1_1_264_mRNA)</v>
      </c>
      <c r="L371" s="54" t="str">
        <f t="shared" si="524"/>
        <v>(0.278 * E1_1_1_264_mRNA) - (0.00000278 * E1_1_1_264)</v>
      </c>
      <c r="M371" s="55" t="str">
        <f t="shared" si="525"/>
        <v>mRNA370: -&gt; E1_1_1_264_mRNA | 0.00292 - (0.0093 * E1_1_1_264_mRNA)</v>
      </c>
      <c r="N371" s="56" t="str">
        <f t="shared" si="526"/>
        <v>Peptide370: E1_1_1_264_mRNA -&gt; E1_1_1_264 | (0.278 * E1_1_1_264_mRNA) - (0.000000278 * E1_1_1_264)</v>
      </c>
    </row>
    <row r="372" spans="1:14" ht="29">
      <c r="A372" s="46">
        <v>371</v>
      </c>
      <c r="B372" s="7" t="s">
        <v>12661</v>
      </c>
      <c r="C372" s="27" t="str">
        <f t="shared" si="518"/>
        <v>E5_99_1_2_mRNA</v>
      </c>
      <c r="D372" s="47" t="str">
        <f t="shared" si="527"/>
        <v>E5_99_1_2</v>
      </c>
      <c r="E372" s="48" t="str">
        <f t="shared" si="519"/>
        <v>E5_99_1_2_kcat : 13.7</v>
      </c>
      <c r="F372" s="49" t="str">
        <f t="shared" si="520"/>
        <v>E5_99_1_2_km : 1</v>
      </c>
      <c r="G372" s="9" t="str">
        <f t="shared" ref="G372:H372" si="756">CONCATENATE(C372," : ",C372)</f>
        <v>E5_99_1_2_mRNA : E5_99_1_2_mRNA</v>
      </c>
      <c r="H372" s="50" t="str">
        <f t="shared" si="756"/>
        <v>E5_99_1_2 : E5_99_1_2</v>
      </c>
      <c r="I372" s="51" t="str">
        <f t="shared" ref="I372:J372" si="757">CONCATENATE(C372," : ","0")</f>
        <v>E5_99_1_2_mRNA : 0</v>
      </c>
      <c r="J372" s="52" t="str">
        <f t="shared" si="757"/>
        <v>E5_99_1_2 : 0</v>
      </c>
      <c r="K372" s="53" t="str">
        <f t="shared" si="523"/>
        <v>0.00292 - (0.0093 * E5_99_1_2_mRNA)</v>
      </c>
      <c r="L372" s="54" t="str">
        <f t="shared" si="524"/>
        <v>(0.278 * E5_99_1_2_mRNA) - (0.00000278 * E5_99_1_2)</v>
      </c>
      <c r="M372" s="55" t="str">
        <f t="shared" si="525"/>
        <v>mRNA371: -&gt; E5_99_1_2_mRNA | 0.00292 - (0.0093 * E5_99_1_2_mRNA)</v>
      </c>
      <c r="N372" s="56" t="str">
        <f t="shared" si="526"/>
        <v>Peptide371: E5_99_1_2_mRNA -&gt; E5_99_1_2 | (0.278 * E5_99_1_2_mRNA) - (0.000000278 * E5_99_1_2)</v>
      </c>
    </row>
    <row r="373" spans="1:14" ht="29">
      <c r="A373" s="46">
        <v>372</v>
      </c>
      <c r="B373" s="7" t="s">
        <v>12662</v>
      </c>
      <c r="C373" s="27" t="str">
        <f t="shared" si="518"/>
        <v>E2_3_3_13_mRNA</v>
      </c>
      <c r="D373" s="47" t="str">
        <f t="shared" si="527"/>
        <v>E2_3_3_13</v>
      </c>
      <c r="E373" s="48" t="str">
        <f t="shared" si="519"/>
        <v>E2_3_3_13_kcat : 13.7</v>
      </c>
      <c r="F373" s="49" t="str">
        <f t="shared" si="520"/>
        <v>E2_3_3_13_km : 1</v>
      </c>
      <c r="G373" s="9" t="str">
        <f t="shared" ref="G373:H373" si="758">CONCATENATE(C373," : ",C373)</f>
        <v>E2_3_3_13_mRNA : E2_3_3_13_mRNA</v>
      </c>
      <c r="H373" s="50" t="str">
        <f t="shared" si="758"/>
        <v>E2_3_3_13 : E2_3_3_13</v>
      </c>
      <c r="I373" s="51" t="str">
        <f t="shared" ref="I373:J373" si="759">CONCATENATE(C373," : ","0")</f>
        <v>E2_3_3_13_mRNA : 0</v>
      </c>
      <c r="J373" s="52" t="str">
        <f t="shared" si="759"/>
        <v>E2_3_3_13 : 0</v>
      </c>
      <c r="K373" s="53" t="str">
        <f t="shared" si="523"/>
        <v>0.00292 - (0.0093 * E2_3_3_13_mRNA)</v>
      </c>
      <c r="L373" s="54" t="str">
        <f t="shared" si="524"/>
        <v>(0.278 * E2_3_3_13_mRNA) - (0.00000278 * E2_3_3_13)</v>
      </c>
      <c r="M373" s="55" t="str">
        <f t="shared" si="525"/>
        <v>mRNA372: -&gt; E2_3_3_13_mRNA | 0.00292 - (0.0093 * E2_3_3_13_mRNA)</v>
      </c>
      <c r="N373" s="56" t="str">
        <f t="shared" si="526"/>
        <v>Peptide372: E2_3_3_13_mRNA -&gt; E2_3_3_13 | (0.278 * E2_3_3_13_mRNA) - (0.000000278 * E2_3_3_13)</v>
      </c>
    </row>
    <row r="374" spans="1:14" ht="29">
      <c r="A374" s="46">
        <v>373</v>
      </c>
      <c r="B374" s="7" t="s">
        <v>12663</v>
      </c>
      <c r="C374" s="27" t="str">
        <f t="shared" si="518"/>
        <v>E3_6_1_55_mRNA</v>
      </c>
      <c r="D374" s="47" t="str">
        <f t="shared" si="527"/>
        <v>E3_6_1_55</v>
      </c>
      <c r="E374" s="48" t="str">
        <f t="shared" si="519"/>
        <v>E3_6_1_55_kcat : 13.7</v>
      </c>
      <c r="F374" s="49" t="str">
        <f t="shared" si="520"/>
        <v>E3_6_1_55_km : 1</v>
      </c>
      <c r="G374" s="9" t="str">
        <f t="shared" ref="G374:H374" si="760">CONCATENATE(C374," : ",C374)</f>
        <v>E3_6_1_55_mRNA : E3_6_1_55_mRNA</v>
      </c>
      <c r="H374" s="50" t="str">
        <f t="shared" si="760"/>
        <v>E3_6_1_55 : E3_6_1_55</v>
      </c>
      <c r="I374" s="51" t="str">
        <f t="shared" ref="I374:J374" si="761">CONCATENATE(C374," : ","0")</f>
        <v>E3_6_1_55_mRNA : 0</v>
      </c>
      <c r="J374" s="52" t="str">
        <f t="shared" si="761"/>
        <v>E3_6_1_55 : 0</v>
      </c>
      <c r="K374" s="53" t="str">
        <f t="shared" si="523"/>
        <v>0.00292 - (0.0093 * E3_6_1_55_mRNA)</v>
      </c>
      <c r="L374" s="54" t="str">
        <f t="shared" si="524"/>
        <v>(0.278 * E3_6_1_55_mRNA) - (0.00000278 * E3_6_1_55)</v>
      </c>
      <c r="M374" s="55" t="str">
        <f t="shared" si="525"/>
        <v>mRNA373: -&gt; E3_6_1_55_mRNA | 0.00292 - (0.0093 * E3_6_1_55_mRNA)</v>
      </c>
      <c r="N374" s="56" t="str">
        <f t="shared" si="526"/>
        <v>Peptide373: E3_6_1_55_mRNA -&gt; E3_6_1_55 | (0.278 * E3_6_1_55_mRNA) - (0.000000278 * E3_6_1_55)</v>
      </c>
    </row>
    <row r="375" spans="1:14" ht="29">
      <c r="A375" s="46">
        <v>374</v>
      </c>
      <c r="B375" s="7" t="s">
        <v>12664</v>
      </c>
      <c r="C375" s="27" t="str">
        <f t="shared" si="518"/>
        <v>E6_3_4_3_mRNA</v>
      </c>
      <c r="D375" s="47" t="str">
        <f t="shared" si="527"/>
        <v>E6_3_4_3</v>
      </c>
      <c r="E375" s="48" t="str">
        <f t="shared" si="519"/>
        <v>E6_3_4_3_kcat : 13.7</v>
      </c>
      <c r="F375" s="49" t="str">
        <f t="shared" si="520"/>
        <v>E6_3_4_3_km : 1</v>
      </c>
      <c r="G375" s="9" t="str">
        <f t="shared" ref="G375:H375" si="762">CONCATENATE(C375," : ",C375)</f>
        <v>E6_3_4_3_mRNA : E6_3_4_3_mRNA</v>
      </c>
      <c r="H375" s="50" t="str">
        <f t="shared" si="762"/>
        <v>E6_3_4_3 : E6_3_4_3</v>
      </c>
      <c r="I375" s="51" t="str">
        <f t="shared" ref="I375:J375" si="763">CONCATENATE(C375," : ","0")</f>
        <v>E6_3_4_3_mRNA : 0</v>
      </c>
      <c r="J375" s="52" t="str">
        <f t="shared" si="763"/>
        <v>E6_3_4_3 : 0</v>
      </c>
      <c r="K375" s="53" t="str">
        <f t="shared" si="523"/>
        <v>0.00292 - (0.0093 * E6_3_4_3_mRNA)</v>
      </c>
      <c r="L375" s="54" t="str">
        <f t="shared" si="524"/>
        <v>(0.278 * E6_3_4_3_mRNA) - (0.00000278 * E6_3_4_3)</v>
      </c>
      <c r="M375" s="55" t="str">
        <f t="shared" si="525"/>
        <v>mRNA374: -&gt; E6_3_4_3_mRNA | 0.00292 - (0.0093 * E6_3_4_3_mRNA)</v>
      </c>
      <c r="N375" s="56" t="str">
        <f t="shared" si="526"/>
        <v>Peptide374: E6_3_4_3_mRNA -&gt; E6_3_4_3 | (0.278 * E6_3_4_3_mRNA) - (0.000000278 * E6_3_4_3)</v>
      </c>
    </row>
    <row r="376" spans="1:14" ht="29">
      <c r="A376" s="46">
        <v>375</v>
      </c>
      <c r="B376" s="7" t="s">
        <v>12665</v>
      </c>
      <c r="C376" s="27" t="str">
        <f t="shared" si="518"/>
        <v>E1_1_1_27_mRNA</v>
      </c>
      <c r="D376" s="47" t="str">
        <f t="shared" si="527"/>
        <v>E1_1_1_27</v>
      </c>
      <c r="E376" s="48" t="str">
        <f t="shared" si="519"/>
        <v>E1_1_1_27_kcat : 13.7</v>
      </c>
      <c r="F376" s="49" t="str">
        <f t="shared" si="520"/>
        <v>E1_1_1_27_km : 1</v>
      </c>
      <c r="G376" s="9" t="str">
        <f t="shared" ref="G376:H376" si="764">CONCATENATE(C376," : ",C376)</f>
        <v>E1_1_1_27_mRNA : E1_1_1_27_mRNA</v>
      </c>
      <c r="H376" s="50" t="str">
        <f t="shared" si="764"/>
        <v>E1_1_1_27 : E1_1_1_27</v>
      </c>
      <c r="I376" s="51" t="str">
        <f t="shared" ref="I376:J376" si="765">CONCATENATE(C376," : ","0")</f>
        <v>E1_1_1_27_mRNA : 0</v>
      </c>
      <c r="J376" s="52" t="str">
        <f t="shared" si="765"/>
        <v>E1_1_1_27 : 0</v>
      </c>
      <c r="K376" s="53" t="str">
        <f t="shared" si="523"/>
        <v>0.00292 - (0.0093 * E1_1_1_27_mRNA)</v>
      </c>
      <c r="L376" s="54" t="str">
        <f t="shared" si="524"/>
        <v>(0.278 * E1_1_1_27_mRNA) - (0.00000278 * E1_1_1_27)</v>
      </c>
      <c r="M376" s="55" t="str">
        <f t="shared" si="525"/>
        <v>mRNA375: -&gt; E1_1_1_27_mRNA | 0.00292 - (0.0093 * E1_1_1_27_mRNA)</v>
      </c>
      <c r="N376" s="56" t="str">
        <f t="shared" si="526"/>
        <v>Peptide375: E1_1_1_27_mRNA -&gt; E1_1_1_27 | (0.278 * E1_1_1_27_mRNA) - (0.000000278 * E1_1_1_27)</v>
      </c>
    </row>
    <row r="377" spans="1:14" ht="29">
      <c r="A377" s="46">
        <v>376</v>
      </c>
      <c r="B377" s="7" t="s">
        <v>12666</v>
      </c>
      <c r="C377" s="27" t="str">
        <f t="shared" si="518"/>
        <v>E5_99_1_3_mRNA</v>
      </c>
      <c r="D377" s="47" t="str">
        <f t="shared" si="527"/>
        <v>E5_99_1_3</v>
      </c>
      <c r="E377" s="48" t="str">
        <f t="shared" si="519"/>
        <v>E5_99_1_3_kcat : 13.7</v>
      </c>
      <c r="F377" s="49" t="str">
        <f t="shared" si="520"/>
        <v>E5_99_1_3_km : 1</v>
      </c>
      <c r="G377" s="9" t="str">
        <f t="shared" ref="G377:H377" si="766">CONCATENATE(C377," : ",C377)</f>
        <v>E5_99_1_3_mRNA : E5_99_1_3_mRNA</v>
      </c>
      <c r="H377" s="50" t="str">
        <f t="shared" si="766"/>
        <v>E5_99_1_3 : E5_99_1_3</v>
      </c>
      <c r="I377" s="51" t="str">
        <f t="shared" ref="I377:J377" si="767">CONCATENATE(C377," : ","0")</f>
        <v>E5_99_1_3_mRNA : 0</v>
      </c>
      <c r="J377" s="52" t="str">
        <f t="shared" si="767"/>
        <v>E5_99_1_3 : 0</v>
      </c>
      <c r="K377" s="53" t="str">
        <f t="shared" si="523"/>
        <v>0.00292 - (0.0093 * E5_99_1_3_mRNA)</v>
      </c>
      <c r="L377" s="54" t="str">
        <f t="shared" si="524"/>
        <v>(0.278 * E5_99_1_3_mRNA) - (0.00000278 * E5_99_1_3)</v>
      </c>
      <c r="M377" s="55" t="str">
        <f t="shared" si="525"/>
        <v>mRNA376: -&gt; E5_99_1_3_mRNA | 0.00292 - (0.0093 * E5_99_1_3_mRNA)</v>
      </c>
      <c r="N377" s="56" t="str">
        <f t="shared" si="526"/>
        <v>Peptide376: E5_99_1_3_mRNA -&gt; E5_99_1_3 | (0.278 * E5_99_1_3_mRNA) - (0.000000278 * E5_99_1_3)</v>
      </c>
    </row>
    <row r="378" spans="1:14" ht="29">
      <c r="A378" s="46">
        <v>377</v>
      </c>
      <c r="B378" s="7" t="s">
        <v>12667</v>
      </c>
      <c r="C378" s="27" t="str">
        <f t="shared" si="518"/>
        <v>E2_5_1_49_mRNA</v>
      </c>
      <c r="D378" s="47" t="str">
        <f t="shared" si="527"/>
        <v>E2_5_1_49</v>
      </c>
      <c r="E378" s="48" t="str">
        <f t="shared" si="519"/>
        <v>E2_5_1_49_kcat : 13.7</v>
      </c>
      <c r="F378" s="49" t="str">
        <f t="shared" si="520"/>
        <v>E2_5_1_49_km : 1</v>
      </c>
      <c r="G378" s="9" t="str">
        <f t="shared" ref="G378:H378" si="768">CONCATENATE(C378," : ",C378)</f>
        <v>E2_5_1_49_mRNA : E2_5_1_49_mRNA</v>
      </c>
      <c r="H378" s="50" t="str">
        <f t="shared" si="768"/>
        <v>E2_5_1_49 : E2_5_1_49</v>
      </c>
      <c r="I378" s="51" t="str">
        <f t="shared" ref="I378:J378" si="769">CONCATENATE(C378," : ","0")</f>
        <v>E2_5_1_49_mRNA : 0</v>
      </c>
      <c r="J378" s="52" t="str">
        <f t="shared" si="769"/>
        <v>E2_5_1_49 : 0</v>
      </c>
      <c r="K378" s="53" t="str">
        <f t="shared" si="523"/>
        <v>0.00292 - (0.0093 * E2_5_1_49_mRNA)</v>
      </c>
      <c r="L378" s="54" t="str">
        <f t="shared" si="524"/>
        <v>(0.278 * E2_5_1_49_mRNA) - (0.00000278 * E2_5_1_49)</v>
      </c>
      <c r="M378" s="55" t="str">
        <f t="shared" si="525"/>
        <v>mRNA377: -&gt; E2_5_1_49_mRNA | 0.00292 - (0.0093 * E2_5_1_49_mRNA)</v>
      </c>
      <c r="N378" s="56" t="str">
        <f t="shared" si="526"/>
        <v>Peptide377: E2_5_1_49_mRNA -&gt; E2_5_1_49 | (0.278 * E2_5_1_49_mRNA) - (0.000000278 * E2_5_1_49)</v>
      </c>
    </row>
    <row r="379" spans="1:14" ht="29">
      <c r="A379" s="46">
        <v>378</v>
      </c>
      <c r="B379" s="7" t="s">
        <v>12668</v>
      </c>
      <c r="C379" s="27" t="str">
        <f t="shared" si="518"/>
        <v>E3_1_11_6_mRNA</v>
      </c>
      <c r="D379" s="47" t="str">
        <f t="shared" si="527"/>
        <v>E3_1_11_6</v>
      </c>
      <c r="E379" s="48" t="str">
        <f t="shared" si="519"/>
        <v>E3_1_11_6_kcat : 13.7</v>
      </c>
      <c r="F379" s="49" t="str">
        <f t="shared" si="520"/>
        <v>E3_1_11_6_km : 1</v>
      </c>
      <c r="G379" s="9" t="str">
        <f t="shared" ref="G379:H379" si="770">CONCATENATE(C379," : ",C379)</f>
        <v>E3_1_11_6_mRNA : E3_1_11_6_mRNA</v>
      </c>
      <c r="H379" s="50" t="str">
        <f t="shared" si="770"/>
        <v>E3_1_11_6 : E3_1_11_6</v>
      </c>
      <c r="I379" s="51" t="str">
        <f t="shared" ref="I379:J379" si="771">CONCATENATE(C379," : ","0")</f>
        <v>E3_1_11_6_mRNA : 0</v>
      </c>
      <c r="J379" s="52" t="str">
        <f t="shared" si="771"/>
        <v>E3_1_11_6 : 0</v>
      </c>
      <c r="K379" s="53" t="str">
        <f t="shared" si="523"/>
        <v>0.00292 - (0.0093 * E3_1_11_6_mRNA)</v>
      </c>
      <c r="L379" s="54" t="str">
        <f t="shared" si="524"/>
        <v>(0.278 * E3_1_11_6_mRNA) - (0.00000278 * E3_1_11_6)</v>
      </c>
      <c r="M379" s="55" t="str">
        <f t="shared" si="525"/>
        <v>mRNA378: -&gt; E3_1_11_6_mRNA | 0.00292 - (0.0093 * E3_1_11_6_mRNA)</v>
      </c>
      <c r="N379" s="56" t="str">
        <f t="shared" si="526"/>
        <v>Peptide378: E3_1_11_6_mRNA -&gt; E3_1_11_6 | (0.278 * E3_1_11_6_mRNA) - (0.000000278 * E3_1_11_6)</v>
      </c>
    </row>
    <row r="380" spans="1:14" ht="29">
      <c r="A380" s="46">
        <v>379</v>
      </c>
      <c r="B380" s="7" t="s">
        <v>12669</v>
      </c>
      <c r="C380" s="27" t="str">
        <f t="shared" si="518"/>
        <v>E2_5_1_10_mRNA</v>
      </c>
      <c r="D380" s="47" t="str">
        <f t="shared" si="527"/>
        <v>E2_5_1_10</v>
      </c>
      <c r="E380" s="48" t="str">
        <f t="shared" si="519"/>
        <v>E2_5_1_10_kcat : 13.7</v>
      </c>
      <c r="F380" s="49" t="str">
        <f t="shared" si="520"/>
        <v>E2_5_1_10_km : 1</v>
      </c>
      <c r="G380" s="9" t="str">
        <f t="shared" ref="G380:H380" si="772">CONCATENATE(C380," : ",C380)</f>
        <v>E2_5_1_10_mRNA : E2_5_1_10_mRNA</v>
      </c>
      <c r="H380" s="50" t="str">
        <f t="shared" si="772"/>
        <v>E2_5_1_10 : E2_5_1_10</v>
      </c>
      <c r="I380" s="51" t="str">
        <f t="shared" ref="I380:J380" si="773">CONCATENATE(C380," : ","0")</f>
        <v>E2_5_1_10_mRNA : 0</v>
      </c>
      <c r="J380" s="52" t="str">
        <f t="shared" si="773"/>
        <v>E2_5_1_10 : 0</v>
      </c>
      <c r="K380" s="53" t="str">
        <f t="shared" si="523"/>
        <v>0.00292 - (0.0093 * E2_5_1_10_mRNA)</v>
      </c>
      <c r="L380" s="54" t="str">
        <f t="shared" si="524"/>
        <v>(0.278 * E2_5_1_10_mRNA) - (0.00000278 * E2_5_1_10)</v>
      </c>
      <c r="M380" s="55" t="str">
        <f t="shared" si="525"/>
        <v>mRNA379: -&gt; E2_5_1_10_mRNA | 0.00292 - (0.0093 * E2_5_1_10_mRNA)</v>
      </c>
      <c r="N380" s="56" t="str">
        <f t="shared" si="526"/>
        <v>Peptide379: E2_5_1_10_mRNA -&gt; E2_5_1_10 | (0.278 * E2_5_1_10_mRNA) - (0.000000278 * E2_5_1_10)</v>
      </c>
    </row>
    <row r="381" spans="1:14" ht="29">
      <c r="A381" s="46">
        <v>380</v>
      </c>
      <c r="B381" s="7" t="s">
        <v>12670</v>
      </c>
      <c r="C381" s="27" t="str">
        <f t="shared" si="518"/>
        <v>E2_1_1_226_mRNA</v>
      </c>
      <c r="D381" s="47" t="str">
        <f t="shared" si="527"/>
        <v>E2_1_1_226</v>
      </c>
      <c r="E381" s="48" t="str">
        <f t="shared" si="519"/>
        <v>E2_1_1_226_kcat : 13.7</v>
      </c>
      <c r="F381" s="49" t="str">
        <f t="shared" si="520"/>
        <v>E2_1_1_226_km : 1</v>
      </c>
      <c r="G381" s="9" t="str">
        <f t="shared" ref="G381:H381" si="774">CONCATENATE(C381," : ",C381)</f>
        <v>E2_1_1_226_mRNA : E2_1_1_226_mRNA</v>
      </c>
      <c r="H381" s="50" t="str">
        <f t="shared" si="774"/>
        <v>E2_1_1_226 : E2_1_1_226</v>
      </c>
      <c r="I381" s="51" t="str">
        <f t="shared" ref="I381:J381" si="775">CONCATENATE(C381," : ","0")</f>
        <v>E2_1_1_226_mRNA : 0</v>
      </c>
      <c r="J381" s="52" t="str">
        <f t="shared" si="775"/>
        <v>E2_1_1_226 : 0</v>
      </c>
      <c r="K381" s="53" t="str">
        <f t="shared" si="523"/>
        <v>0.00292 - (0.0093 * E2_1_1_226_mRNA)</v>
      </c>
      <c r="L381" s="54" t="str">
        <f t="shared" si="524"/>
        <v>(0.278 * E2_1_1_226_mRNA) - (0.00000278 * E2_1_1_226)</v>
      </c>
      <c r="M381" s="55" t="str">
        <f t="shared" si="525"/>
        <v>mRNA380: -&gt; E2_1_1_226_mRNA | 0.00292 - (0.0093 * E2_1_1_226_mRNA)</v>
      </c>
      <c r="N381" s="56" t="str">
        <f t="shared" si="526"/>
        <v>Peptide380: E2_1_1_226_mRNA -&gt; E2_1_1_226 | (0.278 * E2_1_1_226_mRNA) - (0.000000278 * E2_1_1_226)</v>
      </c>
    </row>
    <row r="382" spans="1:14" ht="29">
      <c r="A382" s="46">
        <v>381</v>
      </c>
      <c r="B382" s="7" t="s">
        <v>12671</v>
      </c>
      <c r="C382" s="27" t="str">
        <f t="shared" si="518"/>
        <v>E2_8_1_7_mRNA</v>
      </c>
      <c r="D382" s="47" t="str">
        <f t="shared" si="527"/>
        <v>E2_8_1_7</v>
      </c>
      <c r="E382" s="48" t="str">
        <f t="shared" si="519"/>
        <v>E2_8_1_7_kcat : 13.7</v>
      </c>
      <c r="F382" s="49" t="str">
        <f t="shared" si="520"/>
        <v>E2_8_1_7_km : 1</v>
      </c>
      <c r="G382" s="9" t="str">
        <f t="shared" ref="G382:H382" si="776">CONCATENATE(C382," : ",C382)</f>
        <v>E2_8_1_7_mRNA : E2_8_1_7_mRNA</v>
      </c>
      <c r="H382" s="50" t="str">
        <f t="shared" si="776"/>
        <v>E2_8_1_7 : E2_8_1_7</v>
      </c>
      <c r="I382" s="51" t="str">
        <f t="shared" ref="I382:J382" si="777">CONCATENATE(C382," : ","0")</f>
        <v>E2_8_1_7_mRNA : 0</v>
      </c>
      <c r="J382" s="52" t="str">
        <f t="shared" si="777"/>
        <v>E2_8_1_7 : 0</v>
      </c>
      <c r="K382" s="53" t="str">
        <f t="shared" si="523"/>
        <v>0.00292 - (0.0093 * E2_8_1_7_mRNA)</v>
      </c>
      <c r="L382" s="54" t="str">
        <f t="shared" si="524"/>
        <v>(0.278 * E2_8_1_7_mRNA) - (0.00000278 * E2_8_1_7)</v>
      </c>
      <c r="M382" s="55" t="str">
        <f t="shared" si="525"/>
        <v>mRNA381: -&gt; E2_8_1_7_mRNA | 0.00292 - (0.0093 * E2_8_1_7_mRNA)</v>
      </c>
      <c r="N382" s="56" t="str">
        <f t="shared" si="526"/>
        <v>Peptide381: E2_8_1_7_mRNA -&gt; E2_8_1_7 | (0.278 * E2_8_1_7_mRNA) - (0.000000278 * E2_8_1_7)</v>
      </c>
    </row>
    <row r="383" spans="1:14" ht="29">
      <c r="A383" s="46">
        <v>382</v>
      </c>
      <c r="B383" s="7" t="s">
        <v>12672</v>
      </c>
      <c r="C383" s="27" t="str">
        <f t="shared" si="518"/>
        <v>E2_7_1_23_mRNA</v>
      </c>
      <c r="D383" s="47" t="str">
        <f t="shared" si="527"/>
        <v>E2_7_1_23</v>
      </c>
      <c r="E383" s="48" t="str">
        <f t="shared" si="519"/>
        <v>E2_7_1_23_kcat : 13.7</v>
      </c>
      <c r="F383" s="49" t="str">
        <f t="shared" si="520"/>
        <v>E2_7_1_23_km : 1</v>
      </c>
      <c r="G383" s="9" t="str">
        <f t="shared" ref="G383:H383" si="778">CONCATENATE(C383," : ",C383)</f>
        <v>E2_7_1_23_mRNA : E2_7_1_23_mRNA</v>
      </c>
      <c r="H383" s="50" t="str">
        <f t="shared" si="778"/>
        <v>E2_7_1_23 : E2_7_1_23</v>
      </c>
      <c r="I383" s="51" t="str">
        <f t="shared" ref="I383:J383" si="779">CONCATENATE(C383," : ","0")</f>
        <v>E2_7_1_23_mRNA : 0</v>
      </c>
      <c r="J383" s="52" t="str">
        <f t="shared" si="779"/>
        <v>E2_7_1_23 : 0</v>
      </c>
      <c r="K383" s="53" t="str">
        <f t="shared" si="523"/>
        <v>0.00292 - (0.0093 * E2_7_1_23_mRNA)</v>
      </c>
      <c r="L383" s="54" t="str">
        <f t="shared" si="524"/>
        <v>(0.278 * E2_7_1_23_mRNA) - (0.00000278 * E2_7_1_23)</v>
      </c>
      <c r="M383" s="55" t="str">
        <f t="shared" si="525"/>
        <v>mRNA382: -&gt; E2_7_1_23_mRNA | 0.00292 - (0.0093 * E2_7_1_23_mRNA)</v>
      </c>
      <c r="N383" s="56" t="str">
        <f t="shared" si="526"/>
        <v>Peptide382: E2_7_1_23_mRNA -&gt; E2_7_1_23 | (0.278 * E2_7_1_23_mRNA) - (0.000000278 * E2_7_1_23)</v>
      </c>
    </row>
    <row r="384" spans="1:14" ht="29">
      <c r="A384" s="46">
        <v>383</v>
      </c>
      <c r="B384" s="7" t="s">
        <v>12673</v>
      </c>
      <c r="C384" s="27" t="str">
        <f t="shared" si="518"/>
        <v>E5_4_99_23_mRNA</v>
      </c>
      <c r="D384" s="47" t="str">
        <f t="shared" si="527"/>
        <v>E5_4_99_23</v>
      </c>
      <c r="E384" s="48" t="str">
        <f t="shared" si="519"/>
        <v>E5_4_99_23_kcat : 13.7</v>
      </c>
      <c r="F384" s="49" t="str">
        <f t="shared" si="520"/>
        <v>E5_4_99_23_km : 1</v>
      </c>
      <c r="G384" s="9" t="str">
        <f t="shared" ref="G384:H384" si="780">CONCATENATE(C384," : ",C384)</f>
        <v>E5_4_99_23_mRNA : E5_4_99_23_mRNA</v>
      </c>
      <c r="H384" s="50" t="str">
        <f t="shared" si="780"/>
        <v>E5_4_99_23 : E5_4_99_23</v>
      </c>
      <c r="I384" s="51" t="str">
        <f t="shared" ref="I384:J384" si="781">CONCATENATE(C384," : ","0")</f>
        <v>E5_4_99_23_mRNA : 0</v>
      </c>
      <c r="J384" s="52" t="str">
        <f t="shared" si="781"/>
        <v>E5_4_99_23 : 0</v>
      </c>
      <c r="K384" s="53" t="str">
        <f t="shared" si="523"/>
        <v>0.00292 - (0.0093 * E5_4_99_23_mRNA)</v>
      </c>
      <c r="L384" s="54" t="str">
        <f t="shared" si="524"/>
        <v>(0.278 * E5_4_99_23_mRNA) - (0.00000278 * E5_4_99_23)</v>
      </c>
      <c r="M384" s="55" t="str">
        <f t="shared" si="525"/>
        <v>mRNA383: -&gt; E5_4_99_23_mRNA | 0.00292 - (0.0093 * E5_4_99_23_mRNA)</v>
      </c>
      <c r="N384" s="56" t="str">
        <f t="shared" si="526"/>
        <v>Peptide383: E5_4_99_23_mRNA -&gt; E5_4_99_23 | (0.278 * E5_4_99_23_mRNA) - (0.000000278 * E5_4_99_23)</v>
      </c>
    </row>
    <row r="385" spans="1:14" ht="29">
      <c r="A385" s="46">
        <v>384</v>
      </c>
      <c r="B385" s="7" t="s">
        <v>12674</v>
      </c>
      <c r="C385" s="27" t="str">
        <f t="shared" si="518"/>
        <v>E2_3_1_8_mRNA</v>
      </c>
      <c r="D385" s="47" t="str">
        <f t="shared" si="527"/>
        <v>E2_3_1_8</v>
      </c>
      <c r="E385" s="48" t="str">
        <f t="shared" si="519"/>
        <v>E2_3_1_8_kcat : 13.7</v>
      </c>
      <c r="F385" s="49" t="str">
        <f t="shared" si="520"/>
        <v>E2_3_1_8_km : 1</v>
      </c>
      <c r="G385" s="9" t="str">
        <f t="shared" ref="G385:H385" si="782">CONCATENATE(C385," : ",C385)</f>
        <v>E2_3_1_8_mRNA : E2_3_1_8_mRNA</v>
      </c>
      <c r="H385" s="50" t="str">
        <f t="shared" si="782"/>
        <v>E2_3_1_8 : E2_3_1_8</v>
      </c>
      <c r="I385" s="51" t="str">
        <f t="shared" ref="I385:J385" si="783">CONCATENATE(C385," : ","0")</f>
        <v>E2_3_1_8_mRNA : 0</v>
      </c>
      <c r="J385" s="52" t="str">
        <f t="shared" si="783"/>
        <v>E2_3_1_8 : 0</v>
      </c>
      <c r="K385" s="53" t="str">
        <f t="shared" si="523"/>
        <v>0.00292 - (0.0093 * E2_3_1_8_mRNA)</v>
      </c>
      <c r="L385" s="54" t="str">
        <f t="shared" si="524"/>
        <v>(0.278 * E2_3_1_8_mRNA) - (0.00000278 * E2_3_1_8)</v>
      </c>
      <c r="M385" s="55" t="str">
        <f t="shared" si="525"/>
        <v>mRNA384: -&gt; E2_3_1_8_mRNA | 0.00292 - (0.0093 * E2_3_1_8_mRNA)</v>
      </c>
      <c r="N385" s="56" t="str">
        <f t="shared" si="526"/>
        <v>Peptide384: E2_3_1_8_mRNA -&gt; E2_3_1_8 | (0.278 * E2_3_1_8_mRNA) - (0.000000278 * E2_3_1_8)</v>
      </c>
    </row>
    <row r="386" spans="1:14" ht="29">
      <c r="A386" s="46">
        <v>385</v>
      </c>
      <c r="B386" s="7" t="s">
        <v>12675</v>
      </c>
      <c r="C386" s="27" t="str">
        <f t="shared" si="518"/>
        <v>E2_7_7_2_mRNA</v>
      </c>
      <c r="D386" s="47" t="str">
        <f t="shared" si="527"/>
        <v>E2_7_7_2</v>
      </c>
      <c r="E386" s="48" t="str">
        <f t="shared" si="519"/>
        <v>E2_7_7_2_kcat : 13.7</v>
      </c>
      <c r="F386" s="49" t="str">
        <f t="shared" si="520"/>
        <v>E2_7_7_2_km : 1</v>
      </c>
      <c r="G386" s="9" t="str">
        <f t="shared" ref="G386:H386" si="784">CONCATENATE(C386," : ",C386)</f>
        <v>E2_7_7_2_mRNA : E2_7_7_2_mRNA</v>
      </c>
      <c r="H386" s="50" t="str">
        <f t="shared" si="784"/>
        <v>E2_7_7_2 : E2_7_7_2</v>
      </c>
      <c r="I386" s="51" t="str">
        <f t="shared" ref="I386:J386" si="785">CONCATENATE(C386," : ","0")</f>
        <v>E2_7_7_2_mRNA : 0</v>
      </c>
      <c r="J386" s="52" t="str">
        <f t="shared" si="785"/>
        <v>E2_7_7_2 : 0</v>
      </c>
      <c r="K386" s="53" t="str">
        <f t="shared" si="523"/>
        <v>0.00292 - (0.0093 * E2_7_7_2_mRNA)</v>
      </c>
      <c r="L386" s="54" t="str">
        <f t="shared" si="524"/>
        <v>(0.278 * E2_7_7_2_mRNA) - (0.00000278 * E2_7_7_2)</v>
      </c>
      <c r="M386" s="55" t="str">
        <f t="shared" si="525"/>
        <v>mRNA385: -&gt; E2_7_7_2_mRNA | 0.00292 - (0.0093 * E2_7_7_2_mRNA)</v>
      </c>
      <c r="N386" s="56" t="str">
        <f t="shared" si="526"/>
        <v>Peptide385: E2_7_7_2_mRNA -&gt; E2_7_7_2 | (0.278 * E2_7_7_2_mRNA) - (0.000000278 * E2_7_7_2)</v>
      </c>
    </row>
    <row r="387" spans="1:14" ht="29">
      <c r="A387" s="46">
        <v>386</v>
      </c>
      <c r="B387" s="7" t="s">
        <v>12676</v>
      </c>
      <c r="C387" s="27" t="str">
        <f t="shared" si="518"/>
        <v>E6_5_1_2_mRNA</v>
      </c>
      <c r="D387" s="47" t="str">
        <f t="shared" si="527"/>
        <v>E6_5_1_2</v>
      </c>
      <c r="E387" s="48" t="str">
        <f t="shared" si="519"/>
        <v>E6_5_1_2_kcat : 13.7</v>
      </c>
      <c r="F387" s="49" t="str">
        <f t="shared" si="520"/>
        <v>E6_5_1_2_km : 1</v>
      </c>
      <c r="G387" s="9" t="str">
        <f t="shared" ref="G387:H387" si="786">CONCATENATE(C387," : ",C387)</f>
        <v>E6_5_1_2_mRNA : E6_5_1_2_mRNA</v>
      </c>
      <c r="H387" s="50" t="str">
        <f t="shared" si="786"/>
        <v>E6_5_1_2 : E6_5_1_2</v>
      </c>
      <c r="I387" s="51" t="str">
        <f t="shared" ref="I387:J387" si="787">CONCATENATE(C387," : ","0")</f>
        <v>E6_5_1_2_mRNA : 0</v>
      </c>
      <c r="J387" s="52" t="str">
        <f t="shared" si="787"/>
        <v>E6_5_1_2 : 0</v>
      </c>
      <c r="K387" s="53" t="str">
        <f t="shared" si="523"/>
        <v>0.00292 - (0.0093 * E6_5_1_2_mRNA)</v>
      </c>
      <c r="L387" s="54" t="str">
        <f t="shared" si="524"/>
        <v>(0.278 * E6_5_1_2_mRNA) - (0.00000278 * E6_5_1_2)</v>
      </c>
      <c r="M387" s="55" t="str">
        <f t="shared" si="525"/>
        <v>mRNA386: -&gt; E6_5_1_2_mRNA | 0.00292 - (0.0093 * E6_5_1_2_mRNA)</v>
      </c>
      <c r="N387" s="56" t="str">
        <f t="shared" si="526"/>
        <v>Peptide386: E6_5_1_2_mRNA -&gt; E6_5_1_2 | (0.278 * E6_5_1_2_mRNA) - (0.000000278 * E6_5_1_2)</v>
      </c>
    </row>
    <row r="388" spans="1:14" ht="29">
      <c r="A388" s="46">
        <v>387</v>
      </c>
      <c r="B388" s="7" t="s">
        <v>12677</v>
      </c>
      <c r="C388" s="27" t="str">
        <f t="shared" si="518"/>
        <v>E3_2_1_41_mRNA</v>
      </c>
      <c r="D388" s="47" t="str">
        <f t="shared" si="527"/>
        <v>E3_2_1_41</v>
      </c>
      <c r="E388" s="48" t="str">
        <f t="shared" si="519"/>
        <v>E3_2_1_41_kcat : 13.7</v>
      </c>
      <c r="F388" s="49" t="str">
        <f t="shared" si="520"/>
        <v>E3_2_1_41_km : 1</v>
      </c>
      <c r="G388" s="9" t="str">
        <f t="shared" ref="G388:H388" si="788">CONCATENATE(C388," : ",C388)</f>
        <v>E3_2_1_41_mRNA : E3_2_1_41_mRNA</v>
      </c>
      <c r="H388" s="50" t="str">
        <f t="shared" si="788"/>
        <v>E3_2_1_41 : E3_2_1_41</v>
      </c>
      <c r="I388" s="51" t="str">
        <f t="shared" ref="I388:J388" si="789">CONCATENATE(C388," : ","0")</f>
        <v>E3_2_1_41_mRNA : 0</v>
      </c>
      <c r="J388" s="52" t="str">
        <f t="shared" si="789"/>
        <v>E3_2_1_41 : 0</v>
      </c>
      <c r="K388" s="53" t="str">
        <f t="shared" si="523"/>
        <v>0.00292 - (0.0093 * E3_2_1_41_mRNA)</v>
      </c>
      <c r="L388" s="54" t="str">
        <f t="shared" si="524"/>
        <v>(0.278 * E3_2_1_41_mRNA) - (0.00000278 * E3_2_1_41)</v>
      </c>
      <c r="M388" s="55" t="str">
        <f t="shared" si="525"/>
        <v>mRNA387: -&gt; E3_2_1_41_mRNA | 0.00292 - (0.0093 * E3_2_1_41_mRNA)</v>
      </c>
      <c r="N388" s="56" t="str">
        <f t="shared" si="526"/>
        <v>Peptide387: E3_2_1_41_mRNA -&gt; E3_2_1_41 | (0.278 * E3_2_1_41_mRNA) - (0.000000278 * E3_2_1_41)</v>
      </c>
    </row>
    <row r="389" spans="1:14" ht="29">
      <c r="A389" s="46">
        <v>388</v>
      </c>
      <c r="B389" s="7" t="s">
        <v>12678</v>
      </c>
      <c r="C389" s="27" t="str">
        <f t="shared" si="518"/>
        <v>E1_2_1_9_mRNA</v>
      </c>
      <c r="D389" s="47" t="str">
        <f t="shared" si="527"/>
        <v>E1_2_1_9</v>
      </c>
      <c r="E389" s="48" t="str">
        <f t="shared" si="519"/>
        <v>E1_2_1_9_kcat : 13.7</v>
      </c>
      <c r="F389" s="49" t="str">
        <f t="shared" si="520"/>
        <v>E1_2_1_9_km : 1</v>
      </c>
      <c r="G389" s="9" t="str">
        <f t="shared" ref="G389:H389" si="790">CONCATENATE(C389," : ",C389)</f>
        <v>E1_2_1_9_mRNA : E1_2_1_9_mRNA</v>
      </c>
      <c r="H389" s="50" t="str">
        <f t="shared" si="790"/>
        <v>E1_2_1_9 : E1_2_1_9</v>
      </c>
      <c r="I389" s="51" t="str">
        <f t="shared" ref="I389:J389" si="791">CONCATENATE(C389," : ","0")</f>
        <v>E1_2_1_9_mRNA : 0</v>
      </c>
      <c r="J389" s="52" t="str">
        <f t="shared" si="791"/>
        <v>E1_2_1_9 : 0</v>
      </c>
      <c r="K389" s="53" t="str">
        <f t="shared" si="523"/>
        <v>0.00292 - (0.0093 * E1_2_1_9_mRNA)</v>
      </c>
      <c r="L389" s="54" t="str">
        <f t="shared" si="524"/>
        <v>(0.278 * E1_2_1_9_mRNA) - (0.00000278 * E1_2_1_9)</v>
      </c>
      <c r="M389" s="55" t="str">
        <f t="shared" si="525"/>
        <v>mRNA388: -&gt; E1_2_1_9_mRNA | 0.00292 - (0.0093 * E1_2_1_9_mRNA)</v>
      </c>
      <c r="N389" s="56" t="str">
        <f t="shared" si="526"/>
        <v>Peptide388: E1_2_1_9_mRNA -&gt; E1_2_1_9 | (0.278 * E1_2_1_9_mRNA) - (0.000000278 * E1_2_1_9)</v>
      </c>
    </row>
    <row r="390" spans="1:14" ht="29">
      <c r="A390" s="46">
        <v>389</v>
      </c>
      <c r="B390" s="7" t="s">
        <v>12679</v>
      </c>
      <c r="C390" s="27" t="str">
        <f t="shared" si="518"/>
        <v>E2_4_1_18_mRNA</v>
      </c>
      <c r="D390" s="47" t="str">
        <f t="shared" si="527"/>
        <v>E2_4_1_18</v>
      </c>
      <c r="E390" s="48" t="str">
        <f t="shared" si="519"/>
        <v>E2_4_1_18_kcat : 13.7</v>
      </c>
      <c r="F390" s="49" t="str">
        <f t="shared" si="520"/>
        <v>E2_4_1_18_km : 1</v>
      </c>
      <c r="G390" s="9" t="str">
        <f t="shared" ref="G390:H390" si="792">CONCATENATE(C390," : ",C390)</f>
        <v>E2_4_1_18_mRNA : E2_4_1_18_mRNA</v>
      </c>
      <c r="H390" s="50" t="str">
        <f t="shared" si="792"/>
        <v>E2_4_1_18 : E2_4_1_18</v>
      </c>
      <c r="I390" s="51" t="str">
        <f t="shared" ref="I390:J390" si="793">CONCATENATE(C390," : ","0")</f>
        <v>E2_4_1_18_mRNA : 0</v>
      </c>
      <c r="J390" s="52" t="str">
        <f t="shared" si="793"/>
        <v>E2_4_1_18 : 0</v>
      </c>
      <c r="K390" s="53" t="str">
        <f t="shared" si="523"/>
        <v>0.00292 - (0.0093 * E2_4_1_18_mRNA)</v>
      </c>
      <c r="L390" s="54" t="str">
        <f t="shared" si="524"/>
        <v>(0.278 * E2_4_1_18_mRNA) - (0.00000278 * E2_4_1_18)</v>
      </c>
      <c r="M390" s="55" t="str">
        <f t="shared" si="525"/>
        <v>mRNA389: -&gt; E2_4_1_18_mRNA | 0.00292 - (0.0093 * E2_4_1_18_mRNA)</v>
      </c>
      <c r="N390" s="56" t="str">
        <f t="shared" si="526"/>
        <v>Peptide389: E2_4_1_18_mRNA -&gt; E2_4_1_18 | (0.278 * E2_4_1_18_mRNA) - (0.000000278 * E2_4_1_18)</v>
      </c>
    </row>
    <row r="391" spans="1:14" ht="29">
      <c r="A391" s="46">
        <v>390</v>
      </c>
      <c r="B391" s="7" t="s">
        <v>12680</v>
      </c>
      <c r="C391" s="27" t="str">
        <f t="shared" si="518"/>
        <v>E2_4_1_21_mRNA</v>
      </c>
      <c r="D391" s="47" t="str">
        <f t="shared" si="527"/>
        <v>E2_4_1_21</v>
      </c>
      <c r="E391" s="48" t="str">
        <f t="shared" si="519"/>
        <v>E2_4_1_21_kcat : 13.7</v>
      </c>
      <c r="F391" s="49" t="str">
        <f t="shared" si="520"/>
        <v>E2_4_1_21_km : 1</v>
      </c>
      <c r="G391" s="9" t="str">
        <f t="shared" ref="G391:H391" si="794">CONCATENATE(C391," : ",C391)</f>
        <v>E2_4_1_21_mRNA : E2_4_1_21_mRNA</v>
      </c>
      <c r="H391" s="50" t="str">
        <f t="shared" si="794"/>
        <v>E2_4_1_21 : E2_4_1_21</v>
      </c>
      <c r="I391" s="51" t="str">
        <f t="shared" ref="I391:J391" si="795">CONCATENATE(C391," : ","0")</f>
        <v>E2_4_1_21_mRNA : 0</v>
      </c>
      <c r="J391" s="52" t="str">
        <f t="shared" si="795"/>
        <v>E2_4_1_21 : 0</v>
      </c>
      <c r="K391" s="53" t="str">
        <f t="shared" si="523"/>
        <v>0.00292 - (0.0093 * E2_4_1_21_mRNA)</v>
      </c>
      <c r="L391" s="54" t="str">
        <f t="shared" si="524"/>
        <v>(0.278 * E2_4_1_21_mRNA) - (0.00000278 * E2_4_1_21)</v>
      </c>
      <c r="M391" s="55" t="str">
        <f t="shared" si="525"/>
        <v>mRNA390: -&gt; E2_4_1_21_mRNA | 0.00292 - (0.0093 * E2_4_1_21_mRNA)</v>
      </c>
      <c r="N391" s="56" t="str">
        <f t="shared" si="526"/>
        <v>Peptide390: E2_4_1_21_mRNA -&gt; E2_4_1_21 | (0.278 * E2_4_1_21_mRNA) - (0.000000278 * E2_4_1_21)</v>
      </c>
    </row>
    <row r="392" spans="1:14" ht="29">
      <c r="A392" s="46">
        <v>391</v>
      </c>
      <c r="B392" s="7" t="s">
        <v>12681</v>
      </c>
      <c r="C392" s="27" t="str">
        <f t="shared" si="518"/>
        <v>E3_1_3_3_mRNA</v>
      </c>
      <c r="D392" s="47" t="str">
        <f t="shared" si="527"/>
        <v>E3_1_3_3</v>
      </c>
      <c r="E392" s="48" t="str">
        <f t="shared" si="519"/>
        <v>E3_1_3_3_kcat : 13.7</v>
      </c>
      <c r="F392" s="49" t="str">
        <f t="shared" si="520"/>
        <v>E3_1_3_3_km : 1</v>
      </c>
      <c r="G392" s="9" t="str">
        <f t="shared" ref="G392:H392" si="796">CONCATENATE(C392," : ",C392)</f>
        <v>E3_1_3_3_mRNA : E3_1_3_3_mRNA</v>
      </c>
      <c r="H392" s="50" t="str">
        <f t="shared" si="796"/>
        <v>E3_1_3_3 : E3_1_3_3</v>
      </c>
      <c r="I392" s="51" t="str">
        <f t="shared" ref="I392:J392" si="797">CONCATENATE(C392," : ","0")</f>
        <v>E3_1_3_3_mRNA : 0</v>
      </c>
      <c r="J392" s="52" t="str">
        <f t="shared" si="797"/>
        <v>E3_1_3_3 : 0</v>
      </c>
      <c r="K392" s="53" t="str">
        <f t="shared" si="523"/>
        <v>0.00292 - (0.0093 * E3_1_3_3_mRNA)</v>
      </c>
      <c r="L392" s="54" t="str">
        <f t="shared" si="524"/>
        <v>(0.278 * E3_1_3_3_mRNA) - (0.00000278 * E3_1_3_3)</v>
      </c>
      <c r="M392" s="55" t="str">
        <f t="shared" si="525"/>
        <v>mRNA391: -&gt; E3_1_3_3_mRNA | 0.00292 - (0.0093 * E3_1_3_3_mRNA)</v>
      </c>
      <c r="N392" s="56" t="str">
        <f t="shared" si="526"/>
        <v>Peptide391: E3_1_3_3_mRNA -&gt; E3_1_3_3 | (0.278 * E3_1_3_3_mRNA) - (0.000000278 * E3_1_3_3)</v>
      </c>
    </row>
    <row r="393" spans="1:14" ht="29">
      <c r="A393" s="46">
        <v>392</v>
      </c>
      <c r="B393" s="7" t="s">
        <v>12682</v>
      </c>
      <c r="C393" s="27" t="str">
        <f t="shared" si="518"/>
        <v>E2_7_1_31_mRNA</v>
      </c>
      <c r="D393" s="47" t="str">
        <f t="shared" si="527"/>
        <v>E2_7_1_31</v>
      </c>
      <c r="E393" s="48" t="str">
        <f t="shared" si="519"/>
        <v>E2_7_1_31_kcat : 13.7</v>
      </c>
      <c r="F393" s="49" t="str">
        <f t="shared" si="520"/>
        <v>E2_7_1_31_km : 1</v>
      </c>
      <c r="G393" s="9" t="str">
        <f t="shared" ref="G393:H393" si="798">CONCATENATE(C393," : ",C393)</f>
        <v>E2_7_1_31_mRNA : E2_7_1_31_mRNA</v>
      </c>
      <c r="H393" s="50" t="str">
        <f t="shared" si="798"/>
        <v>E2_7_1_31 : E2_7_1_31</v>
      </c>
      <c r="I393" s="51" t="str">
        <f t="shared" ref="I393:J393" si="799">CONCATENATE(C393," : ","0")</f>
        <v>E2_7_1_31_mRNA : 0</v>
      </c>
      <c r="J393" s="52" t="str">
        <f t="shared" si="799"/>
        <v>E2_7_1_31 : 0</v>
      </c>
      <c r="K393" s="53" t="str">
        <f t="shared" si="523"/>
        <v>0.00292 - (0.0093 * E2_7_1_31_mRNA)</v>
      </c>
      <c r="L393" s="54" t="str">
        <f t="shared" si="524"/>
        <v>(0.278 * E2_7_1_31_mRNA) - (0.00000278 * E2_7_1_31)</v>
      </c>
      <c r="M393" s="55" t="str">
        <f t="shared" si="525"/>
        <v>mRNA392: -&gt; E2_7_1_31_mRNA | 0.00292 - (0.0093 * E2_7_1_31_mRNA)</v>
      </c>
      <c r="N393" s="56" t="str">
        <f t="shared" si="526"/>
        <v>Peptide392: E2_7_1_31_mRNA -&gt; E2_7_1_31 | (0.278 * E2_7_1_31_mRNA) - (0.000000278 * E2_7_1_31)</v>
      </c>
    </row>
    <row r="394" spans="1:14" ht="29">
      <c r="A394" s="46">
        <v>393</v>
      </c>
      <c r="B394" s="7" t="s">
        <v>12683</v>
      </c>
      <c r="C394" s="27" t="str">
        <f t="shared" si="518"/>
        <v>E4_2_1_11_mRNA</v>
      </c>
      <c r="D394" s="47" t="str">
        <f t="shared" si="527"/>
        <v>E4_2_1_11</v>
      </c>
      <c r="E394" s="48" t="str">
        <f t="shared" si="519"/>
        <v>E4_2_1_11_kcat : 13.7</v>
      </c>
      <c r="F394" s="49" t="str">
        <f t="shared" si="520"/>
        <v>E4_2_1_11_km : 1</v>
      </c>
      <c r="G394" s="9" t="str">
        <f t="shared" ref="G394:H394" si="800">CONCATENATE(C394," : ",C394)</f>
        <v>E4_2_1_11_mRNA : E4_2_1_11_mRNA</v>
      </c>
      <c r="H394" s="50" t="str">
        <f t="shared" si="800"/>
        <v>E4_2_1_11 : E4_2_1_11</v>
      </c>
      <c r="I394" s="51" t="str">
        <f t="shared" ref="I394:J394" si="801">CONCATENATE(C394," : ","0")</f>
        <v>E4_2_1_11_mRNA : 0</v>
      </c>
      <c r="J394" s="52" t="str">
        <f t="shared" si="801"/>
        <v>E4_2_1_11 : 0</v>
      </c>
      <c r="K394" s="53" t="str">
        <f t="shared" si="523"/>
        <v>0.00292 - (0.0093 * E4_2_1_11_mRNA)</v>
      </c>
      <c r="L394" s="54" t="str">
        <f t="shared" si="524"/>
        <v>(0.278 * E4_2_1_11_mRNA) - (0.00000278 * E4_2_1_11)</v>
      </c>
      <c r="M394" s="55" t="str">
        <f t="shared" si="525"/>
        <v>mRNA393: -&gt; E4_2_1_11_mRNA | 0.00292 - (0.0093 * E4_2_1_11_mRNA)</v>
      </c>
      <c r="N394" s="56" t="str">
        <f t="shared" si="526"/>
        <v>Peptide393: E4_2_1_11_mRNA -&gt; E4_2_1_11 | (0.278 * E4_2_1_11_mRNA) - (0.000000278 * E4_2_1_11)</v>
      </c>
    </row>
    <row r="395" spans="1:14" ht="29">
      <c r="A395" s="46">
        <v>394</v>
      </c>
      <c r="B395" s="7" t="s">
        <v>12684</v>
      </c>
      <c r="C395" s="27" t="str">
        <f t="shared" si="518"/>
        <v>E3_4_24_13_mRNA</v>
      </c>
      <c r="D395" s="47" t="str">
        <f t="shared" si="527"/>
        <v>E3_4_24_13</v>
      </c>
      <c r="E395" s="48" t="str">
        <f t="shared" si="519"/>
        <v>E3_4_24_13_kcat : 13.7</v>
      </c>
      <c r="F395" s="49" t="str">
        <f t="shared" si="520"/>
        <v>E3_4_24_13_km : 1</v>
      </c>
      <c r="G395" s="9" t="str">
        <f t="shared" ref="G395:H395" si="802">CONCATENATE(C395," : ",C395)</f>
        <v>E3_4_24_13_mRNA : E3_4_24_13_mRNA</v>
      </c>
      <c r="H395" s="50" t="str">
        <f t="shared" si="802"/>
        <v>E3_4_24_13 : E3_4_24_13</v>
      </c>
      <c r="I395" s="51" t="str">
        <f t="shared" ref="I395:J395" si="803">CONCATENATE(C395," : ","0")</f>
        <v>E3_4_24_13_mRNA : 0</v>
      </c>
      <c r="J395" s="52" t="str">
        <f t="shared" si="803"/>
        <v>E3_4_24_13 : 0</v>
      </c>
      <c r="K395" s="53" t="str">
        <f t="shared" si="523"/>
        <v>0.00292 - (0.0093 * E3_4_24_13_mRNA)</v>
      </c>
      <c r="L395" s="54" t="str">
        <f t="shared" si="524"/>
        <v>(0.278 * E3_4_24_13_mRNA) - (0.00000278 * E3_4_24_13)</v>
      </c>
      <c r="M395" s="55" t="str">
        <f t="shared" si="525"/>
        <v>mRNA394: -&gt; E3_4_24_13_mRNA | 0.00292 - (0.0093 * E3_4_24_13_mRNA)</v>
      </c>
      <c r="N395" s="56" t="str">
        <f t="shared" si="526"/>
        <v>Peptide394: E3_4_24_13_mRNA -&gt; E3_4_24_13 | (0.278 * E3_4_24_13_mRNA) - (0.000000278 * E3_4_24_13)</v>
      </c>
    </row>
    <row r="396" spans="1:14" ht="29">
      <c r="A396" s="46">
        <v>395</v>
      </c>
      <c r="B396" s="7" t="s">
        <v>12685</v>
      </c>
      <c r="C396" s="27" t="str">
        <f t="shared" si="518"/>
        <v>E2_3_1_12_mRNA</v>
      </c>
      <c r="D396" s="47" t="str">
        <f t="shared" si="527"/>
        <v>E2_3_1_12</v>
      </c>
      <c r="E396" s="48" t="str">
        <f t="shared" si="519"/>
        <v>E2_3_1_12_kcat : 13.7</v>
      </c>
      <c r="F396" s="49" t="str">
        <f t="shared" si="520"/>
        <v>E2_3_1_12_km : 1</v>
      </c>
      <c r="G396" s="9" t="str">
        <f t="shared" ref="G396:H396" si="804">CONCATENATE(C396," : ",C396)</f>
        <v>E2_3_1_12_mRNA : E2_3_1_12_mRNA</v>
      </c>
      <c r="H396" s="50" t="str">
        <f t="shared" si="804"/>
        <v>E2_3_1_12 : E2_3_1_12</v>
      </c>
      <c r="I396" s="51" t="str">
        <f t="shared" ref="I396:J396" si="805">CONCATENATE(C396," : ","0")</f>
        <v>E2_3_1_12_mRNA : 0</v>
      </c>
      <c r="J396" s="52" t="str">
        <f t="shared" si="805"/>
        <v>E2_3_1_12 : 0</v>
      </c>
      <c r="K396" s="53" t="str">
        <f t="shared" si="523"/>
        <v>0.00292 - (0.0093 * E2_3_1_12_mRNA)</v>
      </c>
      <c r="L396" s="54" t="str">
        <f t="shared" si="524"/>
        <v>(0.278 * E2_3_1_12_mRNA) - (0.00000278 * E2_3_1_12)</v>
      </c>
      <c r="M396" s="55" t="str">
        <f t="shared" si="525"/>
        <v>mRNA395: -&gt; E2_3_1_12_mRNA | 0.00292 - (0.0093 * E2_3_1_12_mRNA)</v>
      </c>
      <c r="N396" s="56" t="str">
        <f t="shared" si="526"/>
        <v>Peptide395: E2_3_1_12_mRNA -&gt; E2_3_1_12 | (0.278 * E2_3_1_12_mRNA) - (0.000000278 * E2_3_1_12)</v>
      </c>
    </row>
    <row r="397" spans="1:14" ht="29">
      <c r="A397" s="46">
        <v>396</v>
      </c>
      <c r="B397" s="7" t="s">
        <v>12686</v>
      </c>
      <c r="C397" s="27" t="str">
        <f t="shared" si="518"/>
        <v>E1_2_4_4_mRNA</v>
      </c>
      <c r="D397" s="47" t="str">
        <f t="shared" si="527"/>
        <v>E1_2_4_4</v>
      </c>
      <c r="E397" s="48" t="str">
        <f t="shared" si="519"/>
        <v>E1_2_4_4_kcat : 13.7</v>
      </c>
      <c r="F397" s="49" t="str">
        <f t="shared" si="520"/>
        <v>E1_2_4_4_km : 1</v>
      </c>
      <c r="G397" s="9" t="str">
        <f t="shared" ref="G397:H397" si="806">CONCATENATE(C397," : ",C397)</f>
        <v>E1_2_4_4_mRNA : E1_2_4_4_mRNA</v>
      </c>
      <c r="H397" s="50" t="str">
        <f t="shared" si="806"/>
        <v>E1_2_4_4 : E1_2_4_4</v>
      </c>
      <c r="I397" s="51" t="str">
        <f t="shared" ref="I397:J397" si="807">CONCATENATE(C397," : ","0")</f>
        <v>E1_2_4_4_mRNA : 0</v>
      </c>
      <c r="J397" s="52" t="str">
        <f t="shared" si="807"/>
        <v>E1_2_4_4 : 0</v>
      </c>
      <c r="K397" s="53" t="str">
        <f t="shared" si="523"/>
        <v>0.00292 - (0.0093 * E1_2_4_4_mRNA)</v>
      </c>
      <c r="L397" s="54" t="str">
        <f t="shared" si="524"/>
        <v>(0.278 * E1_2_4_4_mRNA) - (0.00000278 * E1_2_4_4)</v>
      </c>
      <c r="M397" s="55" t="str">
        <f t="shared" si="525"/>
        <v>mRNA396: -&gt; E1_2_4_4_mRNA | 0.00292 - (0.0093 * E1_2_4_4_mRNA)</v>
      </c>
      <c r="N397" s="56" t="str">
        <f t="shared" si="526"/>
        <v>Peptide396: E1_2_4_4_mRNA -&gt; E1_2_4_4 | (0.278 * E1_2_4_4_mRNA) - (0.000000278 * E1_2_4_4)</v>
      </c>
    </row>
    <row r="398" spans="1:14" ht="29">
      <c r="A398" s="46">
        <v>397</v>
      </c>
      <c r="B398" s="7" t="s">
        <v>12687</v>
      </c>
      <c r="C398" s="27" t="str">
        <f t="shared" si="518"/>
        <v>E1_2_4_1_mRNA</v>
      </c>
      <c r="D398" s="47" t="str">
        <f t="shared" si="527"/>
        <v>E1_2_4_1</v>
      </c>
      <c r="E398" s="48" t="str">
        <f t="shared" si="519"/>
        <v>E1_2_4_1_kcat : 13.7</v>
      </c>
      <c r="F398" s="49" t="str">
        <f t="shared" si="520"/>
        <v>E1_2_4_1_km : 1</v>
      </c>
      <c r="G398" s="9" t="str">
        <f t="shared" ref="G398:H398" si="808">CONCATENATE(C398," : ",C398)</f>
        <v>E1_2_4_1_mRNA : E1_2_4_1_mRNA</v>
      </c>
      <c r="H398" s="50" t="str">
        <f t="shared" si="808"/>
        <v>E1_2_4_1 : E1_2_4_1</v>
      </c>
      <c r="I398" s="51" t="str">
        <f t="shared" ref="I398:J398" si="809">CONCATENATE(C398," : ","0")</f>
        <v>E1_2_4_1_mRNA : 0</v>
      </c>
      <c r="J398" s="52" t="str">
        <f t="shared" si="809"/>
        <v>E1_2_4_1 : 0</v>
      </c>
      <c r="K398" s="53" t="str">
        <f t="shared" si="523"/>
        <v>0.00292 - (0.0093 * E1_2_4_1_mRNA)</v>
      </c>
      <c r="L398" s="54" t="str">
        <f t="shared" si="524"/>
        <v>(0.278 * E1_2_4_1_mRNA) - (0.00000278 * E1_2_4_1)</v>
      </c>
      <c r="M398" s="55" t="str">
        <f t="shared" si="525"/>
        <v>mRNA397: -&gt; E1_2_4_1_mRNA | 0.00292 - (0.0093 * E1_2_4_1_mRNA)</v>
      </c>
      <c r="N398" s="56" t="str">
        <f t="shared" si="526"/>
        <v>Peptide397: E1_2_4_1_mRNA -&gt; E1_2_4_1 | (0.278 * E1_2_4_1_mRNA) - (0.000000278 * E1_2_4_1)</v>
      </c>
    </row>
    <row r="399" spans="1:14" ht="29">
      <c r="A399" s="46">
        <v>398</v>
      </c>
      <c r="B399" s="7" t="s">
        <v>12688</v>
      </c>
      <c r="C399" s="27" t="str">
        <f t="shared" si="518"/>
        <v>E3_5_2_3_mRNA</v>
      </c>
      <c r="D399" s="47" t="str">
        <f t="shared" si="527"/>
        <v>E3_5_2_3</v>
      </c>
      <c r="E399" s="48" t="str">
        <f t="shared" si="519"/>
        <v>E3_5_2_3_kcat : 13.7</v>
      </c>
      <c r="F399" s="49" t="str">
        <f t="shared" si="520"/>
        <v>E3_5_2_3_km : 1</v>
      </c>
      <c r="G399" s="9" t="str">
        <f t="shared" ref="G399:H399" si="810">CONCATENATE(C399," : ",C399)</f>
        <v>E3_5_2_3_mRNA : E3_5_2_3_mRNA</v>
      </c>
      <c r="H399" s="50" t="str">
        <f t="shared" si="810"/>
        <v>E3_5_2_3 : E3_5_2_3</v>
      </c>
      <c r="I399" s="51" t="str">
        <f t="shared" ref="I399:J399" si="811">CONCATENATE(C399," : ","0")</f>
        <v>E3_5_2_3_mRNA : 0</v>
      </c>
      <c r="J399" s="52" t="str">
        <f t="shared" si="811"/>
        <v>E3_5_2_3 : 0</v>
      </c>
      <c r="K399" s="53" t="str">
        <f t="shared" si="523"/>
        <v>0.00292 - (0.0093 * E3_5_2_3_mRNA)</v>
      </c>
      <c r="L399" s="54" t="str">
        <f t="shared" si="524"/>
        <v>(0.278 * E3_5_2_3_mRNA) - (0.00000278 * E3_5_2_3)</v>
      </c>
      <c r="M399" s="55" t="str">
        <f t="shared" si="525"/>
        <v>mRNA398: -&gt; E3_5_2_3_mRNA | 0.00292 - (0.0093 * E3_5_2_3_mRNA)</v>
      </c>
      <c r="N399" s="56" t="str">
        <f t="shared" si="526"/>
        <v>Peptide398: E3_5_2_3_mRNA -&gt; E3_5_2_3 | (0.278 * E3_5_2_3_mRNA) - (0.000000278 * E3_5_2_3)</v>
      </c>
    </row>
    <row r="400" spans="1:14" ht="29">
      <c r="A400" s="46">
        <v>399</v>
      </c>
      <c r="B400" s="7" t="s">
        <v>12689</v>
      </c>
      <c r="C400" s="27" t="str">
        <f t="shared" si="518"/>
        <v>E3_2_2_27_mRNA</v>
      </c>
      <c r="D400" s="47" t="str">
        <f t="shared" si="527"/>
        <v>E3_2_2_27</v>
      </c>
      <c r="E400" s="48" t="str">
        <f t="shared" si="519"/>
        <v>E3_2_2_27_kcat : 13.7</v>
      </c>
      <c r="F400" s="49" t="str">
        <f t="shared" si="520"/>
        <v>E3_2_2_27_km : 1</v>
      </c>
      <c r="G400" s="9" t="str">
        <f t="shared" ref="G400:H400" si="812">CONCATENATE(C400," : ",C400)</f>
        <v>E3_2_2_27_mRNA : E3_2_2_27_mRNA</v>
      </c>
      <c r="H400" s="50" t="str">
        <f t="shared" si="812"/>
        <v>E3_2_2_27 : E3_2_2_27</v>
      </c>
      <c r="I400" s="51" t="str">
        <f t="shared" ref="I400:J400" si="813">CONCATENATE(C400," : ","0")</f>
        <v>E3_2_2_27_mRNA : 0</v>
      </c>
      <c r="J400" s="52" t="str">
        <f t="shared" si="813"/>
        <v>E3_2_2_27 : 0</v>
      </c>
      <c r="K400" s="53" t="str">
        <f t="shared" si="523"/>
        <v>0.00292 - (0.0093 * E3_2_2_27_mRNA)</v>
      </c>
      <c r="L400" s="54" t="str">
        <f t="shared" si="524"/>
        <v>(0.278 * E3_2_2_27_mRNA) - (0.00000278 * E3_2_2_27)</v>
      </c>
      <c r="M400" s="55" t="str">
        <f t="shared" si="525"/>
        <v>mRNA399: -&gt; E3_2_2_27_mRNA | 0.00292 - (0.0093 * E3_2_2_27_mRNA)</v>
      </c>
      <c r="N400" s="56" t="str">
        <f t="shared" si="526"/>
        <v>Peptide399: E3_2_2_27_mRNA -&gt; E3_2_2_27 | (0.278 * E3_2_2_27_mRNA) - (0.000000278 * E3_2_2_27)</v>
      </c>
    </row>
    <row r="401" spans="1:14" ht="29">
      <c r="A401" s="46">
        <v>400</v>
      </c>
      <c r="B401" s="7" t="s">
        <v>12690</v>
      </c>
      <c r="C401" s="27" t="str">
        <f t="shared" si="518"/>
        <v>E1_17_4_1_mRNA</v>
      </c>
      <c r="D401" s="47" t="str">
        <f t="shared" si="527"/>
        <v>E1_17_4_1</v>
      </c>
      <c r="E401" s="48" t="str">
        <f t="shared" si="519"/>
        <v>E1_17_4_1_kcat : 13.7</v>
      </c>
      <c r="F401" s="49" t="str">
        <f t="shared" si="520"/>
        <v>E1_17_4_1_km : 1</v>
      </c>
      <c r="G401" s="9" t="str">
        <f t="shared" ref="G401:H401" si="814">CONCATENATE(C401," : ",C401)</f>
        <v>E1_17_4_1_mRNA : E1_17_4_1_mRNA</v>
      </c>
      <c r="H401" s="50" t="str">
        <f t="shared" si="814"/>
        <v>E1_17_4_1 : E1_17_4_1</v>
      </c>
      <c r="I401" s="51" t="str">
        <f t="shared" ref="I401:J401" si="815">CONCATENATE(C401," : ","0")</f>
        <v>E1_17_4_1_mRNA : 0</v>
      </c>
      <c r="J401" s="52" t="str">
        <f t="shared" si="815"/>
        <v>E1_17_4_1 : 0</v>
      </c>
      <c r="K401" s="53" t="str">
        <f t="shared" si="523"/>
        <v>0.00292 - (0.0093 * E1_17_4_1_mRNA)</v>
      </c>
      <c r="L401" s="54" t="str">
        <f t="shared" si="524"/>
        <v>(0.278 * E1_17_4_1_mRNA) - (0.00000278 * E1_17_4_1)</v>
      </c>
      <c r="M401" s="55" t="str">
        <f t="shared" si="525"/>
        <v>mRNA400: -&gt; E1_17_4_1_mRNA | 0.00292 - (0.0093 * E1_17_4_1_mRNA)</v>
      </c>
      <c r="N401" s="56" t="str">
        <f t="shared" si="526"/>
        <v>Peptide400: E1_17_4_1_mRNA -&gt; E1_17_4_1 | (0.278 * E1_17_4_1_mRNA) - (0.000000278 * E1_17_4_1)</v>
      </c>
    </row>
    <row r="402" spans="1:14" ht="29">
      <c r="A402" s="46">
        <v>401</v>
      </c>
      <c r="B402" s="7" t="s">
        <v>12691</v>
      </c>
      <c r="C402" s="27" t="str">
        <f t="shared" si="518"/>
        <v>E4_1_2_40_mRNA</v>
      </c>
      <c r="D402" s="47" t="str">
        <f t="shared" si="527"/>
        <v>E4_1_2_40</v>
      </c>
      <c r="E402" s="48" t="str">
        <f t="shared" si="519"/>
        <v>E4_1_2_40_kcat : 13.7</v>
      </c>
      <c r="F402" s="49" t="str">
        <f t="shared" si="520"/>
        <v>E4_1_2_40_km : 1</v>
      </c>
      <c r="G402" s="9" t="str">
        <f t="shared" ref="G402:H402" si="816">CONCATENATE(C402," : ",C402)</f>
        <v>E4_1_2_40_mRNA : E4_1_2_40_mRNA</v>
      </c>
      <c r="H402" s="50" t="str">
        <f t="shared" si="816"/>
        <v>E4_1_2_40 : E4_1_2_40</v>
      </c>
      <c r="I402" s="51" t="str">
        <f t="shared" ref="I402:J402" si="817">CONCATENATE(C402," : ","0")</f>
        <v>E4_1_2_40_mRNA : 0</v>
      </c>
      <c r="J402" s="52" t="str">
        <f t="shared" si="817"/>
        <v>E4_1_2_40 : 0</v>
      </c>
      <c r="K402" s="53" t="str">
        <f t="shared" si="523"/>
        <v>0.00292 - (0.0093 * E4_1_2_40_mRNA)</v>
      </c>
      <c r="L402" s="54" t="str">
        <f t="shared" si="524"/>
        <v>(0.278 * E4_1_2_40_mRNA) - (0.00000278 * E4_1_2_40)</v>
      </c>
      <c r="M402" s="55" t="str">
        <f t="shared" si="525"/>
        <v>mRNA401: -&gt; E4_1_2_40_mRNA | 0.00292 - (0.0093 * E4_1_2_40_mRNA)</v>
      </c>
      <c r="N402" s="56" t="str">
        <f t="shared" si="526"/>
        <v>Peptide401: E4_1_2_40_mRNA -&gt; E4_1_2_40 | (0.278 * E4_1_2_40_mRNA) - (0.000000278 * E4_1_2_40)</v>
      </c>
    </row>
    <row r="403" spans="1:14" ht="29">
      <c r="A403" s="46">
        <v>402</v>
      </c>
      <c r="B403" s="7" t="s">
        <v>12692</v>
      </c>
      <c r="C403" s="27" t="str">
        <f t="shared" si="518"/>
        <v>E2_7_1_144_mRNA</v>
      </c>
      <c r="D403" s="47" t="str">
        <f t="shared" si="527"/>
        <v>E2_7_1_144</v>
      </c>
      <c r="E403" s="48" t="str">
        <f t="shared" si="519"/>
        <v>E2_7_1_144_kcat : 13.7</v>
      </c>
      <c r="F403" s="49" t="str">
        <f t="shared" si="520"/>
        <v>E2_7_1_144_km : 1</v>
      </c>
      <c r="G403" s="9" t="str">
        <f t="shared" ref="G403:H403" si="818">CONCATENATE(C403," : ",C403)</f>
        <v>E2_7_1_144_mRNA : E2_7_1_144_mRNA</v>
      </c>
      <c r="H403" s="50" t="str">
        <f t="shared" si="818"/>
        <v>E2_7_1_144 : E2_7_1_144</v>
      </c>
      <c r="I403" s="51" t="str">
        <f t="shared" ref="I403:J403" si="819">CONCATENATE(C403," : ","0")</f>
        <v>E2_7_1_144_mRNA : 0</v>
      </c>
      <c r="J403" s="52" t="str">
        <f t="shared" si="819"/>
        <v>E2_7_1_144 : 0</v>
      </c>
      <c r="K403" s="53" t="str">
        <f t="shared" si="523"/>
        <v>0.00292 - (0.0093 * E2_7_1_144_mRNA)</v>
      </c>
      <c r="L403" s="54" t="str">
        <f t="shared" si="524"/>
        <v>(0.278 * E2_7_1_144_mRNA) - (0.00000278 * E2_7_1_144)</v>
      </c>
      <c r="M403" s="55" t="str">
        <f t="shared" si="525"/>
        <v>mRNA402: -&gt; E2_7_1_144_mRNA | 0.00292 - (0.0093 * E2_7_1_144_mRNA)</v>
      </c>
      <c r="N403" s="56" t="str">
        <f t="shared" si="526"/>
        <v>Peptide402: E2_7_1_144_mRNA -&gt; E2_7_1_144 | (0.278 * E2_7_1_144_mRNA) - (0.000000278 * E2_7_1_144)</v>
      </c>
    </row>
    <row r="404" spans="1:14" ht="29">
      <c r="A404" s="46">
        <v>403</v>
      </c>
      <c r="B404" s="7" t="s">
        <v>12693</v>
      </c>
      <c r="C404" s="27" t="str">
        <f t="shared" si="518"/>
        <v>E5_3_1_26_mRNA</v>
      </c>
      <c r="D404" s="47" t="str">
        <f t="shared" si="527"/>
        <v>E5_3_1_26</v>
      </c>
      <c r="E404" s="48" t="str">
        <f t="shared" si="519"/>
        <v>E5_3_1_26_kcat : 13.7</v>
      </c>
      <c r="F404" s="49" t="str">
        <f t="shared" si="520"/>
        <v>E5_3_1_26_km : 1</v>
      </c>
      <c r="G404" s="9" t="str">
        <f t="shared" ref="G404:H404" si="820">CONCATENATE(C404," : ",C404)</f>
        <v>E5_3_1_26_mRNA : E5_3_1_26_mRNA</v>
      </c>
      <c r="H404" s="50" t="str">
        <f t="shared" si="820"/>
        <v>E5_3_1_26 : E5_3_1_26</v>
      </c>
      <c r="I404" s="51" t="str">
        <f t="shared" ref="I404:J404" si="821">CONCATENATE(C404," : ","0")</f>
        <v>E5_3_1_26_mRNA : 0</v>
      </c>
      <c r="J404" s="52" t="str">
        <f t="shared" si="821"/>
        <v>E5_3_1_26 : 0</v>
      </c>
      <c r="K404" s="53" t="str">
        <f t="shared" si="523"/>
        <v>0.00292 - (0.0093 * E5_3_1_26_mRNA)</v>
      </c>
      <c r="L404" s="54" t="str">
        <f t="shared" si="524"/>
        <v>(0.278 * E5_3_1_26_mRNA) - (0.00000278 * E5_3_1_26)</v>
      </c>
      <c r="M404" s="55" t="str">
        <f t="shared" si="525"/>
        <v>mRNA403: -&gt; E5_3_1_26_mRNA | 0.00292 - (0.0093 * E5_3_1_26_mRNA)</v>
      </c>
      <c r="N404" s="56" t="str">
        <f t="shared" si="526"/>
        <v>Peptide403: E5_3_1_26_mRNA -&gt; E5_3_1_26 | (0.278 * E5_3_1_26_mRNA) - (0.000000278 * E5_3_1_26)</v>
      </c>
    </row>
    <row r="405" spans="1:14" ht="29">
      <c r="A405" s="46">
        <v>404</v>
      </c>
      <c r="B405" s="7" t="s">
        <v>12694</v>
      </c>
      <c r="C405" s="27" t="str">
        <f t="shared" si="518"/>
        <v>E3_4_11_18_mRNA</v>
      </c>
      <c r="D405" s="47" t="str">
        <f t="shared" si="527"/>
        <v>E3_4_11_18</v>
      </c>
      <c r="E405" s="48" t="str">
        <f t="shared" si="519"/>
        <v>E3_4_11_18_kcat : 13.7</v>
      </c>
      <c r="F405" s="49" t="str">
        <f t="shared" si="520"/>
        <v>E3_4_11_18_km : 1</v>
      </c>
      <c r="G405" s="9" t="str">
        <f t="shared" ref="G405:H405" si="822">CONCATENATE(C405," : ",C405)</f>
        <v>E3_4_11_18_mRNA : E3_4_11_18_mRNA</v>
      </c>
      <c r="H405" s="50" t="str">
        <f t="shared" si="822"/>
        <v>E3_4_11_18 : E3_4_11_18</v>
      </c>
      <c r="I405" s="51" t="str">
        <f t="shared" ref="I405:J405" si="823">CONCATENATE(C405," : ","0")</f>
        <v>E3_4_11_18_mRNA : 0</v>
      </c>
      <c r="J405" s="52" t="str">
        <f t="shared" si="823"/>
        <v>E3_4_11_18 : 0</v>
      </c>
      <c r="K405" s="53" t="str">
        <f t="shared" si="523"/>
        <v>0.00292 - (0.0093 * E3_4_11_18_mRNA)</v>
      </c>
      <c r="L405" s="54" t="str">
        <f t="shared" si="524"/>
        <v>(0.278 * E3_4_11_18_mRNA) - (0.00000278 * E3_4_11_18)</v>
      </c>
      <c r="M405" s="55" t="str">
        <f t="shared" si="525"/>
        <v>mRNA404: -&gt; E3_4_11_18_mRNA | 0.00292 - (0.0093 * E3_4_11_18_mRNA)</v>
      </c>
      <c r="N405" s="56" t="str">
        <f t="shared" si="526"/>
        <v>Peptide404: E3_4_11_18_mRNA -&gt; E3_4_11_18 | (0.278 * E3_4_11_18_mRNA) - (0.000000278 * E3_4_11_18)</v>
      </c>
    </row>
    <row r="406" spans="1:14" ht="29">
      <c r="A406" s="46">
        <v>405</v>
      </c>
      <c r="B406" s="7" t="s">
        <v>12695</v>
      </c>
      <c r="C406" s="27" t="str">
        <f t="shared" si="518"/>
        <v>E2_4_1_250_mRNA</v>
      </c>
      <c r="D406" s="47" t="str">
        <f t="shared" si="527"/>
        <v>E2_4_1_250</v>
      </c>
      <c r="E406" s="48" t="str">
        <f t="shared" si="519"/>
        <v>E2_4_1_250_kcat : 13.7</v>
      </c>
      <c r="F406" s="49" t="str">
        <f t="shared" si="520"/>
        <v>E2_4_1_250_km : 1</v>
      </c>
      <c r="G406" s="9" t="str">
        <f t="shared" ref="G406:H406" si="824">CONCATENATE(C406," : ",C406)</f>
        <v>E2_4_1_250_mRNA : E2_4_1_250_mRNA</v>
      </c>
      <c r="H406" s="50" t="str">
        <f t="shared" si="824"/>
        <v>E2_4_1_250 : E2_4_1_250</v>
      </c>
      <c r="I406" s="51" t="str">
        <f t="shared" ref="I406:J406" si="825">CONCATENATE(C406," : ","0")</f>
        <v>E2_4_1_250_mRNA : 0</v>
      </c>
      <c r="J406" s="52" t="str">
        <f t="shared" si="825"/>
        <v>E2_4_1_250 : 0</v>
      </c>
      <c r="K406" s="53" t="str">
        <f t="shared" si="523"/>
        <v>0.00292 - (0.0093 * E2_4_1_250_mRNA)</v>
      </c>
      <c r="L406" s="54" t="str">
        <f t="shared" si="524"/>
        <v>(0.278 * E2_4_1_250_mRNA) - (0.00000278 * E2_4_1_250)</v>
      </c>
      <c r="M406" s="55" t="str">
        <f t="shared" si="525"/>
        <v>mRNA405: -&gt; E2_4_1_250_mRNA | 0.00292 - (0.0093 * E2_4_1_250_mRNA)</v>
      </c>
      <c r="N406" s="56" t="str">
        <f t="shared" si="526"/>
        <v>Peptide405: E2_4_1_250_mRNA -&gt; E2_4_1_250 | (0.278 * E2_4_1_250_mRNA) - (0.000000278 * E2_4_1_250)</v>
      </c>
    </row>
    <row r="407" spans="1:14" ht="29">
      <c r="A407" s="46">
        <v>406</v>
      </c>
      <c r="B407" s="7" t="s">
        <v>12696</v>
      </c>
      <c r="C407" s="27" t="str">
        <f t="shared" si="518"/>
        <v>E2_1_2_1_mRNA</v>
      </c>
      <c r="D407" s="47" t="str">
        <f t="shared" si="527"/>
        <v>E2_1_2_1</v>
      </c>
      <c r="E407" s="48" t="str">
        <f t="shared" si="519"/>
        <v>E2_1_2_1_kcat : 13.7</v>
      </c>
      <c r="F407" s="49" t="str">
        <f t="shared" si="520"/>
        <v>E2_1_2_1_km : 1</v>
      </c>
      <c r="G407" s="9" t="str">
        <f t="shared" ref="G407:H407" si="826">CONCATENATE(C407," : ",C407)</f>
        <v>E2_1_2_1_mRNA : E2_1_2_1_mRNA</v>
      </c>
      <c r="H407" s="50" t="str">
        <f t="shared" si="826"/>
        <v>E2_1_2_1 : E2_1_2_1</v>
      </c>
      <c r="I407" s="51" t="str">
        <f t="shared" ref="I407:J407" si="827">CONCATENATE(C407," : ","0")</f>
        <v>E2_1_2_1_mRNA : 0</v>
      </c>
      <c r="J407" s="52" t="str">
        <f t="shared" si="827"/>
        <v>E2_1_2_1 : 0</v>
      </c>
      <c r="K407" s="53" t="str">
        <f t="shared" si="523"/>
        <v>0.00292 - (0.0093 * E2_1_2_1_mRNA)</v>
      </c>
      <c r="L407" s="54" t="str">
        <f t="shared" si="524"/>
        <v>(0.278 * E2_1_2_1_mRNA) - (0.00000278 * E2_1_2_1)</v>
      </c>
      <c r="M407" s="55" t="str">
        <f t="shared" si="525"/>
        <v>mRNA406: -&gt; E2_1_2_1_mRNA | 0.00292 - (0.0093 * E2_1_2_1_mRNA)</v>
      </c>
      <c r="N407" s="56" t="str">
        <f t="shared" si="526"/>
        <v>Peptide406: E2_1_2_1_mRNA -&gt; E2_1_2_1 | (0.278 * E2_1_2_1_mRNA) - (0.000000278 * E2_1_2_1)</v>
      </c>
    </row>
    <row r="408" spans="1:14" ht="29">
      <c r="A408" s="46">
        <v>407</v>
      </c>
      <c r="B408" s="7" t="s">
        <v>12697</v>
      </c>
      <c r="C408" s="27" t="str">
        <f t="shared" si="518"/>
        <v>E2_7_1_21_mRNA</v>
      </c>
      <c r="D408" s="47" t="str">
        <f t="shared" si="527"/>
        <v>E2_7_1_21</v>
      </c>
      <c r="E408" s="48" t="str">
        <f t="shared" si="519"/>
        <v>E2_7_1_21_kcat : 13.7</v>
      </c>
      <c r="F408" s="49" t="str">
        <f t="shared" si="520"/>
        <v>E2_7_1_21_km : 1</v>
      </c>
      <c r="G408" s="9" t="str">
        <f t="shared" ref="G408:H408" si="828">CONCATENATE(C408," : ",C408)</f>
        <v>E2_7_1_21_mRNA : E2_7_1_21_mRNA</v>
      </c>
      <c r="H408" s="50" t="str">
        <f t="shared" si="828"/>
        <v>E2_7_1_21 : E2_7_1_21</v>
      </c>
      <c r="I408" s="51" t="str">
        <f t="shared" ref="I408:J408" si="829">CONCATENATE(C408," : ","0")</f>
        <v>E2_7_1_21_mRNA : 0</v>
      </c>
      <c r="J408" s="52" t="str">
        <f t="shared" si="829"/>
        <v>E2_7_1_21 : 0</v>
      </c>
      <c r="K408" s="53" t="str">
        <f t="shared" si="523"/>
        <v>0.00292 - (0.0093 * E2_7_1_21_mRNA)</v>
      </c>
      <c r="L408" s="54" t="str">
        <f t="shared" si="524"/>
        <v>(0.278 * E2_7_1_21_mRNA) - (0.00000278 * E2_7_1_21)</v>
      </c>
      <c r="M408" s="55" t="str">
        <f t="shared" si="525"/>
        <v>mRNA407: -&gt; E2_7_1_21_mRNA | 0.00292 - (0.0093 * E2_7_1_21_mRNA)</v>
      </c>
      <c r="N408" s="56" t="str">
        <f t="shared" si="526"/>
        <v>Peptide407: E2_7_1_21_mRNA -&gt; E2_7_1_21 | (0.278 * E2_7_1_21_mRNA) - (0.000000278 * E2_7_1_21)</v>
      </c>
    </row>
    <row r="409" spans="1:14" ht="29">
      <c r="A409" s="46">
        <v>408</v>
      </c>
      <c r="B409" s="7" t="s">
        <v>12698</v>
      </c>
      <c r="C409" s="27" t="str">
        <f t="shared" si="518"/>
        <v>E3_6_1_13_mRNA</v>
      </c>
      <c r="D409" s="47" t="str">
        <f t="shared" si="527"/>
        <v>E3_6_1_13</v>
      </c>
      <c r="E409" s="48" t="str">
        <f t="shared" si="519"/>
        <v>E3_6_1_13_kcat : 13.7</v>
      </c>
      <c r="F409" s="49" t="str">
        <f t="shared" si="520"/>
        <v>E3_6_1_13_km : 1</v>
      </c>
      <c r="G409" s="9" t="str">
        <f t="shared" ref="G409:H409" si="830">CONCATENATE(C409," : ",C409)</f>
        <v>E3_6_1_13_mRNA : E3_6_1_13_mRNA</v>
      </c>
      <c r="H409" s="50" t="str">
        <f t="shared" si="830"/>
        <v>E3_6_1_13 : E3_6_1_13</v>
      </c>
      <c r="I409" s="51" t="str">
        <f t="shared" ref="I409:J409" si="831">CONCATENATE(C409," : ","0")</f>
        <v>E3_6_1_13_mRNA : 0</v>
      </c>
      <c r="J409" s="52" t="str">
        <f t="shared" si="831"/>
        <v>E3_6_1_13 : 0</v>
      </c>
      <c r="K409" s="53" t="str">
        <f t="shared" si="523"/>
        <v>0.00292 - (0.0093 * E3_6_1_13_mRNA)</v>
      </c>
      <c r="L409" s="54" t="str">
        <f t="shared" si="524"/>
        <v>(0.278 * E3_6_1_13_mRNA) - (0.00000278 * E3_6_1_13)</v>
      </c>
      <c r="M409" s="55" t="str">
        <f t="shared" si="525"/>
        <v>mRNA408: -&gt; E3_6_1_13_mRNA | 0.00292 - (0.0093 * E3_6_1_13_mRNA)</v>
      </c>
      <c r="N409" s="56" t="str">
        <f t="shared" si="526"/>
        <v>Peptide408: E3_6_1_13_mRNA -&gt; E3_6_1_13 | (0.278 * E3_6_1_13_mRNA) - (0.000000278 * E3_6_1_13)</v>
      </c>
    </row>
    <row r="410" spans="1:14" ht="29">
      <c r="A410" s="46">
        <v>409</v>
      </c>
      <c r="B410" s="7" t="s">
        <v>12699</v>
      </c>
      <c r="C410" s="27" t="str">
        <f t="shared" si="518"/>
        <v>E3_1_13_1_mRNA</v>
      </c>
      <c r="D410" s="47" t="str">
        <f t="shared" si="527"/>
        <v>E3_1_13_1</v>
      </c>
      <c r="E410" s="48" t="str">
        <f t="shared" si="519"/>
        <v>E3_1_13_1_kcat : 13.7</v>
      </c>
      <c r="F410" s="49" t="str">
        <f t="shared" si="520"/>
        <v>E3_1_13_1_km : 1</v>
      </c>
      <c r="G410" s="9" t="str">
        <f t="shared" ref="G410:H410" si="832">CONCATENATE(C410," : ",C410)</f>
        <v>E3_1_13_1_mRNA : E3_1_13_1_mRNA</v>
      </c>
      <c r="H410" s="50" t="str">
        <f t="shared" si="832"/>
        <v>E3_1_13_1 : E3_1_13_1</v>
      </c>
      <c r="I410" s="51" t="str">
        <f t="shared" ref="I410:J410" si="833">CONCATENATE(C410," : ","0")</f>
        <v>E3_1_13_1_mRNA : 0</v>
      </c>
      <c r="J410" s="52" t="str">
        <f t="shared" si="833"/>
        <v>E3_1_13_1 : 0</v>
      </c>
      <c r="K410" s="53" t="str">
        <f t="shared" si="523"/>
        <v>0.00292 - (0.0093 * E3_1_13_1_mRNA)</v>
      </c>
      <c r="L410" s="54" t="str">
        <f t="shared" si="524"/>
        <v>(0.278 * E3_1_13_1_mRNA) - (0.00000278 * E3_1_13_1)</v>
      </c>
      <c r="M410" s="55" t="str">
        <f t="shared" si="525"/>
        <v>mRNA409: -&gt; E3_1_13_1_mRNA | 0.00292 - (0.0093 * E3_1_13_1_mRNA)</v>
      </c>
      <c r="N410" s="56" t="str">
        <f t="shared" si="526"/>
        <v>Peptide409: E3_1_13_1_mRNA -&gt; E3_1_13_1 | (0.278 * E3_1_13_1_mRNA) - (0.000000278 * E3_1_13_1)</v>
      </c>
    </row>
    <row r="411" spans="1:14" ht="29">
      <c r="A411" s="46">
        <v>410</v>
      </c>
      <c r="B411" s="7" t="s">
        <v>12700</v>
      </c>
      <c r="C411" s="27" t="str">
        <f t="shared" si="518"/>
        <v>E2_7_1_24_mRNA</v>
      </c>
      <c r="D411" s="47" t="str">
        <f t="shared" si="527"/>
        <v>E2_7_1_24</v>
      </c>
      <c r="E411" s="48" t="str">
        <f t="shared" si="519"/>
        <v>E2_7_1_24_kcat : 13.7</v>
      </c>
      <c r="F411" s="49" t="str">
        <f t="shared" si="520"/>
        <v>E2_7_1_24_km : 1</v>
      </c>
      <c r="G411" s="9" t="str">
        <f t="shared" ref="G411:H411" si="834">CONCATENATE(C411," : ",C411)</f>
        <v>E2_7_1_24_mRNA : E2_7_1_24_mRNA</v>
      </c>
      <c r="H411" s="50" t="str">
        <f t="shared" si="834"/>
        <v>E2_7_1_24 : E2_7_1_24</v>
      </c>
      <c r="I411" s="51" t="str">
        <f t="shared" ref="I411:J411" si="835">CONCATENATE(C411," : ","0")</f>
        <v>E2_7_1_24_mRNA : 0</v>
      </c>
      <c r="J411" s="52" t="str">
        <f t="shared" si="835"/>
        <v>E2_7_1_24 : 0</v>
      </c>
      <c r="K411" s="53" t="str">
        <f t="shared" si="523"/>
        <v>0.00292 - (0.0093 * E2_7_1_24_mRNA)</v>
      </c>
      <c r="L411" s="54" t="str">
        <f t="shared" si="524"/>
        <v>(0.278 * E2_7_1_24_mRNA) - (0.00000278 * E2_7_1_24)</v>
      </c>
      <c r="M411" s="55" t="str">
        <f t="shared" si="525"/>
        <v>mRNA410: -&gt; E2_7_1_24_mRNA | 0.00292 - (0.0093 * E2_7_1_24_mRNA)</v>
      </c>
      <c r="N411" s="56" t="str">
        <f t="shared" si="526"/>
        <v>Peptide410: E2_7_1_24_mRNA -&gt; E2_7_1_24 | (0.278 * E2_7_1_24_mRNA) - (0.000000278 * E2_7_1_24)</v>
      </c>
    </row>
    <row r="412" spans="1:14" ht="29">
      <c r="A412" s="46">
        <v>411</v>
      </c>
      <c r="B412" s="7" t="s">
        <v>12701</v>
      </c>
      <c r="C412" s="27" t="str">
        <f t="shared" si="518"/>
        <v>E3_2_2_23_mRNA</v>
      </c>
      <c r="D412" s="47" t="str">
        <f t="shared" si="527"/>
        <v>E3_2_2_23</v>
      </c>
      <c r="E412" s="48" t="str">
        <f t="shared" si="519"/>
        <v>E3_2_2_23_kcat : 13.7</v>
      </c>
      <c r="F412" s="49" t="str">
        <f t="shared" si="520"/>
        <v>E3_2_2_23_km : 1</v>
      </c>
      <c r="G412" s="9" t="str">
        <f t="shared" ref="G412:H412" si="836">CONCATENATE(C412," : ",C412)</f>
        <v>E3_2_2_23_mRNA : E3_2_2_23_mRNA</v>
      </c>
      <c r="H412" s="50" t="str">
        <f t="shared" si="836"/>
        <v>E3_2_2_23 : E3_2_2_23</v>
      </c>
      <c r="I412" s="51" t="str">
        <f t="shared" ref="I412:J412" si="837">CONCATENATE(C412," : ","0")</f>
        <v>E3_2_2_23_mRNA : 0</v>
      </c>
      <c r="J412" s="52" t="str">
        <f t="shared" si="837"/>
        <v>E3_2_2_23 : 0</v>
      </c>
      <c r="K412" s="53" t="str">
        <f t="shared" si="523"/>
        <v>0.00292 - (0.0093 * E3_2_2_23_mRNA)</v>
      </c>
      <c r="L412" s="54" t="str">
        <f t="shared" si="524"/>
        <v>(0.278 * E3_2_2_23_mRNA) - (0.00000278 * E3_2_2_23)</v>
      </c>
      <c r="M412" s="55" t="str">
        <f t="shared" si="525"/>
        <v>mRNA411: -&gt; E3_2_2_23_mRNA | 0.00292 - (0.0093 * E3_2_2_23_mRNA)</v>
      </c>
      <c r="N412" s="56" t="str">
        <f t="shared" si="526"/>
        <v>Peptide411: E3_2_2_23_mRNA -&gt; E3_2_2_23 | (0.278 * E3_2_2_23_mRNA) - (0.000000278 * E3_2_2_23)</v>
      </c>
    </row>
    <row r="413" spans="1:14" ht="29">
      <c r="A413" s="46">
        <v>412</v>
      </c>
      <c r="B413" s="7" t="s">
        <v>12702</v>
      </c>
      <c r="C413" s="27" t="str">
        <f t="shared" si="518"/>
        <v>E2_7_1_66_mRNA</v>
      </c>
      <c r="D413" s="47" t="str">
        <f t="shared" si="527"/>
        <v>E2_7_1_66</v>
      </c>
      <c r="E413" s="48" t="str">
        <f t="shared" si="519"/>
        <v>E2_7_1_66_kcat : 13.7</v>
      </c>
      <c r="F413" s="49" t="str">
        <f t="shared" si="520"/>
        <v>E2_7_1_66_km : 1</v>
      </c>
      <c r="G413" s="9" t="str">
        <f t="shared" ref="G413:H413" si="838">CONCATENATE(C413," : ",C413)</f>
        <v>E2_7_1_66_mRNA : E2_7_1_66_mRNA</v>
      </c>
      <c r="H413" s="50" t="str">
        <f t="shared" si="838"/>
        <v>E2_7_1_66 : E2_7_1_66</v>
      </c>
      <c r="I413" s="51" t="str">
        <f t="shared" ref="I413:J413" si="839">CONCATENATE(C413," : ","0")</f>
        <v>E2_7_1_66_mRNA : 0</v>
      </c>
      <c r="J413" s="52" t="str">
        <f t="shared" si="839"/>
        <v>E2_7_1_66 : 0</v>
      </c>
      <c r="K413" s="53" t="str">
        <f t="shared" si="523"/>
        <v>0.00292 - (0.0093 * E2_7_1_66_mRNA)</v>
      </c>
      <c r="L413" s="54" t="str">
        <f t="shared" si="524"/>
        <v>(0.278 * E2_7_1_66_mRNA) - (0.00000278 * E2_7_1_66)</v>
      </c>
      <c r="M413" s="55" t="str">
        <f t="shared" si="525"/>
        <v>mRNA412: -&gt; E2_7_1_66_mRNA | 0.00292 - (0.0093 * E2_7_1_66_mRNA)</v>
      </c>
      <c r="N413" s="56" t="str">
        <f t="shared" si="526"/>
        <v>Peptide412: E2_7_1_66_mRNA -&gt; E2_7_1_66 | (0.278 * E2_7_1_66_mRNA) - (0.000000278 * E2_7_1_66)</v>
      </c>
    </row>
    <row r="414" spans="1:14" ht="29">
      <c r="A414" s="46">
        <v>413</v>
      </c>
      <c r="B414" s="7" t="s">
        <v>12703</v>
      </c>
      <c r="C414" s="27" t="str">
        <f t="shared" si="518"/>
        <v>E2_7_1_107_mRNA</v>
      </c>
      <c r="D414" s="47" t="str">
        <f t="shared" si="527"/>
        <v>E2_7_1_107</v>
      </c>
      <c r="E414" s="48" t="str">
        <f t="shared" si="519"/>
        <v>E2_7_1_107_kcat : 13.7</v>
      </c>
      <c r="F414" s="49" t="str">
        <f t="shared" si="520"/>
        <v>E2_7_1_107_km : 1</v>
      </c>
      <c r="G414" s="9" t="str">
        <f t="shared" ref="G414:H414" si="840">CONCATENATE(C414," : ",C414)</f>
        <v>E2_7_1_107_mRNA : E2_7_1_107_mRNA</v>
      </c>
      <c r="H414" s="50" t="str">
        <f t="shared" si="840"/>
        <v>E2_7_1_107 : E2_7_1_107</v>
      </c>
      <c r="I414" s="51" t="str">
        <f t="shared" ref="I414:J414" si="841">CONCATENATE(C414," : ","0")</f>
        <v>E2_7_1_107_mRNA : 0</v>
      </c>
      <c r="J414" s="52" t="str">
        <f t="shared" si="841"/>
        <v>E2_7_1_107 : 0</v>
      </c>
      <c r="K414" s="53" t="str">
        <f t="shared" si="523"/>
        <v>0.00292 - (0.0093 * E2_7_1_107_mRNA)</v>
      </c>
      <c r="L414" s="54" t="str">
        <f t="shared" si="524"/>
        <v>(0.278 * E2_7_1_107_mRNA) - (0.00000278 * E2_7_1_107)</v>
      </c>
      <c r="M414" s="55" t="str">
        <f t="shared" si="525"/>
        <v>mRNA413: -&gt; E2_7_1_107_mRNA | 0.00292 - (0.0093 * E2_7_1_107_mRNA)</v>
      </c>
      <c r="N414" s="56" t="str">
        <f t="shared" si="526"/>
        <v>Peptide413: E2_7_1_107_mRNA -&gt; E2_7_1_107 | (0.278 * E2_7_1_107_mRNA) - (0.000000278 * E2_7_1_107)</v>
      </c>
    </row>
    <row r="415" spans="1:14" ht="29">
      <c r="A415" s="46">
        <v>414</v>
      </c>
      <c r="B415" s="7" t="s">
        <v>12704</v>
      </c>
      <c r="C415" s="27" t="str">
        <f t="shared" si="518"/>
        <v>E1_3_1_14_mRNA</v>
      </c>
      <c r="D415" s="47" t="str">
        <f t="shared" si="527"/>
        <v>E1_3_1_14</v>
      </c>
      <c r="E415" s="48" t="str">
        <f t="shared" si="519"/>
        <v>E1_3_1_14_kcat : 13.7</v>
      </c>
      <c r="F415" s="49" t="str">
        <f t="shared" si="520"/>
        <v>E1_3_1_14_km : 1</v>
      </c>
      <c r="G415" s="9" t="str">
        <f t="shared" ref="G415:H415" si="842">CONCATENATE(C415," : ",C415)</f>
        <v>E1_3_1_14_mRNA : E1_3_1_14_mRNA</v>
      </c>
      <c r="H415" s="50" t="str">
        <f t="shared" si="842"/>
        <v>E1_3_1_14 : E1_3_1_14</v>
      </c>
      <c r="I415" s="51" t="str">
        <f t="shared" ref="I415:J415" si="843">CONCATENATE(C415," : ","0")</f>
        <v>E1_3_1_14_mRNA : 0</v>
      </c>
      <c r="J415" s="52" t="str">
        <f t="shared" si="843"/>
        <v>E1_3_1_14 : 0</v>
      </c>
      <c r="K415" s="53" t="str">
        <f t="shared" si="523"/>
        <v>0.00292 - (0.0093 * E1_3_1_14_mRNA)</v>
      </c>
      <c r="L415" s="54" t="str">
        <f t="shared" si="524"/>
        <v>(0.278 * E1_3_1_14_mRNA) - (0.00000278 * E1_3_1_14)</v>
      </c>
      <c r="M415" s="55" t="str">
        <f t="shared" si="525"/>
        <v>mRNA414: -&gt; E1_3_1_14_mRNA | 0.00292 - (0.0093 * E1_3_1_14_mRNA)</v>
      </c>
      <c r="N415" s="56" t="str">
        <f t="shared" si="526"/>
        <v>Peptide414: E1_3_1_14_mRNA -&gt; E1_3_1_14 | (0.278 * E1_3_1_14_mRNA) - (0.000000278 * E1_3_1_14)</v>
      </c>
    </row>
    <row r="416" spans="1:14" ht="29">
      <c r="A416" s="46">
        <v>415</v>
      </c>
      <c r="B416" s="7" t="s">
        <v>12705</v>
      </c>
      <c r="C416" s="27" t="str">
        <f t="shared" si="518"/>
        <v>E1_4_1_1_mRNA</v>
      </c>
      <c r="D416" s="47" t="str">
        <f t="shared" si="527"/>
        <v>E1_4_1_1</v>
      </c>
      <c r="E416" s="48" t="str">
        <f t="shared" si="519"/>
        <v>E1_4_1_1_kcat : 13.7</v>
      </c>
      <c r="F416" s="49" t="str">
        <f t="shared" si="520"/>
        <v>E1_4_1_1_km : 1</v>
      </c>
      <c r="G416" s="9" t="str">
        <f t="shared" ref="G416:H416" si="844">CONCATENATE(C416," : ",C416)</f>
        <v>E1_4_1_1_mRNA : E1_4_1_1_mRNA</v>
      </c>
      <c r="H416" s="50" t="str">
        <f t="shared" si="844"/>
        <v>E1_4_1_1 : E1_4_1_1</v>
      </c>
      <c r="I416" s="51" t="str">
        <f t="shared" ref="I416:J416" si="845">CONCATENATE(C416," : ","0")</f>
        <v>E1_4_1_1_mRNA : 0</v>
      </c>
      <c r="J416" s="52" t="str">
        <f t="shared" si="845"/>
        <v>E1_4_1_1 : 0</v>
      </c>
      <c r="K416" s="53" t="str">
        <f t="shared" si="523"/>
        <v>0.00292 - (0.0093 * E1_4_1_1_mRNA)</v>
      </c>
      <c r="L416" s="54" t="str">
        <f t="shared" si="524"/>
        <v>(0.278 * E1_4_1_1_mRNA) - (0.00000278 * E1_4_1_1)</v>
      </c>
      <c r="M416" s="55" t="str">
        <f t="shared" si="525"/>
        <v>mRNA415: -&gt; E1_4_1_1_mRNA | 0.00292 - (0.0093 * E1_4_1_1_mRNA)</v>
      </c>
      <c r="N416" s="56" t="str">
        <f t="shared" si="526"/>
        <v>Peptide415: E1_4_1_1_mRNA -&gt; E1_4_1_1 | (0.278 * E1_4_1_1_mRNA) - (0.000000278 * E1_4_1_1)</v>
      </c>
    </row>
    <row r="417" spans="1:14" ht="29">
      <c r="A417" s="46">
        <v>416</v>
      </c>
      <c r="B417" s="7" t="s">
        <v>12706</v>
      </c>
      <c r="C417" s="27" t="str">
        <f t="shared" si="518"/>
        <v>E2_7_4_22_mRNA</v>
      </c>
      <c r="D417" s="47" t="str">
        <f t="shared" si="527"/>
        <v>E2_7_4_22</v>
      </c>
      <c r="E417" s="48" t="str">
        <f t="shared" si="519"/>
        <v>E2_7_4_22_kcat : 13.7</v>
      </c>
      <c r="F417" s="49" t="str">
        <f t="shared" si="520"/>
        <v>E2_7_4_22_km : 1</v>
      </c>
      <c r="G417" s="9" t="str">
        <f t="shared" ref="G417:H417" si="846">CONCATENATE(C417," : ",C417)</f>
        <v>E2_7_4_22_mRNA : E2_7_4_22_mRNA</v>
      </c>
      <c r="H417" s="50" t="str">
        <f t="shared" si="846"/>
        <v>E2_7_4_22 : E2_7_4_22</v>
      </c>
      <c r="I417" s="51" t="str">
        <f t="shared" ref="I417:J417" si="847">CONCATENATE(C417," : ","0")</f>
        <v>E2_7_4_22_mRNA : 0</v>
      </c>
      <c r="J417" s="52" t="str">
        <f t="shared" si="847"/>
        <v>E2_7_4_22 : 0</v>
      </c>
      <c r="K417" s="53" t="str">
        <f t="shared" si="523"/>
        <v>0.00292 - (0.0093 * E2_7_4_22_mRNA)</v>
      </c>
      <c r="L417" s="54" t="str">
        <f t="shared" si="524"/>
        <v>(0.278 * E2_7_4_22_mRNA) - (0.00000278 * E2_7_4_22)</v>
      </c>
      <c r="M417" s="55" t="str">
        <f t="shared" si="525"/>
        <v>mRNA416: -&gt; E2_7_4_22_mRNA | 0.00292 - (0.0093 * E2_7_4_22_mRNA)</v>
      </c>
      <c r="N417" s="56" t="str">
        <f t="shared" si="526"/>
        <v>Peptide416: E2_7_4_22_mRNA -&gt; E2_7_4_22 | (0.278 * E2_7_4_22_mRNA) - (0.000000278 * E2_7_4_22)</v>
      </c>
    </row>
    <row r="418" spans="1:14" ht="29">
      <c r="A418" s="46">
        <v>417</v>
      </c>
      <c r="B418" s="7" t="s">
        <v>12707</v>
      </c>
      <c r="C418" s="27" t="str">
        <f t="shared" si="518"/>
        <v>E2_1_1_74_mRNA</v>
      </c>
      <c r="D418" s="47" t="str">
        <f t="shared" si="527"/>
        <v>E2_1_1_74</v>
      </c>
      <c r="E418" s="48" t="str">
        <f t="shared" si="519"/>
        <v>E2_1_1_74_kcat : 13.7</v>
      </c>
      <c r="F418" s="49" t="str">
        <f t="shared" si="520"/>
        <v>E2_1_1_74_km : 1</v>
      </c>
      <c r="G418" s="9" t="str">
        <f t="shared" ref="G418:H418" si="848">CONCATENATE(C418," : ",C418)</f>
        <v>E2_1_1_74_mRNA : E2_1_1_74_mRNA</v>
      </c>
      <c r="H418" s="50" t="str">
        <f t="shared" si="848"/>
        <v>E2_1_1_74 : E2_1_1_74</v>
      </c>
      <c r="I418" s="51" t="str">
        <f t="shared" ref="I418:J418" si="849">CONCATENATE(C418," : ","0")</f>
        <v>E2_1_1_74_mRNA : 0</v>
      </c>
      <c r="J418" s="52" t="str">
        <f t="shared" si="849"/>
        <v>E2_1_1_74 : 0</v>
      </c>
      <c r="K418" s="53" t="str">
        <f t="shared" si="523"/>
        <v>0.00292 - (0.0093 * E2_1_1_74_mRNA)</v>
      </c>
      <c r="L418" s="54" t="str">
        <f t="shared" si="524"/>
        <v>(0.278 * E2_1_1_74_mRNA) - (0.00000278 * E2_1_1_74)</v>
      </c>
      <c r="M418" s="55" t="str">
        <f t="shared" si="525"/>
        <v>mRNA417: -&gt; E2_1_1_74_mRNA | 0.00292 - (0.0093 * E2_1_1_74_mRNA)</v>
      </c>
      <c r="N418" s="56" t="str">
        <f t="shared" si="526"/>
        <v>Peptide417: E2_1_1_74_mRNA -&gt; E2_1_1_74 | (0.278 * E2_1_1_74_mRNA) - (0.000000278 * E2_1_1_74)</v>
      </c>
    </row>
    <row r="419" spans="1:14" ht="29">
      <c r="A419" s="46">
        <v>418</v>
      </c>
      <c r="B419" s="7" t="s">
        <v>12708</v>
      </c>
      <c r="C419" s="27" t="str">
        <f t="shared" si="518"/>
        <v>E2_1_1_198_mRNA</v>
      </c>
      <c r="D419" s="47" t="str">
        <f t="shared" si="527"/>
        <v>E2_1_1_198</v>
      </c>
      <c r="E419" s="48" t="str">
        <f t="shared" si="519"/>
        <v>E2_1_1_198_kcat : 13.7</v>
      </c>
      <c r="F419" s="49" t="str">
        <f t="shared" si="520"/>
        <v>E2_1_1_198_km : 1</v>
      </c>
      <c r="G419" s="9" t="str">
        <f t="shared" ref="G419:H419" si="850">CONCATENATE(C419," : ",C419)</f>
        <v>E2_1_1_198_mRNA : E2_1_1_198_mRNA</v>
      </c>
      <c r="H419" s="50" t="str">
        <f t="shared" si="850"/>
        <v>E2_1_1_198 : E2_1_1_198</v>
      </c>
      <c r="I419" s="51" t="str">
        <f t="shared" ref="I419:J419" si="851">CONCATENATE(C419," : ","0")</f>
        <v>E2_1_1_198_mRNA : 0</v>
      </c>
      <c r="J419" s="52" t="str">
        <f t="shared" si="851"/>
        <v>E2_1_1_198 : 0</v>
      </c>
      <c r="K419" s="53" t="str">
        <f t="shared" si="523"/>
        <v>0.00292 - (0.0093 * E2_1_1_198_mRNA)</v>
      </c>
      <c r="L419" s="54" t="str">
        <f t="shared" si="524"/>
        <v>(0.278 * E2_1_1_198_mRNA) - (0.00000278 * E2_1_1_198)</v>
      </c>
      <c r="M419" s="55" t="str">
        <f t="shared" si="525"/>
        <v>mRNA418: -&gt; E2_1_1_198_mRNA | 0.00292 - (0.0093 * E2_1_1_198_mRNA)</v>
      </c>
      <c r="N419" s="56" t="str">
        <f t="shared" si="526"/>
        <v>Peptide418: E2_1_1_198_mRNA -&gt; E2_1_1_198 | (0.278 * E2_1_1_198_mRNA) - (0.000000278 * E2_1_1_198)</v>
      </c>
    </row>
    <row r="420" spans="1:14" ht="29">
      <c r="A420" s="46">
        <v>419</v>
      </c>
      <c r="B420" s="7" t="s">
        <v>12709</v>
      </c>
      <c r="C420" s="27" t="str">
        <f t="shared" si="518"/>
        <v>E2_7_4_9_mRNA</v>
      </c>
      <c r="D420" s="47" t="str">
        <f t="shared" si="527"/>
        <v>E2_7_4_9</v>
      </c>
      <c r="E420" s="48" t="str">
        <f t="shared" si="519"/>
        <v>E2_7_4_9_kcat : 13.7</v>
      </c>
      <c r="F420" s="49" t="str">
        <f t="shared" si="520"/>
        <v>E2_7_4_9_km : 1</v>
      </c>
      <c r="G420" s="9" t="str">
        <f t="shared" ref="G420:H420" si="852">CONCATENATE(C420," : ",C420)</f>
        <v>E2_7_4_9_mRNA : E2_7_4_9_mRNA</v>
      </c>
      <c r="H420" s="50" t="str">
        <f t="shared" si="852"/>
        <v>E2_7_4_9 : E2_7_4_9</v>
      </c>
      <c r="I420" s="51" t="str">
        <f t="shared" ref="I420:J420" si="853">CONCATENATE(C420," : ","0")</f>
        <v>E2_7_4_9_mRNA : 0</v>
      </c>
      <c r="J420" s="52" t="str">
        <f t="shared" si="853"/>
        <v>E2_7_4_9 : 0</v>
      </c>
      <c r="K420" s="53" t="str">
        <f t="shared" si="523"/>
        <v>0.00292 - (0.0093 * E2_7_4_9_mRNA)</v>
      </c>
      <c r="L420" s="54" t="str">
        <f t="shared" si="524"/>
        <v>(0.278 * E2_7_4_9_mRNA) - (0.00000278 * E2_7_4_9)</v>
      </c>
      <c r="M420" s="55" t="str">
        <f t="shared" si="525"/>
        <v>mRNA419: -&gt; E2_7_4_9_mRNA | 0.00292 - (0.0093 * E2_7_4_9_mRNA)</v>
      </c>
      <c r="N420" s="56" t="str">
        <f t="shared" si="526"/>
        <v>Peptide419: E2_7_4_9_mRNA -&gt; E2_7_4_9 | (0.278 * E2_7_4_9_mRNA) - (0.000000278 * E2_7_4_9)</v>
      </c>
    </row>
    <row r="421" spans="1:14" ht="29">
      <c r="A421" s="46">
        <v>420</v>
      </c>
      <c r="B421" s="7" t="s">
        <v>12710</v>
      </c>
      <c r="C421" s="27" t="str">
        <f t="shared" si="518"/>
        <v>E1_5_1_2_mRNA</v>
      </c>
      <c r="D421" s="47" t="str">
        <f t="shared" si="527"/>
        <v>E1_5_1_2</v>
      </c>
      <c r="E421" s="48" t="str">
        <f t="shared" si="519"/>
        <v>E1_5_1_2_kcat : 13.7</v>
      </c>
      <c r="F421" s="49" t="str">
        <f t="shared" si="520"/>
        <v>E1_5_1_2_km : 1</v>
      </c>
      <c r="G421" s="9" t="str">
        <f t="shared" ref="G421:H421" si="854">CONCATENATE(C421," : ",C421)</f>
        <v>E1_5_1_2_mRNA : E1_5_1_2_mRNA</v>
      </c>
      <c r="H421" s="50" t="str">
        <f t="shared" si="854"/>
        <v>E1_5_1_2 : E1_5_1_2</v>
      </c>
      <c r="I421" s="51" t="str">
        <f t="shared" ref="I421:J421" si="855">CONCATENATE(C421," : ","0")</f>
        <v>E1_5_1_2_mRNA : 0</v>
      </c>
      <c r="J421" s="52" t="str">
        <f t="shared" si="855"/>
        <v>E1_5_1_2 : 0</v>
      </c>
      <c r="K421" s="53" t="str">
        <f t="shared" si="523"/>
        <v>0.00292 - (0.0093 * E1_5_1_2_mRNA)</v>
      </c>
      <c r="L421" s="54" t="str">
        <f t="shared" si="524"/>
        <v>(0.278 * E1_5_1_2_mRNA) - (0.00000278 * E1_5_1_2)</v>
      </c>
      <c r="M421" s="55" t="str">
        <f t="shared" si="525"/>
        <v>mRNA420: -&gt; E1_5_1_2_mRNA | 0.00292 - (0.0093 * E1_5_1_2_mRNA)</v>
      </c>
      <c r="N421" s="56" t="str">
        <f t="shared" si="526"/>
        <v>Peptide420: E1_5_1_2_mRNA -&gt; E1_5_1_2 | (0.278 * E1_5_1_2_mRNA) - (0.000000278 * E1_5_1_2)</v>
      </c>
    </row>
    <row r="422" spans="1:14" ht="29">
      <c r="A422" s="46">
        <v>421</v>
      </c>
      <c r="B422" s="7" t="s">
        <v>12711</v>
      </c>
      <c r="C422" s="27" t="str">
        <f t="shared" si="518"/>
        <v>E1_2_1_41_mRNA</v>
      </c>
      <c r="D422" s="47" t="str">
        <f t="shared" si="527"/>
        <v>E1_2_1_41</v>
      </c>
      <c r="E422" s="48" t="str">
        <f t="shared" si="519"/>
        <v>E1_2_1_41_kcat : 13.7</v>
      </c>
      <c r="F422" s="49" t="str">
        <f t="shared" si="520"/>
        <v>E1_2_1_41_km : 1</v>
      </c>
      <c r="G422" s="9" t="str">
        <f t="shared" ref="G422:H422" si="856">CONCATENATE(C422," : ",C422)</f>
        <v>E1_2_1_41_mRNA : E1_2_1_41_mRNA</v>
      </c>
      <c r="H422" s="50" t="str">
        <f t="shared" si="856"/>
        <v>E1_2_1_41 : E1_2_1_41</v>
      </c>
      <c r="I422" s="51" t="str">
        <f t="shared" ref="I422:J422" si="857">CONCATENATE(C422," : ","0")</f>
        <v>E1_2_1_41_mRNA : 0</v>
      </c>
      <c r="J422" s="52" t="str">
        <f t="shared" si="857"/>
        <v>E1_2_1_41 : 0</v>
      </c>
      <c r="K422" s="53" t="str">
        <f t="shared" si="523"/>
        <v>0.00292 - (0.0093 * E1_2_1_41_mRNA)</v>
      </c>
      <c r="L422" s="54" t="str">
        <f t="shared" si="524"/>
        <v>(0.278 * E1_2_1_41_mRNA) - (0.00000278 * E1_2_1_41)</v>
      </c>
      <c r="M422" s="55" t="str">
        <f t="shared" si="525"/>
        <v>mRNA421: -&gt; E1_2_1_41_mRNA | 0.00292 - (0.0093 * E1_2_1_41_mRNA)</v>
      </c>
      <c r="N422" s="56" t="str">
        <f t="shared" si="526"/>
        <v>Peptide421: E1_2_1_41_mRNA -&gt; E1_2_1_41 | (0.278 * E1_2_1_41_mRNA) - (0.000000278 * E1_2_1_41)</v>
      </c>
    </row>
    <row r="423" spans="1:14" ht="29">
      <c r="A423" s="46">
        <v>422</v>
      </c>
      <c r="B423" s="7" t="s">
        <v>12712</v>
      </c>
      <c r="C423" s="27" t="str">
        <f t="shared" si="518"/>
        <v>E2_7_2_11_mRNA</v>
      </c>
      <c r="D423" s="47" t="str">
        <f t="shared" si="527"/>
        <v>E2_7_2_11</v>
      </c>
      <c r="E423" s="48" t="str">
        <f t="shared" si="519"/>
        <v>E2_7_2_11_kcat : 13.7</v>
      </c>
      <c r="F423" s="49" t="str">
        <f t="shared" si="520"/>
        <v>E2_7_2_11_km : 1</v>
      </c>
      <c r="G423" s="9" t="str">
        <f t="shared" ref="G423:H423" si="858">CONCATENATE(C423," : ",C423)</f>
        <v>E2_7_2_11_mRNA : E2_7_2_11_mRNA</v>
      </c>
      <c r="H423" s="50" t="str">
        <f t="shared" si="858"/>
        <v>E2_7_2_11 : E2_7_2_11</v>
      </c>
      <c r="I423" s="51" t="str">
        <f t="shared" ref="I423:J423" si="859">CONCATENATE(C423," : ","0")</f>
        <v>E2_7_2_11_mRNA : 0</v>
      </c>
      <c r="J423" s="52" t="str">
        <f t="shared" si="859"/>
        <v>E2_7_2_11 : 0</v>
      </c>
      <c r="K423" s="53" t="str">
        <f t="shared" si="523"/>
        <v>0.00292 - (0.0093 * E2_7_2_11_mRNA)</v>
      </c>
      <c r="L423" s="54" t="str">
        <f t="shared" si="524"/>
        <v>(0.278 * E2_7_2_11_mRNA) - (0.00000278 * E2_7_2_11)</v>
      </c>
      <c r="M423" s="55" t="str">
        <f t="shared" si="525"/>
        <v>mRNA422: -&gt; E2_7_2_11_mRNA | 0.00292 - (0.0093 * E2_7_2_11_mRNA)</v>
      </c>
      <c r="N423" s="56" t="str">
        <f t="shared" si="526"/>
        <v>Peptide422: E2_7_2_11_mRNA -&gt; E2_7_2_11 | (0.278 * E2_7_2_11_mRNA) - (0.000000278 * E2_7_2_11)</v>
      </c>
    </row>
    <row r="424" spans="1:14" ht="29">
      <c r="A424" s="46">
        <v>423</v>
      </c>
      <c r="B424" s="7" t="s">
        <v>12713</v>
      </c>
      <c r="C424" s="27" t="str">
        <f t="shared" si="518"/>
        <v>E3_5_1_77_mRNA</v>
      </c>
      <c r="D424" s="47" t="str">
        <f t="shared" si="527"/>
        <v>E3_5_1_77</v>
      </c>
      <c r="E424" s="48" t="str">
        <f t="shared" si="519"/>
        <v>E3_5_1_77_kcat : 13.7</v>
      </c>
      <c r="F424" s="49" t="str">
        <f t="shared" si="520"/>
        <v>E3_5_1_77_km : 1</v>
      </c>
      <c r="G424" s="9" t="str">
        <f t="shared" ref="G424:H424" si="860">CONCATENATE(C424," : ",C424)</f>
        <v>E3_5_1_77_mRNA : E3_5_1_77_mRNA</v>
      </c>
      <c r="H424" s="50" t="str">
        <f t="shared" si="860"/>
        <v>E3_5_1_77 : E3_5_1_77</v>
      </c>
      <c r="I424" s="51" t="str">
        <f t="shared" ref="I424:J424" si="861">CONCATENATE(C424," : ","0")</f>
        <v>E3_5_1_77_mRNA : 0</v>
      </c>
      <c r="J424" s="52" t="str">
        <f t="shared" si="861"/>
        <v>E3_5_1_77 : 0</v>
      </c>
      <c r="K424" s="53" t="str">
        <f t="shared" si="523"/>
        <v>0.00292 - (0.0093 * E3_5_1_77_mRNA)</v>
      </c>
      <c r="L424" s="54" t="str">
        <f t="shared" si="524"/>
        <v>(0.278 * E3_5_1_77_mRNA) - (0.00000278 * E3_5_1_77)</v>
      </c>
      <c r="M424" s="55" t="str">
        <f t="shared" si="525"/>
        <v>mRNA423: -&gt; E3_5_1_77_mRNA | 0.00292 - (0.0093 * E3_5_1_77_mRNA)</v>
      </c>
      <c r="N424" s="56" t="str">
        <f t="shared" si="526"/>
        <v>Peptide423: E3_5_1_77_mRNA -&gt; E3_5_1_77 | (0.278 * E3_5_1_77_mRNA) - (0.000000278 * E3_5_1_77)</v>
      </c>
    </row>
    <row r="425" spans="1:14" ht="29">
      <c r="A425" s="46">
        <v>424</v>
      </c>
      <c r="B425" s="7" t="s">
        <v>12714</v>
      </c>
      <c r="C425" s="27" t="str">
        <f t="shared" si="518"/>
        <v>E3_5_3_12_mRNA</v>
      </c>
      <c r="D425" s="47" t="str">
        <f t="shared" si="527"/>
        <v>E3_5_3_12</v>
      </c>
      <c r="E425" s="48" t="str">
        <f t="shared" si="519"/>
        <v>E3_5_3_12_kcat : 13.7</v>
      </c>
      <c r="F425" s="49" t="str">
        <f t="shared" si="520"/>
        <v>E3_5_3_12_km : 1</v>
      </c>
      <c r="G425" s="9" t="str">
        <f t="shared" ref="G425:H425" si="862">CONCATENATE(C425," : ",C425)</f>
        <v>E3_5_3_12_mRNA : E3_5_3_12_mRNA</v>
      </c>
      <c r="H425" s="50" t="str">
        <f t="shared" si="862"/>
        <v>E3_5_3_12 : E3_5_3_12</v>
      </c>
      <c r="I425" s="51" t="str">
        <f t="shared" ref="I425:J425" si="863">CONCATENATE(C425," : ","0")</f>
        <v>E3_5_3_12_mRNA : 0</v>
      </c>
      <c r="J425" s="52" t="str">
        <f t="shared" si="863"/>
        <v>E3_5_3_12 : 0</v>
      </c>
      <c r="K425" s="53" t="str">
        <f t="shared" si="523"/>
        <v>0.00292 - (0.0093 * E3_5_3_12_mRNA)</v>
      </c>
      <c r="L425" s="54" t="str">
        <f t="shared" si="524"/>
        <v>(0.278 * E3_5_3_12_mRNA) - (0.00000278 * E3_5_3_12)</v>
      </c>
      <c r="M425" s="55" t="str">
        <f t="shared" si="525"/>
        <v>mRNA424: -&gt; E3_5_3_12_mRNA | 0.00292 - (0.0093 * E3_5_3_12_mRNA)</v>
      </c>
      <c r="N425" s="56" t="str">
        <f t="shared" si="526"/>
        <v>Peptide424: E3_5_3_12_mRNA -&gt; E3_5_3_12 | (0.278 * E3_5_3_12_mRNA) - (0.000000278 * E3_5_3_12)</v>
      </c>
    </row>
    <row r="426" spans="1:14" ht="29">
      <c r="A426" s="46">
        <v>425</v>
      </c>
      <c r="B426" s="7" t="s">
        <v>12715</v>
      </c>
      <c r="C426" s="27" t="str">
        <f t="shared" si="518"/>
        <v>E2_5_1_16_mRNA</v>
      </c>
      <c r="D426" s="47" t="str">
        <f t="shared" si="527"/>
        <v>E2_5_1_16</v>
      </c>
      <c r="E426" s="48" t="str">
        <f t="shared" si="519"/>
        <v>E2_5_1_16_kcat : 13.7</v>
      </c>
      <c r="F426" s="49" t="str">
        <f t="shared" si="520"/>
        <v>E2_5_1_16_km : 1</v>
      </c>
      <c r="G426" s="9" t="str">
        <f t="shared" ref="G426:H426" si="864">CONCATENATE(C426," : ",C426)</f>
        <v>E2_5_1_16_mRNA : E2_5_1_16_mRNA</v>
      </c>
      <c r="H426" s="50" t="str">
        <f t="shared" si="864"/>
        <v>E2_5_1_16 : E2_5_1_16</v>
      </c>
      <c r="I426" s="51" t="str">
        <f t="shared" ref="I426:J426" si="865">CONCATENATE(C426," : ","0")</f>
        <v>E2_5_1_16_mRNA : 0</v>
      </c>
      <c r="J426" s="52" t="str">
        <f t="shared" si="865"/>
        <v>E2_5_1_16 : 0</v>
      </c>
      <c r="K426" s="53" t="str">
        <f t="shared" si="523"/>
        <v>0.00292 - (0.0093 * E2_5_1_16_mRNA)</v>
      </c>
      <c r="L426" s="54" t="str">
        <f t="shared" si="524"/>
        <v>(0.278 * E2_5_1_16_mRNA) - (0.00000278 * E2_5_1_16)</v>
      </c>
      <c r="M426" s="55" t="str">
        <f t="shared" si="525"/>
        <v>mRNA425: -&gt; E2_5_1_16_mRNA | 0.00292 - (0.0093 * E2_5_1_16_mRNA)</v>
      </c>
      <c r="N426" s="56" t="str">
        <f t="shared" si="526"/>
        <v>Peptide425: E2_5_1_16_mRNA -&gt; E2_5_1_16 | (0.278 * E2_5_1_16_mRNA) - (0.000000278 * E2_5_1_16)</v>
      </c>
    </row>
    <row r="427" spans="1:14" ht="29">
      <c r="A427" s="46">
        <v>426</v>
      </c>
      <c r="B427" s="7" t="s">
        <v>12716</v>
      </c>
      <c r="C427" s="27" t="str">
        <f t="shared" si="518"/>
        <v>E4_1_1_19_mRNA</v>
      </c>
      <c r="D427" s="47" t="str">
        <f t="shared" si="527"/>
        <v>E4_1_1_19</v>
      </c>
      <c r="E427" s="48" t="str">
        <f t="shared" si="519"/>
        <v>E4_1_1_19_kcat : 13.7</v>
      </c>
      <c r="F427" s="49" t="str">
        <f t="shared" si="520"/>
        <v>E4_1_1_19_km : 1</v>
      </c>
      <c r="G427" s="9" t="str">
        <f t="shared" ref="G427:H427" si="866">CONCATENATE(C427," : ",C427)</f>
        <v>E4_1_1_19_mRNA : E4_1_1_19_mRNA</v>
      </c>
      <c r="H427" s="50" t="str">
        <f t="shared" si="866"/>
        <v>E4_1_1_19 : E4_1_1_19</v>
      </c>
      <c r="I427" s="51" t="str">
        <f t="shared" ref="I427:J427" si="867">CONCATENATE(C427," : ","0")</f>
        <v>E4_1_1_19_mRNA : 0</v>
      </c>
      <c r="J427" s="52" t="str">
        <f t="shared" si="867"/>
        <v>E4_1_1_19 : 0</v>
      </c>
      <c r="K427" s="53" t="str">
        <f t="shared" si="523"/>
        <v>0.00292 - (0.0093 * E4_1_1_19_mRNA)</v>
      </c>
      <c r="L427" s="54" t="str">
        <f t="shared" si="524"/>
        <v>(0.278 * E4_1_1_19_mRNA) - (0.00000278 * E4_1_1_19)</v>
      </c>
      <c r="M427" s="55" t="str">
        <f t="shared" si="525"/>
        <v>mRNA426: -&gt; E4_1_1_19_mRNA | 0.00292 - (0.0093 * E4_1_1_19_mRNA)</v>
      </c>
      <c r="N427" s="56" t="str">
        <f t="shared" si="526"/>
        <v>Peptide426: E4_1_1_19_mRNA -&gt; E4_1_1_19 | (0.278 * E4_1_1_19_mRNA) - (0.000000278 * E4_1_1_19)</v>
      </c>
    </row>
    <row r="428" spans="1:14" ht="29">
      <c r="A428" s="46">
        <v>427</v>
      </c>
      <c r="B428" s="7" t="s">
        <v>12717</v>
      </c>
      <c r="C428" s="27" t="str">
        <f t="shared" si="518"/>
        <v>E3_4_14_11_mRNA</v>
      </c>
      <c r="D428" s="47" t="str">
        <f t="shared" si="527"/>
        <v>E3_4_14_11</v>
      </c>
      <c r="E428" s="48" t="str">
        <f t="shared" si="519"/>
        <v>E3_4_14_11_kcat : 13.7</v>
      </c>
      <c r="F428" s="49" t="str">
        <f t="shared" si="520"/>
        <v>E3_4_14_11_km : 1</v>
      </c>
      <c r="G428" s="9" t="str">
        <f t="shared" ref="G428:H428" si="868">CONCATENATE(C428," : ",C428)</f>
        <v>E3_4_14_11_mRNA : E3_4_14_11_mRNA</v>
      </c>
      <c r="H428" s="50" t="str">
        <f t="shared" si="868"/>
        <v>E3_4_14_11 : E3_4_14_11</v>
      </c>
      <c r="I428" s="51" t="str">
        <f t="shared" ref="I428:J428" si="869">CONCATENATE(C428," : ","0")</f>
        <v>E3_4_14_11_mRNA : 0</v>
      </c>
      <c r="J428" s="52" t="str">
        <f t="shared" si="869"/>
        <v>E3_4_14_11 : 0</v>
      </c>
      <c r="K428" s="53" t="str">
        <f t="shared" si="523"/>
        <v>0.00292 - (0.0093 * E3_4_14_11_mRNA)</v>
      </c>
      <c r="L428" s="54" t="str">
        <f t="shared" si="524"/>
        <v>(0.278 * E3_4_14_11_mRNA) - (0.00000278 * E3_4_14_11)</v>
      </c>
      <c r="M428" s="55" t="str">
        <f t="shared" si="525"/>
        <v>mRNA427: -&gt; E3_4_14_11_mRNA | 0.00292 - (0.0093 * E3_4_14_11_mRNA)</v>
      </c>
      <c r="N428" s="56" t="str">
        <f t="shared" si="526"/>
        <v>Peptide427: E3_4_14_11_mRNA -&gt; E3_4_14_11 | (0.278 * E3_4_14_11_mRNA) - (0.000000278 * E3_4_14_11)</v>
      </c>
    </row>
    <row r="429" spans="1:14" ht="29">
      <c r="A429" s="46">
        <v>428</v>
      </c>
      <c r="B429" s="7" t="s">
        <v>12718</v>
      </c>
      <c r="C429" s="27" t="str">
        <f t="shared" si="518"/>
        <v>E3_1_21_3_mRNA</v>
      </c>
      <c r="D429" s="47" t="str">
        <f t="shared" si="527"/>
        <v>E3_1_21_3</v>
      </c>
      <c r="E429" s="48" t="str">
        <f t="shared" si="519"/>
        <v>E3_1_21_3_kcat : 13.7</v>
      </c>
      <c r="F429" s="49" t="str">
        <f t="shared" si="520"/>
        <v>E3_1_21_3_km : 1</v>
      </c>
      <c r="G429" s="9" t="str">
        <f t="shared" ref="G429:H429" si="870">CONCATENATE(C429," : ",C429)</f>
        <v>E3_1_21_3_mRNA : E3_1_21_3_mRNA</v>
      </c>
      <c r="H429" s="50" t="str">
        <f t="shared" si="870"/>
        <v>E3_1_21_3 : E3_1_21_3</v>
      </c>
      <c r="I429" s="51" t="str">
        <f t="shared" ref="I429:J429" si="871">CONCATENATE(C429," : ","0")</f>
        <v>E3_1_21_3_mRNA : 0</v>
      </c>
      <c r="J429" s="52" t="str">
        <f t="shared" si="871"/>
        <v>E3_1_21_3 : 0</v>
      </c>
      <c r="K429" s="53" t="str">
        <f t="shared" si="523"/>
        <v>0.00292 - (0.0093 * E3_1_21_3_mRNA)</v>
      </c>
      <c r="L429" s="54" t="str">
        <f t="shared" si="524"/>
        <v>(0.278 * E3_1_21_3_mRNA) - (0.00000278 * E3_1_21_3)</v>
      </c>
      <c r="M429" s="55" t="str">
        <f t="shared" si="525"/>
        <v>mRNA428: -&gt; E3_1_21_3_mRNA | 0.00292 - (0.0093 * E3_1_21_3_mRNA)</v>
      </c>
      <c r="N429" s="56" t="str">
        <f t="shared" si="526"/>
        <v>Peptide428: E3_1_21_3_mRNA -&gt; E3_1_21_3 | (0.278 * E3_1_21_3_mRNA) - (0.000000278 * E3_1_21_3)</v>
      </c>
    </row>
    <row r="430" spans="1:14" ht="29">
      <c r="A430" s="46">
        <v>429</v>
      </c>
      <c r="B430" s="7" t="s">
        <v>12719</v>
      </c>
      <c r="C430" s="27" t="str">
        <f t="shared" si="518"/>
        <v>E2_8_1_4_mRNA</v>
      </c>
      <c r="D430" s="47" t="str">
        <f t="shared" si="527"/>
        <v>E2_8_1_4</v>
      </c>
      <c r="E430" s="48" t="str">
        <f t="shared" si="519"/>
        <v>E2_8_1_4_kcat : 13.7</v>
      </c>
      <c r="F430" s="49" t="str">
        <f t="shared" si="520"/>
        <v>E2_8_1_4_km : 1</v>
      </c>
      <c r="G430" s="9" t="str">
        <f t="shared" ref="G430:H430" si="872">CONCATENATE(C430," : ",C430)</f>
        <v>E2_8_1_4_mRNA : E2_8_1_4_mRNA</v>
      </c>
      <c r="H430" s="50" t="str">
        <f t="shared" si="872"/>
        <v>E2_8_1_4 : E2_8_1_4</v>
      </c>
      <c r="I430" s="51" t="str">
        <f t="shared" ref="I430:J430" si="873">CONCATENATE(C430," : ","0")</f>
        <v>E2_8_1_4_mRNA : 0</v>
      </c>
      <c r="J430" s="52" t="str">
        <f t="shared" si="873"/>
        <v>E2_8_1_4 : 0</v>
      </c>
      <c r="K430" s="53" t="str">
        <f t="shared" si="523"/>
        <v>0.00292 - (0.0093 * E2_8_1_4_mRNA)</v>
      </c>
      <c r="L430" s="54" t="str">
        <f t="shared" si="524"/>
        <v>(0.278 * E2_8_1_4_mRNA) - (0.00000278 * E2_8_1_4)</v>
      </c>
      <c r="M430" s="55" t="str">
        <f t="shared" si="525"/>
        <v>mRNA429: -&gt; E2_8_1_4_mRNA | 0.00292 - (0.0093 * E2_8_1_4_mRNA)</v>
      </c>
      <c r="N430" s="56" t="str">
        <f t="shared" si="526"/>
        <v>Peptide429: E2_8_1_4_mRNA -&gt; E2_8_1_4 | (0.278 * E2_8_1_4_mRNA) - (0.000000278 * E2_8_1_4)</v>
      </c>
    </row>
    <row r="431" spans="1:14" ht="29">
      <c r="A431" s="46">
        <v>430</v>
      </c>
      <c r="B431" s="7" t="s">
        <v>12720</v>
      </c>
      <c r="C431" s="27" t="str">
        <f t="shared" si="518"/>
        <v>E2_7_1_56_mRNA</v>
      </c>
      <c r="D431" s="47" t="str">
        <f t="shared" si="527"/>
        <v>E2_7_1_56</v>
      </c>
      <c r="E431" s="48" t="str">
        <f t="shared" si="519"/>
        <v>E2_7_1_56_kcat : 13.7</v>
      </c>
      <c r="F431" s="49" t="str">
        <f t="shared" si="520"/>
        <v>E2_7_1_56_km : 1</v>
      </c>
      <c r="G431" s="9" t="str">
        <f t="shared" ref="G431:H431" si="874">CONCATENATE(C431," : ",C431)</f>
        <v>E2_7_1_56_mRNA : E2_7_1_56_mRNA</v>
      </c>
      <c r="H431" s="50" t="str">
        <f t="shared" si="874"/>
        <v>E2_7_1_56 : E2_7_1_56</v>
      </c>
      <c r="I431" s="51" t="str">
        <f t="shared" ref="I431:J431" si="875">CONCATENATE(C431," : ","0")</f>
        <v>E2_7_1_56_mRNA : 0</v>
      </c>
      <c r="J431" s="52" t="str">
        <f t="shared" si="875"/>
        <v>E2_7_1_56 : 0</v>
      </c>
      <c r="K431" s="53" t="str">
        <f t="shared" si="523"/>
        <v>0.00292 - (0.0093 * E2_7_1_56_mRNA)</v>
      </c>
      <c r="L431" s="54" t="str">
        <f t="shared" si="524"/>
        <v>(0.278 * E2_7_1_56_mRNA) - (0.00000278 * E2_7_1_56)</v>
      </c>
      <c r="M431" s="55" t="str">
        <f t="shared" si="525"/>
        <v>mRNA430: -&gt; E2_7_1_56_mRNA | 0.00292 - (0.0093 * E2_7_1_56_mRNA)</v>
      </c>
      <c r="N431" s="56" t="str">
        <f t="shared" si="526"/>
        <v>Peptide430: E2_7_1_56_mRNA -&gt; E2_7_1_56 | (0.278 * E2_7_1_56_mRNA) - (0.000000278 * E2_7_1_56)</v>
      </c>
    </row>
    <row r="432" spans="1:14" ht="29">
      <c r="A432" s="46">
        <v>431</v>
      </c>
      <c r="B432" s="7" t="s">
        <v>12721</v>
      </c>
      <c r="C432" s="27" t="str">
        <f t="shared" si="518"/>
        <v>E4_1_2_4_mRNA</v>
      </c>
      <c r="D432" s="47" t="str">
        <f t="shared" si="527"/>
        <v>E4_1_2_4</v>
      </c>
      <c r="E432" s="48" t="str">
        <f t="shared" si="519"/>
        <v>E4_1_2_4_kcat : 13.7</v>
      </c>
      <c r="F432" s="49" t="str">
        <f t="shared" si="520"/>
        <v>E4_1_2_4_km : 1</v>
      </c>
      <c r="G432" s="9" t="str">
        <f t="shared" ref="G432:H432" si="876">CONCATENATE(C432," : ",C432)</f>
        <v>E4_1_2_4_mRNA : E4_1_2_4_mRNA</v>
      </c>
      <c r="H432" s="50" t="str">
        <f t="shared" si="876"/>
        <v>E4_1_2_4 : E4_1_2_4</v>
      </c>
      <c r="I432" s="51" t="str">
        <f t="shared" ref="I432:J432" si="877">CONCATENATE(C432," : ","0")</f>
        <v>E4_1_2_4_mRNA : 0</v>
      </c>
      <c r="J432" s="52" t="str">
        <f t="shared" si="877"/>
        <v>E4_1_2_4 : 0</v>
      </c>
      <c r="K432" s="53" t="str">
        <f t="shared" si="523"/>
        <v>0.00292 - (0.0093 * E4_1_2_4_mRNA)</v>
      </c>
      <c r="L432" s="54" t="str">
        <f t="shared" si="524"/>
        <v>(0.278 * E4_1_2_4_mRNA) - (0.00000278 * E4_1_2_4)</v>
      </c>
      <c r="M432" s="55" t="str">
        <f t="shared" si="525"/>
        <v>mRNA431: -&gt; E4_1_2_4_mRNA | 0.00292 - (0.0093 * E4_1_2_4_mRNA)</v>
      </c>
      <c r="N432" s="56" t="str">
        <f t="shared" si="526"/>
        <v>Peptide431: E4_1_2_4_mRNA -&gt; E4_1_2_4 | (0.278 * E4_1_2_4_mRNA) - (0.000000278 * E4_1_2_4)</v>
      </c>
    </row>
    <row r="433" spans="1:14" ht="29">
      <c r="A433" s="46">
        <v>432</v>
      </c>
      <c r="B433" s="7" t="s">
        <v>12722</v>
      </c>
      <c r="C433" s="27" t="str">
        <f t="shared" si="518"/>
        <v>E2_4_2_2_mRNA</v>
      </c>
      <c r="D433" s="47" t="str">
        <f t="shared" si="527"/>
        <v>E2_4_2_2</v>
      </c>
      <c r="E433" s="48" t="str">
        <f t="shared" si="519"/>
        <v>E2_4_2_2_kcat : 13.7</v>
      </c>
      <c r="F433" s="49" t="str">
        <f t="shared" si="520"/>
        <v>E2_4_2_2_km : 1</v>
      </c>
      <c r="G433" s="9" t="str">
        <f t="shared" ref="G433:H433" si="878">CONCATENATE(C433," : ",C433)</f>
        <v>E2_4_2_2_mRNA : E2_4_2_2_mRNA</v>
      </c>
      <c r="H433" s="50" t="str">
        <f t="shared" si="878"/>
        <v>E2_4_2_2 : E2_4_2_2</v>
      </c>
      <c r="I433" s="51" t="str">
        <f t="shared" ref="I433:J433" si="879">CONCATENATE(C433," : ","0")</f>
        <v>E2_4_2_2_mRNA : 0</v>
      </c>
      <c r="J433" s="52" t="str">
        <f t="shared" si="879"/>
        <v>E2_4_2_2 : 0</v>
      </c>
      <c r="K433" s="53" t="str">
        <f t="shared" si="523"/>
        <v>0.00292 - (0.0093 * E2_4_2_2_mRNA)</v>
      </c>
      <c r="L433" s="54" t="str">
        <f t="shared" si="524"/>
        <v>(0.278 * E2_4_2_2_mRNA) - (0.00000278 * E2_4_2_2)</v>
      </c>
      <c r="M433" s="55" t="str">
        <f t="shared" si="525"/>
        <v>mRNA432: -&gt; E2_4_2_2_mRNA | 0.00292 - (0.0093 * E2_4_2_2_mRNA)</v>
      </c>
      <c r="N433" s="56" t="str">
        <f t="shared" si="526"/>
        <v>Peptide432: E2_4_2_2_mRNA -&gt; E2_4_2_2 | (0.278 * E2_4_2_2_mRNA) - (0.000000278 * E2_4_2_2)</v>
      </c>
    </row>
    <row r="434" spans="1:14" ht="29">
      <c r="A434" s="46">
        <v>433</v>
      </c>
      <c r="B434" s="7" t="s">
        <v>12723</v>
      </c>
      <c r="C434" s="27" t="str">
        <f t="shared" si="518"/>
        <v>E5_4_2_7_mRNA</v>
      </c>
      <c r="D434" s="47" t="str">
        <f t="shared" si="527"/>
        <v>E5_4_2_7</v>
      </c>
      <c r="E434" s="48" t="str">
        <f t="shared" si="519"/>
        <v>E5_4_2_7_kcat : 13.7</v>
      </c>
      <c r="F434" s="49" t="str">
        <f t="shared" si="520"/>
        <v>E5_4_2_7_km : 1</v>
      </c>
      <c r="G434" s="9" t="str">
        <f t="shared" ref="G434:H434" si="880">CONCATENATE(C434," : ",C434)</f>
        <v>E5_4_2_7_mRNA : E5_4_2_7_mRNA</v>
      </c>
      <c r="H434" s="50" t="str">
        <f t="shared" si="880"/>
        <v>E5_4_2_7 : E5_4_2_7</v>
      </c>
      <c r="I434" s="51" t="str">
        <f t="shared" ref="I434:J434" si="881">CONCATENATE(C434," : ","0")</f>
        <v>E5_4_2_7_mRNA : 0</v>
      </c>
      <c r="J434" s="52" t="str">
        <f t="shared" si="881"/>
        <v>E5_4_2_7 : 0</v>
      </c>
      <c r="K434" s="53" t="str">
        <f t="shared" si="523"/>
        <v>0.00292 - (0.0093 * E5_4_2_7_mRNA)</v>
      </c>
      <c r="L434" s="54" t="str">
        <f t="shared" si="524"/>
        <v>(0.278 * E5_4_2_7_mRNA) - (0.00000278 * E5_4_2_7)</v>
      </c>
      <c r="M434" s="55" t="str">
        <f t="shared" si="525"/>
        <v>mRNA433: -&gt; E5_4_2_7_mRNA | 0.00292 - (0.0093 * E5_4_2_7_mRNA)</v>
      </c>
      <c r="N434" s="56" t="str">
        <f t="shared" si="526"/>
        <v>Peptide433: E5_4_2_7_mRNA -&gt; E5_4_2_7 | (0.278 * E5_4_2_7_mRNA) - (0.000000278 * E5_4_2_7)</v>
      </c>
    </row>
    <row r="435" spans="1:14" ht="29">
      <c r="A435" s="46">
        <v>434</v>
      </c>
      <c r="B435" s="7" t="s">
        <v>12724</v>
      </c>
      <c r="C435" s="27" t="str">
        <f t="shared" si="518"/>
        <v>E5_3_1_6_mRNA</v>
      </c>
      <c r="D435" s="47" t="str">
        <f t="shared" si="527"/>
        <v>E5_3_1_6</v>
      </c>
      <c r="E435" s="48" t="str">
        <f t="shared" si="519"/>
        <v>E5_3_1_6_kcat : 13.7</v>
      </c>
      <c r="F435" s="49" t="str">
        <f t="shared" si="520"/>
        <v>E5_3_1_6_km : 1</v>
      </c>
      <c r="G435" s="9" t="str">
        <f t="shared" ref="G435:H435" si="882">CONCATENATE(C435," : ",C435)</f>
        <v>E5_3_1_6_mRNA : E5_3_1_6_mRNA</v>
      </c>
      <c r="H435" s="50" t="str">
        <f t="shared" si="882"/>
        <v>E5_3_1_6 : E5_3_1_6</v>
      </c>
      <c r="I435" s="51" t="str">
        <f t="shared" ref="I435:J435" si="883">CONCATENATE(C435," : ","0")</f>
        <v>E5_3_1_6_mRNA : 0</v>
      </c>
      <c r="J435" s="52" t="str">
        <f t="shared" si="883"/>
        <v>E5_3_1_6 : 0</v>
      </c>
      <c r="K435" s="53" t="str">
        <f t="shared" si="523"/>
        <v>0.00292 - (0.0093 * E5_3_1_6_mRNA)</v>
      </c>
      <c r="L435" s="54" t="str">
        <f t="shared" si="524"/>
        <v>(0.278 * E5_3_1_6_mRNA) - (0.00000278 * E5_3_1_6)</v>
      </c>
      <c r="M435" s="55" t="str">
        <f t="shared" si="525"/>
        <v>mRNA434: -&gt; E5_3_1_6_mRNA | 0.00292 - (0.0093 * E5_3_1_6_mRNA)</v>
      </c>
      <c r="N435" s="56" t="str">
        <f t="shared" si="526"/>
        <v>Peptide434: E5_3_1_6_mRNA -&gt; E5_3_1_6 | (0.278 * E5_3_1_6_mRNA) - (0.000000278 * E5_3_1_6)</v>
      </c>
    </row>
    <row r="436" spans="1:14" ht="29">
      <c r="A436" s="46">
        <v>435</v>
      </c>
      <c r="B436" s="7" t="s">
        <v>12725</v>
      </c>
      <c r="C436" s="27" t="str">
        <f t="shared" si="518"/>
        <v>E1_5_1_5_mRNA</v>
      </c>
      <c r="D436" s="47" t="str">
        <f t="shared" si="527"/>
        <v>E1_5_1_5</v>
      </c>
      <c r="E436" s="48" t="str">
        <f t="shared" si="519"/>
        <v>E1_5_1_5_kcat : 13.7</v>
      </c>
      <c r="F436" s="49" t="str">
        <f t="shared" si="520"/>
        <v>E1_5_1_5_km : 1</v>
      </c>
      <c r="G436" s="9" t="str">
        <f t="shared" ref="G436:H436" si="884">CONCATENATE(C436," : ",C436)</f>
        <v>E1_5_1_5_mRNA : E1_5_1_5_mRNA</v>
      </c>
      <c r="H436" s="50" t="str">
        <f t="shared" si="884"/>
        <v>E1_5_1_5 : E1_5_1_5</v>
      </c>
      <c r="I436" s="51" t="str">
        <f t="shared" ref="I436:J436" si="885">CONCATENATE(C436," : ","0")</f>
        <v>E1_5_1_5_mRNA : 0</v>
      </c>
      <c r="J436" s="52" t="str">
        <f t="shared" si="885"/>
        <v>E1_5_1_5 : 0</v>
      </c>
      <c r="K436" s="53" t="str">
        <f t="shared" si="523"/>
        <v>0.00292 - (0.0093 * E1_5_1_5_mRNA)</v>
      </c>
      <c r="L436" s="54" t="str">
        <f t="shared" si="524"/>
        <v>(0.278 * E1_5_1_5_mRNA) - (0.00000278 * E1_5_1_5)</v>
      </c>
      <c r="M436" s="55" t="str">
        <f t="shared" si="525"/>
        <v>mRNA435: -&gt; E1_5_1_5_mRNA | 0.00292 - (0.0093 * E1_5_1_5_mRNA)</v>
      </c>
      <c r="N436" s="56" t="str">
        <f t="shared" si="526"/>
        <v>Peptide435: E1_5_1_5_mRNA -&gt; E1_5_1_5 | (0.278 * E1_5_1_5_mRNA) - (0.000000278 * E1_5_1_5)</v>
      </c>
    </row>
    <row r="437" spans="1:14" ht="29">
      <c r="A437" s="46">
        <v>436</v>
      </c>
      <c r="B437" s="7" t="s">
        <v>12726</v>
      </c>
      <c r="C437" s="27" t="str">
        <f t="shared" si="518"/>
        <v>E3_1_3_18_mRNA</v>
      </c>
      <c r="D437" s="47" t="str">
        <f t="shared" si="527"/>
        <v>E3_1_3_18</v>
      </c>
      <c r="E437" s="48" t="str">
        <f t="shared" si="519"/>
        <v>E3_1_3_18_kcat : 13.7</v>
      </c>
      <c r="F437" s="49" t="str">
        <f t="shared" si="520"/>
        <v>E3_1_3_18_km : 1</v>
      </c>
      <c r="G437" s="9" t="str">
        <f t="shared" ref="G437:H437" si="886">CONCATENATE(C437," : ",C437)</f>
        <v>E3_1_3_18_mRNA : E3_1_3_18_mRNA</v>
      </c>
      <c r="H437" s="50" t="str">
        <f t="shared" si="886"/>
        <v>E3_1_3_18 : E3_1_3_18</v>
      </c>
      <c r="I437" s="51" t="str">
        <f t="shared" ref="I437:J437" si="887">CONCATENATE(C437," : ","0")</f>
        <v>E3_1_3_18_mRNA : 0</v>
      </c>
      <c r="J437" s="52" t="str">
        <f t="shared" si="887"/>
        <v>E3_1_3_18 : 0</v>
      </c>
      <c r="K437" s="53" t="str">
        <f t="shared" si="523"/>
        <v>0.00292 - (0.0093 * E3_1_3_18_mRNA)</v>
      </c>
      <c r="L437" s="54" t="str">
        <f t="shared" si="524"/>
        <v>(0.278 * E3_1_3_18_mRNA) - (0.00000278 * E3_1_3_18)</v>
      </c>
      <c r="M437" s="55" t="str">
        <f t="shared" si="525"/>
        <v>mRNA436: -&gt; E3_1_3_18_mRNA | 0.00292 - (0.0093 * E3_1_3_18_mRNA)</v>
      </c>
      <c r="N437" s="56" t="str">
        <f t="shared" si="526"/>
        <v>Peptide436: E3_1_3_18_mRNA -&gt; E3_1_3_18 | (0.278 * E3_1_3_18_mRNA) - (0.000000278 * E3_1_3_18)</v>
      </c>
    </row>
    <row r="438" spans="1:14" ht="29">
      <c r="A438" s="46">
        <v>437</v>
      </c>
      <c r="B438" s="7" t="s">
        <v>12727</v>
      </c>
      <c r="C438" s="27" t="str">
        <f t="shared" si="518"/>
        <v>E3_4_11_2_mRNA</v>
      </c>
      <c r="D438" s="47" t="str">
        <f t="shared" si="527"/>
        <v>E3_4_11_2</v>
      </c>
      <c r="E438" s="48" t="str">
        <f t="shared" si="519"/>
        <v>E3_4_11_2_kcat : 13.7</v>
      </c>
      <c r="F438" s="49" t="str">
        <f t="shared" si="520"/>
        <v>E3_4_11_2_km : 1</v>
      </c>
      <c r="G438" s="9" t="str">
        <f t="shared" ref="G438:H438" si="888">CONCATENATE(C438," : ",C438)</f>
        <v>E3_4_11_2_mRNA : E3_4_11_2_mRNA</v>
      </c>
      <c r="H438" s="50" t="str">
        <f t="shared" si="888"/>
        <v>E3_4_11_2 : E3_4_11_2</v>
      </c>
      <c r="I438" s="51" t="str">
        <f t="shared" ref="I438:J438" si="889">CONCATENATE(C438," : ","0")</f>
        <v>E3_4_11_2_mRNA : 0</v>
      </c>
      <c r="J438" s="52" t="str">
        <f t="shared" si="889"/>
        <v>E3_4_11_2 : 0</v>
      </c>
      <c r="K438" s="53" t="str">
        <f t="shared" si="523"/>
        <v>0.00292 - (0.0093 * E3_4_11_2_mRNA)</v>
      </c>
      <c r="L438" s="54" t="str">
        <f t="shared" si="524"/>
        <v>(0.278 * E3_4_11_2_mRNA) - (0.00000278 * E3_4_11_2)</v>
      </c>
      <c r="M438" s="55" t="str">
        <f t="shared" si="525"/>
        <v>mRNA437: -&gt; E3_4_11_2_mRNA | 0.00292 - (0.0093 * E3_4_11_2_mRNA)</v>
      </c>
      <c r="N438" s="56" t="str">
        <f t="shared" si="526"/>
        <v>Peptide437: E3_4_11_2_mRNA -&gt; E3_4_11_2 | (0.278 * E3_4_11_2_mRNA) - (0.000000278 * E3_4_11_2)</v>
      </c>
    </row>
    <row r="439" spans="1:14" ht="29">
      <c r="A439" s="46">
        <v>438</v>
      </c>
      <c r="B439" s="7" t="s">
        <v>12728</v>
      </c>
      <c r="C439" s="27" t="str">
        <f t="shared" si="518"/>
        <v>E2_1_1_192_mRNA</v>
      </c>
      <c r="D439" s="47" t="str">
        <f t="shared" si="527"/>
        <v>E2_1_1_192</v>
      </c>
      <c r="E439" s="48" t="str">
        <f t="shared" si="519"/>
        <v>E2_1_1_192_kcat : 13.7</v>
      </c>
      <c r="F439" s="49" t="str">
        <f t="shared" si="520"/>
        <v>E2_1_1_192_km : 1</v>
      </c>
      <c r="G439" s="9" t="str">
        <f t="shared" ref="G439:H439" si="890">CONCATENATE(C439," : ",C439)</f>
        <v>E2_1_1_192_mRNA : E2_1_1_192_mRNA</v>
      </c>
      <c r="H439" s="50" t="str">
        <f t="shared" si="890"/>
        <v>E2_1_1_192 : E2_1_1_192</v>
      </c>
      <c r="I439" s="51" t="str">
        <f t="shared" ref="I439:J439" si="891">CONCATENATE(C439," : ","0")</f>
        <v>E2_1_1_192_mRNA : 0</v>
      </c>
      <c r="J439" s="52" t="str">
        <f t="shared" si="891"/>
        <v>E2_1_1_192 : 0</v>
      </c>
      <c r="K439" s="53" t="str">
        <f t="shared" si="523"/>
        <v>0.00292 - (0.0093 * E2_1_1_192_mRNA)</v>
      </c>
      <c r="L439" s="54" t="str">
        <f t="shared" si="524"/>
        <v>(0.278 * E2_1_1_192_mRNA) - (0.00000278 * E2_1_1_192)</v>
      </c>
      <c r="M439" s="55" t="str">
        <f t="shared" si="525"/>
        <v>mRNA438: -&gt; E2_1_1_192_mRNA | 0.00292 - (0.0093 * E2_1_1_192_mRNA)</v>
      </c>
      <c r="N439" s="56" t="str">
        <f t="shared" si="526"/>
        <v>Peptide438: E2_1_1_192_mRNA -&gt; E2_1_1_192 | (0.278 * E2_1_1_192_mRNA) - (0.000000278 * E2_1_1_192)</v>
      </c>
    </row>
    <row r="440" spans="1:14" ht="29">
      <c r="A440" s="46">
        <v>439</v>
      </c>
      <c r="B440" s="7" t="s">
        <v>12729</v>
      </c>
      <c r="C440" s="27" t="str">
        <f t="shared" si="518"/>
        <v>E3_4_21_92_mRNA</v>
      </c>
      <c r="D440" s="47" t="str">
        <f t="shared" si="527"/>
        <v>E3_4_21_92</v>
      </c>
      <c r="E440" s="48" t="str">
        <f t="shared" si="519"/>
        <v>E3_4_21_92_kcat : 13.7</v>
      </c>
      <c r="F440" s="49" t="str">
        <f t="shared" si="520"/>
        <v>E3_4_21_92_km : 1</v>
      </c>
      <c r="G440" s="9" t="str">
        <f t="shared" ref="G440:H440" si="892">CONCATENATE(C440," : ",C440)</f>
        <v>E3_4_21_92_mRNA : E3_4_21_92_mRNA</v>
      </c>
      <c r="H440" s="50" t="str">
        <f t="shared" si="892"/>
        <v>E3_4_21_92 : E3_4_21_92</v>
      </c>
      <c r="I440" s="51" t="str">
        <f t="shared" ref="I440:J440" si="893">CONCATENATE(C440," : ","0")</f>
        <v>E3_4_21_92_mRNA : 0</v>
      </c>
      <c r="J440" s="52" t="str">
        <f t="shared" si="893"/>
        <v>E3_4_21_92 : 0</v>
      </c>
      <c r="K440" s="53" t="str">
        <f t="shared" si="523"/>
        <v>0.00292 - (0.0093 * E3_4_21_92_mRNA)</v>
      </c>
      <c r="L440" s="54" t="str">
        <f t="shared" si="524"/>
        <v>(0.278 * E3_4_21_92_mRNA) - (0.00000278 * E3_4_21_92)</v>
      </c>
      <c r="M440" s="55" t="str">
        <f t="shared" si="525"/>
        <v>mRNA439: -&gt; E3_4_21_92_mRNA | 0.00292 - (0.0093 * E3_4_21_92_mRNA)</v>
      </c>
      <c r="N440" s="56" t="str">
        <f t="shared" si="526"/>
        <v>Peptide439: E3_4_21_92_mRNA -&gt; E3_4_21_92 | (0.278 * E3_4_21_92_mRNA) - (0.000000278 * E3_4_21_92)</v>
      </c>
    </row>
    <row r="441" spans="1:14" ht="29">
      <c r="A441" s="46">
        <v>440</v>
      </c>
      <c r="B441" s="7" t="s">
        <v>12730</v>
      </c>
      <c r="C441" s="27" t="str">
        <f t="shared" si="518"/>
        <v>E2_4_2_9_mRNA</v>
      </c>
      <c r="D441" s="47" t="str">
        <f t="shared" si="527"/>
        <v>E2_4_2_9</v>
      </c>
      <c r="E441" s="48" t="str">
        <f t="shared" si="519"/>
        <v>E2_4_2_9_kcat : 13.7</v>
      </c>
      <c r="F441" s="49" t="str">
        <f t="shared" si="520"/>
        <v>E2_4_2_9_km : 1</v>
      </c>
      <c r="G441" s="9" t="str">
        <f t="shared" ref="G441:H441" si="894">CONCATENATE(C441," : ",C441)</f>
        <v>E2_4_2_9_mRNA : E2_4_2_9_mRNA</v>
      </c>
      <c r="H441" s="50" t="str">
        <f t="shared" si="894"/>
        <v>E2_4_2_9 : E2_4_2_9</v>
      </c>
      <c r="I441" s="51" t="str">
        <f t="shared" ref="I441:J441" si="895">CONCATENATE(C441," : ","0")</f>
        <v>E2_4_2_9_mRNA : 0</v>
      </c>
      <c r="J441" s="52" t="str">
        <f t="shared" si="895"/>
        <v>E2_4_2_9 : 0</v>
      </c>
      <c r="K441" s="53" t="str">
        <f t="shared" si="523"/>
        <v>0.00292 - (0.0093 * E2_4_2_9_mRNA)</v>
      </c>
      <c r="L441" s="54" t="str">
        <f t="shared" si="524"/>
        <v>(0.278 * E2_4_2_9_mRNA) - (0.00000278 * E2_4_2_9)</v>
      </c>
      <c r="M441" s="55" t="str">
        <f t="shared" si="525"/>
        <v>mRNA440: -&gt; E2_4_2_9_mRNA | 0.00292 - (0.0093 * E2_4_2_9_mRNA)</v>
      </c>
      <c r="N441" s="56" t="str">
        <f t="shared" si="526"/>
        <v>Peptide440: E2_4_2_9_mRNA -&gt; E2_4_2_9 | (0.278 * E2_4_2_9_mRNA) - (0.000000278 * E2_4_2_9)</v>
      </c>
    </row>
    <row r="442" spans="1:14" ht="29">
      <c r="A442" s="46">
        <v>441</v>
      </c>
      <c r="B442" s="7" t="s">
        <v>12731</v>
      </c>
      <c r="C442" s="27" t="str">
        <f t="shared" si="518"/>
        <v>E5_3_1_8_mRNA</v>
      </c>
      <c r="D442" s="47" t="str">
        <f t="shared" si="527"/>
        <v>E5_3_1_8</v>
      </c>
      <c r="E442" s="48" t="str">
        <f t="shared" si="519"/>
        <v>E5_3_1_8_kcat : 13.7</v>
      </c>
      <c r="F442" s="49" t="str">
        <f t="shared" si="520"/>
        <v>E5_3_1_8_km : 1</v>
      </c>
      <c r="G442" s="9" t="str">
        <f t="shared" ref="G442:H442" si="896">CONCATENATE(C442," : ",C442)</f>
        <v>E5_3_1_8_mRNA : E5_3_1_8_mRNA</v>
      </c>
      <c r="H442" s="50" t="str">
        <f t="shared" si="896"/>
        <v>E5_3_1_8 : E5_3_1_8</v>
      </c>
      <c r="I442" s="51" t="str">
        <f t="shared" ref="I442:J442" si="897">CONCATENATE(C442," : ","0")</f>
        <v>E5_3_1_8_mRNA : 0</v>
      </c>
      <c r="J442" s="52" t="str">
        <f t="shared" si="897"/>
        <v>E5_3_1_8 : 0</v>
      </c>
      <c r="K442" s="53" t="str">
        <f t="shared" si="523"/>
        <v>0.00292 - (0.0093 * E5_3_1_8_mRNA)</v>
      </c>
      <c r="L442" s="54" t="str">
        <f t="shared" si="524"/>
        <v>(0.278 * E5_3_1_8_mRNA) - (0.00000278 * E5_3_1_8)</v>
      </c>
      <c r="M442" s="55" t="str">
        <f t="shared" si="525"/>
        <v>mRNA441: -&gt; E5_3_1_8_mRNA | 0.00292 - (0.0093 * E5_3_1_8_mRNA)</v>
      </c>
      <c r="N442" s="56" t="str">
        <f t="shared" si="526"/>
        <v>Peptide441: E5_3_1_8_mRNA -&gt; E5_3_1_8 | (0.278 * E5_3_1_8_mRNA) - (0.000000278 * E5_3_1_8)</v>
      </c>
    </row>
    <row r="443" spans="1:14" ht="29">
      <c r="A443" s="46">
        <v>442</v>
      </c>
      <c r="B443" s="7" t="s">
        <v>12732</v>
      </c>
      <c r="C443" s="27" t="str">
        <f t="shared" si="518"/>
        <v>E2_7_1_49_mRNA</v>
      </c>
      <c r="D443" s="47" t="str">
        <f t="shared" si="527"/>
        <v>E2_7_1_49</v>
      </c>
      <c r="E443" s="48" t="str">
        <f t="shared" si="519"/>
        <v>E2_7_1_49_kcat : 13.7</v>
      </c>
      <c r="F443" s="49" t="str">
        <f t="shared" si="520"/>
        <v>E2_7_1_49_km : 1</v>
      </c>
      <c r="G443" s="9" t="str">
        <f t="shared" ref="G443:H443" si="898">CONCATENATE(C443," : ",C443)</f>
        <v>E2_7_1_49_mRNA : E2_7_1_49_mRNA</v>
      </c>
      <c r="H443" s="50" t="str">
        <f t="shared" si="898"/>
        <v>E2_7_1_49 : E2_7_1_49</v>
      </c>
      <c r="I443" s="51" t="str">
        <f t="shared" ref="I443:J443" si="899">CONCATENATE(C443," : ","0")</f>
        <v>E2_7_1_49_mRNA : 0</v>
      </c>
      <c r="J443" s="52" t="str">
        <f t="shared" si="899"/>
        <v>E2_7_1_49 : 0</v>
      </c>
      <c r="K443" s="53" t="str">
        <f t="shared" si="523"/>
        <v>0.00292 - (0.0093 * E2_7_1_49_mRNA)</v>
      </c>
      <c r="L443" s="54" t="str">
        <f t="shared" si="524"/>
        <v>(0.278 * E2_7_1_49_mRNA) - (0.00000278 * E2_7_1_49)</v>
      </c>
      <c r="M443" s="55" t="str">
        <f t="shared" si="525"/>
        <v>mRNA442: -&gt; E2_7_1_49_mRNA | 0.00292 - (0.0093 * E2_7_1_49_mRNA)</v>
      </c>
      <c r="N443" s="56" t="str">
        <f t="shared" si="526"/>
        <v>Peptide442: E2_7_1_49_mRNA -&gt; E2_7_1_49 | (0.278 * E2_7_1_49_mRNA) - (0.000000278 * E2_7_1_49)</v>
      </c>
    </row>
    <row r="444" spans="1:14" ht="29">
      <c r="A444" s="46">
        <v>443</v>
      </c>
      <c r="B444" s="7" t="s">
        <v>12733</v>
      </c>
      <c r="C444" s="27" t="str">
        <f t="shared" si="518"/>
        <v>E2_5_1_3_mRNA</v>
      </c>
      <c r="D444" s="47" t="str">
        <f t="shared" si="527"/>
        <v>E2_5_1_3</v>
      </c>
      <c r="E444" s="48" t="str">
        <f t="shared" si="519"/>
        <v>E2_5_1_3_kcat : 13.7</v>
      </c>
      <c r="F444" s="49" t="str">
        <f t="shared" si="520"/>
        <v>E2_5_1_3_km : 1</v>
      </c>
      <c r="G444" s="9" t="str">
        <f t="shared" ref="G444:H444" si="900">CONCATENATE(C444," : ",C444)</f>
        <v>E2_5_1_3_mRNA : E2_5_1_3_mRNA</v>
      </c>
      <c r="H444" s="50" t="str">
        <f t="shared" si="900"/>
        <v>E2_5_1_3 : E2_5_1_3</v>
      </c>
      <c r="I444" s="51" t="str">
        <f t="shared" ref="I444:J444" si="901">CONCATENATE(C444," : ","0")</f>
        <v>E2_5_1_3_mRNA : 0</v>
      </c>
      <c r="J444" s="52" t="str">
        <f t="shared" si="901"/>
        <v>E2_5_1_3 : 0</v>
      </c>
      <c r="K444" s="53" t="str">
        <f t="shared" si="523"/>
        <v>0.00292 - (0.0093 * E2_5_1_3_mRNA)</v>
      </c>
      <c r="L444" s="54" t="str">
        <f t="shared" si="524"/>
        <v>(0.278 * E2_5_1_3_mRNA) - (0.00000278 * E2_5_1_3)</v>
      </c>
      <c r="M444" s="55" t="str">
        <f t="shared" si="525"/>
        <v>mRNA443: -&gt; E2_5_1_3_mRNA | 0.00292 - (0.0093 * E2_5_1_3_mRNA)</v>
      </c>
      <c r="N444" s="56" t="str">
        <f t="shared" si="526"/>
        <v>Peptide443: E2_5_1_3_mRNA -&gt; E2_5_1_3 | (0.278 * E2_5_1_3_mRNA) - (0.000000278 * E2_5_1_3)</v>
      </c>
    </row>
    <row r="445" spans="1:14" ht="29">
      <c r="A445" s="46">
        <v>444</v>
      </c>
      <c r="B445" s="7" t="s">
        <v>12734</v>
      </c>
      <c r="C445" s="27" t="str">
        <f t="shared" si="518"/>
        <v>E2_7_1_50_mRNA</v>
      </c>
      <c r="D445" s="47" t="str">
        <f t="shared" si="527"/>
        <v>E2_7_1_50</v>
      </c>
      <c r="E445" s="48" t="str">
        <f t="shared" si="519"/>
        <v>E2_7_1_50_kcat : 13.7</v>
      </c>
      <c r="F445" s="49" t="str">
        <f t="shared" si="520"/>
        <v>E2_7_1_50_km : 1</v>
      </c>
      <c r="G445" s="9" t="str">
        <f t="shared" ref="G445:H445" si="902">CONCATENATE(C445," : ",C445)</f>
        <v>E2_7_1_50_mRNA : E2_7_1_50_mRNA</v>
      </c>
      <c r="H445" s="50" t="str">
        <f t="shared" si="902"/>
        <v>E2_7_1_50 : E2_7_1_50</v>
      </c>
      <c r="I445" s="51" t="str">
        <f t="shared" ref="I445:J445" si="903">CONCATENATE(C445," : ","0")</f>
        <v>E2_7_1_50_mRNA : 0</v>
      </c>
      <c r="J445" s="52" t="str">
        <f t="shared" si="903"/>
        <v>E2_7_1_50 : 0</v>
      </c>
      <c r="K445" s="53" t="str">
        <f t="shared" si="523"/>
        <v>0.00292 - (0.0093 * E2_7_1_50_mRNA)</v>
      </c>
      <c r="L445" s="54" t="str">
        <f t="shared" si="524"/>
        <v>(0.278 * E2_7_1_50_mRNA) - (0.00000278 * E2_7_1_50)</v>
      </c>
      <c r="M445" s="55" t="str">
        <f t="shared" si="525"/>
        <v>mRNA444: -&gt; E2_7_1_50_mRNA | 0.00292 - (0.0093 * E2_7_1_50_mRNA)</v>
      </c>
      <c r="N445" s="56" t="str">
        <f t="shared" si="526"/>
        <v>Peptide444: E2_7_1_50_mRNA -&gt; E2_7_1_50 | (0.278 * E2_7_1_50_mRNA) - (0.000000278 * E2_7_1_50)</v>
      </c>
    </row>
    <row r="446" spans="1:14" ht="29">
      <c r="A446" s="46">
        <v>445</v>
      </c>
      <c r="B446" s="7" t="s">
        <v>12735</v>
      </c>
      <c r="C446" s="27" t="str">
        <f t="shared" si="518"/>
        <v>E3_5_99_2_mRNA</v>
      </c>
      <c r="D446" s="47" t="str">
        <f t="shared" si="527"/>
        <v>E3_5_99_2</v>
      </c>
      <c r="E446" s="48" t="str">
        <f t="shared" si="519"/>
        <v>E3_5_99_2_kcat : 13.7</v>
      </c>
      <c r="F446" s="49" t="str">
        <f t="shared" si="520"/>
        <v>E3_5_99_2_km : 1</v>
      </c>
      <c r="G446" s="9" t="str">
        <f t="shared" ref="G446:H446" si="904">CONCATENATE(C446," : ",C446)</f>
        <v>E3_5_99_2_mRNA : E3_5_99_2_mRNA</v>
      </c>
      <c r="H446" s="50" t="str">
        <f t="shared" si="904"/>
        <v>E3_5_99_2 : E3_5_99_2</v>
      </c>
      <c r="I446" s="51" t="str">
        <f t="shared" ref="I446:J446" si="905">CONCATENATE(C446," : ","0")</f>
        <v>E3_5_99_2_mRNA : 0</v>
      </c>
      <c r="J446" s="52" t="str">
        <f t="shared" si="905"/>
        <v>E3_5_99_2 : 0</v>
      </c>
      <c r="K446" s="53" t="str">
        <f t="shared" si="523"/>
        <v>0.00292 - (0.0093 * E3_5_99_2_mRNA)</v>
      </c>
      <c r="L446" s="54" t="str">
        <f t="shared" si="524"/>
        <v>(0.278 * E3_5_99_2_mRNA) - (0.00000278 * E3_5_99_2)</v>
      </c>
      <c r="M446" s="55" t="str">
        <f t="shared" si="525"/>
        <v>mRNA445: -&gt; E3_5_99_2_mRNA | 0.00292 - (0.0093 * E3_5_99_2_mRNA)</v>
      </c>
      <c r="N446" s="56" t="str">
        <f t="shared" si="526"/>
        <v>Peptide445: E3_5_99_2_mRNA -&gt; E3_5_99_2 | (0.278 * E3_5_99_2_mRNA) - (0.000000278 * E3_5_99_2)</v>
      </c>
    </row>
    <row r="447" spans="1:14" ht="29">
      <c r="A447" s="46">
        <v>446</v>
      </c>
      <c r="B447" s="7" t="s">
        <v>12736</v>
      </c>
      <c r="C447" s="27" t="str">
        <f t="shared" si="518"/>
        <v>E6_1_1_6_mRNA</v>
      </c>
      <c r="D447" s="47" t="str">
        <f t="shared" si="527"/>
        <v>E6_1_1_6</v>
      </c>
      <c r="E447" s="48" t="str">
        <f t="shared" si="519"/>
        <v>E6_1_1_6_kcat : 13.7</v>
      </c>
      <c r="F447" s="49" t="str">
        <f t="shared" si="520"/>
        <v>E6_1_1_6_km : 1</v>
      </c>
      <c r="G447" s="9" t="str">
        <f t="shared" ref="G447:H447" si="906">CONCATENATE(C447," : ",C447)</f>
        <v>E6_1_1_6_mRNA : E6_1_1_6_mRNA</v>
      </c>
      <c r="H447" s="50" t="str">
        <f t="shared" si="906"/>
        <v>E6_1_1_6 : E6_1_1_6</v>
      </c>
      <c r="I447" s="51" t="str">
        <f t="shared" ref="I447:J447" si="907">CONCATENATE(C447," : ","0")</f>
        <v>E6_1_1_6_mRNA : 0</v>
      </c>
      <c r="J447" s="52" t="str">
        <f t="shared" si="907"/>
        <v>E6_1_1_6 : 0</v>
      </c>
      <c r="K447" s="53" t="str">
        <f t="shared" si="523"/>
        <v>0.00292 - (0.0093 * E6_1_1_6_mRNA)</v>
      </c>
      <c r="L447" s="54" t="str">
        <f t="shared" si="524"/>
        <v>(0.278 * E6_1_1_6_mRNA) - (0.00000278 * E6_1_1_6)</v>
      </c>
      <c r="M447" s="55" t="str">
        <f t="shared" si="525"/>
        <v>mRNA446: -&gt; E6_1_1_6_mRNA | 0.00292 - (0.0093 * E6_1_1_6_mRNA)</v>
      </c>
      <c r="N447" s="56" t="str">
        <f t="shared" si="526"/>
        <v>Peptide446: E6_1_1_6_mRNA -&gt; E6_1_1_6 | (0.278 * E6_1_1_6_mRNA) - (0.000000278 * E6_1_1_6)</v>
      </c>
    </row>
    <row r="448" spans="1:14" ht="29">
      <c r="A448" s="46">
        <v>447</v>
      </c>
      <c r="B448" s="7" t="s">
        <v>12737</v>
      </c>
      <c r="C448" s="27" t="str">
        <f t="shared" si="518"/>
        <v>E3_6_3_30_mRNA</v>
      </c>
      <c r="D448" s="47" t="str">
        <f t="shared" si="527"/>
        <v>E3_6_3_30</v>
      </c>
      <c r="E448" s="48" t="str">
        <f t="shared" si="519"/>
        <v>E3_6_3_30_kcat : 13.7</v>
      </c>
      <c r="F448" s="49" t="str">
        <f t="shared" si="520"/>
        <v>E3_6_3_30_km : 1</v>
      </c>
      <c r="G448" s="9" t="str">
        <f t="shared" ref="G448:H448" si="908">CONCATENATE(C448," : ",C448)</f>
        <v>E3_6_3_30_mRNA : E3_6_3_30_mRNA</v>
      </c>
      <c r="H448" s="50" t="str">
        <f t="shared" si="908"/>
        <v>E3_6_3_30 : E3_6_3_30</v>
      </c>
      <c r="I448" s="51" t="str">
        <f t="shared" ref="I448:J448" si="909">CONCATENATE(C448," : ","0")</f>
        <v>E3_6_3_30_mRNA : 0</v>
      </c>
      <c r="J448" s="52" t="str">
        <f t="shared" si="909"/>
        <v>E3_6_3_30 : 0</v>
      </c>
      <c r="K448" s="53" t="str">
        <f t="shared" si="523"/>
        <v>0.00292 - (0.0093 * E3_6_3_30_mRNA)</v>
      </c>
      <c r="L448" s="54" t="str">
        <f t="shared" si="524"/>
        <v>(0.278 * E3_6_3_30_mRNA) - (0.00000278 * E3_6_3_30)</v>
      </c>
      <c r="M448" s="55" t="str">
        <f t="shared" si="525"/>
        <v>mRNA447: -&gt; E3_6_3_30_mRNA | 0.00292 - (0.0093 * E3_6_3_30_mRNA)</v>
      </c>
      <c r="N448" s="56" t="str">
        <f t="shared" si="526"/>
        <v>Peptide447: E3_6_3_30_mRNA -&gt; E3_6_3_30 | (0.278 * E3_6_3_30_mRNA) - (0.000000278 * E3_6_3_30)</v>
      </c>
    </row>
    <row r="449" spans="1:14" ht="29">
      <c r="A449" s="46">
        <v>448</v>
      </c>
      <c r="B449" s="7" t="s">
        <v>12738</v>
      </c>
      <c r="C449" s="27" t="str">
        <f t="shared" si="518"/>
        <v>E2_4_2_10_mRNA</v>
      </c>
      <c r="D449" s="47" t="str">
        <f t="shared" si="527"/>
        <v>E2_4_2_10</v>
      </c>
      <c r="E449" s="48" t="str">
        <f t="shared" si="519"/>
        <v>E2_4_2_10_kcat : 13.7</v>
      </c>
      <c r="F449" s="49" t="str">
        <f t="shared" si="520"/>
        <v>E2_4_2_10_km : 1</v>
      </c>
      <c r="G449" s="9" t="str">
        <f t="shared" ref="G449:H449" si="910">CONCATENATE(C449," : ",C449)</f>
        <v>E2_4_2_10_mRNA : E2_4_2_10_mRNA</v>
      </c>
      <c r="H449" s="50" t="str">
        <f t="shared" si="910"/>
        <v>E2_4_2_10 : E2_4_2_10</v>
      </c>
      <c r="I449" s="51" t="str">
        <f t="shared" ref="I449:J449" si="911">CONCATENATE(C449," : ","0")</f>
        <v>E2_4_2_10_mRNA : 0</v>
      </c>
      <c r="J449" s="52" t="str">
        <f t="shared" si="911"/>
        <v>E2_4_2_10 : 0</v>
      </c>
      <c r="K449" s="53" t="str">
        <f t="shared" si="523"/>
        <v>0.00292 - (0.0093 * E2_4_2_10_mRNA)</v>
      </c>
      <c r="L449" s="54" t="str">
        <f t="shared" si="524"/>
        <v>(0.278 * E2_4_2_10_mRNA) - (0.00000278 * E2_4_2_10)</v>
      </c>
      <c r="M449" s="55" t="str">
        <f t="shared" si="525"/>
        <v>mRNA448: -&gt; E2_4_2_10_mRNA | 0.00292 - (0.0093 * E2_4_2_10_mRNA)</v>
      </c>
      <c r="N449" s="56" t="str">
        <f t="shared" si="526"/>
        <v>Peptide448: E2_4_2_10_mRNA -&gt; E2_4_2_10 | (0.278 * E2_4_2_10_mRNA) - (0.000000278 * E2_4_2_10)</v>
      </c>
    </row>
    <row r="450" spans="1:14" ht="29">
      <c r="A450" s="46">
        <v>449</v>
      </c>
      <c r="B450" s="7" t="s">
        <v>12739</v>
      </c>
      <c r="C450" s="27" t="str">
        <f t="shared" si="518"/>
        <v>E4_1_1_23_mRNA</v>
      </c>
      <c r="D450" s="47" t="str">
        <f t="shared" si="527"/>
        <v>E4_1_1_23</v>
      </c>
      <c r="E450" s="48" t="str">
        <f t="shared" si="519"/>
        <v>E4_1_1_23_kcat : 13.7</v>
      </c>
      <c r="F450" s="49" t="str">
        <f t="shared" si="520"/>
        <v>E4_1_1_23_km : 1</v>
      </c>
      <c r="G450" s="9" t="str">
        <f t="shared" ref="G450:H450" si="912">CONCATENATE(C450," : ",C450)</f>
        <v>E4_1_1_23_mRNA : E4_1_1_23_mRNA</v>
      </c>
      <c r="H450" s="50" t="str">
        <f t="shared" si="912"/>
        <v>E4_1_1_23 : E4_1_1_23</v>
      </c>
      <c r="I450" s="51" t="str">
        <f t="shared" ref="I450:J450" si="913">CONCATENATE(C450," : ","0")</f>
        <v>E4_1_1_23_mRNA : 0</v>
      </c>
      <c r="J450" s="52" t="str">
        <f t="shared" si="913"/>
        <v>E4_1_1_23 : 0</v>
      </c>
      <c r="K450" s="53" t="str">
        <f t="shared" si="523"/>
        <v>0.00292 - (0.0093 * E4_1_1_23_mRNA)</v>
      </c>
      <c r="L450" s="54" t="str">
        <f t="shared" si="524"/>
        <v>(0.278 * E4_1_1_23_mRNA) - (0.00000278 * E4_1_1_23)</v>
      </c>
      <c r="M450" s="55" t="str">
        <f t="shared" si="525"/>
        <v>mRNA449: -&gt; E4_1_1_23_mRNA | 0.00292 - (0.0093 * E4_1_1_23_mRNA)</v>
      </c>
      <c r="N450" s="56" t="str">
        <f t="shared" si="526"/>
        <v>Peptide449: E4_1_1_23_mRNA -&gt; E4_1_1_23 | (0.278 * E4_1_1_23_mRNA) - (0.000000278 * E4_1_1_23)</v>
      </c>
    </row>
    <row r="451" spans="1:14" ht="29">
      <c r="A451" s="46">
        <v>450</v>
      </c>
      <c r="B451" s="7" t="s">
        <v>12740</v>
      </c>
      <c r="C451" s="27" t="str">
        <f t="shared" si="518"/>
        <v>E2_4_1_227_mRNA</v>
      </c>
      <c r="D451" s="47" t="str">
        <f t="shared" si="527"/>
        <v>E2_4_1_227</v>
      </c>
      <c r="E451" s="48" t="str">
        <f t="shared" si="519"/>
        <v>E2_4_1_227_kcat : 13.7</v>
      </c>
      <c r="F451" s="49" t="str">
        <f t="shared" si="520"/>
        <v>E2_4_1_227_km : 1</v>
      </c>
      <c r="G451" s="9" t="str">
        <f t="shared" ref="G451:H451" si="914">CONCATENATE(C451," : ",C451)</f>
        <v>E2_4_1_227_mRNA : E2_4_1_227_mRNA</v>
      </c>
      <c r="H451" s="50" t="str">
        <f t="shared" si="914"/>
        <v>E2_4_1_227 : E2_4_1_227</v>
      </c>
      <c r="I451" s="51" t="str">
        <f t="shared" ref="I451:J451" si="915">CONCATENATE(C451," : ","0")</f>
        <v>E2_4_1_227_mRNA : 0</v>
      </c>
      <c r="J451" s="52" t="str">
        <f t="shared" si="915"/>
        <v>E2_4_1_227 : 0</v>
      </c>
      <c r="K451" s="53" t="str">
        <f t="shared" si="523"/>
        <v>0.00292 - (0.0093 * E2_4_1_227_mRNA)</v>
      </c>
      <c r="L451" s="54" t="str">
        <f t="shared" si="524"/>
        <v>(0.278 * E2_4_1_227_mRNA) - (0.00000278 * E2_4_1_227)</v>
      </c>
      <c r="M451" s="55" t="str">
        <f t="shared" si="525"/>
        <v>mRNA450: -&gt; E2_4_1_227_mRNA | 0.00292 - (0.0093 * E2_4_1_227_mRNA)</v>
      </c>
      <c r="N451" s="56" t="str">
        <f t="shared" si="526"/>
        <v>Peptide450: E2_4_1_227_mRNA -&gt; E2_4_1_227 | (0.278 * E2_4_1_227_mRNA) - (0.000000278 * E2_4_1_227)</v>
      </c>
    </row>
    <row r="452" spans="1:14" ht="29">
      <c r="A452" s="46">
        <v>451</v>
      </c>
      <c r="B452" s="7" t="s">
        <v>12741</v>
      </c>
      <c r="C452" s="27" t="str">
        <f t="shared" si="518"/>
        <v>E6_3_2_9_mRNA</v>
      </c>
      <c r="D452" s="47" t="str">
        <f t="shared" si="527"/>
        <v>E6_3_2_9</v>
      </c>
      <c r="E452" s="48" t="str">
        <f t="shared" si="519"/>
        <v>E6_3_2_9_kcat : 13.7</v>
      </c>
      <c r="F452" s="49" t="str">
        <f t="shared" si="520"/>
        <v>E6_3_2_9_km : 1</v>
      </c>
      <c r="G452" s="9" t="str">
        <f t="shared" ref="G452:H452" si="916">CONCATENATE(C452," : ",C452)</f>
        <v>E6_3_2_9_mRNA : E6_3_2_9_mRNA</v>
      </c>
      <c r="H452" s="50" t="str">
        <f t="shared" si="916"/>
        <v>E6_3_2_9 : E6_3_2_9</v>
      </c>
      <c r="I452" s="51" t="str">
        <f t="shared" ref="I452:J452" si="917">CONCATENATE(C452," : ","0")</f>
        <v>E6_3_2_9_mRNA : 0</v>
      </c>
      <c r="J452" s="52" t="str">
        <f t="shared" si="917"/>
        <v>E6_3_2_9 : 0</v>
      </c>
      <c r="K452" s="53" t="str">
        <f t="shared" si="523"/>
        <v>0.00292 - (0.0093 * E6_3_2_9_mRNA)</v>
      </c>
      <c r="L452" s="54" t="str">
        <f t="shared" si="524"/>
        <v>(0.278 * E6_3_2_9_mRNA) - (0.00000278 * E6_3_2_9)</v>
      </c>
      <c r="M452" s="55" t="str">
        <f t="shared" si="525"/>
        <v>mRNA451: -&gt; E6_3_2_9_mRNA | 0.00292 - (0.0093 * E6_3_2_9_mRNA)</v>
      </c>
      <c r="N452" s="56" t="str">
        <f t="shared" si="526"/>
        <v>Peptide451: E6_3_2_9_mRNA -&gt; E6_3_2_9 | (0.278 * E6_3_2_9_mRNA) - (0.000000278 * E6_3_2_9)</v>
      </c>
    </row>
    <row r="453" spans="1:14" ht="29">
      <c r="A453" s="46">
        <v>452</v>
      </c>
      <c r="B453" s="7" t="s">
        <v>12742</v>
      </c>
      <c r="C453" s="27" t="str">
        <f t="shared" si="518"/>
        <v>E3_1_26_11_mRNA</v>
      </c>
      <c r="D453" s="47" t="str">
        <f t="shared" si="527"/>
        <v>E3_1_26_11</v>
      </c>
      <c r="E453" s="48" t="str">
        <f t="shared" si="519"/>
        <v>E3_1_26_11_kcat : 13.7</v>
      </c>
      <c r="F453" s="49" t="str">
        <f t="shared" si="520"/>
        <v>E3_1_26_11_km : 1</v>
      </c>
      <c r="G453" s="9" t="str">
        <f t="shared" ref="G453:H453" si="918">CONCATENATE(C453," : ",C453)</f>
        <v>E3_1_26_11_mRNA : E3_1_26_11_mRNA</v>
      </c>
      <c r="H453" s="50" t="str">
        <f t="shared" si="918"/>
        <v>E3_1_26_11 : E3_1_26_11</v>
      </c>
      <c r="I453" s="51" t="str">
        <f t="shared" ref="I453:J453" si="919">CONCATENATE(C453," : ","0")</f>
        <v>E3_1_26_11_mRNA : 0</v>
      </c>
      <c r="J453" s="52" t="str">
        <f t="shared" si="919"/>
        <v>E3_1_26_11 : 0</v>
      </c>
      <c r="K453" s="53" t="str">
        <f t="shared" si="523"/>
        <v>0.00292 - (0.0093 * E3_1_26_11_mRNA)</v>
      </c>
      <c r="L453" s="54" t="str">
        <f t="shared" si="524"/>
        <v>(0.278 * E3_1_26_11_mRNA) - (0.00000278 * E3_1_26_11)</v>
      </c>
      <c r="M453" s="55" t="str">
        <f t="shared" si="525"/>
        <v>mRNA452: -&gt; E3_1_26_11_mRNA | 0.00292 - (0.0093 * E3_1_26_11_mRNA)</v>
      </c>
      <c r="N453" s="56" t="str">
        <f t="shared" si="526"/>
        <v>Peptide452: E3_1_26_11_mRNA -&gt; E3_1_26_11 | (0.278 * E3_1_26_11_mRNA) - (0.000000278 * E3_1_26_11)</v>
      </c>
    </row>
    <row r="454" spans="1:14" ht="29">
      <c r="A454" s="46">
        <v>453</v>
      </c>
      <c r="B454" s="7" t="s">
        <v>12743</v>
      </c>
      <c r="C454" s="27" t="str">
        <f t="shared" si="518"/>
        <v>E1_8_4_11_mRNA</v>
      </c>
      <c r="D454" s="47" t="str">
        <f t="shared" si="527"/>
        <v>E1_8_4_11</v>
      </c>
      <c r="E454" s="48" t="str">
        <f t="shared" si="519"/>
        <v>E1_8_4_11_kcat : 13.7</v>
      </c>
      <c r="F454" s="49" t="str">
        <f t="shared" si="520"/>
        <v>E1_8_4_11_km : 1</v>
      </c>
      <c r="G454" s="9" t="str">
        <f t="shared" ref="G454:H454" si="920">CONCATENATE(C454," : ",C454)</f>
        <v>E1_8_4_11_mRNA : E1_8_4_11_mRNA</v>
      </c>
      <c r="H454" s="50" t="str">
        <f t="shared" si="920"/>
        <v>E1_8_4_11 : E1_8_4_11</v>
      </c>
      <c r="I454" s="51" t="str">
        <f t="shared" ref="I454:J454" si="921">CONCATENATE(C454," : ","0")</f>
        <v>E1_8_4_11_mRNA : 0</v>
      </c>
      <c r="J454" s="52" t="str">
        <f t="shared" si="921"/>
        <v>E1_8_4_11 : 0</v>
      </c>
      <c r="K454" s="53" t="str">
        <f t="shared" si="523"/>
        <v>0.00292 - (0.0093 * E1_8_4_11_mRNA)</v>
      </c>
      <c r="L454" s="54" t="str">
        <f t="shared" si="524"/>
        <v>(0.278 * E1_8_4_11_mRNA) - (0.00000278 * E1_8_4_11)</v>
      </c>
      <c r="M454" s="55" t="str">
        <f t="shared" si="525"/>
        <v>mRNA453: -&gt; E1_8_4_11_mRNA | 0.00292 - (0.0093 * E1_8_4_11_mRNA)</v>
      </c>
      <c r="N454" s="56" t="str">
        <f t="shared" si="526"/>
        <v>Peptide453: E1_8_4_11_mRNA -&gt; E1_8_4_11 | (0.278 * E1_8_4_11_mRNA) - (0.000000278 * E1_8_4_11)</v>
      </c>
    </row>
    <row r="455" spans="1:14" ht="29">
      <c r="A455" s="46">
        <v>454</v>
      </c>
      <c r="B455" s="7" t="s">
        <v>12744</v>
      </c>
      <c r="C455" s="27" t="str">
        <f t="shared" si="518"/>
        <v>E3_4_21_96_mRNA</v>
      </c>
      <c r="D455" s="47" t="str">
        <f t="shared" si="527"/>
        <v>E3_4_21_96</v>
      </c>
      <c r="E455" s="48" t="str">
        <f t="shared" si="519"/>
        <v>E3_4_21_96_kcat : 13.7</v>
      </c>
      <c r="F455" s="49" t="str">
        <f t="shared" si="520"/>
        <v>E3_4_21_96_km : 1</v>
      </c>
      <c r="G455" s="9" t="str">
        <f t="shared" ref="G455:H455" si="922">CONCATENATE(C455," : ",C455)</f>
        <v>E3_4_21_96_mRNA : E3_4_21_96_mRNA</v>
      </c>
      <c r="H455" s="50" t="str">
        <f t="shared" si="922"/>
        <v>E3_4_21_96 : E3_4_21_96</v>
      </c>
      <c r="I455" s="51" t="str">
        <f t="shared" ref="I455:J455" si="923">CONCATENATE(C455," : ","0")</f>
        <v>E3_4_21_96_mRNA : 0</v>
      </c>
      <c r="J455" s="52" t="str">
        <f t="shared" si="923"/>
        <v>E3_4_21_96 : 0</v>
      </c>
      <c r="K455" s="53" t="str">
        <f t="shared" si="523"/>
        <v>0.00292 - (0.0093 * E3_4_21_96_mRNA)</v>
      </c>
      <c r="L455" s="54" t="str">
        <f t="shared" si="524"/>
        <v>(0.278 * E3_4_21_96_mRNA) - (0.00000278 * E3_4_21_96)</v>
      </c>
      <c r="M455" s="55" t="str">
        <f t="shared" si="525"/>
        <v>mRNA454: -&gt; E3_4_21_96_mRNA | 0.00292 - (0.0093 * E3_4_21_96_mRNA)</v>
      </c>
      <c r="N455" s="56" t="str">
        <f t="shared" si="526"/>
        <v>Peptide454: E3_4_21_96_mRNA -&gt; E3_4_21_96 | (0.278 * E3_4_21_96_mRNA) - (0.000000278 * E3_4_21_96)</v>
      </c>
    </row>
    <row r="456" spans="1:14" ht="29">
      <c r="A456" s="46">
        <v>455</v>
      </c>
      <c r="B456" s="7" t="s">
        <v>12745</v>
      </c>
      <c r="C456" s="27" t="str">
        <f t="shared" si="518"/>
        <v>E2_3_2_17_mRNA</v>
      </c>
      <c r="D456" s="47" t="str">
        <f t="shared" si="527"/>
        <v>E2_3_2_17</v>
      </c>
      <c r="E456" s="48" t="str">
        <f t="shared" si="519"/>
        <v>E2_3_2_17_kcat : 13.7</v>
      </c>
      <c r="F456" s="49" t="str">
        <f t="shared" si="520"/>
        <v>E2_3_2_17_km : 1</v>
      </c>
      <c r="G456" s="9" t="str">
        <f t="shared" ref="G456:H456" si="924">CONCATENATE(C456," : ",C456)</f>
        <v>E2_3_2_17_mRNA : E2_3_2_17_mRNA</v>
      </c>
      <c r="H456" s="50" t="str">
        <f t="shared" si="924"/>
        <v>E2_3_2_17 : E2_3_2_17</v>
      </c>
      <c r="I456" s="51" t="str">
        <f t="shared" ref="I456:J456" si="925">CONCATENATE(C456," : ","0")</f>
        <v>E2_3_2_17_mRNA : 0</v>
      </c>
      <c r="J456" s="52" t="str">
        <f t="shared" si="925"/>
        <v>E2_3_2_17 : 0</v>
      </c>
      <c r="K456" s="53" t="str">
        <f t="shared" si="523"/>
        <v>0.00292 - (0.0093 * E2_3_2_17_mRNA)</v>
      </c>
      <c r="L456" s="54" t="str">
        <f t="shared" si="524"/>
        <v>(0.278 * E2_3_2_17_mRNA) - (0.00000278 * E2_3_2_17)</v>
      </c>
      <c r="M456" s="55" t="str">
        <f t="shared" si="525"/>
        <v>mRNA455: -&gt; E2_3_2_17_mRNA | 0.00292 - (0.0093 * E2_3_2_17_mRNA)</v>
      </c>
      <c r="N456" s="56" t="str">
        <f t="shared" si="526"/>
        <v>Peptide455: E2_3_2_17_mRNA -&gt; E2_3_2_17 | (0.278 * E2_3_2_17_mRNA) - (0.000000278 * E2_3_2_17)</v>
      </c>
    </row>
    <row r="457" spans="1:14" ht="29">
      <c r="A457" s="46">
        <v>456</v>
      </c>
      <c r="B457" s="7" t="s">
        <v>12746</v>
      </c>
      <c r="C457" s="27" t="str">
        <f t="shared" si="518"/>
        <v>E2_3_2_16_mRNA</v>
      </c>
      <c r="D457" s="47" t="str">
        <f t="shared" si="527"/>
        <v>E2_3_2_16</v>
      </c>
      <c r="E457" s="48" t="str">
        <f t="shared" si="519"/>
        <v>E2_3_2_16_kcat : 13.7</v>
      </c>
      <c r="F457" s="49" t="str">
        <f t="shared" si="520"/>
        <v>E2_3_2_16_km : 1</v>
      </c>
      <c r="G457" s="9" t="str">
        <f t="shared" ref="G457:H457" si="926">CONCATENATE(C457," : ",C457)</f>
        <v>E2_3_2_16_mRNA : E2_3_2_16_mRNA</v>
      </c>
      <c r="H457" s="50" t="str">
        <f t="shared" si="926"/>
        <v>E2_3_2_16 : E2_3_2_16</v>
      </c>
      <c r="I457" s="51" t="str">
        <f t="shared" ref="I457:J457" si="927">CONCATENATE(C457," : ","0")</f>
        <v>E2_3_2_16_mRNA : 0</v>
      </c>
      <c r="J457" s="52" t="str">
        <f t="shared" si="927"/>
        <v>E2_3_2_16 : 0</v>
      </c>
      <c r="K457" s="53" t="str">
        <f t="shared" si="523"/>
        <v>0.00292 - (0.0093 * E2_3_2_16_mRNA)</v>
      </c>
      <c r="L457" s="54" t="str">
        <f t="shared" si="524"/>
        <v>(0.278 * E2_3_2_16_mRNA) - (0.00000278 * E2_3_2_16)</v>
      </c>
      <c r="M457" s="55" t="str">
        <f t="shared" si="525"/>
        <v>mRNA456: -&gt; E2_3_2_16_mRNA | 0.00292 - (0.0093 * E2_3_2_16_mRNA)</v>
      </c>
      <c r="N457" s="56" t="str">
        <f t="shared" si="526"/>
        <v>Peptide456: E2_3_2_16_mRNA -&gt; E2_3_2_16 | (0.278 * E2_3_2_16_mRNA) - (0.000000278 * E2_3_2_16)</v>
      </c>
    </row>
    <row r="458" spans="1:14" ht="29">
      <c r="A458" s="46">
        <v>457</v>
      </c>
      <c r="B458" s="7" t="s">
        <v>12747</v>
      </c>
      <c r="C458" s="27" t="str">
        <f t="shared" si="518"/>
        <v>E3_1_2_12_mRNA</v>
      </c>
      <c r="D458" s="47" t="str">
        <f t="shared" si="527"/>
        <v>E3_1_2_12</v>
      </c>
      <c r="E458" s="48" t="str">
        <f t="shared" si="519"/>
        <v>E3_1_2_12_kcat : 13.7</v>
      </c>
      <c r="F458" s="49" t="str">
        <f t="shared" si="520"/>
        <v>E3_1_2_12_km : 1</v>
      </c>
      <c r="G458" s="9" t="str">
        <f t="shared" ref="G458:H458" si="928">CONCATENATE(C458," : ",C458)</f>
        <v>E3_1_2_12_mRNA : E3_1_2_12_mRNA</v>
      </c>
      <c r="H458" s="50" t="str">
        <f t="shared" si="928"/>
        <v>E3_1_2_12 : E3_1_2_12</v>
      </c>
      <c r="I458" s="51" t="str">
        <f t="shared" ref="I458:J458" si="929">CONCATENATE(C458," : ","0")</f>
        <v>E3_1_2_12_mRNA : 0</v>
      </c>
      <c r="J458" s="52" t="str">
        <f t="shared" si="929"/>
        <v>E3_1_2_12 : 0</v>
      </c>
      <c r="K458" s="53" t="str">
        <f t="shared" si="523"/>
        <v>0.00292 - (0.0093 * E3_1_2_12_mRNA)</v>
      </c>
      <c r="L458" s="54" t="str">
        <f t="shared" si="524"/>
        <v>(0.278 * E3_1_2_12_mRNA) - (0.00000278 * E3_1_2_12)</v>
      </c>
      <c r="M458" s="55" t="str">
        <f t="shared" si="525"/>
        <v>mRNA457: -&gt; E3_1_2_12_mRNA | 0.00292 - (0.0093 * E3_1_2_12_mRNA)</v>
      </c>
      <c r="N458" s="56" t="str">
        <f t="shared" si="526"/>
        <v>Peptide457: E3_1_2_12_mRNA -&gt; E3_1_2_12 | (0.278 * E3_1_2_12_mRNA) - (0.000000278 * E3_1_2_12)</v>
      </c>
    </row>
    <row r="459" spans="1:14" ht="29">
      <c r="A459" s="46">
        <v>458</v>
      </c>
      <c r="B459" s="7" t="s">
        <v>12748</v>
      </c>
      <c r="C459" s="27" t="str">
        <f t="shared" si="518"/>
        <v>E4_1_2_13_mRNA</v>
      </c>
      <c r="D459" s="47" t="str">
        <f t="shared" si="527"/>
        <v>E4_1_2_13</v>
      </c>
      <c r="E459" s="48" t="str">
        <f t="shared" si="519"/>
        <v>E4_1_2_13_kcat : 13.7</v>
      </c>
      <c r="F459" s="49" t="str">
        <f t="shared" si="520"/>
        <v>E4_1_2_13_km : 1</v>
      </c>
      <c r="G459" s="9" t="str">
        <f t="shared" ref="G459:H459" si="930">CONCATENATE(C459," : ",C459)</f>
        <v>E4_1_2_13_mRNA : E4_1_2_13_mRNA</v>
      </c>
      <c r="H459" s="50" t="str">
        <f t="shared" si="930"/>
        <v>E4_1_2_13 : E4_1_2_13</v>
      </c>
      <c r="I459" s="51" t="str">
        <f t="shared" ref="I459:J459" si="931">CONCATENATE(C459," : ","0")</f>
        <v>E4_1_2_13_mRNA : 0</v>
      </c>
      <c r="J459" s="52" t="str">
        <f t="shared" si="931"/>
        <v>E4_1_2_13 : 0</v>
      </c>
      <c r="K459" s="53" t="str">
        <f t="shared" si="523"/>
        <v>0.00292 - (0.0093 * E4_1_2_13_mRNA)</v>
      </c>
      <c r="L459" s="54" t="str">
        <f t="shared" si="524"/>
        <v>(0.278 * E4_1_2_13_mRNA) - (0.00000278 * E4_1_2_13)</v>
      </c>
      <c r="M459" s="55" t="str">
        <f t="shared" si="525"/>
        <v>mRNA458: -&gt; E4_1_2_13_mRNA | 0.00292 - (0.0093 * E4_1_2_13_mRNA)</v>
      </c>
      <c r="N459" s="56" t="str">
        <f t="shared" si="526"/>
        <v>Peptide458: E4_1_2_13_mRNA -&gt; E4_1_2_13 | (0.278 * E4_1_2_13_mRNA) - (0.000000278 * E4_1_2_13)</v>
      </c>
    </row>
    <row r="460" spans="1:14" ht="29">
      <c r="A460" s="46">
        <v>459</v>
      </c>
      <c r="B460" s="7" t="s">
        <v>12749</v>
      </c>
      <c r="C460" s="27" t="str">
        <f t="shared" si="518"/>
        <v>E6_1_1_9_mRNA</v>
      </c>
      <c r="D460" s="47" t="str">
        <f t="shared" si="527"/>
        <v>E6_1_1_9</v>
      </c>
      <c r="E460" s="48" t="str">
        <f t="shared" si="519"/>
        <v>E6_1_1_9_kcat : 13.7</v>
      </c>
      <c r="F460" s="49" t="str">
        <f t="shared" si="520"/>
        <v>E6_1_1_9_km : 1</v>
      </c>
      <c r="G460" s="9" t="str">
        <f t="shared" ref="G460:H460" si="932">CONCATENATE(C460," : ",C460)</f>
        <v>E6_1_1_9_mRNA : E6_1_1_9_mRNA</v>
      </c>
      <c r="H460" s="50" t="str">
        <f t="shared" si="932"/>
        <v>E6_1_1_9 : E6_1_1_9</v>
      </c>
      <c r="I460" s="51" t="str">
        <f t="shared" ref="I460:J460" si="933">CONCATENATE(C460," : ","0")</f>
        <v>E6_1_1_9_mRNA : 0</v>
      </c>
      <c r="J460" s="52" t="str">
        <f t="shared" si="933"/>
        <v>E6_1_1_9 : 0</v>
      </c>
      <c r="K460" s="53" t="str">
        <f t="shared" si="523"/>
        <v>0.00292 - (0.0093 * E6_1_1_9_mRNA)</v>
      </c>
      <c r="L460" s="54" t="str">
        <f t="shared" si="524"/>
        <v>(0.278 * E6_1_1_9_mRNA) - (0.00000278 * E6_1_1_9)</v>
      </c>
      <c r="M460" s="55" t="str">
        <f t="shared" si="525"/>
        <v>mRNA459: -&gt; E6_1_1_9_mRNA | 0.00292 - (0.0093 * E6_1_1_9_mRNA)</v>
      </c>
      <c r="N460" s="56" t="str">
        <f t="shared" si="526"/>
        <v>Peptide459: E6_1_1_9_mRNA -&gt; E6_1_1_9 | (0.278 * E6_1_1_9_mRNA) - (0.000000278 * E6_1_1_9)</v>
      </c>
    </row>
    <row r="461" spans="1:14" ht="29">
      <c r="A461" s="46">
        <v>460</v>
      </c>
      <c r="B461" s="7" t="s">
        <v>12750</v>
      </c>
      <c r="C461" s="27" t="str">
        <f t="shared" si="518"/>
        <v>E2_1_1_33_mRNA</v>
      </c>
      <c r="D461" s="47" t="str">
        <f t="shared" si="527"/>
        <v>E2_1_1_33</v>
      </c>
      <c r="E461" s="48" t="str">
        <f t="shared" si="519"/>
        <v>E2_1_1_33_kcat : 13.7</v>
      </c>
      <c r="F461" s="49" t="str">
        <f t="shared" si="520"/>
        <v>E2_1_1_33_km : 1</v>
      </c>
      <c r="G461" s="9" t="str">
        <f t="shared" ref="G461:H461" si="934">CONCATENATE(C461," : ",C461)</f>
        <v>E2_1_1_33_mRNA : E2_1_1_33_mRNA</v>
      </c>
      <c r="H461" s="50" t="str">
        <f t="shared" si="934"/>
        <v>E2_1_1_33 : E2_1_1_33</v>
      </c>
      <c r="I461" s="51" t="str">
        <f t="shared" ref="I461:J461" si="935">CONCATENATE(C461," : ","0")</f>
        <v>E2_1_1_33_mRNA : 0</v>
      </c>
      <c r="J461" s="52" t="str">
        <f t="shared" si="935"/>
        <v>E2_1_1_33 : 0</v>
      </c>
      <c r="K461" s="53" t="str">
        <f t="shared" si="523"/>
        <v>0.00292 - (0.0093 * E2_1_1_33_mRNA)</v>
      </c>
      <c r="L461" s="54" t="str">
        <f t="shared" si="524"/>
        <v>(0.278 * E2_1_1_33_mRNA) - (0.00000278 * E2_1_1_33)</v>
      </c>
      <c r="M461" s="55" t="str">
        <f t="shared" si="525"/>
        <v>mRNA460: -&gt; E2_1_1_33_mRNA | 0.00292 - (0.0093 * E2_1_1_33_mRNA)</v>
      </c>
      <c r="N461" s="56" t="str">
        <f t="shared" si="526"/>
        <v>Peptide460: E2_1_1_33_mRNA -&gt; E2_1_1_33 | (0.278 * E2_1_1_33_mRNA) - (0.000000278 * E2_1_1_33)</v>
      </c>
    </row>
    <row r="462" spans="1:14">
      <c r="A462" s="46"/>
      <c r="B462" s="8"/>
    </row>
    <row r="463" spans="1:14">
      <c r="A463" s="46"/>
      <c r="B463" s="8"/>
    </row>
    <row r="464" spans="1:14">
      <c r="A464" s="46"/>
      <c r="B464" s="8"/>
    </row>
    <row r="465" spans="1:2">
      <c r="A465" s="46"/>
      <c r="B465" s="8"/>
    </row>
    <row r="466" spans="1:2">
      <c r="A466" s="46"/>
      <c r="B466" s="8"/>
    </row>
    <row r="467" spans="1:2">
      <c r="A467" s="46"/>
      <c r="B467" s="8"/>
    </row>
    <row r="468" spans="1:2">
      <c r="A468" s="46"/>
      <c r="B468" s="8"/>
    </row>
    <row r="469" spans="1:2">
      <c r="A469" s="46"/>
      <c r="B469" s="8"/>
    </row>
    <row r="470" spans="1:2">
      <c r="A470" s="46"/>
      <c r="B470" s="8"/>
    </row>
    <row r="471" spans="1:2">
      <c r="A471" s="46"/>
      <c r="B471" s="8"/>
    </row>
    <row r="472" spans="1:2">
      <c r="A472" s="46"/>
      <c r="B472" s="8"/>
    </row>
    <row r="473" spans="1:2">
      <c r="A473" s="46"/>
      <c r="B473" s="8"/>
    </row>
    <row r="474" spans="1:2">
      <c r="A474" s="46"/>
      <c r="B474" s="8"/>
    </row>
    <row r="475" spans="1:2">
      <c r="A475" s="46"/>
      <c r="B475" s="8"/>
    </row>
    <row r="476" spans="1:2">
      <c r="A476" s="46"/>
      <c r="B476" s="8"/>
    </row>
    <row r="477" spans="1:2">
      <c r="A477" s="46"/>
      <c r="B477" s="8"/>
    </row>
    <row r="478" spans="1:2">
      <c r="A478" s="46"/>
      <c r="B478" s="8"/>
    </row>
    <row r="479" spans="1:2">
      <c r="A479" s="46"/>
      <c r="B479" s="8"/>
    </row>
    <row r="480" spans="1:2">
      <c r="A480" s="46"/>
      <c r="B480" s="8"/>
    </row>
    <row r="481" spans="1:2">
      <c r="A481" s="46"/>
      <c r="B481" s="8"/>
    </row>
    <row r="482" spans="1:2">
      <c r="A482" s="46"/>
      <c r="B482" s="8"/>
    </row>
    <row r="483" spans="1:2">
      <c r="A483" s="46"/>
      <c r="B483" s="8"/>
    </row>
    <row r="484" spans="1:2">
      <c r="A484" s="46"/>
      <c r="B484" s="8"/>
    </row>
    <row r="485" spans="1:2">
      <c r="A485" s="46"/>
      <c r="B485" s="8"/>
    </row>
    <row r="486" spans="1:2">
      <c r="A486" s="46"/>
      <c r="B486" s="8"/>
    </row>
    <row r="487" spans="1:2">
      <c r="A487" s="46"/>
      <c r="B487" s="8"/>
    </row>
    <row r="488" spans="1:2">
      <c r="A488" s="46"/>
      <c r="B488" s="8"/>
    </row>
    <row r="489" spans="1:2">
      <c r="A489" s="46"/>
      <c r="B489" s="8"/>
    </row>
    <row r="490" spans="1:2">
      <c r="A490" s="46"/>
      <c r="B490" s="8"/>
    </row>
    <row r="491" spans="1:2">
      <c r="A491" s="46"/>
      <c r="B491" s="8"/>
    </row>
    <row r="492" spans="1:2">
      <c r="A492" s="46"/>
      <c r="B492" s="8"/>
    </row>
    <row r="493" spans="1:2">
      <c r="A493" s="46"/>
      <c r="B493" s="8"/>
    </row>
    <row r="494" spans="1:2">
      <c r="A494" s="46"/>
      <c r="B494" s="8"/>
    </row>
    <row r="495" spans="1:2">
      <c r="A495" s="46"/>
      <c r="B495" s="8"/>
    </row>
    <row r="496" spans="1:2">
      <c r="A496" s="46"/>
      <c r="B496" s="8"/>
    </row>
    <row r="497" spans="1:2">
      <c r="A497" s="46"/>
      <c r="B497" s="8"/>
    </row>
    <row r="498" spans="1:2">
      <c r="A498" s="46"/>
      <c r="B498" s="8"/>
    </row>
    <row r="499" spans="1:2">
      <c r="A499" s="46"/>
      <c r="B499" s="8"/>
    </row>
    <row r="500" spans="1:2">
      <c r="A500" s="46"/>
      <c r="B500" s="8"/>
    </row>
    <row r="501" spans="1:2">
      <c r="A501" s="46"/>
      <c r="B501" s="8"/>
    </row>
    <row r="502" spans="1:2">
      <c r="A502" s="46"/>
      <c r="B502" s="8"/>
    </row>
    <row r="503" spans="1:2">
      <c r="A503" s="46"/>
      <c r="B503" s="8"/>
    </row>
    <row r="504" spans="1:2">
      <c r="A504" s="46"/>
      <c r="B504" s="8"/>
    </row>
    <row r="505" spans="1:2">
      <c r="A505" s="46"/>
      <c r="B505" s="8"/>
    </row>
    <row r="506" spans="1:2">
      <c r="A506" s="46"/>
      <c r="B506" s="8"/>
    </row>
    <row r="507" spans="1:2">
      <c r="A507" s="46"/>
      <c r="B507" s="8"/>
    </row>
    <row r="508" spans="1:2">
      <c r="A508" s="46"/>
      <c r="B508" s="8"/>
    </row>
    <row r="509" spans="1:2">
      <c r="A509" s="46"/>
      <c r="B509" s="8"/>
    </row>
    <row r="510" spans="1:2">
      <c r="A510" s="46"/>
      <c r="B510" s="8"/>
    </row>
    <row r="511" spans="1:2">
      <c r="A511" s="46"/>
      <c r="B511" s="8"/>
    </row>
    <row r="512" spans="1:2">
      <c r="A512" s="46"/>
      <c r="B512" s="8"/>
    </row>
    <row r="513" spans="1:2">
      <c r="A513" s="46"/>
      <c r="B513" s="8"/>
    </row>
    <row r="514" spans="1:2">
      <c r="A514" s="46"/>
      <c r="B514" s="8"/>
    </row>
    <row r="515" spans="1:2">
      <c r="A515" s="46"/>
      <c r="B515" s="8"/>
    </row>
    <row r="516" spans="1:2">
      <c r="A516" s="46"/>
      <c r="B516" s="8"/>
    </row>
    <row r="517" spans="1:2">
      <c r="A517" s="46"/>
      <c r="B517" s="8"/>
    </row>
    <row r="518" spans="1:2">
      <c r="A518" s="46"/>
      <c r="B518" s="8"/>
    </row>
    <row r="519" spans="1:2">
      <c r="A519" s="46"/>
      <c r="B519" s="8"/>
    </row>
    <row r="520" spans="1:2">
      <c r="A520" s="46"/>
      <c r="B520" s="8"/>
    </row>
    <row r="521" spans="1:2">
      <c r="A521" s="46"/>
      <c r="B521" s="8"/>
    </row>
    <row r="522" spans="1:2">
      <c r="A522" s="46"/>
      <c r="B522" s="8"/>
    </row>
    <row r="523" spans="1:2">
      <c r="A523" s="46"/>
      <c r="B523" s="8"/>
    </row>
    <row r="524" spans="1:2">
      <c r="A524" s="46"/>
      <c r="B524" s="8"/>
    </row>
    <row r="525" spans="1:2">
      <c r="A525" s="46"/>
      <c r="B525" s="8"/>
    </row>
    <row r="526" spans="1:2">
      <c r="A526" s="46"/>
      <c r="B526" s="8"/>
    </row>
    <row r="527" spans="1:2">
      <c r="A527" s="46"/>
      <c r="B527" s="8"/>
    </row>
    <row r="528" spans="1:2">
      <c r="A528" s="46"/>
      <c r="B528" s="8"/>
    </row>
    <row r="529" spans="1:2">
      <c r="A529" s="46"/>
      <c r="B529" s="8"/>
    </row>
    <row r="530" spans="1:2">
      <c r="A530" s="46"/>
      <c r="B530" s="8"/>
    </row>
    <row r="531" spans="1:2">
      <c r="A531" s="46"/>
      <c r="B531" s="8"/>
    </row>
    <row r="532" spans="1:2">
      <c r="A532" s="46"/>
      <c r="B532" s="8"/>
    </row>
    <row r="533" spans="1:2">
      <c r="A533" s="46"/>
      <c r="B533" s="8"/>
    </row>
    <row r="534" spans="1:2">
      <c r="A534" s="46"/>
      <c r="B534" s="8"/>
    </row>
    <row r="535" spans="1:2">
      <c r="A535" s="46"/>
      <c r="B535" s="8"/>
    </row>
    <row r="536" spans="1:2">
      <c r="A536" s="46"/>
      <c r="B536" s="8"/>
    </row>
    <row r="537" spans="1:2">
      <c r="A537" s="46"/>
      <c r="B537" s="8"/>
    </row>
    <row r="538" spans="1:2">
      <c r="A538" s="46"/>
      <c r="B538" s="8"/>
    </row>
    <row r="539" spans="1:2">
      <c r="A539" s="46"/>
      <c r="B539" s="8"/>
    </row>
    <row r="540" spans="1:2">
      <c r="A540" s="46"/>
      <c r="B540" s="8"/>
    </row>
    <row r="541" spans="1:2">
      <c r="A541" s="46"/>
      <c r="B541" s="8"/>
    </row>
    <row r="542" spans="1:2">
      <c r="A542" s="46"/>
      <c r="B542" s="8"/>
    </row>
    <row r="543" spans="1:2">
      <c r="A543" s="46"/>
      <c r="B543" s="8"/>
    </row>
    <row r="544" spans="1:2">
      <c r="A544" s="46"/>
      <c r="B544" s="8"/>
    </row>
    <row r="545" spans="1:2">
      <c r="A545" s="46"/>
      <c r="B545" s="8"/>
    </row>
    <row r="546" spans="1:2">
      <c r="A546" s="46"/>
      <c r="B546" s="8"/>
    </row>
    <row r="547" spans="1:2">
      <c r="A547" s="46"/>
      <c r="B547" s="8"/>
    </row>
    <row r="548" spans="1:2">
      <c r="A548" s="46"/>
      <c r="B548" s="8"/>
    </row>
    <row r="549" spans="1:2">
      <c r="A549" s="46"/>
      <c r="B549" s="8"/>
    </row>
    <row r="550" spans="1:2">
      <c r="A550" s="46"/>
      <c r="B550" s="8"/>
    </row>
    <row r="551" spans="1:2">
      <c r="A551" s="46"/>
      <c r="B551" s="8"/>
    </row>
    <row r="552" spans="1:2">
      <c r="A552" s="46"/>
      <c r="B552" s="8"/>
    </row>
    <row r="553" spans="1:2">
      <c r="A553" s="46"/>
      <c r="B553" s="8"/>
    </row>
    <row r="554" spans="1:2">
      <c r="A554" s="46"/>
      <c r="B554" s="8"/>
    </row>
    <row r="555" spans="1:2">
      <c r="A555" s="46"/>
      <c r="B555" s="8"/>
    </row>
    <row r="556" spans="1:2">
      <c r="A556" s="46"/>
      <c r="B556" s="8"/>
    </row>
    <row r="557" spans="1:2">
      <c r="A557" s="46"/>
      <c r="B557" s="8"/>
    </row>
    <row r="558" spans="1:2">
      <c r="A558" s="46"/>
      <c r="B558" s="8"/>
    </row>
    <row r="559" spans="1:2">
      <c r="A559" s="46"/>
      <c r="B559" s="8"/>
    </row>
    <row r="560" spans="1:2">
      <c r="A560" s="46"/>
      <c r="B560" s="8"/>
    </row>
    <row r="561" spans="1:2">
      <c r="A561" s="46"/>
      <c r="B561" s="8"/>
    </row>
    <row r="562" spans="1:2">
      <c r="A562" s="46"/>
      <c r="B562" s="8"/>
    </row>
    <row r="563" spans="1:2">
      <c r="A563" s="46"/>
      <c r="B563" s="8"/>
    </row>
    <row r="564" spans="1:2">
      <c r="A564" s="46"/>
      <c r="B564" s="8"/>
    </row>
    <row r="565" spans="1:2">
      <c r="A565" s="46"/>
      <c r="B565" s="8"/>
    </row>
    <row r="566" spans="1:2">
      <c r="A566" s="46"/>
      <c r="B566" s="8"/>
    </row>
    <row r="567" spans="1:2">
      <c r="A567" s="46"/>
      <c r="B567" s="8"/>
    </row>
    <row r="568" spans="1:2">
      <c r="A568" s="46"/>
      <c r="B568" s="8"/>
    </row>
    <row r="569" spans="1:2">
      <c r="A569" s="46"/>
      <c r="B569" s="8"/>
    </row>
    <row r="570" spans="1:2">
      <c r="A570" s="46"/>
      <c r="B570" s="8"/>
    </row>
    <row r="571" spans="1:2">
      <c r="A571" s="46"/>
      <c r="B571" s="8"/>
    </row>
    <row r="572" spans="1:2">
      <c r="A572" s="46"/>
      <c r="B572" s="8"/>
    </row>
    <row r="573" spans="1:2">
      <c r="A573" s="46"/>
      <c r="B573" s="8"/>
    </row>
    <row r="574" spans="1:2">
      <c r="A574" s="46"/>
      <c r="B574" s="8"/>
    </row>
    <row r="575" spans="1:2">
      <c r="A575" s="46"/>
      <c r="B575" s="8"/>
    </row>
    <row r="576" spans="1:2">
      <c r="A576" s="46"/>
      <c r="B576" s="8"/>
    </row>
    <row r="577" spans="1:2">
      <c r="A577" s="46"/>
      <c r="B577" s="8"/>
    </row>
    <row r="578" spans="1:2">
      <c r="A578" s="46"/>
      <c r="B578" s="8"/>
    </row>
    <row r="579" spans="1:2">
      <c r="A579" s="46"/>
      <c r="B579" s="8"/>
    </row>
    <row r="580" spans="1:2">
      <c r="A580" s="46"/>
      <c r="B580" s="8"/>
    </row>
    <row r="581" spans="1:2">
      <c r="A581" s="46"/>
      <c r="B581" s="8"/>
    </row>
    <row r="582" spans="1:2">
      <c r="A582" s="46"/>
      <c r="B582" s="8"/>
    </row>
    <row r="583" spans="1:2">
      <c r="A583" s="46"/>
      <c r="B583" s="8"/>
    </row>
    <row r="584" spans="1:2">
      <c r="A584" s="46"/>
      <c r="B584" s="8"/>
    </row>
    <row r="585" spans="1:2">
      <c r="A585" s="46"/>
      <c r="B585" s="8"/>
    </row>
    <row r="586" spans="1:2">
      <c r="A586" s="46"/>
      <c r="B586" s="8"/>
    </row>
    <row r="587" spans="1:2">
      <c r="A587" s="46"/>
      <c r="B587" s="8"/>
    </row>
    <row r="588" spans="1:2">
      <c r="A588" s="46"/>
      <c r="B588" s="8"/>
    </row>
    <row r="589" spans="1:2">
      <c r="A589" s="46"/>
      <c r="B589" s="8"/>
    </row>
    <row r="590" spans="1:2">
      <c r="A590" s="46"/>
      <c r="B590" s="8"/>
    </row>
    <row r="591" spans="1:2">
      <c r="A591" s="46"/>
      <c r="B591" s="8"/>
    </row>
    <row r="592" spans="1:2">
      <c r="A592" s="46"/>
      <c r="B592" s="8"/>
    </row>
    <row r="593" spans="1:2">
      <c r="A593" s="46"/>
      <c r="B593" s="8"/>
    </row>
    <row r="594" spans="1:2">
      <c r="A594" s="46"/>
      <c r="B594" s="8"/>
    </row>
    <row r="595" spans="1:2">
      <c r="A595" s="46"/>
      <c r="B595" s="8"/>
    </row>
    <row r="596" spans="1:2">
      <c r="A596" s="46"/>
      <c r="B596" s="8"/>
    </row>
    <row r="597" spans="1:2">
      <c r="A597" s="46"/>
      <c r="B597" s="8"/>
    </row>
    <row r="598" spans="1:2">
      <c r="A598" s="46"/>
      <c r="B598" s="8"/>
    </row>
    <row r="599" spans="1:2">
      <c r="A599" s="46"/>
      <c r="B599" s="8"/>
    </row>
    <row r="600" spans="1:2">
      <c r="A600" s="46"/>
      <c r="B600" s="8"/>
    </row>
    <row r="601" spans="1:2">
      <c r="A601" s="46"/>
      <c r="B601" s="8"/>
    </row>
    <row r="602" spans="1:2">
      <c r="A602" s="46"/>
      <c r="B602" s="8"/>
    </row>
    <row r="603" spans="1:2">
      <c r="A603" s="46"/>
      <c r="B603" s="8"/>
    </row>
    <row r="604" spans="1:2">
      <c r="A604" s="46"/>
      <c r="B604" s="8"/>
    </row>
    <row r="605" spans="1:2">
      <c r="A605" s="46"/>
      <c r="B605" s="8"/>
    </row>
    <row r="606" spans="1:2">
      <c r="A606" s="46"/>
      <c r="B606" s="8"/>
    </row>
    <row r="607" spans="1:2">
      <c r="A607" s="46"/>
      <c r="B607" s="8"/>
    </row>
    <row r="608" spans="1:2">
      <c r="A608" s="46"/>
      <c r="B608" s="8"/>
    </row>
    <row r="609" spans="1:2">
      <c r="A609" s="46"/>
      <c r="B609" s="8"/>
    </row>
    <row r="610" spans="1:2">
      <c r="A610" s="46"/>
      <c r="B610" s="8"/>
    </row>
    <row r="611" spans="1:2">
      <c r="A611" s="46"/>
      <c r="B611" s="8"/>
    </row>
    <row r="612" spans="1:2">
      <c r="A612" s="46"/>
      <c r="B612" s="8"/>
    </row>
    <row r="613" spans="1:2">
      <c r="A613" s="46"/>
      <c r="B613" s="8"/>
    </row>
    <row r="614" spans="1:2">
      <c r="A614" s="46"/>
      <c r="B614" s="8"/>
    </row>
    <row r="615" spans="1:2">
      <c r="A615" s="46"/>
      <c r="B615" s="8"/>
    </row>
    <row r="616" spans="1:2">
      <c r="A616" s="46"/>
      <c r="B616" s="8"/>
    </row>
    <row r="617" spans="1:2">
      <c r="A617" s="46"/>
      <c r="B617" s="8"/>
    </row>
    <row r="618" spans="1:2">
      <c r="A618" s="46"/>
      <c r="B618" s="8"/>
    </row>
    <row r="619" spans="1:2">
      <c r="A619" s="46"/>
      <c r="B619" s="8"/>
    </row>
    <row r="620" spans="1:2">
      <c r="A620" s="46"/>
      <c r="B620" s="8"/>
    </row>
    <row r="621" spans="1:2">
      <c r="A621" s="46"/>
      <c r="B621" s="8"/>
    </row>
    <row r="622" spans="1:2">
      <c r="A622" s="46"/>
      <c r="B622" s="8"/>
    </row>
    <row r="623" spans="1:2">
      <c r="A623" s="46"/>
      <c r="B623" s="8"/>
    </row>
    <row r="624" spans="1:2">
      <c r="A624" s="46"/>
      <c r="B624" s="8"/>
    </row>
    <row r="625" spans="1:2">
      <c r="A625" s="46"/>
      <c r="B625" s="8"/>
    </row>
    <row r="626" spans="1:2">
      <c r="A626" s="46"/>
      <c r="B626" s="8"/>
    </row>
    <row r="627" spans="1:2">
      <c r="A627" s="46"/>
      <c r="B627" s="8"/>
    </row>
    <row r="628" spans="1:2">
      <c r="A628" s="46"/>
      <c r="B628" s="8"/>
    </row>
    <row r="629" spans="1:2">
      <c r="A629" s="46"/>
      <c r="B629" s="8"/>
    </row>
    <row r="630" spans="1:2">
      <c r="A630" s="46"/>
      <c r="B630" s="8"/>
    </row>
    <row r="631" spans="1:2">
      <c r="A631" s="46"/>
      <c r="B631" s="8"/>
    </row>
    <row r="632" spans="1:2">
      <c r="A632" s="46"/>
      <c r="B632" s="8"/>
    </row>
    <row r="633" spans="1:2">
      <c r="A633" s="46"/>
      <c r="B633" s="8"/>
    </row>
    <row r="634" spans="1:2">
      <c r="A634" s="46"/>
      <c r="B634" s="8"/>
    </row>
    <row r="635" spans="1:2">
      <c r="A635" s="46"/>
      <c r="B635" s="8"/>
    </row>
    <row r="636" spans="1:2">
      <c r="A636" s="46"/>
      <c r="B636" s="8"/>
    </row>
    <row r="637" spans="1:2">
      <c r="A637" s="46"/>
      <c r="B637" s="8"/>
    </row>
    <row r="638" spans="1:2">
      <c r="A638" s="46"/>
      <c r="B638" s="8"/>
    </row>
    <row r="639" spans="1:2">
      <c r="A639" s="46"/>
      <c r="B639" s="8"/>
    </row>
    <row r="640" spans="1:2">
      <c r="A640" s="46"/>
      <c r="B640" s="8"/>
    </row>
    <row r="641" spans="1:2">
      <c r="A641" s="46"/>
      <c r="B641" s="8"/>
    </row>
    <row r="642" spans="1:2">
      <c r="A642" s="46"/>
      <c r="B642" s="8"/>
    </row>
    <row r="643" spans="1:2">
      <c r="A643" s="46"/>
      <c r="B643" s="8"/>
    </row>
    <row r="644" spans="1:2">
      <c r="A644" s="46"/>
      <c r="B644" s="8"/>
    </row>
    <row r="645" spans="1:2">
      <c r="A645" s="46"/>
      <c r="B645" s="8"/>
    </row>
    <row r="646" spans="1:2">
      <c r="A646" s="46"/>
      <c r="B646" s="8"/>
    </row>
    <row r="647" spans="1:2">
      <c r="A647" s="46"/>
      <c r="B647" s="8"/>
    </row>
    <row r="648" spans="1:2">
      <c r="A648" s="46"/>
      <c r="B648" s="8"/>
    </row>
    <row r="649" spans="1:2">
      <c r="A649" s="46"/>
      <c r="B649" s="8"/>
    </row>
    <row r="650" spans="1:2">
      <c r="A650" s="46"/>
      <c r="B650" s="8"/>
    </row>
    <row r="651" spans="1:2">
      <c r="A651" s="46"/>
      <c r="B651" s="8"/>
    </row>
    <row r="652" spans="1:2">
      <c r="A652" s="46"/>
      <c r="B652" s="8"/>
    </row>
    <row r="653" spans="1:2">
      <c r="A653" s="46"/>
      <c r="B653" s="8"/>
    </row>
    <row r="654" spans="1:2">
      <c r="A654" s="46"/>
      <c r="B654" s="8"/>
    </row>
    <row r="655" spans="1:2">
      <c r="A655" s="46"/>
      <c r="B655" s="8"/>
    </row>
    <row r="656" spans="1:2">
      <c r="A656" s="46"/>
      <c r="B656" s="8"/>
    </row>
    <row r="657" spans="1:2">
      <c r="A657" s="46"/>
      <c r="B657" s="8"/>
    </row>
    <row r="658" spans="1:2">
      <c r="A658" s="46"/>
      <c r="B658" s="8"/>
    </row>
    <row r="659" spans="1:2">
      <c r="A659" s="46"/>
      <c r="B659" s="8"/>
    </row>
    <row r="660" spans="1:2">
      <c r="A660" s="46"/>
      <c r="B660" s="8"/>
    </row>
    <row r="661" spans="1:2">
      <c r="A661" s="46"/>
      <c r="B661" s="8"/>
    </row>
    <row r="662" spans="1:2">
      <c r="A662" s="46"/>
      <c r="B662" s="57"/>
    </row>
    <row r="663" spans="1:2">
      <c r="A663" s="46"/>
      <c r="B663" s="57"/>
    </row>
    <row r="664" spans="1:2">
      <c r="A664" s="46"/>
      <c r="B664" s="57"/>
    </row>
    <row r="665" spans="1:2">
      <c r="A665" s="46"/>
      <c r="B665" s="57"/>
    </row>
    <row r="666" spans="1:2">
      <c r="A666" s="46"/>
      <c r="B666" s="57"/>
    </row>
    <row r="667" spans="1:2">
      <c r="A667" s="46"/>
      <c r="B667" s="57"/>
    </row>
    <row r="668" spans="1:2">
      <c r="A668" s="46"/>
      <c r="B668" s="57"/>
    </row>
    <row r="669" spans="1:2">
      <c r="A669" s="46"/>
      <c r="B669" s="57"/>
    </row>
    <row r="670" spans="1:2">
      <c r="A670" s="46"/>
      <c r="B670" s="57"/>
    </row>
    <row r="671" spans="1:2">
      <c r="A671" s="46"/>
      <c r="B671" s="57"/>
    </row>
    <row r="672" spans="1:2">
      <c r="A672" s="46"/>
      <c r="B672" s="57"/>
    </row>
    <row r="673" spans="1:2">
      <c r="A673" s="46"/>
      <c r="B673" s="57"/>
    </row>
    <row r="674" spans="1:2">
      <c r="A674" s="46"/>
      <c r="B674" s="57"/>
    </row>
    <row r="675" spans="1:2">
      <c r="A675" s="46"/>
      <c r="B675" s="57"/>
    </row>
    <row r="676" spans="1:2">
      <c r="A676" s="46"/>
      <c r="B676" s="57"/>
    </row>
    <row r="677" spans="1:2">
      <c r="A677" s="46"/>
      <c r="B677" s="57"/>
    </row>
    <row r="678" spans="1:2">
      <c r="A678" s="46"/>
      <c r="B678" s="57"/>
    </row>
    <row r="679" spans="1:2">
      <c r="A679" s="46"/>
      <c r="B679" s="57"/>
    </row>
    <row r="680" spans="1:2">
      <c r="A680" s="46"/>
      <c r="B680" s="57"/>
    </row>
    <row r="681" spans="1:2">
      <c r="A681" s="46"/>
      <c r="B681" s="57"/>
    </row>
    <row r="682" spans="1:2">
      <c r="A682" s="46"/>
      <c r="B682" s="57"/>
    </row>
    <row r="683" spans="1:2">
      <c r="A683" s="46"/>
      <c r="B683" s="57"/>
    </row>
    <row r="684" spans="1:2">
      <c r="A684" s="46"/>
      <c r="B684" s="57"/>
    </row>
    <row r="685" spans="1:2">
      <c r="A685" s="46"/>
      <c r="B685" s="57"/>
    </row>
    <row r="686" spans="1:2">
      <c r="A686" s="46"/>
      <c r="B686" s="57"/>
    </row>
    <row r="687" spans="1:2">
      <c r="A687" s="46"/>
      <c r="B687" s="57"/>
    </row>
    <row r="688" spans="1:2">
      <c r="A688" s="46"/>
      <c r="B688" s="57"/>
    </row>
    <row r="689" spans="1:2">
      <c r="A689" s="46"/>
      <c r="B689" s="57"/>
    </row>
    <row r="690" spans="1:2">
      <c r="A690" s="46"/>
      <c r="B690" s="57"/>
    </row>
    <row r="691" spans="1:2">
      <c r="A691" s="46"/>
      <c r="B691" s="57"/>
    </row>
    <row r="692" spans="1:2">
      <c r="A692" s="46"/>
      <c r="B692" s="57"/>
    </row>
    <row r="693" spans="1:2">
      <c r="A693" s="46"/>
      <c r="B693" s="57"/>
    </row>
    <row r="694" spans="1:2">
      <c r="A694" s="46"/>
      <c r="B694" s="57"/>
    </row>
    <row r="695" spans="1:2">
      <c r="A695" s="46"/>
      <c r="B695" s="57"/>
    </row>
    <row r="696" spans="1:2">
      <c r="A696" s="46"/>
      <c r="B696" s="57"/>
    </row>
    <row r="697" spans="1:2">
      <c r="A697" s="46"/>
      <c r="B697" s="57"/>
    </row>
    <row r="698" spans="1:2">
      <c r="A698" s="46"/>
      <c r="B698" s="57"/>
    </row>
    <row r="699" spans="1:2">
      <c r="A699" s="46"/>
      <c r="B699" s="57"/>
    </row>
    <row r="700" spans="1:2">
      <c r="A700" s="46"/>
      <c r="B700" s="57"/>
    </row>
    <row r="701" spans="1:2">
      <c r="A701" s="46"/>
      <c r="B701" s="57"/>
    </row>
    <row r="702" spans="1:2">
      <c r="A702" s="46"/>
      <c r="B702" s="57"/>
    </row>
    <row r="703" spans="1:2">
      <c r="A703" s="46"/>
      <c r="B703" s="57"/>
    </row>
    <row r="704" spans="1:2">
      <c r="A704" s="46"/>
      <c r="B704" s="57"/>
    </row>
    <row r="705" spans="1:2">
      <c r="A705" s="46"/>
      <c r="B705" s="57"/>
    </row>
    <row r="706" spans="1:2">
      <c r="A706" s="46"/>
      <c r="B706" s="57"/>
    </row>
    <row r="707" spans="1:2">
      <c r="A707" s="46"/>
      <c r="B707" s="57"/>
    </row>
    <row r="708" spans="1:2">
      <c r="A708" s="46"/>
      <c r="B708" s="57"/>
    </row>
    <row r="709" spans="1:2">
      <c r="A709" s="46"/>
      <c r="B709" s="57"/>
    </row>
    <row r="710" spans="1:2">
      <c r="A710" s="46"/>
      <c r="B710" s="57"/>
    </row>
    <row r="711" spans="1:2">
      <c r="A711" s="46"/>
      <c r="B711" s="57"/>
    </row>
    <row r="712" spans="1:2">
      <c r="A712" s="46"/>
      <c r="B712" s="57"/>
    </row>
    <row r="713" spans="1:2">
      <c r="A713" s="46"/>
      <c r="B713" s="57"/>
    </row>
    <row r="714" spans="1:2">
      <c r="A714" s="46"/>
      <c r="B714" s="57"/>
    </row>
    <row r="715" spans="1:2">
      <c r="A715" s="46"/>
      <c r="B715" s="57"/>
    </row>
    <row r="716" spans="1:2">
      <c r="A716" s="46"/>
      <c r="B716" s="57"/>
    </row>
    <row r="717" spans="1:2">
      <c r="A717" s="46"/>
      <c r="B717" s="57"/>
    </row>
    <row r="718" spans="1:2">
      <c r="A718" s="46"/>
      <c r="B718" s="57"/>
    </row>
    <row r="719" spans="1:2">
      <c r="A719" s="46"/>
      <c r="B719" s="57"/>
    </row>
    <row r="720" spans="1:2">
      <c r="A720" s="46"/>
      <c r="B720" s="57"/>
    </row>
    <row r="721" spans="1:2">
      <c r="A721" s="46"/>
      <c r="B721" s="57"/>
    </row>
    <row r="722" spans="1:2">
      <c r="A722" s="46"/>
      <c r="B722" s="57"/>
    </row>
    <row r="723" spans="1:2">
      <c r="A723" s="46"/>
      <c r="B723" s="57"/>
    </row>
    <row r="724" spans="1:2">
      <c r="A724" s="46"/>
      <c r="B724" s="57"/>
    </row>
    <row r="725" spans="1:2">
      <c r="A725" s="46"/>
      <c r="B725" s="57"/>
    </row>
    <row r="726" spans="1:2">
      <c r="A726" s="46"/>
      <c r="B726" s="57"/>
    </row>
    <row r="727" spans="1:2">
      <c r="A727" s="46"/>
      <c r="B727" s="57"/>
    </row>
    <row r="728" spans="1:2">
      <c r="A728" s="46"/>
      <c r="B728" s="57"/>
    </row>
    <row r="729" spans="1:2">
      <c r="A729" s="46"/>
      <c r="B729" s="57"/>
    </row>
    <row r="730" spans="1:2">
      <c r="A730" s="46"/>
      <c r="B730" s="57"/>
    </row>
    <row r="731" spans="1:2">
      <c r="A731" s="46"/>
      <c r="B731" s="57"/>
    </row>
    <row r="732" spans="1:2">
      <c r="A732" s="46"/>
      <c r="B732" s="57"/>
    </row>
    <row r="733" spans="1:2">
      <c r="A733" s="46"/>
      <c r="B733" s="57"/>
    </row>
    <row r="734" spans="1:2">
      <c r="A734" s="46"/>
      <c r="B734" s="57"/>
    </row>
    <row r="735" spans="1:2">
      <c r="A735" s="46"/>
      <c r="B735" s="57"/>
    </row>
    <row r="736" spans="1:2">
      <c r="A736" s="46"/>
      <c r="B736" s="57"/>
    </row>
    <row r="737" spans="1:2">
      <c r="A737" s="46"/>
      <c r="B737" s="57"/>
    </row>
    <row r="738" spans="1:2">
      <c r="A738" s="46"/>
      <c r="B738" s="57"/>
    </row>
    <row r="739" spans="1:2">
      <c r="A739" s="46"/>
      <c r="B739" s="57"/>
    </row>
    <row r="740" spans="1:2">
      <c r="A740" s="46"/>
      <c r="B740" s="57"/>
    </row>
    <row r="741" spans="1:2">
      <c r="A741" s="46"/>
      <c r="B741" s="57"/>
    </row>
    <row r="742" spans="1:2">
      <c r="A742" s="46"/>
      <c r="B742" s="57"/>
    </row>
    <row r="743" spans="1:2">
      <c r="A743" s="46"/>
      <c r="B743" s="57"/>
    </row>
    <row r="744" spans="1:2">
      <c r="A744" s="46"/>
      <c r="B744" s="57"/>
    </row>
    <row r="745" spans="1:2">
      <c r="A745" s="46"/>
      <c r="B745" s="57"/>
    </row>
    <row r="746" spans="1:2">
      <c r="A746" s="46"/>
      <c r="B746" s="57"/>
    </row>
    <row r="747" spans="1:2">
      <c r="A747" s="46"/>
      <c r="B747" s="57"/>
    </row>
    <row r="748" spans="1:2">
      <c r="A748" s="46"/>
      <c r="B748" s="57"/>
    </row>
    <row r="749" spans="1:2">
      <c r="A749" s="46"/>
      <c r="B749" s="57"/>
    </row>
    <row r="750" spans="1:2">
      <c r="A750" s="46"/>
      <c r="B750" s="57"/>
    </row>
    <row r="751" spans="1:2">
      <c r="A751" s="46"/>
      <c r="B751" s="57"/>
    </row>
    <row r="752" spans="1:2">
      <c r="A752" s="46"/>
      <c r="B752" s="57"/>
    </row>
    <row r="753" spans="1:2">
      <c r="A753" s="46"/>
      <c r="B753" s="57"/>
    </row>
    <row r="754" spans="1:2">
      <c r="A754" s="46"/>
      <c r="B754" s="57"/>
    </row>
    <row r="755" spans="1:2">
      <c r="A755" s="46"/>
      <c r="B755" s="57"/>
    </row>
    <row r="756" spans="1:2">
      <c r="A756" s="46"/>
      <c r="B756" s="57"/>
    </row>
    <row r="757" spans="1:2">
      <c r="A757" s="46"/>
      <c r="B757" s="57"/>
    </row>
    <row r="758" spans="1:2">
      <c r="A758" s="46"/>
      <c r="B758" s="57"/>
    </row>
    <row r="759" spans="1:2">
      <c r="A759" s="46"/>
      <c r="B759" s="57"/>
    </row>
    <row r="760" spans="1:2">
      <c r="A760" s="46"/>
      <c r="B760" s="57"/>
    </row>
    <row r="761" spans="1:2">
      <c r="A761" s="46"/>
      <c r="B761" s="57"/>
    </row>
    <row r="762" spans="1:2">
      <c r="A762" s="46"/>
      <c r="B762" s="57"/>
    </row>
    <row r="763" spans="1:2">
      <c r="A763" s="46"/>
      <c r="B763" s="57"/>
    </row>
    <row r="764" spans="1:2">
      <c r="A764" s="46"/>
      <c r="B764" s="57"/>
    </row>
    <row r="765" spans="1:2">
      <c r="A765" s="46"/>
      <c r="B765" s="57"/>
    </row>
    <row r="766" spans="1:2">
      <c r="A766" s="46"/>
      <c r="B766" s="57"/>
    </row>
    <row r="767" spans="1:2">
      <c r="A767" s="46"/>
      <c r="B767" s="57"/>
    </row>
    <row r="768" spans="1:2">
      <c r="A768" s="46"/>
      <c r="B768" s="57"/>
    </row>
    <row r="769" spans="1:2">
      <c r="A769" s="46"/>
      <c r="B769" s="57"/>
    </row>
    <row r="770" spans="1:2">
      <c r="A770" s="46"/>
      <c r="B770" s="57"/>
    </row>
    <row r="771" spans="1:2">
      <c r="A771" s="46"/>
      <c r="B771" s="57"/>
    </row>
    <row r="772" spans="1:2">
      <c r="A772" s="46"/>
      <c r="B772" s="57"/>
    </row>
    <row r="773" spans="1:2">
      <c r="A773" s="46"/>
      <c r="B773" s="57"/>
    </row>
    <row r="774" spans="1:2">
      <c r="A774" s="46"/>
      <c r="B774" s="57"/>
    </row>
    <row r="775" spans="1:2">
      <c r="A775" s="46"/>
      <c r="B775" s="57"/>
    </row>
    <row r="776" spans="1:2">
      <c r="A776" s="46"/>
      <c r="B776" s="57"/>
    </row>
    <row r="777" spans="1:2">
      <c r="A777" s="46"/>
      <c r="B777" s="57"/>
    </row>
    <row r="778" spans="1:2">
      <c r="A778" s="46"/>
      <c r="B778" s="57"/>
    </row>
    <row r="779" spans="1:2">
      <c r="A779" s="46"/>
      <c r="B779" s="57"/>
    </row>
    <row r="780" spans="1:2">
      <c r="A780" s="46"/>
      <c r="B780" s="57"/>
    </row>
    <row r="781" spans="1:2">
      <c r="A781" s="46"/>
      <c r="B781" s="57"/>
    </row>
    <row r="782" spans="1:2">
      <c r="A782" s="46"/>
      <c r="B782" s="57"/>
    </row>
    <row r="783" spans="1:2">
      <c r="A783" s="46"/>
      <c r="B783" s="57"/>
    </row>
    <row r="784" spans="1:2">
      <c r="A784" s="46"/>
      <c r="B784" s="57"/>
    </row>
    <row r="785" spans="1:2">
      <c r="A785" s="46"/>
      <c r="B785" s="57"/>
    </row>
    <row r="786" spans="1:2">
      <c r="A786" s="46"/>
      <c r="B786" s="57"/>
    </row>
    <row r="787" spans="1:2">
      <c r="A787" s="46"/>
      <c r="B787" s="57"/>
    </row>
    <row r="788" spans="1:2">
      <c r="A788" s="46"/>
      <c r="B788" s="57"/>
    </row>
    <row r="789" spans="1:2">
      <c r="A789" s="46"/>
      <c r="B789" s="57"/>
    </row>
    <row r="790" spans="1:2">
      <c r="A790" s="46"/>
      <c r="B790" s="57"/>
    </row>
    <row r="791" spans="1:2">
      <c r="A791" s="46"/>
      <c r="B791" s="57"/>
    </row>
    <row r="792" spans="1:2">
      <c r="A792" s="46"/>
      <c r="B792" s="57"/>
    </row>
    <row r="793" spans="1:2">
      <c r="A793" s="46"/>
      <c r="B793" s="57"/>
    </row>
    <row r="794" spans="1:2">
      <c r="A794" s="46"/>
      <c r="B794" s="57"/>
    </row>
    <row r="795" spans="1:2">
      <c r="A795" s="46"/>
      <c r="B795" s="57"/>
    </row>
    <row r="796" spans="1:2">
      <c r="A796" s="46"/>
      <c r="B796" s="57"/>
    </row>
    <row r="797" spans="1:2">
      <c r="A797" s="46"/>
      <c r="B797" s="57"/>
    </row>
    <row r="798" spans="1:2">
      <c r="A798" s="46"/>
      <c r="B798" s="57"/>
    </row>
    <row r="799" spans="1:2">
      <c r="A799" s="46"/>
      <c r="B799" s="57"/>
    </row>
    <row r="800" spans="1:2">
      <c r="A800" s="46"/>
      <c r="B800" s="57"/>
    </row>
    <row r="801" spans="1:2">
      <c r="A801" s="46"/>
      <c r="B801" s="57"/>
    </row>
    <row r="802" spans="1:2">
      <c r="A802" s="46"/>
      <c r="B802" s="57"/>
    </row>
    <row r="803" spans="1:2">
      <c r="A803" s="46"/>
      <c r="B803" s="57"/>
    </row>
    <row r="804" spans="1:2">
      <c r="A804" s="46"/>
      <c r="B804" s="57"/>
    </row>
    <row r="805" spans="1:2">
      <c r="A805" s="46"/>
      <c r="B805" s="57"/>
    </row>
    <row r="806" spans="1:2">
      <c r="A806" s="46"/>
      <c r="B806" s="57"/>
    </row>
    <row r="807" spans="1:2">
      <c r="A807" s="46"/>
      <c r="B807" s="57"/>
    </row>
    <row r="808" spans="1:2">
      <c r="A808" s="46"/>
      <c r="B808" s="57"/>
    </row>
    <row r="809" spans="1:2">
      <c r="A809" s="46"/>
      <c r="B809" s="57"/>
    </row>
    <row r="810" spans="1:2">
      <c r="A810" s="46"/>
      <c r="B810" s="57"/>
    </row>
    <row r="811" spans="1:2">
      <c r="A811" s="46"/>
      <c r="B811" s="57"/>
    </row>
    <row r="812" spans="1:2">
      <c r="A812" s="46"/>
      <c r="B812" s="57"/>
    </row>
    <row r="813" spans="1:2">
      <c r="A813" s="46"/>
      <c r="B813" s="57"/>
    </row>
    <row r="814" spans="1:2">
      <c r="A814" s="46"/>
      <c r="B814" s="57"/>
    </row>
    <row r="815" spans="1:2">
      <c r="A815" s="46"/>
      <c r="B815" s="57"/>
    </row>
    <row r="816" spans="1:2">
      <c r="A816" s="46"/>
      <c r="B816" s="57"/>
    </row>
    <row r="817" spans="1:2">
      <c r="A817" s="46"/>
      <c r="B817" s="57"/>
    </row>
    <row r="818" spans="1:2">
      <c r="A818" s="46"/>
      <c r="B818" s="57"/>
    </row>
    <row r="819" spans="1:2">
      <c r="A819" s="46"/>
      <c r="B819" s="57"/>
    </row>
    <row r="820" spans="1:2">
      <c r="A820" s="46"/>
      <c r="B820" s="57"/>
    </row>
    <row r="821" spans="1:2">
      <c r="A821" s="46"/>
      <c r="B821" s="57"/>
    </row>
    <row r="822" spans="1:2">
      <c r="A822" s="46"/>
      <c r="B822" s="57"/>
    </row>
    <row r="823" spans="1:2">
      <c r="A823" s="46"/>
      <c r="B823" s="57"/>
    </row>
    <row r="824" spans="1:2">
      <c r="A824" s="46"/>
      <c r="B824" s="57"/>
    </row>
    <row r="825" spans="1:2">
      <c r="A825" s="46"/>
      <c r="B825" s="57"/>
    </row>
    <row r="826" spans="1:2">
      <c r="A826" s="46"/>
      <c r="B826" s="57"/>
    </row>
    <row r="827" spans="1:2">
      <c r="A827" s="46"/>
      <c r="B827" s="57"/>
    </row>
    <row r="828" spans="1:2">
      <c r="A828" s="46"/>
      <c r="B828" s="57"/>
    </row>
    <row r="829" spans="1:2">
      <c r="A829" s="46"/>
      <c r="B829" s="57"/>
    </row>
    <row r="830" spans="1:2">
      <c r="A830" s="46"/>
      <c r="B830" s="57"/>
    </row>
    <row r="831" spans="1:2">
      <c r="A831" s="46"/>
      <c r="B831" s="57"/>
    </row>
    <row r="832" spans="1:2">
      <c r="A832" s="46"/>
      <c r="B832" s="57"/>
    </row>
    <row r="833" spans="1:2">
      <c r="A833" s="46"/>
      <c r="B833" s="57"/>
    </row>
    <row r="834" spans="1:2">
      <c r="A834" s="46"/>
      <c r="B834" s="57"/>
    </row>
    <row r="835" spans="1:2">
      <c r="A835" s="46"/>
      <c r="B835" s="57"/>
    </row>
    <row r="836" spans="1:2">
      <c r="A836" s="46"/>
      <c r="B836" s="57"/>
    </row>
    <row r="837" spans="1:2">
      <c r="A837" s="46"/>
      <c r="B837" s="57"/>
    </row>
    <row r="838" spans="1:2">
      <c r="A838" s="46"/>
      <c r="B838" s="57"/>
    </row>
    <row r="839" spans="1:2">
      <c r="A839" s="46"/>
      <c r="B839" s="57"/>
    </row>
    <row r="840" spans="1:2">
      <c r="A840" s="46"/>
      <c r="B840" s="57"/>
    </row>
    <row r="841" spans="1:2">
      <c r="A841" s="46"/>
      <c r="B841" s="57"/>
    </row>
    <row r="842" spans="1:2">
      <c r="A842" s="46"/>
      <c r="B842" s="57"/>
    </row>
    <row r="843" spans="1:2">
      <c r="A843" s="46"/>
      <c r="B843" s="57"/>
    </row>
    <row r="844" spans="1:2">
      <c r="A844" s="46"/>
      <c r="B844" s="57"/>
    </row>
    <row r="845" spans="1:2">
      <c r="A845" s="46"/>
      <c r="B845" s="57"/>
    </row>
    <row r="846" spans="1:2">
      <c r="A846" s="46"/>
      <c r="B846" s="57"/>
    </row>
    <row r="847" spans="1:2">
      <c r="A847" s="46"/>
      <c r="B847" s="57"/>
    </row>
    <row r="848" spans="1:2">
      <c r="A848" s="46"/>
      <c r="B848" s="57"/>
    </row>
    <row r="849" spans="1:2">
      <c r="A849" s="46"/>
      <c r="B849" s="57"/>
    </row>
    <row r="850" spans="1:2">
      <c r="A850" s="46"/>
      <c r="B850" s="57"/>
    </row>
    <row r="851" spans="1:2">
      <c r="A851" s="46"/>
      <c r="B851" s="57"/>
    </row>
    <row r="852" spans="1:2">
      <c r="A852" s="46"/>
      <c r="B852" s="57"/>
    </row>
    <row r="853" spans="1:2">
      <c r="A853" s="46"/>
      <c r="B853" s="57"/>
    </row>
    <row r="854" spans="1:2">
      <c r="A854" s="46"/>
      <c r="B854" s="57"/>
    </row>
    <row r="855" spans="1:2">
      <c r="A855" s="46"/>
      <c r="B855" s="57"/>
    </row>
    <row r="856" spans="1:2">
      <c r="A856" s="46"/>
      <c r="B856" s="57"/>
    </row>
    <row r="857" spans="1:2">
      <c r="A857" s="46"/>
      <c r="B857" s="57"/>
    </row>
    <row r="858" spans="1:2">
      <c r="A858" s="46"/>
      <c r="B858" s="57"/>
    </row>
    <row r="859" spans="1:2">
      <c r="A859" s="46"/>
      <c r="B859" s="57"/>
    </row>
    <row r="860" spans="1:2">
      <c r="A860" s="46"/>
      <c r="B860" s="57"/>
    </row>
    <row r="861" spans="1:2">
      <c r="A861" s="46"/>
      <c r="B861" s="57"/>
    </row>
    <row r="862" spans="1:2">
      <c r="A862" s="46"/>
      <c r="B862" s="57"/>
    </row>
    <row r="863" spans="1:2">
      <c r="A863" s="46"/>
      <c r="B863" s="57"/>
    </row>
    <row r="864" spans="1:2">
      <c r="A864" s="46"/>
      <c r="B864" s="57"/>
    </row>
    <row r="865" spans="1:2">
      <c r="A865" s="46"/>
      <c r="B865" s="57"/>
    </row>
    <row r="866" spans="1:2">
      <c r="A866" s="46"/>
      <c r="B866" s="57"/>
    </row>
    <row r="867" spans="1:2">
      <c r="A867" s="46"/>
      <c r="B867" s="57"/>
    </row>
    <row r="868" spans="1:2">
      <c r="A868" s="46"/>
      <c r="B868" s="57"/>
    </row>
    <row r="869" spans="1:2">
      <c r="A869" s="46"/>
      <c r="B869" s="57"/>
    </row>
    <row r="870" spans="1:2">
      <c r="A870" s="46"/>
      <c r="B870" s="57"/>
    </row>
    <row r="871" spans="1:2">
      <c r="A871" s="46"/>
      <c r="B871" s="57"/>
    </row>
    <row r="872" spans="1:2">
      <c r="A872" s="46"/>
      <c r="B872" s="57"/>
    </row>
    <row r="873" spans="1:2">
      <c r="A873" s="46"/>
      <c r="B873" s="57"/>
    </row>
    <row r="874" spans="1:2">
      <c r="A874" s="46"/>
      <c r="B874" s="57"/>
    </row>
    <row r="875" spans="1:2">
      <c r="A875" s="46"/>
      <c r="B875" s="57"/>
    </row>
    <row r="876" spans="1:2">
      <c r="A876" s="46"/>
      <c r="B876" s="57"/>
    </row>
    <row r="877" spans="1:2">
      <c r="A877" s="46"/>
      <c r="B877" s="57"/>
    </row>
    <row r="878" spans="1:2">
      <c r="A878" s="46"/>
      <c r="B878" s="57"/>
    </row>
    <row r="879" spans="1:2">
      <c r="A879" s="46"/>
      <c r="B879" s="57"/>
    </row>
    <row r="880" spans="1:2">
      <c r="A880" s="46"/>
      <c r="B880" s="57"/>
    </row>
    <row r="881" spans="1:2">
      <c r="A881" s="46"/>
      <c r="B881" s="57"/>
    </row>
    <row r="882" spans="1:2">
      <c r="A882" s="46"/>
      <c r="B882" s="57"/>
    </row>
    <row r="883" spans="1:2">
      <c r="A883" s="46"/>
      <c r="B883" s="57"/>
    </row>
    <row r="884" spans="1:2">
      <c r="A884" s="46"/>
      <c r="B884" s="57"/>
    </row>
    <row r="885" spans="1:2">
      <c r="A885" s="46"/>
      <c r="B885" s="57"/>
    </row>
    <row r="886" spans="1:2">
      <c r="A886" s="46"/>
      <c r="B886" s="57"/>
    </row>
    <row r="887" spans="1:2">
      <c r="A887" s="46"/>
      <c r="B887" s="57"/>
    </row>
    <row r="888" spans="1:2">
      <c r="A888" s="46"/>
      <c r="B888" s="57"/>
    </row>
    <row r="889" spans="1:2">
      <c r="A889" s="46"/>
      <c r="B889" s="57"/>
    </row>
    <row r="890" spans="1:2">
      <c r="A890" s="46"/>
      <c r="B890" s="57"/>
    </row>
    <row r="891" spans="1:2">
      <c r="A891" s="46"/>
      <c r="B891" s="57"/>
    </row>
    <row r="892" spans="1:2">
      <c r="A892" s="46"/>
      <c r="B892" s="57"/>
    </row>
    <row r="893" spans="1:2">
      <c r="A893" s="46"/>
      <c r="B893" s="57"/>
    </row>
    <row r="894" spans="1:2">
      <c r="A894" s="46"/>
      <c r="B894" s="57"/>
    </row>
    <row r="895" spans="1:2">
      <c r="A895" s="46"/>
      <c r="B895" s="57"/>
    </row>
    <row r="896" spans="1:2">
      <c r="A896" s="46"/>
      <c r="B896" s="57"/>
    </row>
    <row r="897" spans="1:2">
      <c r="A897" s="46"/>
      <c r="B897" s="57"/>
    </row>
    <row r="898" spans="1:2">
      <c r="A898" s="46"/>
      <c r="B898" s="57"/>
    </row>
    <row r="899" spans="1:2">
      <c r="A899" s="46"/>
      <c r="B899" s="57"/>
    </row>
    <row r="900" spans="1:2">
      <c r="A900" s="46"/>
      <c r="B900" s="57"/>
    </row>
    <row r="901" spans="1:2">
      <c r="A901" s="46"/>
      <c r="B901" s="57"/>
    </row>
    <row r="902" spans="1:2">
      <c r="A902" s="46"/>
      <c r="B902" s="57"/>
    </row>
    <row r="903" spans="1:2">
      <c r="A903" s="46"/>
      <c r="B903" s="57"/>
    </row>
    <row r="904" spans="1:2">
      <c r="A904" s="46"/>
      <c r="B904" s="57"/>
    </row>
    <row r="905" spans="1:2">
      <c r="A905" s="46"/>
      <c r="B905" s="57"/>
    </row>
    <row r="906" spans="1:2">
      <c r="A906" s="46"/>
      <c r="B906" s="57"/>
    </row>
    <row r="907" spans="1:2">
      <c r="A907" s="46"/>
      <c r="B907" s="57"/>
    </row>
    <row r="908" spans="1:2">
      <c r="A908" s="46"/>
      <c r="B908" s="57"/>
    </row>
    <row r="909" spans="1:2">
      <c r="A909" s="46"/>
      <c r="B909" s="57"/>
    </row>
    <row r="910" spans="1:2">
      <c r="A910" s="46"/>
      <c r="B910" s="57"/>
    </row>
    <row r="911" spans="1:2">
      <c r="A911" s="46"/>
      <c r="B911" s="57"/>
    </row>
    <row r="912" spans="1:2">
      <c r="A912" s="46"/>
      <c r="B912" s="57"/>
    </row>
    <row r="913" spans="1:2">
      <c r="A913" s="46"/>
      <c r="B913" s="57"/>
    </row>
    <row r="914" spans="1:2">
      <c r="A914" s="46"/>
      <c r="B914" s="57"/>
    </row>
    <row r="915" spans="1:2">
      <c r="A915" s="46"/>
      <c r="B915" s="57"/>
    </row>
    <row r="916" spans="1:2">
      <c r="A916" s="46"/>
      <c r="B916" s="57"/>
    </row>
    <row r="917" spans="1:2">
      <c r="A917" s="46"/>
      <c r="B917" s="57"/>
    </row>
    <row r="918" spans="1:2">
      <c r="A918" s="46"/>
      <c r="B918" s="57"/>
    </row>
    <row r="919" spans="1:2">
      <c r="A919" s="46"/>
      <c r="B919" s="57"/>
    </row>
    <row r="920" spans="1:2">
      <c r="A920" s="46"/>
      <c r="B920" s="57"/>
    </row>
    <row r="921" spans="1:2">
      <c r="A921" s="46"/>
      <c r="B921" s="57"/>
    </row>
    <row r="922" spans="1:2">
      <c r="A922" s="46"/>
      <c r="B922" s="57"/>
    </row>
    <row r="923" spans="1:2">
      <c r="A923" s="46"/>
      <c r="B923" s="57"/>
    </row>
    <row r="924" spans="1:2">
      <c r="A924" s="46"/>
      <c r="B924" s="57"/>
    </row>
    <row r="925" spans="1:2">
      <c r="A925" s="46"/>
      <c r="B925" s="57"/>
    </row>
    <row r="926" spans="1:2">
      <c r="A926" s="46"/>
      <c r="B926" s="57"/>
    </row>
    <row r="927" spans="1:2">
      <c r="A927" s="46"/>
      <c r="B927" s="57"/>
    </row>
    <row r="928" spans="1:2">
      <c r="A928" s="46"/>
      <c r="B928" s="57"/>
    </row>
    <row r="929" spans="1:2">
      <c r="A929" s="46"/>
      <c r="B929" s="57"/>
    </row>
    <row r="930" spans="1:2">
      <c r="A930" s="46"/>
      <c r="B930" s="57"/>
    </row>
    <row r="931" spans="1:2">
      <c r="A931" s="46"/>
      <c r="B931" s="57"/>
    </row>
    <row r="932" spans="1:2">
      <c r="A932" s="46"/>
      <c r="B932" s="57"/>
    </row>
    <row r="933" spans="1:2">
      <c r="A933" s="46"/>
      <c r="B933" s="57"/>
    </row>
    <row r="934" spans="1:2">
      <c r="A934" s="46"/>
      <c r="B934" s="57"/>
    </row>
    <row r="935" spans="1:2">
      <c r="A935" s="46"/>
      <c r="B935" s="57"/>
    </row>
    <row r="936" spans="1:2">
      <c r="A936" s="46"/>
      <c r="B936" s="57"/>
    </row>
    <row r="937" spans="1:2">
      <c r="A937" s="46"/>
      <c r="B937" s="57"/>
    </row>
    <row r="938" spans="1:2">
      <c r="A938" s="46"/>
      <c r="B938" s="57"/>
    </row>
    <row r="939" spans="1:2">
      <c r="A939" s="46"/>
      <c r="B939" s="57"/>
    </row>
    <row r="940" spans="1:2">
      <c r="A940" s="46"/>
      <c r="B940" s="57"/>
    </row>
    <row r="941" spans="1:2">
      <c r="A941" s="46"/>
      <c r="B941" s="57"/>
    </row>
    <row r="942" spans="1:2">
      <c r="A942" s="46"/>
      <c r="B942" s="57"/>
    </row>
    <row r="943" spans="1:2">
      <c r="A943" s="46"/>
      <c r="B943" s="57"/>
    </row>
    <row r="944" spans="1:2">
      <c r="A944" s="46"/>
      <c r="B944" s="57"/>
    </row>
    <row r="945" spans="1:2">
      <c r="A945" s="46"/>
      <c r="B945" s="57"/>
    </row>
    <row r="946" spans="1:2">
      <c r="A946" s="46"/>
      <c r="B946" s="57"/>
    </row>
    <row r="947" spans="1:2">
      <c r="A947" s="46"/>
      <c r="B947" s="57"/>
    </row>
    <row r="948" spans="1:2">
      <c r="A948" s="46"/>
      <c r="B948" s="57"/>
    </row>
    <row r="949" spans="1:2">
      <c r="A949" s="46"/>
      <c r="B949" s="57"/>
    </row>
    <row r="950" spans="1:2">
      <c r="A950" s="46"/>
      <c r="B950" s="57"/>
    </row>
    <row r="951" spans="1:2">
      <c r="A951" s="46"/>
      <c r="B951" s="57"/>
    </row>
    <row r="952" spans="1:2">
      <c r="A952" s="46"/>
      <c r="B952" s="57"/>
    </row>
    <row r="953" spans="1:2">
      <c r="A953" s="46"/>
      <c r="B953" s="57"/>
    </row>
    <row r="954" spans="1:2">
      <c r="A954" s="46"/>
      <c r="B954" s="57"/>
    </row>
    <row r="955" spans="1:2">
      <c r="A955" s="46"/>
      <c r="B955" s="57"/>
    </row>
    <row r="956" spans="1:2">
      <c r="A956" s="46"/>
      <c r="B956" s="57"/>
    </row>
    <row r="957" spans="1:2">
      <c r="A957" s="46"/>
      <c r="B957" s="57"/>
    </row>
    <row r="958" spans="1:2">
      <c r="A958" s="46"/>
      <c r="B958" s="57"/>
    </row>
    <row r="959" spans="1:2">
      <c r="A959" s="46"/>
      <c r="B959" s="57"/>
    </row>
    <row r="960" spans="1:2">
      <c r="A960" s="46"/>
      <c r="B960" s="57"/>
    </row>
    <row r="961" spans="1:2">
      <c r="A961" s="46"/>
      <c r="B961" s="57"/>
    </row>
    <row r="962" spans="1:2">
      <c r="A962" s="46"/>
      <c r="B962" s="57"/>
    </row>
    <row r="963" spans="1:2">
      <c r="A963" s="46"/>
      <c r="B963" s="57"/>
    </row>
    <row r="964" spans="1:2">
      <c r="A964" s="46"/>
      <c r="B964" s="57"/>
    </row>
    <row r="965" spans="1:2">
      <c r="A965" s="46"/>
      <c r="B965" s="57"/>
    </row>
    <row r="966" spans="1:2">
      <c r="A966" s="46"/>
      <c r="B966" s="57"/>
    </row>
    <row r="967" spans="1:2">
      <c r="A967" s="46"/>
      <c r="B967" s="57"/>
    </row>
    <row r="968" spans="1:2">
      <c r="A968" s="46"/>
      <c r="B968" s="57"/>
    </row>
    <row r="969" spans="1:2">
      <c r="A969" s="46"/>
      <c r="B969" s="57"/>
    </row>
    <row r="970" spans="1:2">
      <c r="A970" s="46"/>
      <c r="B970" s="57"/>
    </row>
    <row r="971" spans="1:2">
      <c r="A971" s="46"/>
      <c r="B971" s="57"/>
    </row>
    <row r="972" spans="1:2">
      <c r="A972" s="46"/>
      <c r="B972" s="57"/>
    </row>
    <row r="973" spans="1:2">
      <c r="A973" s="46"/>
      <c r="B973" s="57"/>
    </row>
    <row r="974" spans="1:2">
      <c r="A974" s="46"/>
      <c r="B974" s="57"/>
    </row>
    <row r="975" spans="1:2">
      <c r="A975" s="46"/>
      <c r="B975" s="57"/>
    </row>
    <row r="976" spans="1:2">
      <c r="A976" s="46"/>
      <c r="B976" s="57"/>
    </row>
    <row r="977" spans="1:2">
      <c r="A977" s="46"/>
      <c r="B977" s="57"/>
    </row>
    <row r="978" spans="1:2">
      <c r="A978" s="46"/>
      <c r="B978" s="57"/>
    </row>
    <row r="979" spans="1:2">
      <c r="A979" s="46"/>
      <c r="B979" s="57"/>
    </row>
    <row r="980" spans="1:2">
      <c r="A980" s="46"/>
      <c r="B980" s="57"/>
    </row>
    <row r="981" spans="1:2">
      <c r="A981" s="46"/>
      <c r="B981" s="57"/>
    </row>
    <row r="982" spans="1:2">
      <c r="A982" s="46"/>
      <c r="B982" s="57"/>
    </row>
    <row r="983" spans="1:2">
      <c r="A983" s="46"/>
      <c r="B983" s="57"/>
    </row>
    <row r="984" spans="1:2">
      <c r="A984" s="46"/>
      <c r="B984" s="57"/>
    </row>
    <row r="985" spans="1:2">
      <c r="A985" s="46"/>
      <c r="B985" s="57"/>
    </row>
    <row r="986" spans="1:2">
      <c r="A986" s="46"/>
      <c r="B986" s="57"/>
    </row>
    <row r="987" spans="1:2">
      <c r="A987" s="46"/>
      <c r="B987" s="57"/>
    </row>
    <row r="988" spans="1:2">
      <c r="A988" s="46"/>
      <c r="B988" s="57"/>
    </row>
    <row r="989" spans="1:2">
      <c r="A989" s="46"/>
      <c r="B989" s="57"/>
    </row>
    <row r="990" spans="1:2">
      <c r="A990" s="46"/>
      <c r="B990" s="57"/>
    </row>
    <row r="991" spans="1:2">
      <c r="A991" s="46"/>
      <c r="B991" s="57"/>
    </row>
    <row r="992" spans="1:2">
      <c r="A992" s="46"/>
      <c r="B992" s="57"/>
    </row>
    <row r="993" spans="1:2">
      <c r="A993" s="46"/>
      <c r="B993" s="57"/>
    </row>
    <row r="994" spans="1:2">
      <c r="A994" s="46"/>
      <c r="B994" s="57"/>
    </row>
    <row r="995" spans="1:2">
      <c r="A995" s="46"/>
      <c r="B995" s="57"/>
    </row>
    <row r="996" spans="1:2">
      <c r="A996" s="46"/>
      <c r="B996" s="57"/>
    </row>
    <row r="997" spans="1:2">
      <c r="A997" s="46"/>
      <c r="B997" s="57"/>
    </row>
    <row r="998" spans="1:2">
      <c r="A998" s="46"/>
      <c r="B998" s="57"/>
    </row>
    <row r="999" spans="1:2">
      <c r="A999" s="46"/>
      <c r="B999" s="57"/>
    </row>
    <row r="1000" spans="1:2">
      <c r="A1000" s="46"/>
      <c r="B1000" s="57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37"/>
  <sheetViews>
    <sheetView workbookViewId="0"/>
  </sheetViews>
  <sheetFormatPr defaultColWidth="14.453125" defaultRowHeight="14.5"/>
  <cols>
    <col min="1" max="1" width="14.36328125" style="28" customWidth="1"/>
    <col min="2" max="2" width="20.08984375" style="28" customWidth="1"/>
    <col min="3" max="3" width="12.26953125" style="28" customWidth="1"/>
    <col min="4" max="4" width="7.36328125" style="28" customWidth="1"/>
    <col min="5" max="5" width="18.1796875" style="28" customWidth="1"/>
    <col min="6" max="9" width="23.6328125" style="28" customWidth="1"/>
    <col min="10" max="10" width="78.36328125" style="28" customWidth="1"/>
    <col min="11" max="11" width="84.08984375" style="28" customWidth="1"/>
    <col min="12" max="26" width="9.08984375" style="28" customWidth="1"/>
    <col min="27" max="16384" width="14.453125" style="28"/>
  </cols>
  <sheetData>
    <row r="1" spans="1:11" ht="29">
      <c r="A1" s="1" t="s">
        <v>43</v>
      </c>
      <c r="B1" s="1" t="s">
        <v>46</v>
      </c>
      <c r="C1" s="1" t="s">
        <v>7095</v>
      </c>
      <c r="D1" s="1" t="s">
        <v>12277</v>
      </c>
      <c r="E1" s="1" t="s">
        <v>12280</v>
      </c>
      <c r="F1" s="1" t="s">
        <v>12751</v>
      </c>
      <c r="G1" s="2" t="s">
        <v>12752</v>
      </c>
      <c r="H1" s="2" t="s">
        <v>12753</v>
      </c>
      <c r="I1" s="2" t="s">
        <v>12754</v>
      </c>
      <c r="J1" s="3" t="s">
        <v>12755</v>
      </c>
      <c r="K1" s="4" t="s">
        <v>12756</v>
      </c>
    </row>
    <row r="2" spans="1:11" ht="29">
      <c r="A2" s="11" t="s">
        <v>56</v>
      </c>
      <c r="B2" s="11" t="s">
        <v>57</v>
      </c>
      <c r="C2" s="11" t="s">
        <v>12291</v>
      </c>
      <c r="D2" s="60">
        <v>1</v>
      </c>
      <c r="E2" s="11" t="str">
        <f>CONCATENATE("E",C2)</f>
        <v>E2_7_2_3</v>
      </c>
      <c r="F2" s="11" t="s">
        <v>12757</v>
      </c>
      <c r="G2" s="11" t="s">
        <v>12758</v>
      </c>
      <c r="H2" s="11" t="s">
        <v>12759</v>
      </c>
      <c r="I2" s="11" t="s">
        <v>12760</v>
      </c>
      <c r="J2" s="61" t="str">
        <f>CONCATENATE("(${Variables:",E2,"_kcat","} * ",E2," * ",G2,")","/(${Variables:",E2,"_km","} + (",E2," * ",G2,"))")</f>
        <v>(${Variables:E2_7_2_3_kcat} * E2_7_2_3 * C00002 * C00197)/(${Variables:E2_7_2_3_km} + (E2_7_2_3 * C00002 * C00197))</v>
      </c>
      <c r="K2" s="5" t="str">
        <f>CONCATENATE("r",D2,": ",F2," -&gt; ",H2," | ",J2)</f>
        <v>r1: C00002 + C00197 -&gt; C00008 + C00236 | (${Variables:E2_7_2_3_kcat} * E2_7_2_3 * C00002 * C00197)/(${Variables:E2_7_2_3_km} + (E2_7_2_3 * C00002 * C00197))</v>
      </c>
    </row>
    <row r="3" spans="1:11" ht="43.5">
      <c r="A3" s="11" t="s">
        <v>74</v>
      </c>
      <c r="B3" s="11" t="s">
        <v>75</v>
      </c>
      <c r="C3" s="11" t="s">
        <v>12292</v>
      </c>
      <c r="D3" s="60">
        <v>2</v>
      </c>
      <c r="E3" s="11" t="str">
        <f t="shared" ref="E3:E66" si="0">CONCATENATE("E",C3)</f>
        <v>E6_3_1_2</v>
      </c>
      <c r="F3" s="11" t="s">
        <v>12761</v>
      </c>
      <c r="G3" s="11" t="s">
        <v>12762</v>
      </c>
      <c r="H3" s="11" t="s">
        <v>12763</v>
      </c>
      <c r="I3" s="11" t="s">
        <v>12764</v>
      </c>
      <c r="J3" s="61" t="str">
        <f t="shared" ref="J3:J66" si="1">CONCATENATE("(${Variables:",E3,"_kcat","} * ",E3," * ",G3,")","/(${Variables:",E3,"_km","} + (",E3," * ",G3,"))")</f>
        <v>(${Variables:E6_3_1_2_kcat} * E6_3_1_2 * C00002 * C00025 * C00014)/(${Variables:E6_3_1_2_km} + (E6_3_1_2 * C00002 * C00025 * C00014))</v>
      </c>
      <c r="K3" s="54" t="str">
        <f t="shared" ref="K3:K66" si="2">CONCATENATE("r",D3,": ",F3," -&gt; ",H3," | ",J3)</f>
        <v>r2: C00002 + C00025 + C00014 -&gt; C00008 + C00009 + C00064 | (${Variables:E6_3_1_2_kcat} * E6_3_1_2 * C00002 * C00025 * C00014)/(${Variables:E6_3_1_2_km} + (E6_3_1_2 * C00002 * C00025 * C00014))</v>
      </c>
    </row>
    <row r="4" spans="1:11" ht="29">
      <c r="A4" s="11" t="s">
        <v>109</v>
      </c>
      <c r="B4" s="11" t="s">
        <v>110</v>
      </c>
      <c r="C4" s="11" t="s">
        <v>12293</v>
      </c>
      <c r="D4" s="60">
        <v>3</v>
      </c>
      <c r="E4" s="11" t="str">
        <f t="shared" si="0"/>
        <v>E3_2_1_52</v>
      </c>
      <c r="F4" s="11" t="s">
        <v>12765</v>
      </c>
      <c r="G4" s="11" t="s">
        <v>12766</v>
      </c>
      <c r="H4" s="11" t="s">
        <v>7115</v>
      </c>
      <c r="I4" s="11" t="s">
        <v>7115</v>
      </c>
      <c r="J4" s="61" t="str">
        <f t="shared" si="1"/>
        <v>(${Variables:E3_2_1_52_kcat} * E3_2_1_52 * C01674 * C00001)/(${Variables:E3_2_1_52_km} + (E3_2_1_52 * C01674 * C00001))</v>
      </c>
      <c r="K4" s="54" t="str">
        <f t="shared" si="2"/>
        <v>r3: C01674 + C00001 -&gt; C00140 | (${Variables:E3_2_1_52_kcat} * E3_2_1_52 * C01674 * C00001)/(${Variables:E3_2_1_52_km} + (E3_2_1_52 * C01674 * C00001))</v>
      </c>
    </row>
    <row r="5" spans="1:11" ht="29">
      <c r="A5" s="11" t="s">
        <v>109</v>
      </c>
      <c r="B5" s="11" t="s">
        <v>110</v>
      </c>
      <c r="C5" s="11" t="s">
        <v>12293</v>
      </c>
      <c r="D5" s="60">
        <v>4</v>
      </c>
      <c r="E5" s="11" t="str">
        <f t="shared" si="0"/>
        <v>E3_2_1_52</v>
      </c>
      <c r="F5" s="11" t="s">
        <v>12767</v>
      </c>
      <c r="G5" s="11" t="s">
        <v>12768</v>
      </c>
      <c r="H5" s="11" t="s">
        <v>12769</v>
      </c>
      <c r="I5" s="11" t="s">
        <v>12770</v>
      </c>
      <c r="J5" s="61" t="str">
        <f t="shared" si="1"/>
        <v>(${Variables:E3_2_1_52_kcat} * E3_2_1_52 * C06135 * C00001)/(${Variables:E3_2_1_52_km} + (E3_2_1_52 * C06135 * C00001))</v>
      </c>
      <c r="K5" s="54" t="str">
        <f t="shared" si="2"/>
        <v>r4: C06135 + C00001 -&gt; C01290 + C01132 | (${Variables:E3_2_1_52_kcat} * E3_2_1_52 * C06135 * C00001)/(${Variables:E3_2_1_52_km} + (E3_2_1_52 * C06135 * C00001))</v>
      </c>
    </row>
    <row r="6" spans="1:11" ht="29">
      <c r="A6" s="11" t="s">
        <v>109</v>
      </c>
      <c r="B6" s="11" t="s">
        <v>110</v>
      </c>
      <c r="C6" s="11" t="s">
        <v>12293</v>
      </c>
      <c r="D6" s="60">
        <v>5</v>
      </c>
      <c r="E6" s="11" t="str">
        <f t="shared" si="0"/>
        <v>E3_2_1_52</v>
      </c>
      <c r="F6" s="11" t="s">
        <v>12771</v>
      </c>
      <c r="G6" s="11" t="s">
        <v>12772</v>
      </c>
      <c r="H6" s="11" t="s">
        <v>12773</v>
      </c>
      <c r="I6" s="11" t="s">
        <v>12774</v>
      </c>
      <c r="J6" s="61" t="str">
        <f t="shared" si="1"/>
        <v>(${Variables:E3_2_1_52_kcat} * E3_2_1_52 * C04737 * C01132)/(${Variables:E3_2_1_52_km} + (E3_2_1_52 * C04737 * C01132))</v>
      </c>
      <c r="K6" s="54" t="str">
        <f t="shared" si="2"/>
        <v>r5: C04737 + C01132 -&gt; C03272 + C00001 | (${Variables:E3_2_1_52_kcat} * E3_2_1_52 * C04737 * C01132)/(${Variables:E3_2_1_52_km} + (E3_2_1_52 * C04737 * C01132))</v>
      </c>
    </row>
    <row r="7" spans="1:11" ht="29">
      <c r="A7" s="11" t="s">
        <v>109</v>
      </c>
      <c r="B7" s="11" t="s">
        <v>110</v>
      </c>
      <c r="C7" s="11" t="s">
        <v>12293</v>
      </c>
      <c r="D7" s="60">
        <v>6</v>
      </c>
      <c r="E7" s="11" t="str">
        <f t="shared" si="0"/>
        <v>E3_2_1_52</v>
      </c>
      <c r="F7" s="11" t="s">
        <v>12775</v>
      </c>
      <c r="G7" s="11" t="s">
        <v>12776</v>
      </c>
      <c r="H7" s="11" t="s">
        <v>12777</v>
      </c>
      <c r="I7" s="11" t="s">
        <v>12778</v>
      </c>
      <c r="J7" s="61" t="str">
        <f t="shared" si="1"/>
        <v>(${Variables:E3_2_1_52_kcat} * E3_2_1_52 * C04884 * C00001)/(${Variables:E3_2_1_52_km} + (E3_2_1_52 * C04884 * C00001))</v>
      </c>
      <c r="K7" s="54" t="str">
        <f t="shared" si="2"/>
        <v>r6: C04884 + C00001 -&gt; C04730 + C01132 | (${Variables:E3_2_1_52_kcat} * E3_2_1_52 * C04884 * C00001)/(${Variables:E3_2_1_52_km} + (E3_2_1_52 * C04884 * C00001))</v>
      </c>
    </row>
    <row r="8" spans="1:11" ht="29">
      <c r="A8" s="11" t="s">
        <v>109</v>
      </c>
      <c r="B8" s="11" t="s">
        <v>110</v>
      </c>
      <c r="C8" s="11" t="s">
        <v>12293</v>
      </c>
      <c r="D8" s="60">
        <v>7</v>
      </c>
      <c r="E8" s="11" t="str">
        <f t="shared" si="0"/>
        <v>E3_2_1_52</v>
      </c>
      <c r="F8" s="11" t="s">
        <v>12779</v>
      </c>
      <c r="G8" s="11" t="s">
        <v>12780</v>
      </c>
      <c r="H8" s="11" t="s">
        <v>12781</v>
      </c>
      <c r="I8" s="11" t="s">
        <v>12782</v>
      </c>
      <c r="J8" s="61" t="str">
        <f t="shared" si="1"/>
        <v>(${Variables:E3_2_1_52_kcat} * E3_2_1_52 * C00001 * G00094)/(${Variables:E3_2_1_52_km} + (E3_2_1_52 * C00001 * G00094))</v>
      </c>
      <c r="K8" s="54" t="str">
        <f t="shared" si="2"/>
        <v>r7: C00001 + G00094 -&gt; C01132 + G00093 | (${Variables:E3_2_1_52_kcat} * E3_2_1_52 * C00001 * G00094)/(${Variables:E3_2_1_52_km} + (E3_2_1_52 * C00001 * G00094))</v>
      </c>
    </row>
    <row r="9" spans="1:11" ht="29">
      <c r="A9" s="11" t="s">
        <v>109</v>
      </c>
      <c r="B9" s="11" t="s">
        <v>110</v>
      </c>
      <c r="C9" s="11" t="s">
        <v>12293</v>
      </c>
      <c r="D9" s="60">
        <v>8</v>
      </c>
      <c r="E9" s="11" t="str">
        <f t="shared" si="0"/>
        <v>E3_2_1_52</v>
      </c>
      <c r="F9" s="11" t="s">
        <v>12783</v>
      </c>
      <c r="G9" s="11" t="s">
        <v>12784</v>
      </c>
      <c r="H9" s="11" t="s">
        <v>12785</v>
      </c>
      <c r="I9" s="11" t="s">
        <v>12786</v>
      </c>
      <c r="J9" s="61" t="str">
        <f t="shared" si="1"/>
        <v>(${Variables:E3_2_1_52_kcat} * E3_2_1_52 * G00123 * C00001)/(${Variables:E3_2_1_52_km} + (E3_2_1_52 * G00123 * C00001))</v>
      </c>
      <c r="K9" s="54" t="str">
        <f t="shared" si="2"/>
        <v>r8: G00123 + C00001 -&gt; G00092 + C01132 | (${Variables:E3_2_1_52_kcat} * E3_2_1_52 * G00123 * C00001)/(${Variables:E3_2_1_52_km} + (E3_2_1_52 * G00123 * C00001))</v>
      </c>
    </row>
    <row r="10" spans="1:11" ht="29">
      <c r="A10" s="11" t="s">
        <v>109</v>
      </c>
      <c r="B10" s="11" t="s">
        <v>110</v>
      </c>
      <c r="C10" s="11" t="s">
        <v>12293</v>
      </c>
      <c r="D10" s="60">
        <v>9</v>
      </c>
      <c r="E10" s="11" t="str">
        <f t="shared" si="0"/>
        <v>E3_2_1_52</v>
      </c>
      <c r="F10" s="11" t="s">
        <v>12787</v>
      </c>
      <c r="G10" s="11" t="s">
        <v>12788</v>
      </c>
      <c r="H10" s="11" t="s">
        <v>12789</v>
      </c>
      <c r="I10" s="11" t="s">
        <v>12790</v>
      </c>
      <c r="J10" s="61" t="str">
        <f t="shared" si="1"/>
        <v>(${Variables:E3_2_1_52_kcat} * E3_2_1_52 * G00109 * C00001)/(${Variables:E3_2_1_52_km} + (E3_2_1_52 * G00109 * C00001))</v>
      </c>
      <c r="K10" s="54" t="str">
        <f t="shared" si="2"/>
        <v>r9: G00109 + C00001 -&gt; G00108 + C01132 | (${Variables:E3_2_1_52_kcat} * E3_2_1_52 * G00109 * C00001)/(${Variables:E3_2_1_52_km} + (E3_2_1_52 * G00109 * C00001))</v>
      </c>
    </row>
    <row r="11" spans="1:11" ht="29">
      <c r="A11" s="11" t="s">
        <v>109</v>
      </c>
      <c r="B11" s="11" t="s">
        <v>110</v>
      </c>
      <c r="C11" s="11" t="s">
        <v>12293</v>
      </c>
      <c r="D11" s="60">
        <v>10</v>
      </c>
      <c r="E11" s="11" t="str">
        <f t="shared" si="0"/>
        <v>E3_2_1_52</v>
      </c>
      <c r="F11" s="11" t="s">
        <v>12791</v>
      </c>
      <c r="G11" s="11" t="s">
        <v>12792</v>
      </c>
      <c r="H11" s="11" t="s">
        <v>7115</v>
      </c>
      <c r="I11" s="11" t="s">
        <v>7115</v>
      </c>
      <c r="J11" s="61" t="str">
        <f t="shared" si="1"/>
        <v>(${Variables:E3_2_1_52_kcat} * E3_2_1_52 * G10336 * C00001)/(${Variables:E3_2_1_52_km} + (E3_2_1_52 * G10336 * C00001))</v>
      </c>
      <c r="K11" s="54" t="str">
        <f t="shared" si="2"/>
        <v>r10: G10336 + C00001 -&gt; C00140 | (${Variables:E3_2_1_52_kcat} * E3_2_1_52 * G10336 * C00001)/(${Variables:E3_2_1_52_km} + (E3_2_1_52 * G10336 * C00001))</v>
      </c>
    </row>
    <row r="12" spans="1:11" ht="29">
      <c r="A12" s="11" t="s">
        <v>109</v>
      </c>
      <c r="B12" s="11" t="s">
        <v>110</v>
      </c>
      <c r="C12" s="11" t="s">
        <v>12293</v>
      </c>
      <c r="D12" s="60">
        <v>11</v>
      </c>
      <c r="E12" s="11" t="str">
        <f t="shared" si="0"/>
        <v>E3_2_1_52</v>
      </c>
      <c r="F12" s="11" t="s">
        <v>12793</v>
      </c>
      <c r="G12" s="11" t="s">
        <v>12794</v>
      </c>
      <c r="H12" s="11" t="s">
        <v>12795</v>
      </c>
      <c r="I12" s="11" t="s">
        <v>12796</v>
      </c>
      <c r="J12" s="61" t="str">
        <f t="shared" si="1"/>
        <v>(${Variables:E3_2_1_52_kcat} * E3_2_1_52 * G13074 * C00001)/(${Variables:E3_2_1_52_km} + (E3_2_1_52 * G13074 * C00001))</v>
      </c>
      <c r="K12" s="54" t="str">
        <f t="shared" si="2"/>
        <v>r11: G13074 + C00001 -&gt; G01391 + C00140 | (${Variables:E3_2_1_52_kcat} * E3_2_1_52 * G13074 * C00001)/(${Variables:E3_2_1_52_km} + (E3_2_1_52 * G13074 * C00001))</v>
      </c>
    </row>
    <row r="13" spans="1:11" ht="29">
      <c r="A13" s="11" t="s">
        <v>109</v>
      </c>
      <c r="B13" s="11" t="s">
        <v>110</v>
      </c>
      <c r="C13" s="11" t="s">
        <v>12293</v>
      </c>
      <c r="D13" s="60">
        <v>12</v>
      </c>
      <c r="E13" s="11" t="str">
        <f t="shared" si="0"/>
        <v>E3_2_1_52</v>
      </c>
      <c r="F13" s="11" t="s">
        <v>12797</v>
      </c>
      <c r="G13" s="11" t="s">
        <v>12798</v>
      </c>
      <c r="H13" s="11" t="s">
        <v>12799</v>
      </c>
      <c r="I13" s="11" t="s">
        <v>12800</v>
      </c>
      <c r="J13" s="61" t="str">
        <f t="shared" si="1"/>
        <v>(${Variables:E3_2_1_52_kcat} * E3_2_1_52 * G13073 * C00001)/(${Variables:E3_2_1_52_km} + (E3_2_1_52 * G13073 * C00001))</v>
      </c>
      <c r="K13" s="54" t="str">
        <f t="shared" si="2"/>
        <v>r12: G13073 + C00001 -&gt; G01391 + C04132 | (${Variables:E3_2_1_52_kcat} * E3_2_1_52 * G13073 * C00001)/(${Variables:E3_2_1_52_km} + (E3_2_1_52 * G13073 * C00001))</v>
      </c>
    </row>
    <row r="14" spans="1:11" ht="29">
      <c r="A14" s="11" t="s">
        <v>109</v>
      </c>
      <c r="B14" s="11" t="s">
        <v>110</v>
      </c>
      <c r="C14" s="11" t="s">
        <v>12293</v>
      </c>
      <c r="D14" s="60">
        <v>13</v>
      </c>
      <c r="E14" s="11" t="str">
        <f t="shared" si="0"/>
        <v>E3_2_1_52</v>
      </c>
      <c r="F14" s="11" t="s">
        <v>12801</v>
      </c>
      <c r="G14" s="11" t="s">
        <v>12802</v>
      </c>
      <c r="H14" s="11" t="s">
        <v>12803</v>
      </c>
      <c r="I14" s="11" t="s">
        <v>12804</v>
      </c>
      <c r="J14" s="61" t="str">
        <f t="shared" si="1"/>
        <v>(${Variables:E3_2_1_52_kcat} * E3_2_1_52 * G13057 * C00001)/(${Variables:E3_2_1_52_km} + (E3_2_1_52 * G13057 * C00001))</v>
      </c>
      <c r="K14" s="54" t="str">
        <f t="shared" si="2"/>
        <v>r13: G13057 + C00001 -&gt; C00140 + G13058 | (${Variables:E3_2_1_52_kcat} * E3_2_1_52 * G13057 * C00001)/(${Variables:E3_2_1_52_km} + (E3_2_1_52 * G13057 * C00001))</v>
      </c>
    </row>
    <row r="15" spans="1:11" ht="29">
      <c r="A15" s="11" t="s">
        <v>109</v>
      </c>
      <c r="B15" s="11" t="s">
        <v>110</v>
      </c>
      <c r="C15" s="11" t="s">
        <v>12293</v>
      </c>
      <c r="D15" s="60">
        <v>14</v>
      </c>
      <c r="E15" s="11" t="str">
        <f t="shared" si="0"/>
        <v>E3_2_1_52</v>
      </c>
      <c r="F15" s="11" t="s">
        <v>12805</v>
      </c>
      <c r="G15" s="11" t="s">
        <v>12806</v>
      </c>
      <c r="H15" s="11" t="s">
        <v>12807</v>
      </c>
      <c r="I15" s="11" t="s">
        <v>12808</v>
      </c>
      <c r="J15" s="61" t="str">
        <f t="shared" si="1"/>
        <v>(${Variables:E3_2_1_52_kcat} * E3_2_1_52 * G00711 * C00001)/(${Variables:E3_2_1_52_km} + (E3_2_1_52 * G00711 * C00001))</v>
      </c>
      <c r="K15" s="54" t="str">
        <f t="shared" si="2"/>
        <v>r14: G00711 + C00001 -&gt; G10008 + C00140 | (${Variables:E3_2_1_52_kcat} * E3_2_1_52 * G00711 * C00001)/(${Variables:E3_2_1_52_km} + (E3_2_1_52 * G00711 * C00001))</v>
      </c>
    </row>
    <row r="16" spans="1:11" ht="29">
      <c r="A16" s="11" t="s">
        <v>109</v>
      </c>
      <c r="B16" s="11" t="s">
        <v>110</v>
      </c>
      <c r="C16" s="11" t="s">
        <v>12293</v>
      </c>
      <c r="D16" s="60">
        <v>15</v>
      </c>
      <c r="E16" s="11" t="str">
        <f t="shared" si="0"/>
        <v>E3_2_1_52</v>
      </c>
      <c r="F16" s="11" t="s">
        <v>12809</v>
      </c>
      <c r="G16" s="11" t="s">
        <v>12810</v>
      </c>
      <c r="H16" s="11" t="s">
        <v>12811</v>
      </c>
      <c r="I16" s="11" t="s">
        <v>12812</v>
      </c>
      <c r="J16" s="61" t="str">
        <f t="shared" si="1"/>
        <v>(${Variables:E3_2_1_52_kcat} * E3_2_1_52 * G13056 * C00001)/(${Variables:E3_2_1_52_km} + (E3_2_1_52 * G13056 * C00001))</v>
      </c>
      <c r="K16" s="54" t="str">
        <f t="shared" si="2"/>
        <v>r15: G13056 + C00001 -&gt; C00140 + G10665 | (${Variables:E3_2_1_52_kcat} * E3_2_1_52 * G13056 * C00001)/(${Variables:E3_2_1_52_km} + (E3_2_1_52 * G13056 * C00001))</v>
      </c>
    </row>
    <row r="17" spans="1:11" ht="29">
      <c r="A17" s="11" t="s">
        <v>109</v>
      </c>
      <c r="B17" s="11" t="s">
        <v>110</v>
      </c>
      <c r="C17" s="11" t="s">
        <v>12293</v>
      </c>
      <c r="D17" s="60">
        <v>16</v>
      </c>
      <c r="E17" s="11" t="str">
        <f t="shared" si="0"/>
        <v>E3_2_1_52</v>
      </c>
      <c r="F17" s="11" t="s">
        <v>12813</v>
      </c>
      <c r="G17" s="11" t="s">
        <v>12814</v>
      </c>
      <c r="H17" s="11" t="s">
        <v>12815</v>
      </c>
      <c r="I17" s="11" t="s">
        <v>12816</v>
      </c>
      <c r="J17" s="61" t="str">
        <f t="shared" si="1"/>
        <v>(${Variables:E3_2_1_52_kcat} * E3_2_1_52 * G05477 * C00001)/(${Variables:E3_2_1_52_km} + (E3_2_1_52 * G05477 * C00001))</v>
      </c>
      <c r="K17" s="54" t="str">
        <f t="shared" si="2"/>
        <v>r16: G05477 + C00001 -&gt; G10920 + C00140 | (${Variables:E3_2_1_52_kcat} * E3_2_1_52 * G05477 * C00001)/(${Variables:E3_2_1_52_km} + (E3_2_1_52 * G05477 * C00001))</v>
      </c>
    </row>
    <row r="18" spans="1:11" ht="29">
      <c r="A18" s="11" t="s">
        <v>109</v>
      </c>
      <c r="B18" s="11" t="s">
        <v>110</v>
      </c>
      <c r="C18" s="11" t="s">
        <v>12293</v>
      </c>
      <c r="D18" s="60">
        <v>17</v>
      </c>
      <c r="E18" s="11" t="str">
        <f t="shared" si="0"/>
        <v>E3_2_1_52</v>
      </c>
      <c r="F18" s="11" t="s">
        <v>12817</v>
      </c>
      <c r="G18" s="11" t="s">
        <v>12818</v>
      </c>
      <c r="H18" s="11" t="s">
        <v>12819</v>
      </c>
      <c r="I18" s="11" t="s">
        <v>12820</v>
      </c>
      <c r="J18" s="61" t="str">
        <f t="shared" si="1"/>
        <v>(${Variables:E3_2_1_52_kcat} * E3_2_1_52 * C22467 * C00001)/(${Variables:E3_2_1_52_km} + (E3_2_1_52 * C22467 * C00001))</v>
      </c>
      <c r="K18" s="54" t="str">
        <f t="shared" si="2"/>
        <v>r17: C22467 + C00001 -&gt; C03405 + C01132 | (${Variables:E3_2_1_52_kcat} * E3_2_1_52 * C22467 * C00001)/(${Variables:E3_2_1_52_km} + (E3_2_1_52 * C22467 * C00001))</v>
      </c>
    </row>
    <row r="19" spans="1:11" ht="29">
      <c r="A19" s="11" t="s">
        <v>116</v>
      </c>
      <c r="B19" s="11" t="s">
        <v>117</v>
      </c>
      <c r="C19" s="11" t="s">
        <v>12294</v>
      </c>
      <c r="D19" s="60">
        <v>18</v>
      </c>
      <c r="E19" s="11" t="str">
        <f t="shared" si="0"/>
        <v>E6_3_4_2</v>
      </c>
      <c r="F19" s="11" t="s">
        <v>12821</v>
      </c>
      <c r="G19" s="11" t="s">
        <v>12822</v>
      </c>
      <c r="H19" s="11" t="s">
        <v>12823</v>
      </c>
      <c r="I19" s="11" t="s">
        <v>12824</v>
      </c>
      <c r="J19" s="61" t="str">
        <f t="shared" si="1"/>
        <v>(${Variables:E6_3_4_2_kcat} * E6_3_4_2 * C00064 * C00001)/(${Variables:E6_3_4_2_km} + (E6_3_4_2 * C00064 * C00001))</v>
      </c>
      <c r="K19" s="54" t="str">
        <f t="shared" si="2"/>
        <v>r18: C00064 + C00001 -&gt; C00025 + C00014 | (${Variables:E6_3_4_2_kcat} * E6_3_4_2 * C00064 * C00001)/(${Variables:E6_3_4_2_km} + (E6_3_4_2 * C00064 * C00001))</v>
      </c>
    </row>
    <row r="20" spans="1:11" ht="43.5">
      <c r="A20" s="11" t="s">
        <v>116</v>
      </c>
      <c r="B20" s="11" t="s">
        <v>117</v>
      </c>
      <c r="C20" s="11" t="s">
        <v>12294</v>
      </c>
      <c r="D20" s="60">
        <v>19</v>
      </c>
      <c r="E20" s="11" t="str">
        <f t="shared" si="0"/>
        <v>E6_3_4_2</v>
      </c>
      <c r="F20" s="11" t="s">
        <v>12825</v>
      </c>
      <c r="G20" s="11" t="s">
        <v>12826</v>
      </c>
      <c r="H20" s="11" t="s">
        <v>12827</v>
      </c>
      <c r="I20" s="11" t="s">
        <v>12828</v>
      </c>
      <c r="J20" s="61" t="str">
        <f t="shared" si="1"/>
        <v>(${Variables:E6_3_4_2_kcat} * E6_3_4_2 * C00002 * C00075 * C00014)/(${Variables:E6_3_4_2_km} + (E6_3_4_2 * C00002 * C00075 * C00014))</v>
      </c>
      <c r="K20" s="54" t="str">
        <f t="shared" si="2"/>
        <v>r19: C00002 + C00075 + C00014 -&gt; C00008 + C00009 + C00063 | (${Variables:E6_3_4_2_kcat} * E6_3_4_2 * C00002 * C00075 * C00014)/(${Variables:E6_3_4_2_km} + (E6_3_4_2 * C00002 * C00075 * C00014))</v>
      </c>
    </row>
    <row r="21" spans="1:11" ht="43.5">
      <c r="A21" s="11" t="s">
        <v>116</v>
      </c>
      <c r="B21" s="11" t="s">
        <v>117</v>
      </c>
      <c r="C21" s="11" t="s">
        <v>12294</v>
      </c>
      <c r="D21" s="60">
        <v>20</v>
      </c>
      <c r="E21" s="11" t="str">
        <f t="shared" si="0"/>
        <v>E6_3_4_2</v>
      </c>
      <c r="F21" s="11" t="s">
        <v>12829</v>
      </c>
      <c r="G21" s="11" t="s">
        <v>12830</v>
      </c>
      <c r="H21" s="11" t="s">
        <v>12831</v>
      </c>
      <c r="I21" s="11" t="s">
        <v>12832</v>
      </c>
      <c r="J21" s="61" t="str">
        <f t="shared" si="1"/>
        <v>(${Variables:E6_3_4_2_kcat} * E6_3_4_2 * C00002 * C00075 * C00064 * C00001)/(${Variables:E6_3_4_2_km} + (E6_3_4_2 * C00002 * C00075 * C00064 * C00001))</v>
      </c>
      <c r="K21" s="54" t="str">
        <f t="shared" si="2"/>
        <v>r20: C00002 + C00075 + C00064 + C00001 -&gt; C00008 + C00009 + C00063 + C00025 | (${Variables:E6_3_4_2_kcat} * E6_3_4_2 * C00002 * C00075 * C00064 * C00001)/(${Variables:E6_3_4_2_km} + (E6_3_4_2 * C00002 * C00075 * C00064 * C00001))</v>
      </c>
    </row>
    <row r="22" spans="1:11" ht="29">
      <c r="A22" s="11" t="s">
        <v>130</v>
      </c>
      <c r="B22" s="11" t="s">
        <v>131</v>
      </c>
      <c r="C22" s="11" t="s">
        <v>12295</v>
      </c>
      <c r="D22" s="60">
        <v>21</v>
      </c>
      <c r="E22" s="11" t="str">
        <f t="shared" si="0"/>
        <v>E3_6_1_27</v>
      </c>
      <c r="F22" s="11" t="s">
        <v>12833</v>
      </c>
      <c r="G22" s="11" t="s">
        <v>12834</v>
      </c>
      <c r="H22" s="11" t="s">
        <v>12835</v>
      </c>
      <c r="I22" s="11" t="s">
        <v>12836</v>
      </c>
      <c r="J22" s="61" t="str">
        <f t="shared" si="1"/>
        <v>(${Variables:E3_6_1_27_kcat} * E3_6_1_27 * C04574 * C00001)/(${Variables:E3_6_1_27_km} + (E3_6_1_27 * C04574 * C00001))</v>
      </c>
      <c r="K22" s="54" t="str">
        <f t="shared" si="2"/>
        <v>r21: C04574 + C00001 -&gt; C17556 + C00009 | (${Variables:E3_6_1_27_kcat} * E3_6_1_27 * C04574 * C00001)/(${Variables:E3_6_1_27_km} + (E3_6_1_27 * C04574 * C00001))</v>
      </c>
    </row>
    <row r="23" spans="1:11" ht="29">
      <c r="A23" s="11" t="s">
        <v>170</v>
      </c>
      <c r="B23" s="11" t="s">
        <v>171</v>
      </c>
      <c r="C23" s="11" t="s">
        <v>12298</v>
      </c>
      <c r="D23" s="60">
        <v>22</v>
      </c>
      <c r="E23" s="11" t="str">
        <f t="shared" si="0"/>
        <v>E3_2_1_85</v>
      </c>
      <c r="F23" s="11" t="s">
        <v>12837</v>
      </c>
      <c r="G23" s="11" t="s">
        <v>12838</v>
      </c>
      <c r="H23" s="11" t="s">
        <v>12839</v>
      </c>
      <c r="I23" s="11" t="s">
        <v>12840</v>
      </c>
      <c r="J23" s="61" t="str">
        <f t="shared" si="1"/>
        <v>(${Variables:E3_2_1_85_kcat} * E3_2_1_85 * C03847 * C00001)/(${Variables:E3_2_1_85_km} + (E3_2_1_85 * C03847 * C00001))</v>
      </c>
      <c r="K23" s="54" t="str">
        <f t="shared" si="2"/>
        <v>r22: C03847 + C00001 -&gt; C00069 + C01113 | (${Variables:E3_2_1_85_kcat} * E3_2_1_85 * C03847 * C00001)/(${Variables:E3_2_1_85_km} + (E3_2_1_85 * C03847 * C00001))</v>
      </c>
    </row>
    <row r="24" spans="1:11" ht="29">
      <c r="A24" s="11" t="s">
        <v>170</v>
      </c>
      <c r="B24" s="11" t="s">
        <v>171</v>
      </c>
      <c r="C24" s="11" t="s">
        <v>12298</v>
      </c>
      <c r="D24" s="60">
        <v>23</v>
      </c>
      <c r="E24" s="11" t="str">
        <f t="shared" si="0"/>
        <v>E3_2_1_85</v>
      </c>
      <c r="F24" s="11" t="s">
        <v>12841</v>
      </c>
      <c r="G24" s="11" t="s">
        <v>12842</v>
      </c>
      <c r="H24" s="11" t="s">
        <v>12843</v>
      </c>
      <c r="I24" s="11" t="s">
        <v>12844</v>
      </c>
      <c r="J24" s="61" t="str">
        <f t="shared" si="1"/>
        <v>(${Variables:E3_2_1_85_kcat} * E3_2_1_85 * C05396 * C00001)/(${Variables:E3_2_1_85_km} + (E3_2_1_85 * C05396 * C00001))</v>
      </c>
      <c r="K24" s="54" t="str">
        <f t="shared" si="2"/>
        <v>r23: C05396 + C00001 -&gt; C00221 + C01113 | (${Variables:E3_2_1_85_kcat} * E3_2_1_85 * C05396 * C00001)/(${Variables:E3_2_1_85_km} + (E3_2_1_85 * C05396 * C00001))</v>
      </c>
    </row>
    <row r="25" spans="1:11" ht="29">
      <c r="A25" s="11" t="s">
        <v>170</v>
      </c>
      <c r="B25" s="11" t="s">
        <v>171</v>
      </c>
      <c r="C25" s="11" t="s">
        <v>12298</v>
      </c>
      <c r="D25" s="60">
        <v>24</v>
      </c>
      <c r="E25" s="11" t="str">
        <f t="shared" si="0"/>
        <v>E3_2_1_85</v>
      </c>
      <c r="F25" s="11" t="s">
        <v>12845</v>
      </c>
      <c r="G25" s="11" t="s">
        <v>12846</v>
      </c>
      <c r="H25" s="11" t="s">
        <v>12843</v>
      </c>
      <c r="I25" s="11" t="s">
        <v>12844</v>
      </c>
      <c r="J25" s="61" t="str">
        <f t="shared" si="1"/>
        <v>(${Variables:E3_2_1_85_kcat} * E3_2_1_85 * G10517 * C00001)/(${Variables:E3_2_1_85_km} + (E3_2_1_85 * G10517 * C00001))</v>
      </c>
      <c r="K25" s="54" t="str">
        <f t="shared" si="2"/>
        <v>r24: G10517 + C00001 -&gt; C00221 + C01113 | (${Variables:E3_2_1_85_kcat} * E3_2_1_85 * G10517 * C00001)/(${Variables:E3_2_1_85_km} + (E3_2_1_85 * G10517 * C00001))</v>
      </c>
    </row>
    <row r="26" spans="1:11" ht="29">
      <c r="A26" s="11" t="s">
        <v>196</v>
      </c>
      <c r="B26" s="11" t="s">
        <v>197</v>
      </c>
      <c r="C26" s="11" t="s">
        <v>12299</v>
      </c>
      <c r="D26" s="60">
        <v>25</v>
      </c>
      <c r="E26" s="11" t="str">
        <f t="shared" si="0"/>
        <v>E2_3_1_54</v>
      </c>
      <c r="F26" s="11" t="s">
        <v>12847</v>
      </c>
      <c r="G26" s="11" t="s">
        <v>12848</v>
      </c>
      <c r="H26" s="11" t="s">
        <v>12849</v>
      </c>
      <c r="I26" s="11" t="s">
        <v>12850</v>
      </c>
      <c r="J26" s="61" t="str">
        <f t="shared" si="1"/>
        <v>(${Variables:E2_3_1_54_kcat} * E2_3_1_54 * C00024 * C00058)/(${Variables:E2_3_1_54_km} + (E2_3_1_54 * C00024 * C00058))</v>
      </c>
      <c r="K26" s="54" t="str">
        <f t="shared" si="2"/>
        <v>r25: C00024 + C00058 -&gt; C00010 + C00022 | (${Variables:E2_3_1_54_kcat} * E2_3_1_54 * C00024 * C00058)/(${Variables:E2_3_1_54_km} + (E2_3_1_54 * C00024 * C00058))</v>
      </c>
    </row>
    <row r="27" spans="1:11" ht="29">
      <c r="A27" s="11" t="s">
        <v>196</v>
      </c>
      <c r="B27" s="11" t="s">
        <v>197</v>
      </c>
      <c r="C27" s="11" t="s">
        <v>12299</v>
      </c>
      <c r="D27" s="60">
        <v>26</v>
      </c>
      <c r="E27" s="11" t="str">
        <f t="shared" si="0"/>
        <v>E2_3_1_54</v>
      </c>
      <c r="F27" s="11" t="s">
        <v>12851</v>
      </c>
      <c r="G27" s="11" t="s">
        <v>12852</v>
      </c>
      <c r="H27" s="11" t="s">
        <v>12853</v>
      </c>
      <c r="I27" s="11" t="s">
        <v>12854</v>
      </c>
      <c r="J27" s="61" t="str">
        <f t="shared" si="1"/>
        <v>(${Variables:E2_3_1_54_kcat} * E2_3_1_54 * C00109 * C00010)/(${Variables:E2_3_1_54_km} + (E2_3_1_54 * C00109 * C00010))</v>
      </c>
      <c r="K27" s="54" t="str">
        <f t="shared" si="2"/>
        <v>r26: C00109 + C00010 -&gt; C00100 + C00058 | (${Variables:E2_3_1_54_kcat} * E2_3_1_54 * C00109 * C00010)/(${Variables:E2_3_1_54_km} + (E2_3_1_54 * C00109 * C00010))</v>
      </c>
    </row>
    <row r="28" spans="1:11" ht="29">
      <c r="A28" s="11" t="s">
        <v>200</v>
      </c>
      <c r="B28" s="11" t="s">
        <v>201</v>
      </c>
      <c r="C28" s="11" t="s">
        <v>12300</v>
      </c>
      <c r="D28" s="60">
        <v>27</v>
      </c>
      <c r="E28" s="11" t="str">
        <f t="shared" si="0"/>
        <v>E2_7_7_7</v>
      </c>
      <c r="F28" s="11" t="s">
        <v>12855</v>
      </c>
      <c r="G28" s="11" t="s">
        <v>12856</v>
      </c>
      <c r="H28" s="11" t="s">
        <v>12857</v>
      </c>
      <c r="I28" s="11" t="s">
        <v>12858</v>
      </c>
      <c r="J28" s="61" t="str">
        <f t="shared" si="1"/>
        <v>(${Variables:E2_7_7_7_kcat} * E2_7_7_7 * C00677 * C00039)/(${Variables:E2_7_7_7_km} + (E2_7_7_7 * C00677 * C00039))</v>
      </c>
      <c r="K28" s="54" t="str">
        <f t="shared" si="2"/>
        <v>r27: C00677 + C00039 -&gt; C00013 + C00039 | (${Variables:E2_7_7_7_kcat} * E2_7_7_7 * C00677 * C00039)/(${Variables:E2_7_7_7_km} + (E2_7_7_7 * C00677 * C00039))</v>
      </c>
    </row>
    <row r="29" spans="1:11" ht="29">
      <c r="A29" s="11" t="s">
        <v>200</v>
      </c>
      <c r="B29" s="11" t="s">
        <v>201</v>
      </c>
      <c r="C29" s="11" t="s">
        <v>12300</v>
      </c>
      <c r="D29" s="60">
        <v>28</v>
      </c>
      <c r="E29" s="11" t="str">
        <f t="shared" si="0"/>
        <v>E2_7_7_7</v>
      </c>
      <c r="F29" s="11" t="s">
        <v>12859</v>
      </c>
      <c r="G29" s="11" t="s">
        <v>12860</v>
      </c>
      <c r="H29" s="11" t="s">
        <v>12857</v>
      </c>
      <c r="I29" s="11" t="s">
        <v>12858</v>
      </c>
      <c r="J29" s="61" t="str">
        <f t="shared" si="1"/>
        <v>(${Variables:E2_7_7_7_kcat} * E2_7_7_7 * C00131 * C00039)/(${Variables:E2_7_7_7_km} + (E2_7_7_7 * C00131 * C00039))</v>
      </c>
      <c r="K29" s="54" t="str">
        <f t="shared" si="2"/>
        <v>r28: C00131 + C00039 -&gt; C00013 + C00039 | (${Variables:E2_7_7_7_kcat} * E2_7_7_7 * C00131 * C00039)/(${Variables:E2_7_7_7_km} + (E2_7_7_7 * C00131 * C00039))</v>
      </c>
    </row>
    <row r="30" spans="1:11" ht="29">
      <c r="A30" s="11" t="s">
        <v>200</v>
      </c>
      <c r="B30" s="11" t="s">
        <v>201</v>
      </c>
      <c r="C30" s="11" t="s">
        <v>12300</v>
      </c>
      <c r="D30" s="60">
        <v>29</v>
      </c>
      <c r="E30" s="11" t="str">
        <f t="shared" si="0"/>
        <v>E2_7_7_7</v>
      </c>
      <c r="F30" s="11" t="s">
        <v>12861</v>
      </c>
      <c r="G30" s="11" t="s">
        <v>12862</v>
      </c>
      <c r="H30" s="11" t="s">
        <v>12857</v>
      </c>
      <c r="I30" s="11" t="s">
        <v>12858</v>
      </c>
      <c r="J30" s="61" t="str">
        <f t="shared" si="1"/>
        <v>(${Variables:E2_7_7_7_kcat} * E2_7_7_7 * C00286 * C00039)/(${Variables:E2_7_7_7_km} + (E2_7_7_7 * C00286 * C00039))</v>
      </c>
      <c r="K30" s="54" t="str">
        <f t="shared" si="2"/>
        <v>r29: C00286 + C00039 -&gt; C00013 + C00039 | (${Variables:E2_7_7_7_kcat} * E2_7_7_7 * C00286 * C00039)/(${Variables:E2_7_7_7_km} + (E2_7_7_7 * C00286 * C00039))</v>
      </c>
    </row>
    <row r="31" spans="1:11" ht="29">
      <c r="A31" s="11" t="s">
        <v>200</v>
      </c>
      <c r="B31" s="11" t="s">
        <v>201</v>
      </c>
      <c r="C31" s="11" t="s">
        <v>12300</v>
      </c>
      <c r="D31" s="60">
        <v>30</v>
      </c>
      <c r="E31" s="11" t="str">
        <f t="shared" si="0"/>
        <v>E2_7_7_7</v>
      </c>
      <c r="F31" s="11" t="s">
        <v>12863</v>
      </c>
      <c r="G31" s="11" t="s">
        <v>12864</v>
      </c>
      <c r="H31" s="11" t="s">
        <v>12857</v>
      </c>
      <c r="I31" s="11" t="s">
        <v>12858</v>
      </c>
      <c r="J31" s="61" t="str">
        <f t="shared" si="1"/>
        <v>(${Variables:E2_7_7_7_kcat} * E2_7_7_7 * C00458 * C00039)/(${Variables:E2_7_7_7_km} + (E2_7_7_7 * C00458 * C00039))</v>
      </c>
      <c r="K31" s="54" t="str">
        <f t="shared" si="2"/>
        <v>r30: C00458 + C00039 -&gt; C00013 + C00039 | (${Variables:E2_7_7_7_kcat} * E2_7_7_7 * C00458 * C00039)/(${Variables:E2_7_7_7_km} + (E2_7_7_7 * C00458 * C00039))</v>
      </c>
    </row>
    <row r="32" spans="1:11" ht="29">
      <c r="A32" s="11" t="s">
        <v>200</v>
      </c>
      <c r="B32" s="11" t="s">
        <v>201</v>
      </c>
      <c r="C32" s="11" t="s">
        <v>12300</v>
      </c>
      <c r="D32" s="60">
        <v>31</v>
      </c>
      <c r="E32" s="11" t="str">
        <f t="shared" si="0"/>
        <v>E2_7_7_7</v>
      </c>
      <c r="F32" s="11" t="s">
        <v>12865</v>
      </c>
      <c r="G32" s="11" t="s">
        <v>12866</v>
      </c>
      <c r="H32" s="11" t="s">
        <v>12857</v>
      </c>
      <c r="I32" s="11" t="s">
        <v>12858</v>
      </c>
      <c r="J32" s="61" t="str">
        <f t="shared" si="1"/>
        <v>(${Variables:E2_7_7_7_kcat} * E2_7_7_7 * C00459 * C00039)/(${Variables:E2_7_7_7_km} + (E2_7_7_7 * C00459 * C00039))</v>
      </c>
      <c r="K32" s="54" t="str">
        <f t="shared" si="2"/>
        <v>r31: C00459 + C00039 -&gt; C00013 + C00039 | (${Variables:E2_7_7_7_kcat} * E2_7_7_7 * C00459 * C00039)/(${Variables:E2_7_7_7_km} + (E2_7_7_7 * C00459 * C00039))</v>
      </c>
    </row>
    <row r="33" spans="1:11" ht="29">
      <c r="A33" s="11" t="s">
        <v>200</v>
      </c>
      <c r="B33" s="11" t="s">
        <v>201</v>
      </c>
      <c r="C33" s="11" t="s">
        <v>12300</v>
      </c>
      <c r="D33" s="60">
        <v>32</v>
      </c>
      <c r="E33" s="11" t="str">
        <f t="shared" si="0"/>
        <v>E2_7_7_7</v>
      </c>
      <c r="F33" s="11" t="s">
        <v>7211</v>
      </c>
      <c r="G33" s="11" t="s">
        <v>7211</v>
      </c>
      <c r="H33" s="11" t="s">
        <v>7212</v>
      </c>
      <c r="I33" s="11" t="s">
        <v>7212</v>
      </c>
      <c r="J33" s="61" t="str">
        <f t="shared" si="1"/>
        <v>(${Variables:E2_7_7_7_kcat} * E2_7_7_7 * C11039)/(${Variables:E2_7_7_7_km} + (E2_7_7_7 * C11039))</v>
      </c>
      <c r="K33" s="54" t="str">
        <f t="shared" si="2"/>
        <v>r32: C11039 -&gt; C21031 | (${Variables:E2_7_7_7_kcat} * E2_7_7_7 * C11039)/(${Variables:E2_7_7_7_km} + (E2_7_7_7 * C11039))</v>
      </c>
    </row>
    <row r="34" spans="1:11" ht="29">
      <c r="A34" s="11" t="s">
        <v>226</v>
      </c>
      <c r="B34" s="11" t="s">
        <v>227</v>
      </c>
      <c r="C34" s="11" t="s">
        <v>12301</v>
      </c>
      <c r="D34" s="60">
        <v>33</v>
      </c>
      <c r="E34" s="11" t="str">
        <f t="shared" si="0"/>
        <v>E4_3_1_19</v>
      </c>
      <c r="F34" s="11" t="s">
        <v>7216</v>
      </c>
      <c r="G34" s="11" t="s">
        <v>7216</v>
      </c>
      <c r="H34" s="11" t="s">
        <v>12867</v>
      </c>
      <c r="I34" s="11" t="s">
        <v>12868</v>
      </c>
      <c r="J34" s="61" t="str">
        <f t="shared" si="1"/>
        <v>(${Variables:E4_3_1_19_kcat} * E4_3_1_19 * C00188)/(${Variables:E4_3_1_19_km} + (E4_3_1_19 * C00188))</v>
      </c>
      <c r="K34" s="54" t="str">
        <f t="shared" si="2"/>
        <v>r33: C00188 -&gt; C00109 + C00014 | (${Variables:E4_3_1_19_kcat} * E4_3_1_19 * C00188)/(${Variables:E4_3_1_19_km} + (E4_3_1_19 * C00188))</v>
      </c>
    </row>
    <row r="35" spans="1:11" ht="29">
      <c r="A35" s="11" t="s">
        <v>226</v>
      </c>
      <c r="B35" s="11" t="s">
        <v>227</v>
      </c>
      <c r="C35" s="11" t="s">
        <v>12301</v>
      </c>
      <c r="D35" s="60">
        <v>34</v>
      </c>
      <c r="E35" s="11" t="str">
        <f t="shared" si="0"/>
        <v>E4_3_1_19</v>
      </c>
      <c r="F35" s="11" t="s">
        <v>12869</v>
      </c>
      <c r="G35" s="11" t="s">
        <v>12870</v>
      </c>
      <c r="H35" s="11" t="s">
        <v>12867</v>
      </c>
      <c r="I35" s="11" t="s">
        <v>12868</v>
      </c>
      <c r="J35" s="61" t="str">
        <f t="shared" si="1"/>
        <v>(${Variables:E4_3_1_19_kcat} * E4_3_1_19 * C20905 * C00001)/(${Variables:E4_3_1_19_km} + (E4_3_1_19 * C20905 * C00001))</v>
      </c>
      <c r="K35" s="54" t="str">
        <f t="shared" si="2"/>
        <v>r34: C20905 + C00001 -&gt; C00109 + C00014 | (${Variables:E4_3_1_19_kcat} * E4_3_1_19 * C20905 * C00001)/(${Variables:E4_3_1_19_km} + (E4_3_1_19 * C20905 * C00001))</v>
      </c>
    </row>
    <row r="36" spans="1:11" ht="29">
      <c r="A36" s="11" t="s">
        <v>226</v>
      </c>
      <c r="B36" s="11" t="s">
        <v>227</v>
      </c>
      <c r="C36" s="11" t="s">
        <v>12301</v>
      </c>
      <c r="D36" s="60">
        <v>35</v>
      </c>
      <c r="E36" s="11" t="str">
        <f t="shared" si="0"/>
        <v>E4_3_1_19</v>
      </c>
      <c r="F36" s="11" t="s">
        <v>7221</v>
      </c>
      <c r="G36" s="11" t="s">
        <v>7221</v>
      </c>
      <c r="H36" s="11" t="s">
        <v>7222</v>
      </c>
      <c r="I36" s="11" t="s">
        <v>7222</v>
      </c>
      <c r="J36" s="61" t="str">
        <f t="shared" si="1"/>
        <v>(${Variables:E4_3_1_19_kcat} * E4_3_1_19 * C17234)/(${Variables:E4_3_1_19_km} + (E4_3_1_19 * C17234))</v>
      </c>
      <c r="K36" s="54" t="str">
        <f t="shared" si="2"/>
        <v>r35: C17234 -&gt; C20905 | (${Variables:E4_3_1_19_kcat} * E4_3_1_19 * C17234)/(${Variables:E4_3_1_19_km} + (E4_3_1_19 * C17234))</v>
      </c>
    </row>
    <row r="37" spans="1:11" ht="29">
      <c r="A37" s="11" t="s">
        <v>226</v>
      </c>
      <c r="B37" s="11" t="s">
        <v>227</v>
      </c>
      <c r="C37" s="11" t="s">
        <v>12301</v>
      </c>
      <c r="D37" s="60">
        <v>36</v>
      </c>
      <c r="E37" s="11" t="str">
        <f t="shared" si="0"/>
        <v>E4_3_1_19</v>
      </c>
      <c r="F37" s="11" t="s">
        <v>7224</v>
      </c>
      <c r="G37" s="11" t="s">
        <v>7224</v>
      </c>
      <c r="H37" s="11" t="s">
        <v>12871</v>
      </c>
      <c r="I37" s="11" t="s">
        <v>12872</v>
      </c>
      <c r="J37" s="61" t="str">
        <f t="shared" si="1"/>
        <v>(${Variables:E4_3_1_19_kcat} * E4_3_1_19 * C00065)/(${Variables:E4_3_1_19_km} + (E4_3_1_19 * C00065))</v>
      </c>
      <c r="K37" s="54" t="str">
        <f t="shared" si="2"/>
        <v>r36: C00065 -&gt; C00022 + C00014 | (${Variables:E4_3_1_19_kcat} * E4_3_1_19 * C00065)/(${Variables:E4_3_1_19_km} + (E4_3_1_19 * C00065))</v>
      </c>
    </row>
    <row r="38" spans="1:11" ht="29">
      <c r="A38" s="11" t="s">
        <v>226</v>
      </c>
      <c r="B38" s="11" t="s">
        <v>227</v>
      </c>
      <c r="C38" s="11" t="s">
        <v>12301</v>
      </c>
      <c r="D38" s="60">
        <v>37</v>
      </c>
      <c r="E38" s="11" t="str">
        <f t="shared" si="0"/>
        <v>E4_3_1_19</v>
      </c>
      <c r="F38" s="11" t="s">
        <v>7227</v>
      </c>
      <c r="G38" s="11" t="s">
        <v>7227</v>
      </c>
      <c r="H38" s="11" t="s">
        <v>12873</v>
      </c>
      <c r="I38" s="11" t="s">
        <v>12874</v>
      </c>
      <c r="J38" s="61" t="str">
        <f t="shared" si="1"/>
        <v>(${Variables:E4_3_1_19_kcat} * E4_3_1_19 * C05167)/(${Variables:E4_3_1_19_km} + (E4_3_1_19 * C05167))</v>
      </c>
      <c r="K38" s="54" t="str">
        <f t="shared" si="2"/>
        <v>r37: C05167 -&gt; C00161 + C00014 | (${Variables:E4_3_1_19_kcat} * E4_3_1_19 * C05167)/(${Variables:E4_3_1_19_km} + (E4_3_1_19 * C05167))</v>
      </c>
    </row>
    <row r="39" spans="1:11" ht="29">
      <c r="A39" s="11" t="s">
        <v>234</v>
      </c>
      <c r="B39" s="11" t="s">
        <v>235</v>
      </c>
      <c r="C39" s="11" t="s">
        <v>12302</v>
      </c>
      <c r="D39" s="60">
        <v>38</v>
      </c>
      <c r="E39" s="11" t="str">
        <f t="shared" si="0"/>
        <v>E1_1_1_86</v>
      </c>
      <c r="F39" s="11" t="s">
        <v>12875</v>
      </c>
      <c r="G39" s="11" t="s">
        <v>12876</v>
      </c>
      <c r="H39" s="11" t="s">
        <v>12877</v>
      </c>
      <c r="I39" s="11" t="s">
        <v>12878</v>
      </c>
      <c r="J39" s="61" t="str">
        <f t="shared" si="1"/>
        <v>(${Variables:E1_1_1_86_kcat} * E1_1_1_86 * C04272 * C00006)/(${Variables:E1_1_1_86_km} + (E1_1_1_86 * C04272 * C00006))</v>
      </c>
      <c r="K39" s="54" t="str">
        <f t="shared" si="2"/>
        <v>r38: C04272 + C00006 -&gt; C06010 + C00005 + C00080 | (${Variables:E1_1_1_86_kcat} * E1_1_1_86 * C04272 * C00006)/(${Variables:E1_1_1_86_km} + (E1_1_1_86 * C04272 * C00006))</v>
      </c>
    </row>
    <row r="40" spans="1:11" ht="43.5">
      <c r="A40" s="11" t="s">
        <v>234</v>
      </c>
      <c r="B40" s="11" t="s">
        <v>235</v>
      </c>
      <c r="C40" s="11" t="s">
        <v>12302</v>
      </c>
      <c r="D40" s="60">
        <v>39</v>
      </c>
      <c r="E40" s="11" t="str">
        <f t="shared" si="0"/>
        <v>E1_1_1_86</v>
      </c>
      <c r="F40" s="11" t="s">
        <v>12879</v>
      </c>
      <c r="G40" s="11" t="s">
        <v>12880</v>
      </c>
      <c r="H40" s="11" t="s">
        <v>12881</v>
      </c>
      <c r="I40" s="11" t="s">
        <v>12882</v>
      </c>
      <c r="J40" s="61" t="str">
        <f t="shared" si="1"/>
        <v>(${Variables:E1_1_1_86_kcat} * E1_1_1_86 * C00900 * C00005 * C00080)/(${Variables:E1_1_1_86_km} + (E1_1_1_86 * C00900 * C00005 * C00080))</v>
      </c>
      <c r="K40" s="54" t="str">
        <f t="shared" si="2"/>
        <v>r39: C00900 + C00005 + C00080 -&gt; C04039 + C00006 | (${Variables:E1_1_1_86_kcat} * E1_1_1_86 * C00900 * C00005 * C00080)/(${Variables:E1_1_1_86_km} + (E1_1_1_86 * C00900 * C00005 * C00080))</v>
      </c>
    </row>
    <row r="41" spans="1:11" ht="29">
      <c r="A41" s="11" t="s">
        <v>234</v>
      </c>
      <c r="B41" s="11" t="s">
        <v>235</v>
      </c>
      <c r="C41" s="11" t="s">
        <v>12302</v>
      </c>
      <c r="D41" s="60">
        <v>40</v>
      </c>
      <c r="E41" s="11" t="str">
        <f t="shared" si="0"/>
        <v>E1_1_1_86</v>
      </c>
      <c r="F41" s="11" t="s">
        <v>12875</v>
      </c>
      <c r="G41" s="11" t="s">
        <v>12876</v>
      </c>
      <c r="H41" s="11" t="s">
        <v>12883</v>
      </c>
      <c r="I41" s="11" t="s">
        <v>12884</v>
      </c>
      <c r="J41" s="61" t="str">
        <f t="shared" si="1"/>
        <v>(${Variables:E1_1_1_86_kcat} * E1_1_1_86 * C04272 * C00006)/(${Variables:E1_1_1_86_km} + (E1_1_1_86 * C04272 * C00006))</v>
      </c>
      <c r="K41" s="54" t="str">
        <f t="shared" si="2"/>
        <v>r40: C04272 + C00006 -&gt; C04181 + C00005 + C00080 | (${Variables:E1_1_1_86_kcat} * E1_1_1_86 * C04272 * C00006)/(${Variables:E1_1_1_86_km} + (E1_1_1_86 * C04272 * C00006))</v>
      </c>
    </row>
    <row r="42" spans="1:11" ht="29">
      <c r="A42" s="11" t="s">
        <v>234</v>
      </c>
      <c r="B42" s="11" t="s">
        <v>235</v>
      </c>
      <c r="C42" s="11" t="s">
        <v>12302</v>
      </c>
      <c r="D42" s="60">
        <v>41</v>
      </c>
      <c r="E42" s="11" t="str">
        <f t="shared" si="0"/>
        <v>E1_1_1_86</v>
      </c>
      <c r="F42" s="11" t="s">
        <v>12885</v>
      </c>
      <c r="G42" s="11" t="s">
        <v>12886</v>
      </c>
      <c r="H42" s="11" t="s">
        <v>12887</v>
      </c>
      <c r="I42" s="11" t="s">
        <v>12888</v>
      </c>
      <c r="J42" s="61" t="str">
        <f t="shared" si="1"/>
        <v>(${Variables:E1_1_1_86_kcat} * E1_1_1_86 * C06007 * C00006)/(${Variables:E1_1_1_86_km} + (E1_1_1_86 * C06007 * C00006))</v>
      </c>
      <c r="K42" s="54" t="str">
        <f t="shared" si="2"/>
        <v>r41: C06007 + C00006 -&gt; C14463 + C00005 + C00080 | (${Variables:E1_1_1_86_kcat} * E1_1_1_86 * C06007 * C00006)/(${Variables:E1_1_1_86_km} + (E1_1_1_86 * C06007 * C00006))</v>
      </c>
    </row>
    <row r="43" spans="1:11" ht="29">
      <c r="A43" s="11" t="s">
        <v>234</v>
      </c>
      <c r="B43" s="11" t="s">
        <v>235</v>
      </c>
      <c r="C43" s="11" t="s">
        <v>12302</v>
      </c>
      <c r="D43" s="60">
        <v>42</v>
      </c>
      <c r="E43" s="11" t="str">
        <f t="shared" si="0"/>
        <v>E1_1_1_86</v>
      </c>
      <c r="F43" s="11" t="s">
        <v>7243</v>
      </c>
      <c r="G43" s="11" t="s">
        <v>7243</v>
      </c>
      <c r="H43" s="11" t="s">
        <v>7244</v>
      </c>
      <c r="I43" s="11" t="s">
        <v>7244</v>
      </c>
      <c r="J43" s="61" t="str">
        <f t="shared" si="1"/>
        <v>(${Variables:E1_1_1_86_kcat} * E1_1_1_86 * C06006)/(${Variables:E1_1_1_86_km} + (E1_1_1_86 * C06006))</v>
      </c>
      <c r="K43" s="54" t="str">
        <f t="shared" si="2"/>
        <v>r42: C06006 -&gt; C14463 | (${Variables:E1_1_1_86_kcat} * E1_1_1_86 * C06006)/(${Variables:E1_1_1_86_km} + (E1_1_1_86 * C06006))</v>
      </c>
    </row>
    <row r="44" spans="1:11" ht="29">
      <c r="A44" s="11" t="s">
        <v>234</v>
      </c>
      <c r="B44" s="11" t="s">
        <v>235</v>
      </c>
      <c r="C44" s="11" t="s">
        <v>12302</v>
      </c>
      <c r="D44" s="60">
        <v>43</v>
      </c>
      <c r="E44" s="11" t="str">
        <f t="shared" si="0"/>
        <v>E1_1_1_86</v>
      </c>
      <c r="F44" s="11" t="s">
        <v>7246</v>
      </c>
      <c r="G44" s="11" t="s">
        <v>7246</v>
      </c>
      <c r="H44" s="11" t="s">
        <v>7247</v>
      </c>
      <c r="I44" s="11" t="s">
        <v>7247</v>
      </c>
      <c r="J44" s="61" t="str">
        <f t="shared" si="1"/>
        <v>(${Variables:E1_1_1_86_kcat} * E1_1_1_86 * C06010)/(${Variables:E1_1_1_86_km} + (E1_1_1_86 * C06010))</v>
      </c>
      <c r="K44" s="54" t="str">
        <f t="shared" si="2"/>
        <v>r43: C06010 -&gt; C04181 | (${Variables:E1_1_1_86_kcat} * E1_1_1_86 * C06010)/(${Variables:E1_1_1_86_km} + (E1_1_1_86 * C06010))</v>
      </c>
    </row>
    <row r="45" spans="1:11" ht="29">
      <c r="A45" s="11" t="s">
        <v>238</v>
      </c>
      <c r="B45" s="11" t="s">
        <v>239</v>
      </c>
      <c r="C45" s="11" t="s">
        <v>12303</v>
      </c>
      <c r="D45" s="60">
        <v>44</v>
      </c>
      <c r="E45" s="11" t="str">
        <f t="shared" si="0"/>
        <v>E2_2_1_6</v>
      </c>
      <c r="F45" s="11" t="s">
        <v>12889</v>
      </c>
      <c r="G45" s="11" t="s">
        <v>12890</v>
      </c>
      <c r="H45" s="11" t="s">
        <v>7252</v>
      </c>
      <c r="I45" s="11" t="s">
        <v>7252</v>
      </c>
      <c r="J45" s="61" t="str">
        <f t="shared" si="1"/>
        <v>(${Variables:E2_2_1_6_kcat} * E2_2_1_6 * C00900 * C00011)/(${Variables:E2_2_1_6_km} + (E2_2_1_6 * C00900 * C00011))</v>
      </c>
      <c r="K45" s="54" t="str">
        <f t="shared" si="2"/>
        <v>r44: C00900 + C00011 -&gt; C00022 | (${Variables:E2_2_1_6_kcat} * E2_2_1_6 * C00900 * C00011)/(${Variables:E2_2_1_6_km} + (E2_2_1_6 * C00900 * C00011))</v>
      </c>
    </row>
    <row r="46" spans="1:11" ht="29">
      <c r="A46" s="11" t="s">
        <v>238</v>
      </c>
      <c r="B46" s="11" t="s">
        <v>239</v>
      </c>
      <c r="C46" s="11" t="s">
        <v>12303</v>
      </c>
      <c r="D46" s="60">
        <v>45</v>
      </c>
      <c r="E46" s="11" t="str">
        <f t="shared" si="0"/>
        <v>E2_2_1_6</v>
      </c>
      <c r="F46" s="11" t="s">
        <v>12891</v>
      </c>
      <c r="G46" s="11" t="s">
        <v>12892</v>
      </c>
      <c r="H46" s="11" t="s">
        <v>7252</v>
      </c>
      <c r="I46" s="11" t="s">
        <v>7252</v>
      </c>
      <c r="J46" s="61" t="str">
        <f t="shared" si="1"/>
        <v>(${Variables:E2_2_1_6_kcat} * E2_2_1_6 * C06010 * C00011)/(${Variables:E2_2_1_6_km} + (E2_2_1_6 * C06010 * C00011))</v>
      </c>
      <c r="K46" s="54" t="str">
        <f t="shared" si="2"/>
        <v>r45: C06010 + C00011 -&gt; C00022 | (${Variables:E2_2_1_6_kcat} * E2_2_1_6 * C06010 * C00011)/(${Variables:E2_2_1_6_km} + (E2_2_1_6 * C06010 * C00011))</v>
      </c>
    </row>
    <row r="47" spans="1:11" ht="29">
      <c r="A47" s="11" t="s">
        <v>238</v>
      </c>
      <c r="B47" s="11" t="s">
        <v>239</v>
      </c>
      <c r="C47" s="11" t="s">
        <v>12303</v>
      </c>
      <c r="D47" s="60">
        <v>46</v>
      </c>
      <c r="E47" s="11" t="str">
        <f t="shared" si="0"/>
        <v>E2_2_1_6</v>
      </c>
      <c r="F47" s="11" t="s">
        <v>12893</v>
      </c>
      <c r="G47" s="11" t="s">
        <v>12894</v>
      </c>
      <c r="H47" s="11" t="s">
        <v>12895</v>
      </c>
      <c r="I47" s="11" t="s">
        <v>12896</v>
      </c>
      <c r="J47" s="61" t="str">
        <f t="shared" si="1"/>
        <v>(${Variables:E2_2_1_6_kcat} * E2_2_1_6 * C00022 * C00068)/(${Variables:E2_2_1_6_km} + (E2_2_1_6 * C00022 * C00068))</v>
      </c>
      <c r="K47" s="54" t="str">
        <f t="shared" si="2"/>
        <v>r46: C00022 + C00068 -&gt; C05125 + C00011 | (${Variables:E2_2_1_6_kcat} * E2_2_1_6 * C00022 * C00068)/(${Variables:E2_2_1_6_km} + (E2_2_1_6 * C00022 * C00068))</v>
      </c>
    </row>
    <row r="48" spans="1:11" ht="29">
      <c r="A48" s="11" t="s">
        <v>238</v>
      </c>
      <c r="B48" s="11" t="s">
        <v>239</v>
      </c>
      <c r="C48" s="11" t="s">
        <v>12303</v>
      </c>
      <c r="D48" s="60">
        <v>47</v>
      </c>
      <c r="E48" s="11" t="str">
        <f t="shared" si="0"/>
        <v>E2_2_1_6</v>
      </c>
      <c r="F48" s="11" t="s">
        <v>12897</v>
      </c>
      <c r="G48" s="11" t="s">
        <v>12898</v>
      </c>
      <c r="H48" s="11" t="s">
        <v>12899</v>
      </c>
      <c r="I48" s="11" t="s">
        <v>12900</v>
      </c>
      <c r="J48" s="61" t="str">
        <f t="shared" si="1"/>
        <v>(${Variables:E2_2_1_6_kcat} * E2_2_1_6 * C00900 * C00068)/(${Variables:E2_2_1_6_km} + (E2_2_1_6 * C00900 * C00068))</v>
      </c>
      <c r="K48" s="54" t="str">
        <f t="shared" si="2"/>
        <v>r47: C00900 + C00068 -&gt; C05125 + C00022 | (${Variables:E2_2_1_6_kcat} * E2_2_1_6 * C00900 * C00068)/(${Variables:E2_2_1_6_km} + (E2_2_1_6 * C00900 * C00068))</v>
      </c>
    </row>
    <row r="49" spans="1:11" ht="29">
      <c r="A49" s="11" t="s">
        <v>238</v>
      </c>
      <c r="B49" s="11" t="s">
        <v>239</v>
      </c>
      <c r="C49" s="11" t="s">
        <v>12303</v>
      </c>
      <c r="D49" s="60">
        <v>48</v>
      </c>
      <c r="E49" s="11" t="str">
        <f t="shared" si="0"/>
        <v>E2_2_1_6</v>
      </c>
      <c r="F49" s="11" t="s">
        <v>12901</v>
      </c>
      <c r="G49" s="11" t="s">
        <v>12902</v>
      </c>
      <c r="H49" s="11" t="s">
        <v>12899</v>
      </c>
      <c r="I49" s="11" t="s">
        <v>12900</v>
      </c>
      <c r="J49" s="61" t="str">
        <f t="shared" si="1"/>
        <v>(${Variables:E2_2_1_6_kcat} * E2_2_1_6 * C06010 * C00068)/(${Variables:E2_2_1_6_km} + (E2_2_1_6 * C06010 * C00068))</v>
      </c>
      <c r="K49" s="54" t="str">
        <f t="shared" si="2"/>
        <v>r48: C06010 + C00068 -&gt; C05125 + C00022 | (${Variables:E2_2_1_6_kcat} * E2_2_1_6 * C06010 * C00068)/(${Variables:E2_2_1_6_km} + (E2_2_1_6 * C06010 * C00068))</v>
      </c>
    </row>
    <row r="50" spans="1:11" ht="29">
      <c r="A50" s="11" t="s">
        <v>238</v>
      </c>
      <c r="B50" s="11" t="s">
        <v>239</v>
      </c>
      <c r="C50" s="11" t="s">
        <v>12303</v>
      </c>
      <c r="D50" s="60">
        <v>49</v>
      </c>
      <c r="E50" s="11" t="str">
        <f t="shared" si="0"/>
        <v>E2_2_1_6</v>
      </c>
      <c r="F50" s="11" t="s">
        <v>12903</v>
      </c>
      <c r="G50" s="11" t="s">
        <v>12904</v>
      </c>
      <c r="H50" s="11" t="s">
        <v>12905</v>
      </c>
      <c r="I50" s="11" t="s">
        <v>12906</v>
      </c>
      <c r="J50" s="61" t="str">
        <f t="shared" si="1"/>
        <v>(${Variables:E2_2_1_6_kcat} * E2_2_1_6 * C00109 * C05125)/(${Variables:E2_2_1_6_km} + (E2_2_1_6 * C00109 * C05125))</v>
      </c>
      <c r="K50" s="54" t="str">
        <f t="shared" si="2"/>
        <v>r49: C00109 + C05125 -&gt; C06006 + C00068 | (${Variables:E2_2_1_6_kcat} * E2_2_1_6 * C00109 * C05125)/(${Variables:E2_2_1_6_km} + (E2_2_1_6 * C00109 * C05125))</v>
      </c>
    </row>
    <row r="51" spans="1:11" ht="29">
      <c r="A51" s="11" t="s">
        <v>238</v>
      </c>
      <c r="B51" s="11" t="s">
        <v>239</v>
      </c>
      <c r="C51" s="11" t="s">
        <v>12303</v>
      </c>
      <c r="D51" s="60">
        <v>50</v>
      </c>
      <c r="E51" s="11" t="str">
        <f t="shared" si="0"/>
        <v>E2_2_1_6</v>
      </c>
      <c r="F51" s="11" t="s">
        <v>12907</v>
      </c>
      <c r="G51" s="11" t="s">
        <v>12908</v>
      </c>
      <c r="H51" s="11" t="s">
        <v>12909</v>
      </c>
      <c r="I51" s="11" t="s">
        <v>12910</v>
      </c>
      <c r="J51" s="61" t="str">
        <f t="shared" si="1"/>
        <v>(${Variables:E2_2_1_6_kcat} * E2_2_1_6 * C00022 * C00109)/(${Variables:E2_2_1_6_km} + (E2_2_1_6 * C00022 * C00109))</v>
      </c>
      <c r="K51" s="54" t="str">
        <f t="shared" si="2"/>
        <v>r50: C00022 + C00109 -&gt; C06006 + C00011 | (${Variables:E2_2_1_6_kcat} * E2_2_1_6 * C00022 * C00109)/(${Variables:E2_2_1_6_km} + (E2_2_1_6 * C00022 * C00109))</v>
      </c>
    </row>
    <row r="52" spans="1:11" ht="29">
      <c r="A52" s="11" t="s">
        <v>277</v>
      </c>
      <c r="B52" s="11" t="s">
        <v>278</v>
      </c>
      <c r="C52" s="11" t="s">
        <v>12304</v>
      </c>
      <c r="D52" s="60">
        <v>51</v>
      </c>
      <c r="E52" s="11" t="str">
        <f t="shared" si="0"/>
        <v>E1_1_1_14</v>
      </c>
      <c r="F52" s="11" t="s">
        <v>12911</v>
      </c>
      <c r="G52" s="11" t="s">
        <v>12912</v>
      </c>
      <c r="H52" s="11" t="s">
        <v>12913</v>
      </c>
      <c r="I52" s="11" t="s">
        <v>12914</v>
      </c>
      <c r="J52" s="61" t="str">
        <f t="shared" si="1"/>
        <v>(${Variables:E1_1_1_14_kcat} * E1_1_1_14 * C01507 * C00003)/(${Variables:E1_1_1_14_km} + (E1_1_1_14 * C01507 * C00003))</v>
      </c>
      <c r="K52" s="54" t="str">
        <f t="shared" si="2"/>
        <v>r51: C01507 + C00003 -&gt; C00247 + C00004 + C00080 | (${Variables:E1_1_1_14_kcat} * E1_1_1_14 * C01507 * C00003)/(${Variables:E1_1_1_14_km} + (E1_1_1_14 * C01507 * C00003))</v>
      </c>
    </row>
    <row r="53" spans="1:11" ht="29">
      <c r="A53" s="11" t="s">
        <v>277</v>
      </c>
      <c r="B53" s="11" t="s">
        <v>278</v>
      </c>
      <c r="C53" s="11" t="s">
        <v>12304</v>
      </c>
      <c r="D53" s="60">
        <v>52</v>
      </c>
      <c r="E53" s="11" t="str">
        <f t="shared" si="0"/>
        <v>E1_1_1_14</v>
      </c>
      <c r="F53" s="11" t="s">
        <v>12915</v>
      </c>
      <c r="G53" s="11" t="s">
        <v>12916</v>
      </c>
      <c r="H53" s="11" t="s">
        <v>12917</v>
      </c>
      <c r="I53" s="11" t="s">
        <v>12918</v>
      </c>
      <c r="J53" s="61" t="str">
        <f t="shared" si="1"/>
        <v>(${Variables:E1_1_1_14_kcat} * E1_1_1_14 * C00794 * C00003)/(${Variables:E1_1_1_14_km} + (E1_1_1_14 * C00794 * C00003))</v>
      </c>
      <c r="K53" s="54" t="str">
        <f t="shared" si="2"/>
        <v>r52: C00794 + C00003 -&gt; C00095 + C00004 + C00080 | (${Variables:E1_1_1_14_kcat} * E1_1_1_14 * C00794 * C00003)/(${Variables:E1_1_1_14_km} + (E1_1_1_14 * C00794 * C00003))</v>
      </c>
    </row>
    <row r="54" spans="1:11" ht="29">
      <c r="A54" s="11" t="s">
        <v>277</v>
      </c>
      <c r="B54" s="11" t="s">
        <v>278</v>
      </c>
      <c r="C54" s="11" t="s">
        <v>12304</v>
      </c>
      <c r="D54" s="60">
        <v>53</v>
      </c>
      <c r="E54" s="11" t="str">
        <f t="shared" si="0"/>
        <v>E1_1_1_14</v>
      </c>
      <c r="F54" s="11" t="s">
        <v>12919</v>
      </c>
      <c r="G54" s="11" t="s">
        <v>12920</v>
      </c>
      <c r="H54" s="11" t="s">
        <v>12921</v>
      </c>
      <c r="I54" s="11" t="s">
        <v>12922</v>
      </c>
      <c r="J54" s="61" t="str">
        <f t="shared" si="1"/>
        <v>(${Variables:E1_1_1_14_kcat} * E1_1_1_14 * C00379 * C00003)/(${Variables:E1_1_1_14_km} + (E1_1_1_14 * C00379 * C00003))</v>
      </c>
      <c r="K54" s="54" t="str">
        <f t="shared" si="2"/>
        <v>r53: C00379 + C00003 -&gt; C00310 + C00004 + C00080 | (${Variables:E1_1_1_14_kcat} * E1_1_1_14 * C00379 * C00003)/(${Variables:E1_1_1_14_km} + (E1_1_1_14 * C00379 * C00003))</v>
      </c>
    </row>
    <row r="55" spans="1:11" ht="43.5">
      <c r="A55" s="11" t="s">
        <v>297</v>
      </c>
      <c r="B55" s="11" t="s">
        <v>298</v>
      </c>
      <c r="C55" s="11" t="s">
        <v>12305</v>
      </c>
      <c r="D55" s="60">
        <v>54</v>
      </c>
      <c r="E55" s="11" t="str">
        <f t="shared" si="0"/>
        <v>E6_4_1_2</v>
      </c>
      <c r="F55" s="11" t="s">
        <v>12923</v>
      </c>
      <c r="G55" s="11" t="s">
        <v>12924</v>
      </c>
      <c r="H55" s="11" t="s">
        <v>12925</v>
      </c>
      <c r="I55" s="11" t="s">
        <v>12926</v>
      </c>
      <c r="J55" s="61" t="str">
        <f t="shared" si="1"/>
        <v>(${Variables:E6_4_1_2_kcat} * E6_4_1_2 * C00002 * C00024 * C00288)/(${Variables:E6_4_1_2_km} + (E6_4_1_2 * C00002 * C00024 * C00288))</v>
      </c>
      <c r="K55" s="54" t="str">
        <f t="shared" si="2"/>
        <v>r54: C00002 + C00024 + C00288 -&gt; C00008 + C00009 + C00083 | (${Variables:E6_4_1_2_kcat} * E6_4_1_2 * C00002 * C00024 * C00288)/(${Variables:E6_4_1_2_km} + (E6_4_1_2 * C00002 * C00024 * C00288))</v>
      </c>
    </row>
    <row r="56" spans="1:11" ht="43.5">
      <c r="A56" s="11" t="s">
        <v>305</v>
      </c>
      <c r="B56" s="11" t="s">
        <v>306</v>
      </c>
      <c r="C56" s="11" t="s">
        <v>12306</v>
      </c>
      <c r="D56" s="60">
        <v>55</v>
      </c>
      <c r="E56" s="11" t="str">
        <f t="shared" si="0"/>
        <v>E6_3_4_14</v>
      </c>
      <c r="F56" s="11" t="s">
        <v>12927</v>
      </c>
      <c r="G56" s="11" t="s">
        <v>12928</v>
      </c>
      <c r="H56" s="11" t="s">
        <v>12929</v>
      </c>
      <c r="I56" s="11" t="s">
        <v>12930</v>
      </c>
      <c r="J56" s="61" t="str">
        <f t="shared" si="1"/>
        <v>(${Variables:E6_3_4_14_kcat} * E6_3_4_14 * C00002 * C06250 * C00288)/(${Variables:E6_3_4_14_km} + (E6_3_4_14 * C00002 * C06250 * C00288))</v>
      </c>
      <c r="K56" s="54" t="str">
        <f t="shared" si="2"/>
        <v>r55: C00002 + C06250 + C00288 -&gt; C00008 + C00009 + C04419 | (${Variables:E6_3_4_14_kcat} * E6_3_4_14 * C00002 * C06250 * C00288)/(${Variables:E6_3_4_14_km} + (E6_3_4_14 * C00002 * C06250 * C00288))</v>
      </c>
    </row>
    <row r="57" spans="1:11" ht="29">
      <c r="A57" s="11" t="s">
        <v>317</v>
      </c>
      <c r="B57" s="11" t="s">
        <v>318</v>
      </c>
      <c r="C57" s="11" t="s">
        <v>12307</v>
      </c>
      <c r="D57" s="60">
        <v>56</v>
      </c>
      <c r="E57" s="11" t="str">
        <f t="shared" si="0"/>
        <v>E2_3_1_179</v>
      </c>
      <c r="F57" s="11" t="s">
        <v>12931</v>
      </c>
      <c r="G57" s="11" t="s">
        <v>12932</v>
      </c>
      <c r="H57" s="11" t="s">
        <v>12933</v>
      </c>
      <c r="I57" s="11" t="s">
        <v>12934</v>
      </c>
      <c r="J57" s="61" t="str">
        <f t="shared" si="1"/>
        <v>(${Variables:E2_3_1_179_kcat} * E2_3_1_179 * C03939 * C01209)/(${Variables:E2_3_1_179_km} + (E2_3_1_179 * C03939 * C01209))</v>
      </c>
      <c r="K57" s="54" t="str">
        <f t="shared" si="2"/>
        <v>r56: C03939 + C01209 -&gt; C05744 + C00011 + C00229 | (${Variables:E2_3_1_179_kcat} * E2_3_1_179 * C03939 * C01209)/(${Variables:E2_3_1_179_km} + (E2_3_1_179 * C03939 * C01209))</v>
      </c>
    </row>
    <row r="58" spans="1:11" ht="29">
      <c r="A58" s="11" t="s">
        <v>317</v>
      </c>
      <c r="B58" s="11" t="s">
        <v>318</v>
      </c>
      <c r="C58" s="11" t="s">
        <v>12307</v>
      </c>
      <c r="D58" s="60">
        <v>57</v>
      </c>
      <c r="E58" s="11" t="str">
        <f t="shared" si="0"/>
        <v>E2_3_1_179</v>
      </c>
      <c r="F58" s="11" t="s">
        <v>12935</v>
      </c>
      <c r="G58" s="11" t="s">
        <v>12936</v>
      </c>
      <c r="H58" s="11" t="s">
        <v>12937</v>
      </c>
      <c r="I58" s="11" t="s">
        <v>12938</v>
      </c>
      <c r="J58" s="61" t="str">
        <f t="shared" si="1"/>
        <v>(${Variables:E2_3_1_179_kcat} * E2_3_1_179 * C05223 * C01209)/(${Variables:E2_3_1_179_km} + (E2_3_1_179 * C05223 * C01209))</v>
      </c>
      <c r="K58" s="54" t="str">
        <f t="shared" si="2"/>
        <v>r57: C05223 + C01209 -&gt; C05759 + C00011 + C00229 | (${Variables:E2_3_1_179_kcat} * E2_3_1_179 * C05223 * C01209)/(${Variables:E2_3_1_179_km} + (E2_3_1_179 * C05223 * C01209))</v>
      </c>
    </row>
    <row r="59" spans="1:11" ht="29">
      <c r="A59" s="11" t="s">
        <v>317</v>
      </c>
      <c r="B59" s="11" t="s">
        <v>318</v>
      </c>
      <c r="C59" s="11" t="s">
        <v>12307</v>
      </c>
      <c r="D59" s="60">
        <v>58</v>
      </c>
      <c r="E59" s="11" t="str">
        <f t="shared" si="0"/>
        <v>E2_3_1_179</v>
      </c>
      <c r="F59" s="11" t="s">
        <v>12939</v>
      </c>
      <c r="G59" s="11" t="s">
        <v>12940</v>
      </c>
      <c r="H59" s="11" t="s">
        <v>12941</v>
      </c>
      <c r="I59" s="11" t="s">
        <v>12942</v>
      </c>
      <c r="J59" s="61" t="str">
        <f t="shared" si="1"/>
        <v>(${Variables:E2_3_1_179_kcat} * E2_3_1_179 * C05745 * C01209)/(${Variables:E2_3_1_179_km} + (E2_3_1_179 * C05745 * C01209))</v>
      </c>
      <c r="K59" s="54" t="str">
        <f t="shared" si="2"/>
        <v>r58: C05745 + C01209 -&gt; C05746 + C00011 + C00229 | (${Variables:E2_3_1_179_kcat} * E2_3_1_179 * C05745 * C01209)/(${Variables:E2_3_1_179_km} + (E2_3_1_179 * C05745 * C01209))</v>
      </c>
    </row>
    <row r="60" spans="1:11" ht="29">
      <c r="A60" s="11" t="s">
        <v>317</v>
      </c>
      <c r="B60" s="11" t="s">
        <v>318</v>
      </c>
      <c r="C60" s="11" t="s">
        <v>12307</v>
      </c>
      <c r="D60" s="60">
        <v>59</v>
      </c>
      <c r="E60" s="11" t="str">
        <f t="shared" si="0"/>
        <v>E2_3_1_179</v>
      </c>
      <c r="F60" s="11" t="s">
        <v>12943</v>
      </c>
      <c r="G60" s="11" t="s">
        <v>12944</v>
      </c>
      <c r="H60" s="11" t="s">
        <v>12945</v>
      </c>
      <c r="I60" s="11" t="s">
        <v>12946</v>
      </c>
      <c r="J60" s="61" t="str">
        <f t="shared" si="1"/>
        <v>(${Variables:E2_3_1_179_kcat} * E2_3_1_179 * C05749 * C01209)/(${Variables:E2_3_1_179_km} + (E2_3_1_179 * C05749 * C01209))</v>
      </c>
      <c r="K60" s="54" t="str">
        <f t="shared" si="2"/>
        <v>r59: C05749 + C01209 -&gt; C05750 + C00011 + C00229 | (${Variables:E2_3_1_179_kcat} * E2_3_1_179 * C05749 * C01209)/(${Variables:E2_3_1_179_km} + (E2_3_1_179 * C05749 * C01209))</v>
      </c>
    </row>
    <row r="61" spans="1:11" ht="29">
      <c r="A61" s="11" t="s">
        <v>317</v>
      </c>
      <c r="B61" s="11" t="s">
        <v>318</v>
      </c>
      <c r="C61" s="11" t="s">
        <v>12307</v>
      </c>
      <c r="D61" s="60">
        <v>60</v>
      </c>
      <c r="E61" s="11" t="str">
        <f t="shared" si="0"/>
        <v>E2_3_1_179</v>
      </c>
      <c r="F61" s="11" t="s">
        <v>12947</v>
      </c>
      <c r="G61" s="11" t="s">
        <v>12948</v>
      </c>
      <c r="H61" s="11" t="s">
        <v>12949</v>
      </c>
      <c r="I61" s="11" t="s">
        <v>12950</v>
      </c>
      <c r="J61" s="61" t="str">
        <f t="shared" si="1"/>
        <v>(${Variables:E2_3_1_179_kcat} * E2_3_1_179 * C05752 * C01209)/(${Variables:E2_3_1_179_km} + (E2_3_1_179 * C05752 * C01209))</v>
      </c>
      <c r="K61" s="54" t="str">
        <f t="shared" si="2"/>
        <v>r60: C05752 + C01209 -&gt; C05753 + C00011 + C00229 | (${Variables:E2_3_1_179_kcat} * E2_3_1_179 * C05752 * C01209)/(${Variables:E2_3_1_179_km} + (E2_3_1_179 * C05752 * C01209))</v>
      </c>
    </row>
    <row r="62" spans="1:11" ht="29">
      <c r="A62" s="11" t="s">
        <v>317</v>
      </c>
      <c r="B62" s="11" t="s">
        <v>318</v>
      </c>
      <c r="C62" s="11" t="s">
        <v>12307</v>
      </c>
      <c r="D62" s="60">
        <v>61</v>
      </c>
      <c r="E62" s="11" t="str">
        <f t="shared" si="0"/>
        <v>E2_3_1_179</v>
      </c>
      <c r="F62" s="11" t="s">
        <v>12951</v>
      </c>
      <c r="G62" s="11" t="s">
        <v>12952</v>
      </c>
      <c r="H62" s="11" t="s">
        <v>12953</v>
      </c>
      <c r="I62" s="11" t="s">
        <v>12954</v>
      </c>
      <c r="J62" s="61" t="str">
        <f t="shared" si="1"/>
        <v>(${Variables:E2_3_1_179_kcat} * E2_3_1_179 * C05755 * C01209)/(${Variables:E2_3_1_179_km} + (E2_3_1_179 * C05755 * C01209))</v>
      </c>
      <c r="K62" s="54" t="str">
        <f t="shared" si="2"/>
        <v>r61: C05755 + C01209 -&gt; C05756 + C00011 + C00229 | (${Variables:E2_3_1_179_kcat} * E2_3_1_179 * C05755 * C01209)/(${Variables:E2_3_1_179_km} + (E2_3_1_179 * C05755 * C01209))</v>
      </c>
    </row>
    <row r="63" spans="1:11" ht="29">
      <c r="A63" s="11" t="s">
        <v>317</v>
      </c>
      <c r="B63" s="11" t="s">
        <v>318</v>
      </c>
      <c r="C63" s="11" t="s">
        <v>12307</v>
      </c>
      <c r="D63" s="60">
        <v>62</v>
      </c>
      <c r="E63" s="11" t="str">
        <f t="shared" si="0"/>
        <v>E2_3_1_179</v>
      </c>
      <c r="F63" s="11" t="s">
        <v>12955</v>
      </c>
      <c r="G63" s="11" t="s">
        <v>12956</v>
      </c>
      <c r="H63" s="11" t="s">
        <v>12957</v>
      </c>
      <c r="I63" s="11" t="s">
        <v>12958</v>
      </c>
      <c r="J63" s="61" t="str">
        <f t="shared" si="1"/>
        <v>(${Variables:E2_3_1_179_kcat} * E2_3_1_179 * C05761 * C01209)/(${Variables:E2_3_1_179_km} + (E2_3_1_179 * C05761 * C01209))</v>
      </c>
      <c r="K63" s="54" t="str">
        <f t="shared" si="2"/>
        <v>r62: C05761 + C01209 -&gt; C05762 + C00011 + C00229 | (${Variables:E2_3_1_179_kcat} * E2_3_1_179 * C05761 * C01209)/(${Variables:E2_3_1_179_km} + (E2_3_1_179 * C05761 * C01209))</v>
      </c>
    </row>
    <row r="64" spans="1:11" ht="29">
      <c r="A64" s="11" t="s">
        <v>317</v>
      </c>
      <c r="B64" s="11" t="s">
        <v>318</v>
      </c>
      <c r="C64" s="11" t="s">
        <v>12307</v>
      </c>
      <c r="D64" s="60">
        <v>63</v>
      </c>
      <c r="E64" s="11" t="str">
        <f t="shared" si="0"/>
        <v>E2_3_1_179</v>
      </c>
      <c r="F64" s="11" t="s">
        <v>12959</v>
      </c>
      <c r="G64" s="11" t="s">
        <v>12960</v>
      </c>
      <c r="H64" s="11" t="s">
        <v>12961</v>
      </c>
      <c r="I64" s="11" t="s">
        <v>12962</v>
      </c>
      <c r="J64" s="61" t="str">
        <f t="shared" si="1"/>
        <v>(${Variables:E2_3_1_179_kcat} * E2_3_1_179 * C05764 * C01209)/(${Variables:E2_3_1_179_km} + (E2_3_1_179 * C05764 * C01209))</v>
      </c>
      <c r="K64" s="54" t="str">
        <f t="shared" si="2"/>
        <v>r63: C05764 + C01209 -&gt; C16219 + C00229 + C00011 | (${Variables:E2_3_1_179_kcat} * E2_3_1_179 * C05764 * C01209)/(${Variables:E2_3_1_179_km} + (E2_3_1_179 * C05764 * C01209))</v>
      </c>
    </row>
    <row r="65" spans="1:11" ht="29">
      <c r="A65" s="11" t="s">
        <v>317</v>
      </c>
      <c r="B65" s="11" t="s">
        <v>318</v>
      </c>
      <c r="C65" s="11" t="s">
        <v>12307</v>
      </c>
      <c r="D65" s="60">
        <v>64</v>
      </c>
      <c r="E65" s="11" t="str">
        <f t="shared" si="0"/>
        <v>E2_3_1_179</v>
      </c>
      <c r="F65" s="11" t="s">
        <v>12963</v>
      </c>
      <c r="G65" s="11" t="s">
        <v>12964</v>
      </c>
      <c r="H65" s="11" t="s">
        <v>12965</v>
      </c>
      <c r="I65" s="11" t="s">
        <v>12966</v>
      </c>
      <c r="J65" s="61" t="str">
        <f t="shared" si="1"/>
        <v>(${Variables:E2_3_1_179_kcat} * E2_3_1_179 * C19673 * C01209)/(${Variables:E2_3_1_179_km} + (E2_3_1_179 * C19673 * C01209))</v>
      </c>
      <c r="K65" s="54" t="str">
        <f t="shared" si="2"/>
        <v>r64: C19673 + C01209 -&gt; C20372 + C00011 + C00229 | (${Variables:E2_3_1_179_kcat} * E2_3_1_179 * C19673 * C01209)/(${Variables:E2_3_1_179_km} + (E2_3_1_179 * C19673 * C01209))</v>
      </c>
    </row>
    <row r="66" spans="1:11" ht="29">
      <c r="A66" s="11" t="s">
        <v>317</v>
      </c>
      <c r="B66" s="11" t="s">
        <v>318</v>
      </c>
      <c r="C66" s="11" t="s">
        <v>12307</v>
      </c>
      <c r="D66" s="60">
        <v>65</v>
      </c>
      <c r="E66" s="11" t="str">
        <f t="shared" si="0"/>
        <v>E2_3_1_179</v>
      </c>
      <c r="F66" s="11" t="s">
        <v>12967</v>
      </c>
      <c r="G66" s="11" t="s">
        <v>12968</v>
      </c>
      <c r="H66" s="11" t="s">
        <v>12969</v>
      </c>
      <c r="I66" s="11" t="s">
        <v>12970</v>
      </c>
      <c r="J66" s="61" t="str">
        <f t="shared" si="1"/>
        <v>(${Variables:E2_3_1_179_kcat} * E2_3_1_179 * C20375 * C01209)/(${Variables:E2_3_1_179_km} + (E2_3_1_179 * C20375 * C01209))</v>
      </c>
      <c r="K66" s="54" t="str">
        <f t="shared" si="2"/>
        <v>r65: C20375 + C01209 -&gt; C20376 + C00011 + C00229 | (${Variables:E2_3_1_179_kcat} * E2_3_1_179 * C20375 * C01209)/(${Variables:E2_3_1_179_km} + (E2_3_1_179 * C20375 * C01209))</v>
      </c>
    </row>
    <row r="67" spans="1:11" ht="29">
      <c r="A67" s="11" t="s">
        <v>321</v>
      </c>
      <c r="B67" s="11" t="s">
        <v>322</v>
      </c>
      <c r="C67" s="11" t="s">
        <v>12308</v>
      </c>
      <c r="D67" s="60">
        <v>66</v>
      </c>
      <c r="E67" s="11" t="str">
        <f t="shared" ref="E67:E130" si="3">CONCATENATE("E",C67)</f>
        <v>E1_1_1_100</v>
      </c>
      <c r="F67" s="11" t="s">
        <v>12971</v>
      </c>
      <c r="G67" s="11" t="s">
        <v>12972</v>
      </c>
      <c r="H67" s="11" t="s">
        <v>12973</v>
      </c>
      <c r="I67" s="11" t="s">
        <v>12974</v>
      </c>
      <c r="J67" s="61" t="str">
        <f t="shared" ref="J67:J130" si="4">CONCATENATE("(${Variables:",E67,"_kcat","} * ",E67," * ",G67,")","/(${Variables:",E67,"_km","} + (",E67," * ",G67,"))")</f>
        <v>(${Variables:E1_1_1_100_kcat} * E1_1_1_100 * C01271 * C00006)/(${Variables:E1_1_1_100_km} + (E1_1_1_100 * C01271 * C00006))</v>
      </c>
      <c r="K67" s="54" t="str">
        <f t="shared" ref="K67:K130" si="5">CONCATENATE("r",D67,": ",F67," -&gt; ",H67," | ",J67)</f>
        <v>r66: C01271 + C00006 -&gt; C00685 + C00005 + C00080 | (${Variables:E1_1_1_100_kcat} * E1_1_1_100 * C01271 * C00006)/(${Variables:E1_1_1_100_km} + (E1_1_1_100 * C01271 * C00006))</v>
      </c>
    </row>
    <row r="68" spans="1:11" ht="29">
      <c r="A68" s="11" t="s">
        <v>321</v>
      </c>
      <c r="B68" s="11" t="s">
        <v>322</v>
      </c>
      <c r="C68" s="11" t="s">
        <v>12308</v>
      </c>
      <c r="D68" s="60">
        <v>67</v>
      </c>
      <c r="E68" s="11" t="str">
        <f t="shared" si="3"/>
        <v>E1_1_1_100</v>
      </c>
      <c r="F68" s="11" t="s">
        <v>12975</v>
      </c>
      <c r="G68" s="11" t="s">
        <v>12976</v>
      </c>
      <c r="H68" s="11" t="s">
        <v>12977</v>
      </c>
      <c r="I68" s="11" t="s">
        <v>12978</v>
      </c>
      <c r="J68" s="61" t="str">
        <f t="shared" si="4"/>
        <v>(${Variables:E1_1_1_100_kcat} * E1_1_1_100 * C04618 * C00006)/(${Variables:E1_1_1_100_km} + (E1_1_1_100 * C04618 * C00006))</v>
      </c>
      <c r="K68" s="54" t="str">
        <f t="shared" si="5"/>
        <v>r67: C04618 + C00006 -&gt; C05744 + C00005 + C00080 | (${Variables:E1_1_1_100_kcat} * E1_1_1_100 * C04618 * C00006)/(${Variables:E1_1_1_100_km} + (E1_1_1_100 * C04618 * C00006))</v>
      </c>
    </row>
    <row r="69" spans="1:11" ht="29">
      <c r="A69" s="11" t="s">
        <v>321</v>
      </c>
      <c r="B69" s="11" t="s">
        <v>322</v>
      </c>
      <c r="C69" s="11" t="s">
        <v>12308</v>
      </c>
      <c r="D69" s="60">
        <v>68</v>
      </c>
      <c r="E69" s="11" t="str">
        <f t="shared" si="3"/>
        <v>E1_1_1_100</v>
      </c>
      <c r="F69" s="11" t="s">
        <v>12979</v>
      </c>
      <c r="G69" s="11" t="s">
        <v>12980</v>
      </c>
      <c r="H69" s="11" t="s">
        <v>12981</v>
      </c>
      <c r="I69" s="11" t="s">
        <v>12982</v>
      </c>
      <c r="J69" s="61" t="str">
        <f t="shared" si="4"/>
        <v>(${Variables:E1_1_1_100_kcat} * E1_1_1_100 * C04619 * C00006)/(${Variables:E1_1_1_100_km} + (E1_1_1_100 * C04619 * C00006))</v>
      </c>
      <c r="K69" s="54" t="str">
        <f t="shared" si="5"/>
        <v>r68: C04619 + C00006 -&gt; C05753 + C00005 | (${Variables:E1_1_1_100_kcat} * E1_1_1_100 * C04619 * C00006)/(${Variables:E1_1_1_100_km} + (E1_1_1_100 * C04619 * C00006))</v>
      </c>
    </row>
    <row r="70" spans="1:11" ht="29">
      <c r="A70" s="11" t="s">
        <v>321</v>
      </c>
      <c r="B70" s="11" t="s">
        <v>322</v>
      </c>
      <c r="C70" s="11" t="s">
        <v>12308</v>
      </c>
      <c r="D70" s="60">
        <v>69</v>
      </c>
      <c r="E70" s="11" t="str">
        <f t="shared" si="3"/>
        <v>E1_1_1_100</v>
      </c>
      <c r="F70" s="11" t="s">
        <v>12983</v>
      </c>
      <c r="G70" s="11" t="s">
        <v>12984</v>
      </c>
      <c r="H70" s="11" t="s">
        <v>12985</v>
      </c>
      <c r="I70" s="11" t="s">
        <v>12986</v>
      </c>
      <c r="J70" s="61" t="str">
        <f t="shared" si="4"/>
        <v>(${Variables:E1_1_1_100_kcat} * E1_1_1_100 * C04620 * C00006)/(${Variables:E1_1_1_100_km} + (E1_1_1_100 * C04620 * C00006))</v>
      </c>
      <c r="K70" s="54" t="str">
        <f t="shared" si="5"/>
        <v>r69: C04620 + C00006 -&gt; C05750 + C00005 + C00080 | (${Variables:E1_1_1_100_kcat} * E1_1_1_100 * C04620 * C00006)/(${Variables:E1_1_1_100_km} + (E1_1_1_100 * C04620 * C00006))</v>
      </c>
    </row>
    <row r="71" spans="1:11" ht="29">
      <c r="A71" s="11" t="s">
        <v>321</v>
      </c>
      <c r="B71" s="11" t="s">
        <v>322</v>
      </c>
      <c r="C71" s="11" t="s">
        <v>12308</v>
      </c>
      <c r="D71" s="60">
        <v>70</v>
      </c>
      <c r="E71" s="11" t="str">
        <f t="shared" si="3"/>
        <v>E1_1_1_100</v>
      </c>
      <c r="F71" s="11" t="s">
        <v>12987</v>
      </c>
      <c r="G71" s="11" t="s">
        <v>12988</v>
      </c>
      <c r="H71" s="11" t="s">
        <v>12989</v>
      </c>
      <c r="I71" s="11" t="s">
        <v>12990</v>
      </c>
      <c r="J71" s="61" t="str">
        <f t="shared" si="4"/>
        <v>(${Variables:E1_1_1_100_kcat} * E1_1_1_100 * C04633 * C00006)/(${Variables:E1_1_1_100_km} + (E1_1_1_100 * C04633 * C00006))</v>
      </c>
      <c r="K71" s="54" t="str">
        <f t="shared" si="5"/>
        <v>r70: C04633 + C00006 -&gt; C05762 + C00005 + C00080 | (${Variables:E1_1_1_100_kcat} * E1_1_1_100 * C04633 * C00006)/(${Variables:E1_1_1_100_km} + (E1_1_1_100 * C04633 * C00006))</v>
      </c>
    </row>
    <row r="72" spans="1:11" ht="29">
      <c r="A72" s="11" t="s">
        <v>321</v>
      </c>
      <c r="B72" s="11" t="s">
        <v>322</v>
      </c>
      <c r="C72" s="11" t="s">
        <v>12308</v>
      </c>
      <c r="D72" s="60">
        <v>71</v>
      </c>
      <c r="E72" s="11" t="str">
        <f t="shared" si="3"/>
        <v>E1_1_1_100</v>
      </c>
      <c r="F72" s="11" t="s">
        <v>12991</v>
      </c>
      <c r="G72" s="11" t="s">
        <v>12992</v>
      </c>
      <c r="H72" s="11" t="s">
        <v>12993</v>
      </c>
      <c r="I72" s="11" t="s">
        <v>12994</v>
      </c>
      <c r="J72" s="61" t="str">
        <f t="shared" si="4"/>
        <v>(${Variables:E1_1_1_100_kcat} * E1_1_1_100 * C04688 * C00006)/(${Variables:E1_1_1_100_km} + (E1_1_1_100 * C04688 * C00006))</v>
      </c>
      <c r="K72" s="54" t="str">
        <f t="shared" si="5"/>
        <v>r71: C04688 + C00006 -&gt; C05759 + C00005 + C00080 | (${Variables:E1_1_1_100_kcat} * E1_1_1_100 * C04688 * C00006)/(${Variables:E1_1_1_100_km} + (E1_1_1_100 * C04688 * C00006))</v>
      </c>
    </row>
    <row r="73" spans="1:11" ht="29">
      <c r="A73" s="11" t="s">
        <v>321</v>
      </c>
      <c r="B73" s="11" t="s">
        <v>322</v>
      </c>
      <c r="C73" s="11" t="s">
        <v>12308</v>
      </c>
      <c r="D73" s="60">
        <v>72</v>
      </c>
      <c r="E73" s="11" t="str">
        <f t="shared" si="3"/>
        <v>E1_1_1_100</v>
      </c>
      <c r="F73" s="11" t="s">
        <v>12995</v>
      </c>
      <c r="G73" s="11" t="s">
        <v>12996</v>
      </c>
      <c r="H73" s="11" t="s">
        <v>12997</v>
      </c>
      <c r="I73" s="11" t="s">
        <v>12998</v>
      </c>
      <c r="J73" s="61" t="str">
        <f t="shared" si="4"/>
        <v>(${Variables:E1_1_1_100_kcat} * E1_1_1_100 * C05747 * C00006)/(${Variables:E1_1_1_100_km} + (E1_1_1_100 * C05747 * C00006))</v>
      </c>
      <c r="K73" s="54" t="str">
        <f t="shared" si="5"/>
        <v>r72: C05747 + C00006 -&gt; C05746 + C00005 + C00080 | (${Variables:E1_1_1_100_kcat} * E1_1_1_100 * C05747 * C00006)/(${Variables:E1_1_1_100_km} + (E1_1_1_100 * C05747 * C00006))</v>
      </c>
    </row>
    <row r="74" spans="1:11" ht="29">
      <c r="A74" s="11" t="s">
        <v>321</v>
      </c>
      <c r="B74" s="11" t="s">
        <v>322</v>
      </c>
      <c r="C74" s="11" t="s">
        <v>12308</v>
      </c>
      <c r="D74" s="60">
        <v>73</v>
      </c>
      <c r="E74" s="11" t="str">
        <f t="shared" si="3"/>
        <v>E1_1_1_100</v>
      </c>
      <c r="F74" s="11" t="s">
        <v>12999</v>
      </c>
      <c r="G74" s="11" t="s">
        <v>13000</v>
      </c>
      <c r="H74" s="11" t="s">
        <v>13001</v>
      </c>
      <c r="I74" s="11" t="s">
        <v>13002</v>
      </c>
      <c r="J74" s="61" t="str">
        <f t="shared" si="4"/>
        <v>(${Variables:E1_1_1_100_kcat} * E1_1_1_100 * C05757 * C00006)/(${Variables:E1_1_1_100_km} + (E1_1_1_100 * C05757 * C00006))</v>
      </c>
      <c r="K74" s="54" t="str">
        <f t="shared" si="5"/>
        <v>r73: C05757 + C00006 -&gt; C05756 + C00005 + C00080 | (${Variables:E1_1_1_100_kcat} * E1_1_1_100 * C05757 * C00006)/(${Variables:E1_1_1_100_km} + (E1_1_1_100 * C05757 * C00006))</v>
      </c>
    </row>
    <row r="75" spans="1:11" ht="43.5">
      <c r="A75" s="11" t="s">
        <v>321</v>
      </c>
      <c r="B75" s="11" t="s">
        <v>322</v>
      </c>
      <c r="C75" s="11" t="s">
        <v>12308</v>
      </c>
      <c r="D75" s="60">
        <v>74</v>
      </c>
      <c r="E75" s="11" t="str">
        <f t="shared" si="3"/>
        <v>E1_1_1_100</v>
      </c>
      <c r="F75" s="11" t="s">
        <v>13003</v>
      </c>
      <c r="G75" s="11" t="s">
        <v>13004</v>
      </c>
      <c r="H75" s="11" t="s">
        <v>13005</v>
      </c>
      <c r="I75" s="11" t="s">
        <v>13006</v>
      </c>
      <c r="J75" s="61" t="str">
        <f t="shared" si="4"/>
        <v>(${Variables:E1_1_1_100_kcat} * E1_1_1_100 * C16219 * C00005 * C00080)/(${Variables:E1_1_1_100_km} + (E1_1_1_100 * C16219 * C00005 * C00080))</v>
      </c>
      <c r="K75" s="54" t="str">
        <f t="shared" si="5"/>
        <v>r74: C16219 + C00005 + C00080 -&gt; C16220 + C00006 | (${Variables:E1_1_1_100_kcat} * E1_1_1_100 * C16219 * C00005 * C00080)/(${Variables:E1_1_1_100_km} + (E1_1_1_100 * C16219 * C00005 * C00080))</v>
      </c>
    </row>
    <row r="76" spans="1:11" ht="43.5">
      <c r="A76" s="11" t="s">
        <v>321</v>
      </c>
      <c r="B76" s="11" t="s">
        <v>322</v>
      </c>
      <c r="C76" s="11" t="s">
        <v>12308</v>
      </c>
      <c r="D76" s="60">
        <v>75</v>
      </c>
      <c r="E76" s="11" t="str">
        <f t="shared" si="3"/>
        <v>E1_1_1_100</v>
      </c>
      <c r="F76" s="11" t="s">
        <v>13007</v>
      </c>
      <c r="G76" s="11" t="s">
        <v>13008</v>
      </c>
      <c r="H76" s="11" t="s">
        <v>13009</v>
      </c>
      <c r="I76" s="11" t="s">
        <v>13010</v>
      </c>
      <c r="J76" s="61" t="str">
        <f t="shared" si="4"/>
        <v>(${Variables:E1_1_1_100_kcat} * E1_1_1_100 * C20372 * C00005 * C00080)/(${Variables:E1_1_1_100_km} + (E1_1_1_100 * C20372 * C00005 * C00080))</v>
      </c>
      <c r="K76" s="54" t="str">
        <f t="shared" si="5"/>
        <v>r75: C20372 + C00005 + C00080 -&gt; C20373 + C00006 | (${Variables:E1_1_1_100_kcat} * E1_1_1_100 * C20372 * C00005 * C00080)/(${Variables:E1_1_1_100_km} + (E1_1_1_100 * C20372 * C00005 * C00080))</v>
      </c>
    </row>
    <row r="77" spans="1:11" ht="43.5">
      <c r="A77" s="11" t="s">
        <v>321</v>
      </c>
      <c r="B77" s="11" t="s">
        <v>322</v>
      </c>
      <c r="C77" s="11" t="s">
        <v>12308</v>
      </c>
      <c r="D77" s="60">
        <v>76</v>
      </c>
      <c r="E77" s="11" t="str">
        <f t="shared" si="3"/>
        <v>E1_1_1_100</v>
      </c>
      <c r="F77" s="11" t="s">
        <v>13011</v>
      </c>
      <c r="G77" s="11" t="s">
        <v>13012</v>
      </c>
      <c r="H77" s="11" t="s">
        <v>13013</v>
      </c>
      <c r="I77" s="11" t="s">
        <v>13014</v>
      </c>
      <c r="J77" s="61" t="str">
        <f t="shared" si="4"/>
        <v>(${Variables:E1_1_1_100_kcat} * E1_1_1_100 * C20376 * C00005 * C00080)/(${Variables:E1_1_1_100_km} + (E1_1_1_100 * C20376 * C00005 * C00080))</v>
      </c>
      <c r="K77" s="54" t="str">
        <f t="shared" si="5"/>
        <v>r76: C20376 + C00005 + C00080 -&gt; C20377 + C00006 | (${Variables:E1_1_1_100_kcat} * E1_1_1_100 * C20376 * C00005 * C00080)/(${Variables:E1_1_1_100_km} + (E1_1_1_100 * C20376 * C00005 * C00080))</v>
      </c>
    </row>
    <row r="78" spans="1:11" ht="29">
      <c r="A78" s="11" t="s">
        <v>325</v>
      </c>
      <c r="B78" s="11" t="s">
        <v>326</v>
      </c>
      <c r="C78" s="11" t="s">
        <v>12309</v>
      </c>
      <c r="D78" s="60">
        <v>77</v>
      </c>
      <c r="E78" s="11" t="str">
        <f t="shared" si="3"/>
        <v>E2_3_1_39</v>
      </c>
      <c r="F78" s="11" t="s">
        <v>13015</v>
      </c>
      <c r="G78" s="11" t="s">
        <v>13016</v>
      </c>
      <c r="H78" s="11" t="s">
        <v>13017</v>
      </c>
      <c r="I78" s="11" t="s">
        <v>13018</v>
      </c>
      <c r="J78" s="61" t="str">
        <f t="shared" si="4"/>
        <v>(${Variables:E2_3_1_39_kcat} * E2_3_1_39 * C00083 * C00229)/(${Variables:E2_3_1_39_km} + (E2_3_1_39 * C00083 * C00229))</v>
      </c>
      <c r="K78" s="54" t="str">
        <f t="shared" si="5"/>
        <v>r77: C00083 + C00229 -&gt; C00010 + C01209 | (${Variables:E2_3_1_39_kcat} * E2_3_1_39 * C00083 * C00229)/(${Variables:E2_3_1_39_km} + (E2_3_1_39 * C00083 * C00229))</v>
      </c>
    </row>
    <row r="79" spans="1:11" ht="43.5">
      <c r="A79" s="11" t="s">
        <v>328</v>
      </c>
      <c r="B79" s="11" t="s">
        <v>329</v>
      </c>
      <c r="C79" s="11" t="s">
        <v>12310</v>
      </c>
      <c r="D79" s="60">
        <v>78</v>
      </c>
      <c r="E79" s="11" t="str">
        <f t="shared" si="3"/>
        <v>E1_13_12_16</v>
      </c>
      <c r="F79" s="62" t="s">
        <v>15550</v>
      </c>
      <c r="G79" s="62" t="s">
        <v>15551</v>
      </c>
      <c r="H79" s="11" t="s">
        <v>13019</v>
      </c>
      <c r="I79" s="11" t="s">
        <v>13020</v>
      </c>
      <c r="J79" s="61" t="str">
        <f t="shared" si="4"/>
        <v>(${Variables:E1_13_12_16_kcat} * E1_13_12_16 * C18091 * C00007 * C01847)/(${Variables:E1_13_12_16_km} + (E1_13_12_16 * C18091 * C00007 * C01847))</v>
      </c>
      <c r="K79" s="54" t="str">
        <f t="shared" si="5"/>
        <v>r78: C18091 + C00007 + C01847 -&gt; C00084 + C00088 + C00061 + C00001 | (${Variables:E1_13_12_16_kcat} * E1_13_12_16 * C18091 * C00007 * C01847)/(${Variables:E1_13_12_16_km} + (E1_13_12_16 * C18091 * C00007 * C01847))</v>
      </c>
    </row>
    <row r="80" spans="1:11" ht="29">
      <c r="A80" s="11" t="s">
        <v>336</v>
      </c>
      <c r="B80" s="11" t="s">
        <v>337</v>
      </c>
      <c r="C80" s="11" t="s">
        <v>12311</v>
      </c>
      <c r="D80" s="60">
        <v>79</v>
      </c>
      <c r="E80" s="11" t="str">
        <f t="shared" si="3"/>
        <v>E2_3_1_180</v>
      </c>
      <c r="F80" s="11" t="s">
        <v>13021</v>
      </c>
      <c r="G80" s="11" t="s">
        <v>13022</v>
      </c>
      <c r="H80" s="11" t="s">
        <v>13023</v>
      </c>
      <c r="I80" s="11" t="s">
        <v>13024</v>
      </c>
      <c r="J80" s="61" t="str">
        <f t="shared" si="4"/>
        <v>(${Variables:E2_3_1_180_kcat} * E2_3_1_180 * C00024 * C01209)/(${Variables:E2_3_1_180_km} + (E2_3_1_180 * C00024 * C01209))</v>
      </c>
      <c r="K80" s="54" t="str">
        <f t="shared" si="5"/>
        <v>r79: C00024 + C01209 -&gt; C05744 + C00010 + C00011 | (${Variables:E2_3_1_180_kcat} * E2_3_1_180 * C00024 * C01209)/(${Variables:E2_3_1_180_km} + (E2_3_1_180 * C00024 * C01209))</v>
      </c>
    </row>
    <row r="81" spans="1:11" ht="29">
      <c r="A81" s="11" t="s">
        <v>336</v>
      </c>
      <c r="B81" s="11" t="s">
        <v>337</v>
      </c>
      <c r="C81" s="11" t="s">
        <v>12312</v>
      </c>
      <c r="D81" s="60">
        <v>80</v>
      </c>
      <c r="E81" s="11" t="str">
        <f t="shared" si="3"/>
        <v>E2_3_1_41</v>
      </c>
      <c r="F81" s="11" t="s">
        <v>13025</v>
      </c>
      <c r="G81" s="11" t="s">
        <v>13026</v>
      </c>
      <c r="H81" s="11" t="s">
        <v>13027</v>
      </c>
      <c r="I81" s="11" t="s">
        <v>13028</v>
      </c>
      <c r="J81" s="61" t="str">
        <f t="shared" si="4"/>
        <v>(${Variables:E2_3_1_41_kcat} * E2_3_1_41 * C00173 * C01209)/(${Variables:E2_3_1_41_km} + (E2_3_1_41 * C00173 * C01209))</v>
      </c>
      <c r="K81" s="54" t="str">
        <f t="shared" si="5"/>
        <v>r80: C00173 + C01209 -&gt; C00685 + C00011 + C00229 | (${Variables:E2_3_1_41_kcat} * E2_3_1_41 * C00173 * C01209)/(${Variables:E2_3_1_41_km} + (E2_3_1_41 * C00173 * C01209))</v>
      </c>
    </row>
    <row r="82" spans="1:11" ht="29">
      <c r="A82" s="11" t="s">
        <v>344</v>
      </c>
      <c r="B82" s="11" t="s">
        <v>345</v>
      </c>
      <c r="C82" s="11" t="s">
        <v>12313</v>
      </c>
      <c r="D82" s="60">
        <v>81</v>
      </c>
      <c r="E82" s="11" t="str">
        <f t="shared" si="3"/>
        <v>E4_2_1_17</v>
      </c>
      <c r="F82" s="11" t="s">
        <v>7383</v>
      </c>
      <c r="G82" s="11" t="s">
        <v>7383</v>
      </c>
      <c r="H82" s="11" t="s">
        <v>13029</v>
      </c>
      <c r="I82" s="11" t="s">
        <v>13030</v>
      </c>
      <c r="J82" s="61" t="str">
        <f t="shared" si="4"/>
        <v>(${Variables:E4_2_1_17_kcat} * E4_2_1_17 * C00640)/(${Variables:E4_2_1_17_km} + (E4_2_1_17 * C00640))</v>
      </c>
      <c r="K82" s="54" t="str">
        <f t="shared" si="5"/>
        <v>r81: C00640 -&gt; C00658 + C00001 | (${Variables:E4_2_1_17_kcat} * E4_2_1_17 * C00640)/(${Variables:E4_2_1_17_km} + (E4_2_1_17 * C00640))</v>
      </c>
    </row>
    <row r="83" spans="1:11" ht="29">
      <c r="A83" s="11" t="s">
        <v>344</v>
      </c>
      <c r="B83" s="11" t="s">
        <v>345</v>
      </c>
      <c r="C83" s="11" t="s">
        <v>12313</v>
      </c>
      <c r="D83" s="60">
        <v>82</v>
      </c>
      <c r="E83" s="11" t="str">
        <f t="shared" si="3"/>
        <v>E4_2_1_17</v>
      </c>
      <c r="F83" s="11" t="s">
        <v>7386</v>
      </c>
      <c r="G83" s="11" t="s">
        <v>7386</v>
      </c>
      <c r="H83" s="11" t="s">
        <v>13031</v>
      </c>
      <c r="I83" s="11" t="s">
        <v>13032</v>
      </c>
      <c r="J83" s="61" t="str">
        <f t="shared" si="4"/>
        <v>(${Variables:E4_2_1_17_kcat} * E4_2_1_17 * C01144)/(${Variables:E4_2_1_17_km} + (E4_2_1_17 * C01144))</v>
      </c>
      <c r="K83" s="54" t="str">
        <f t="shared" si="5"/>
        <v>r82: C01144 -&gt; C00877 + C00001 | (${Variables:E4_2_1_17_kcat} * E4_2_1_17 * C01144)/(${Variables:E4_2_1_17_km} + (E4_2_1_17 * C01144))</v>
      </c>
    </row>
    <row r="84" spans="1:11" ht="29">
      <c r="A84" s="11" t="s">
        <v>344</v>
      </c>
      <c r="B84" s="11" t="s">
        <v>345</v>
      </c>
      <c r="C84" s="11" t="s">
        <v>12313</v>
      </c>
      <c r="D84" s="60">
        <v>83</v>
      </c>
      <c r="E84" s="11" t="str">
        <f t="shared" si="3"/>
        <v>E4_2_1_17</v>
      </c>
      <c r="F84" s="11" t="s">
        <v>7389</v>
      </c>
      <c r="G84" s="11" t="s">
        <v>7389</v>
      </c>
      <c r="H84" s="11" t="s">
        <v>13033</v>
      </c>
      <c r="I84" s="11" t="s">
        <v>13034</v>
      </c>
      <c r="J84" s="61" t="str">
        <f t="shared" si="4"/>
        <v>(${Variables:E4_2_1_17_kcat} * E4_2_1_17 * C05668)/(${Variables:E4_2_1_17_km} + (E4_2_1_17 * C05668))</v>
      </c>
      <c r="K84" s="54" t="str">
        <f t="shared" si="5"/>
        <v>r83: C05668 -&gt; C00894 + C00001 | (${Variables:E4_2_1_17_kcat} * E4_2_1_17 * C05668)/(${Variables:E4_2_1_17_km} + (E4_2_1_17 * C05668))</v>
      </c>
    </row>
    <row r="85" spans="1:11" ht="29">
      <c r="A85" s="11" t="s">
        <v>344</v>
      </c>
      <c r="B85" s="11" t="s">
        <v>345</v>
      </c>
      <c r="C85" s="11" t="s">
        <v>12313</v>
      </c>
      <c r="D85" s="60">
        <v>84</v>
      </c>
      <c r="E85" s="11" t="str">
        <f t="shared" si="3"/>
        <v>E4_2_1_17</v>
      </c>
      <c r="F85" s="11" t="s">
        <v>7392</v>
      </c>
      <c r="G85" s="11" t="s">
        <v>7392</v>
      </c>
      <c r="H85" s="11" t="s">
        <v>13035</v>
      </c>
      <c r="I85" s="11" t="s">
        <v>13036</v>
      </c>
      <c r="J85" s="61" t="str">
        <f t="shared" si="4"/>
        <v>(${Variables:E4_2_1_17_kcat} * E4_2_1_17 * C05262)/(${Variables:E4_2_1_17_km} + (E4_2_1_17 * C05262))</v>
      </c>
      <c r="K85" s="54" t="str">
        <f t="shared" si="5"/>
        <v>r84: C05262 -&gt; C03221 + C00001 | (${Variables:E4_2_1_17_kcat} * E4_2_1_17 * C05262)/(${Variables:E4_2_1_17_km} + (E4_2_1_17 * C05262))</v>
      </c>
    </row>
    <row r="86" spans="1:11" ht="29">
      <c r="A86" s="11" t="s">
        <v>344</v>
      </c>
      <c r="B86" s="11" t="s">
        <v>345</v>
      </c>
      <c r="C86" s="11" t="s">
        <v>12313</v>
      </c>
      <c r="D86" s="60">
        <v>85</v>
      </c>
      <c r="E86" s="11" t="str">
        <f t="shared" si="3"/>
        <v>E4_2_1_17</v>
      </c>
      <c r="F86" s="11" t="s">
        <v>7395</v>
      </c>
      <c r="G86" s="11" t="s">
        <v>7395</v>
      </c>
      <c r="H86" s="11" t="s">
        <v>13037</v>
      </c>
      <c r="I86" s="11" t="s">
        <v>13038</v>
      </c>
      <c r="J86" s="61" t="str">
        <f t="shared" si="4"/>
        <v>(${Variables:E4_2_1_17_kcat} * E4_2_1_17 * C04405)/(${Variables:E4_2_1_17_km} + (E4_2_1_17 * C04405))</v>
      </c>
      <c r="K86" s="54" t="str">
        <f t="shared" si="5"/>
        <v>r85: C04405 -&gt; C03345 + C00001 | (${Variables:E4_2_1_17_kcat} * E4_2_1_17 * C04405)/(${Variables:E4_2_1_17_km} + (E4_2_1_17 * C04405))</v>
      </c>
    </row>
    <row r="87" spans="1:11" ht="29">
      <c r="A87" s="11" t="s">
        <v>344</v>
      </c>
      <c r="B87" s="11" t="s">
        <v>345</v>
      </c>
      <c r="C87" s="11" t="s">
        <v>12313</v>
      </c>
      <c r="D87" s="60">
        <v>86</v>
      </c>
      <c r="E87" s="11" t="str">
        <f t="shared" si="3"/>
        <v>E4_2_1_17</v>
      </c>
      <c r="F87" s="11" t="s">
        <v>13039</v>
      </c>
      <c r="G87" s="11" t="s">
        <v>13040</v>
      </c>
      <c r="H87" s="11" t="s">
        <v>7399</v>
      </c>
      <c r="I87" s="11" t="s">
        <v>7399</v>
      </c>
      <c r="J87" s="61" t="str">
        <f t="shared" si="4"/>
        <v>(${Variables:E4_2_1_17_kcat} * E4_2_1_17 * C03460 * C00001)/(${Variables:E4_2_1_17_km} + (E4_2_1_17 * C03460 * C00001))</v>
      </c>
      <c r="K87" s="54" t="str">
        <f t="shared" si="5"/>
        <v>r86: C03460 + C00001 -&gt; C06000 | (${Variables:E4_2_1_17_kcat} * E4_2_1_17 * C03460 * C00001)/(${Variables:E4_2_1_17_km} + (E4_2_1_17 * C03460 * C00001))</v>
      </c>
    </row>
    <row r="88" spans="1:11" ht="29">
      <c r="A88" s="11" t="s">
        <v>344</v>
      </c>
      <c r="B88" s="11" t="s">
        <v>345</v>
      </c>
      <c r="C88" s="11" t="s">
        <v>12313</v>
      </c>
      <c r="D88" s="60">
        <v>87</v>
      </c>
      <c r="E88" s="11" t="str">
        <f t="shared" si="3"/>
        <v>E4_2_1_17</v>
      </c>
      <c r="F88" s="11" t="s">
        <v>7401</v>
      </c>
      <c r="G88" s="11" t="s">
        <v>7401</v>
      </c>
      <c r="H88" s="11" t="s">
        <v>13041</v>
      </c>
      <c r="I88" s="11" t="s">
        <v>13042</v>
      </c>
      <c r="J88" s="61" t="str">
        <f t="shared" si="4"/>
        <v>(${Variables:E4_2_1_17_kcat} * E4_2_1_17 * C05258)/(${Variables:E4_2_1_17_km} + (E4_2_1_17 * C05258))</v>
      </c>
      <c r="K88" s="54" t="str">
        <f t="shared" si="5"/>
        <v>r87: C05258 -&gt; C05272 + C00001 | (${Variables:E4_2_1_17_kcat} * E4_2_1_17 * C05258)/(${Variables:E4_2_1_17_km} + (E4_2_1_17 * C05258))</v>
      </c>
    </row>
    <row r="89" spans="1:11" ht="29">
      <c r="A89" s="11" t="s">
        <v>344</v>
      </c>
      <c r="B89" s="11" t="s">
        <v>345</v>
      </c>
      <c r="C89" s="11" t="s">
        <v>12313</v>
      </c>
      <c r="D89" s="60">
        <v>88</v>
      </c>
      <c r="E89" s="11" t="str">
        <f t="shared" si="3"/>
        <v>E4_2_1_17</v>
      </c>
      <c r="F89" s="11" t="s">
        <v>7404</v>
      </c>
      <c r="G89" s="11" t="s">
        <v>7404</v>
      </c>
      <c r="H89" s="11" t="s">
        <v>13043</v>
      </c>
      <c r="I89" s="11" t="s">
        <v>13044</v>
      </c>
      <c r="J89" s="61" t="str">
        <f t="shared" si="4"/>
        <v>(${Variables:E4_2_1_17_kcat} * E4_2_1_17 * C05260)/(${Variables:E4_2_1_17_km} + (E4_2_1_17 * C05260))</v>
      </c>
      <c r="K89" s="54" t="str">
        <f t="shared" si="5"/>
        <v>r88: C05260 -&gt; C05273 + C00001 | (${Variables:E4_2_1_17_kcat} * E4_2_1_17 * C05260)/(${Variables:E4_2_1_17_km} + (E4_2_1_17 * C05260))</v>
      </c>
    </row>
    <row r="90" spans="1:11" ht="29">
      <c r="A90" s="11" t="s">
        <v>344</v>
      </c>
      <c r="B90" s="11" t="s">
        <v>345</v>
      </c>
      <c r="C90" s="11" t="s">
        <v>12313</v>
      </c>
      <c r="D90" s="60">
        <v>89</v>
      </c>
      <c r="E90" s="11" t="str">
        <f t="shared" si="3"/>
        <v>E4_2_1_17</v>
      </c>
      <c r="F90" s="11" t="s">
        <v>7407</v>
      </c>
      <c r="G90" s="11" t="s">
        <v>7407</v>
      </c>
      <c r="H90" s="11" t="s">
        <v>13045</v>
      </c>
      <c r="I90" s="11" t="s">
        <v>13046</v>
      </c>
      <c r="J90" s="61" t="str">
        <f t="shared" si="4"/>
        <v>(${Variables:E4_2_1_17_kcat} * E4_2_1_17 * C05264)/(${Variables:E4_2_1_17_km} + (E4_2_1_17 * C05264))</v>
      </c>
      <c r="K90" s="54" t="str">
        <f t="shared" si="5"/>
        <v>r89: C05264 -&gt; C05275 + C00001 | (${Variables:E4_2_1_17_kcat} * E4_2_1_17 * C05264)/(${Variables:E4_2_1_17_km} + (E4_2_1_17 * C05264))</v>
      </c>
    </row>
    <row r="91" spans="1:11" ht="29">
      <c r="A91" s="11" t="s">
        <v>344</v>
      </c>
      <c r="B91" s="11" t="s">
        <v>345</v>
      </c>
      <c r="C91" s="11" t="s">
        <v>12313</v>
      </c>
      <c r="D91" s="60">
        <v>90</v>
      </c>
      <c r="E91" s="11" t="str">
        <f t="shared" si="3"/>
        <v>E4_2_1_17</v>
      </c>
      <c r="F91" s="11" t="s">
        <v>7410</v>
      </c>
      <c r="G91" s="11" t="s">
        <v>7410</v>
      </c>
      <c r="H91" s="11" t="s">
        <v>13047</v>
      </c>
      <c r="I91" s="11" t="s">
        <v>13048</v>
      </c>
      <c r="J91" s="61" t="str">
        <f t="shared" si="4"/>
        <v>(${Variables:E4_2_1_17_kcat} * E4_2_1_17 * C05266)/(${Variables:E4_2_1_17_km} + (E4_2_1_17 * C05266))</v>
      </c>
      <c r="K91" s="54" t="str">
        <f t="shared" si="5"/>
        <v>r90: C05266 -&gt; C05276 + C00001 | (${Variables:E4_2_1_17_kcat} * E4_2_1_17 * C05266)/(${Variables:E4_2_1_17_km} + (E4_2_1_17 * C05266))</v>
      </c>
    </row>
    <row r="92" spans="1:11" ht="29">
      <c r="A92" s="11" t="s">
        <v>344</v>
      </c>
      <c r="B92" s="11" t="s">
        <v>345</v>
      </c>
      <c r="C92" s="11" t="s">
        <v>12313</v>
      </c>
      <c r="D92" s="60">
        <v>91</v>
      </c>
      <c r="E92" s="11" t="str">
        <f t="shared" si="3"/>
        <v>E4_2_1_17</v>
      </c>
      <c r="F92" s="11" t="s">
        <v>7413</v>
      </c>
      <c r="G92" s="11" t="s">
        <v>7413</v>
      </c>
      <c r="H92" s="11" t="s">
        <v>13049</v>
      </c>
      <c r="I92" s="11" t="s">
        <v>13050</v>
      </c>
      <c r="J92" s="61" t="str">
        <f t="shared" si="4"/>
        <v>(${Variables:E4_2_1_17_kcat} * E4_2_1_17 * C05268)/(${Variables:E4_2_1_17_km} + (E4_2_1_17 * C05268))</v>
      </c>
      <c r="K92" s="54" t="str">
        <f t="shared" si="5"/>
        <v>r91: C05268 -&gt; C05271 + C00001 | (${Variables:E4_2_1_17_kcat} * E4_2_1_17 * C05268)/(${Variables:E4_2_1_17_km} + (E4_2_1_17 * C05268))</v>
      </c>
    </row>
    <row r="93" spans="1:11" ht="29">
      <c r="A93" s="11" t="s">
        <v>344</v>
      </c>
      <c r="B93" s="11" t="s">
        <v>345</v>
      </c>
      <c r="C93" s="11" t="s">
        <v>12313</v>
      </c>
      <c r="D93" s="60">
        <v>92</v>
      </c>
      <c r="E93" s="11" t="str">
        <f t="shared" si="3"/>
        <v>E4_2_1_17</v>
      </c>
      <c r="F93" s="11" t="s">
        <v>7416</v>
      </c>
      <c r="G93" s="11" t="s">
        <v>7416</v>
      </c>
      <c r="H93" s="11" t="s">
        <v>13051</v>
      </c>
      <c r="I93" s="11" t="s">
        <v>13052</v>
      </c>
      <c r="J93" s="61" t="str">
        <f t="shared" si="4"/>
        <v>(${Variables:E4_2_1_17_kcat} * E4_2_1_17 * C16329)/(${Variables:E4_2_1_17_km} + (E4_2_1_17 * C16329))</v>
      </c>
      <c r="K93" s="54" t="str">
        <f t="shared" si="5"/>
        <v>r92: C16329 -&gt; C16328 + C00001 | (${Variables:E4_2_1_17_kcat} * E4_2_1_17 * C16329)/(${Variables:E4_2_1_17_km} + (E4_2_1_17 * C16329))</v>
      </c>
    </row>
    <row r="94" spans="1:11" ht="29">
      <c r="A94" s="11" t="s">
        <v>344</v>
      </c>
      <c r="B94" s="11" t="s">
        <v>345</v>
      </c>
      <c r="C94" s="11" t="s">
        <v>12313</v>
      </c>
      <c r="D94" s="60">
        <v>93</v>
      </c>
      <c r="E94" s="11" t="str">
        <f t="shared" si="3"/>
        <v>E4_2_1_17</v>
      </c>
      <c r="F94" s="11" t="s">
        <v>7419</v>
      </c>
      <c r="G94" s="11" t="s">
        <v>7419</v>
      </c>
      <c r="H94" s="11" t="s">
        <v>13053</v>
      </c>
      <c r="I94" s="11" t="s">
        <v>13054</v>
      </c>
      <c r="J94" s="61" t="str">
        <f t="shared" si="4"/>
        <v>(${Variables:E4_2_1_17_kcat} * E4_2_1_17 * C16333)/(${Variables:E4_2_1_17_km} + (E4_2_1_17 * C16333))</v>
      </c>
      <c r="K94" s="54" t="str">
        <f t="shared" si="5"/>
        <v>r93: C16333 -&gt; C16332 + C00001 | (${Variables:E4_2_1_17_kcat} * E4_2_1_17 * C16333)/(${Variables:E4_2_1_17_km} + (E4_2_1_17 * C16333))</v>
      </c>
    </row>
    <row r="95" spans="1:11" ht="29">
      <c r="A95" s="11" t="s">
        <v>344</v>
      </c>
      <c r="B95" s="11" t="s">
        <v>345</v>
      </c>
      <c r="C95" s="11" t="s">
        <v>12313</v>
      </c>
      <c r="D95" s="60">
        <v>94</v>
      </c>
      <c r="E95" s="11" t="str">
        <f t="shared" si="3"/>
        <v>E4_2_1_17</v>
      </c>
      <c r="F95" s="11" t="s">
        <v>7422</v>
      </c>
      <c r="G95" s="11" t="s">
        <v>7422</v>
      </c>
      <c r="H95" s="11" t="s">
        <v>13055</v>
      </c>
      <c r="I95" s="11" t="s">
        <v>13056</v>
      </c>
      <c r="J95" s="61" t="str">
        <f t="shared" si="4"/>
        <v>(${Variables:E4_2_1_17_kcat} * E4_2_1_17 * C16337)/(${Variables:E4_2_1_17_km} + (E4_2_1_17 * C16337))</v>
      </c>
      <c r="K95" s="54" t="str">
        <f t="shared" si="5"/>
        <v>r94: C16337 -&gt; C16336 + C00001 | (${Variables:E4_2_1_17_kcat} * E4_2_1_17 * C16337)/(${Variables:E4_2_1_17_km} + (E4_2_1_17 * C16337))</v>
      </c>
    </row>
    <row r="96" spans="1:11" ht="29">
      <c r="A96" s="11" t="s">
        <v>344</v>
      </c>
      <c r="B96" s="11" t="s">
        <v>345</v>
      </c>
      <c r="C96" s="11" t="s">
        <v>12313</v>
      </c>
      <c r="D96" s="60">
        <v>95</v>
      </c>
      <c r="E96" s="11" t="str">
        <f t="shared" si="3"/>
        <v>E4_2_1_17</v>
      </c>
      <c r="F96" s="11" t="s">
        <v>7383</v>
      </c>
      <c r="G96" s="11" t="s">
        <v>7383</v>
      </c>
      <c r="H96" s="11" t="s">
        <v>13057</v>
      </c>
      <c r="I96" s="11" t="s">
        <v>13058</v>
      </c>
      <c r="J96" s="61" t="str">
        <f t="shared" si="4"/>
        <v>(${Variables:E4_2_1_17_kcat} * E4_2_1_17 * C00640)/(${Variables:E4_2_1_17_km} + (E4_2_1_17 * C00640))</v>
      </c>
      <c r="K96" s="54" t="str">
        <f t="shared" si="5"/>
        <v>r95: C00640 -&gt; C05067 + C00001 | (${Variables:E4_2_1_17_kcat} * E4_2_1_17 * C00640)/(${Variables:E4_2_1_17_km} + (E4_2_1_17 * C00640))</v>
      </c>
    </row>
    <row r="97" spans="1:11" ht="29">
      <c r="A97" s="11" t="s">
        <v>344</v>
      </c>
      <c r="B97" s="11" t="s">
        <v>345</v>
      </c>
      <c r="C97" s="11" t="s">
        <v>12313</v>
      </c>
      <c r="D97" s="60">
        <v>96</v>
      </c>
      <c r="E97" s="11" t="str">
        <f t="shared" si="3"/>
        <v>E4_2_1_17</v>
      </c>
      <c r="F97" s="11" t="s">
        <v>7427</v>
      </c>
      <c r="G97" s="11" t="s">
        <v>7427</v>
      </c>
      <c r="H97" s="11" t="s">
        <v>13059</v>
      </c>
      <c r="I97" s="11" t="s">
        <v>13060</v>
      </c>
      <c r="J97" s="61" t="str">
        <f t="shared" si="4"/>
        <v>(${Variables:E4_2_1_17_kcat} * E4_2_1_17 * C01086)/(${Variables:E4_2_1_17_km} + (E4_2_1_17 * C01086))</v>
      </c>
      <c r="K97" s="54" t="str">
        <f t="shared" si="5"/>
        <v>r96: C01086 -&gt; C01122 + C00001 | (${Variables:E4_2_1_17_kcat} * E4_2_1_17 * C01086)/(${Variables:E4_2_1_17_km} + (E4_2_1_17 * C01086))</v>
      </c>
    </row>
    <row r="98" spans="1:11" ht="29">
      <c r="A98" s="11" t="s">
        <v>344</v>
      </c>
      <c r="B98" s="11" t="s">
        <v>345</v>
      </c>
      <c r="C98" s="11" t="s">
        <v>12313</v>
      </c>
      <c r="D98" s="60">
        <v>97</v>
      </c>
      <c r="E98" s="11" t="str">
        <f t="shared" si="3"/>
        <v>E4_2_1_17</v>
      </c>
      <c r="F98" s="11" t="s">
        <v>7430</v>
      </c>
      <c r="G98" s="11" t="s">
        <v>7430</v>
      </c>
      <c r="H98" s="11" t="s">
        <v>13061</v>
      </c>
      <c r="I98" s="11" t="s">
        <v>13062</v>
      </c>
      <c r="J98" s="61" t="str">
        <f t="shared" si="4"/>
        <v>(${Variables:E4_2_1_17_kcat} * E4_2_1_17 * C05998)/(${Variables:E4_2_1_17_km} + (E4_2_1_17 * C05998))</v>
      </c>
      <c r="K98" s="54" t="str">
        <f t="shared" si="5"/>
        <v>r97: C05998 -&gt; C03069 + C00001 | (${Variables:E4_2_1_17_kcat} * E4_2_1_17 * C05998)/(${Variables:E4_2_1_17_km} + (E4_2_1_17 * C05998))</v>
      </c>
    </row>
    <row r="99" spans="1:11" ht="29">
      <c r="A99" s="11" t="s">
        <v>344</v>
      </c>
      <c r="B99" s="11" t="s">
        <v>345</v>
      </c>
      <c r="C99" s="11" t="s">
        <v>12313</v>
      </c>
      <c r="D99" s="60">
        <v>98</v>
      </c>
      <c r="E99" s="11" t="str">
        <f t="shared" si="3"/>
        <v>E4_2_1_17</v>
      </c>
      <c r="F99" s="11" t="s">
        <v>13031</v>
      </c>
      <c r="G99" s="11" t="s">
        <v>13032</v>
      </c>
      <c r="H99" s="11" t="s">
        <v>7433</v>
      </c>
      <c r="I99" s="11" t="s">
        <v>7433</v>
      </c>
      <c r="J99" s="61" t="str">
        <f t="shared" si="4"/>
        <v>(${Variables:E4_2_1_17_kcat} * E4_2_1_17 * C00877 * C00001)/(${Variables:E4_2_1_17_km} + (E4_2_1_17 * C00877 * C00001))</v>
      </c>
      <c r="K99" s="54" t="str">
        <f t="shared" si="5"/>
        <v>r98: C00877 + C00001 -&gt; C05116 | (${Variables:E4_2_1_17_kcat} * E4_2_1_17 * C00877 * C00001)/(${Variables:E4_2_1_17_km} + (E4_2_1_17 * C00877 * C00001))</v>
      </c>
    </row>
    <row r="100" spans="1:11" ht="29">
      <c r="A100" s="11" t="s">
        <v>344</v>
      </c>
      <c r="B100" s="11" t="s">
        <v>345</v>
      </c>
      <c r="C100" s="11" t="s">
        <v>12313</v>
      </c>
      <c r="D100" s="60">
        <v>99</v>
      </c>
      <c r="E100" s="11" t="str">
        <f t="shared" si="3"/>
        <v>E4_2_1_17</v>
      </c>
      <c r="F100" s="11" t="s">
        <v>13063</v>
      </c>
      <c r="G100" s="11" t="s">
        <v>13064</v>
      </c>
      <c r="H100" s="11" t="s">
        <v>7436</v>
      </c>
      <c r="I100" s="11" t="s">
        <v>7436</v>
      </c>
      <c r="J100" s="61" t="str">
        <f t="shared" si="4"/>
        <v>(${Variables:E4_2_1_17_kcat} * E4_2_1_17 * C11946 * C00001)/(${Variables:E4_2_1_17_km} + (E4_2_1_17 * C11946 * C00001))</v>
      </c>
      <c r="K100" s="54" t="str">
        <f t="shared" si="5"/>
        <v>r99: C11946 + C00001 -&gt; C11947 | (${Variables:E4_2_1_17_kcat} * E4_2_1_17 * C11946 * C00001)/(${Variables:E4_2_1_17_km} + (E4_2_1_17 * C11946 * C00001))</v>
      </c>
    </row>
    <row r="101" spans="1:11" ht="29">
      <c r="A101" s="11" t="s">
        <v>344</v>
      </c>
      <c r="B101" s="11" t="s">
        <v>345</v>
      </c>
      <c r="C101" s="11" t="s">
        <v>12313</v>
      </c>
      <c r="D101" s="60">
        <v>100</v>
      </c>
      <c r="E101" s="11" t="str">
        <f t="shared" si="3"/>
        <v>E4_2_1_17</v>
      </c>
      <c r="F101" s="11" t="s">
        <v>13065</v>
      </c>
      <c r="G101" s="11" t="s">
        <v>13066</v>
      </c>
      <c r="H101" s="11" t="s">
        <v>7436</v>
      </c>
      <c r="I101" s="11" t="s">
        <v>7436</v>
      </c>
      <c r="J101" s="61" t="str">
        <f t="shared" si="4"/>
        <v>(${Variables:E4_2_1_17_kcat} * E4_2_1_17 * C11945 * C00001)/(${Variables:E4_2_1_17_km} + (E4_2_1_17 * C11945 * C00001))</v>
      </c>
      <c r="K101" s="54" t="str">
        <f t="shared" si="5"/>
        <v>r100: C11945 + C00001 -&gt; C11947 | (${Variables:E4_2_1_17_kcat} * E4_2_1_17 * C11945 * C00001)/(${Variables:E4_2_1_17_km} + (E4_2_1_17 * C11945 * C00001))</v>
      </c>
    </row>
    <row r="102" spans="1:11" ht="29">
      <c r="A102" s="11" t="s">
        <v>344</v>
      </c>
      <c r="B102" s="11" t="s">
        <v>345</v>
      </c>
      <c r="C102" s="11" t="s">
        <v>12313</v>
      </c>
      <c r="D102" s="60">
        <v>101</v>
      </c>
      <c r="E102" s="11" t="str">
        <f t="shared" si="3"/>
        <v>E4_2_1_17</v>
      </c>
      <c r="F102" s="11" t="s">
        <v>13067</v>
      </c>
      <c r="G102" s="11" t="s">
        <v>13068</v>
      </c>
      <c r="H102" s="11" t="s">
        <v>7441</v>
      </c>
      <c r="I102" s="11" t="s">
        <v>7441</v>
      </c>
      <c r="J102" s="61" t="str">
        <f t="shared" si="4"/>
        <v>(${Variables:E4_2_1_17_kcat} * E4_2_1_17 * C14144 * C00001)/(${Variables:E4_2_1_17_km} + (E4_2_1_17 * C14144 * C00001))</v>
      </c>
      <c r="K102" s="54" t="str">
        <f t="shared" si="5"/>
        <v>r101: C14144 + C00001 -&gt; C14145 | (${Variables:E4_2_1_17_kcat} * E4_2_1_17 * C14144 * C00001)/(${Variables:E4_2_1_17_km} + (E4_2_1_17 * C14144 * C00001))</v>
      </c>
    </row>
    <row r="103" spans="1:11" ht="29">
      <c r="A103" s="11" t="s">
        <v>344</v>
      </c>
      <c r="B103" s="11" t="s">
        <v>345</v>
      </c>
      <c r="C103" s="11" t="s">
        <v>12313</v>
      </c>
      <c r="D103" s="60">
        <v>102</v>
      </c>
      <c r="E103" s="11" t="str">
        <f t="shared" si="3"/>
        <v>E4_2_1_17</v>
      </c>
      <c r="F103" s="11" t="s">
        <v>13069</v>
      </c>
      <c r="G103" s="11" t="s">
        <v>13070</v>
      </c>
      <c r="H103" s="11" t="s">
        <v>7444</v>
      </c>
      <c r="I103" s="11" t="s">
        <v>7444</v>
      </c>
      <c r="J103" s="61" t="str">
        <f t="shared" si="4"/>
        <v>(${Variables:E4_2_1_17_kcat} * E4_2_1_17 * C16468 * C00001)/(${Variables:E4_2_1_17_km} + (E4_2_1_17 * C16468 * C00001))</v>
      </c>
      <c r="K103" s="54" t="str">
        <f t="shared" si="5"/>
        <v>r102: C16468 + C00001 -&gt; C16469 | (${Variables:E4_2_1_17_kcat} * E4_2_1_17 * C16468 * C00001)/(${Variables:E4_2_1_17_km} + (E4_2_1_17 * C16468 * C00001))</v>
      </c>
    </row>
    <row r="104" spans="1:11" ht="29">
      <c r="A104" s="11" t="s">
        <v>348</v>
      </c>
      <c r="B104" s="11" t="s">
        <v>349</v>
      </c>
      <c r="C104" s="11" t="s">
        <v>12314</v>
      </c>
      <c r="D104" s="60">
        <v>103</v>
      </c>
      <c r="E104" s="11" t="str">
        <f t="shared" si="3"/>
        <v>E1_1_1_3</v>
      </c>
      <c r="F104" s="11" t="s">
        <v>13071</v>
      </c>
      <c r="G104" s="11" t="s">
        <v>13072</v>
      </c>
      <c r="H104" s="11" t="s">
        <v>13073</v>
      </c>
      <c r="I104" s="11" t="s">
        <v>13074</v>
      </c>
      <c r="J104" s="61" t="str">
        <f t="shared" si="4"/>
        <v>(${Variables:E1_1_1_3_kcat} * E1_1_1_3 * C00263 * C00003)/(${Variables:E1_1_1_3_km} + (E1_1_1_3 * C00263 * C00003))</v>
      </c>
      <c r="K104" s="54" t="str">
        <f t="shared" si="5"/>
        <v>r103: C00263 + C00003 -&gt; C00441 + C00004 + C00080 | (${Variables:E1_1_1_3_kcat} * E1_1_1_3 * C00263 * C00003)/(${Variables:E1_1_1_3_km} + (E1_1_1_3 * C00263 * C00003))</v>
      </c>
    </row>
    <row r="105" spans="1:11" ht="29">
      <c r="A105" s="11" t="s">
        <v>348</v>
      </c>
      <c r="B105" s="11" t="s">
        <v>349</v>
      </c>
      <c r="C105" s="11" t="s">
        <v>12314</v>
      </c>
      <c r="D105" s="60">
        <v>104</v>
      </c>
      <c r="E105" s="11" t="str">
        <f t="shared" si="3"/>
        <v>E1_1_1_3</v>
      </c>
      <c r="F105" s="11" t="s">
        <v>13071</v>
      </c>
      <c r="G105" s="11" t="s">
        <v>13072</v>
      </c>
      <c r="H105" s="11" t="s">
        <v>13075</v>
      </c>
      <c r="I105" s="11" t="s">
        <v>13076</v>
      </c>
      <c r="J105" s="61" t="str">
        <f t="shared" si="4"/>
        <v>(${Variables:E1_1_1_3_kcat} * E1_1_1_3 * C00263 * C00003)/(${Variables:E1_1_1_3_km} + (E1_1_1_3 * C00263 * C00003))</v>
      </c>
      <c r="K105" s="54" t="str">
        <f t="shared" si="5"/>
        <v>r104: C00263 + C00003 -&gt; C00441 + C00005 + C00080 | (${Variables:E1_1_1_3_kcat} * E1_1_1_3 * C00263 * C00003)/(${Variables:E1_1_1_3_km} + (E1_1_1_3 * C00263 * C00003))</v>
      </c>
    </row>
    <row r="106" spans="1:11" ht="43.5">
      <c r="A106" s="11" t="s">
        <v>355</v>
      </c>
      <c r="B106" s="11" t="s">
        <v>356</v>
      </c>
      <c r="C106" s="11" t="s">
        <v>12315</v>
      </c>
      <c r="D106" s="60">
        <v>105</v>
      </c>
      <c r="E106" s="11" t="str">
        <f t="shared" si="3"/>
        <v>E6_1_1_11</v>
      </c>
      <c r="F106" s="11" t="s">
        <v>13077</v>
      </c>
      <c r="G106" s="11" t="s">
        <v>13078</v>
      </c>
      <c r="H106" s="11" t="s">
        <v>13079</v>
      </c>
      <c r="I106" s="11" t="s">
        <v>13080</v>
      </c>
      <c r="J106" s="61" t="str">
        <f t="shared" si="4"/>
        <v>(${Variables:E6_1_1_11_kcat} * E6_1_1_11 * C00002 * C00065 * C01650)/(${Variables:E6_1_1_11_km} + (E6_1_1_11 * C00002 * C00065 * C01650))</v>
      </c>
      <c r="K106" s="54" t="str">
        <f t="shared" si="5"/>
        <v>r105: C00002 + C00065 + C01650 -&gt; C00020 + C00013 + C02553 | (${Variables:E6_1_1_11_kcat} * E6_1_1_11 * C00002 * C00065 * C01650)/(${Variables:E6_1_1_11_km} + (E6_1_1_11 * C00002 * C00065 * C01650))</v>
      </c>
    </row>
    <row r="107" spans="1:11" ht="43.5">
      <c r="A107" s="11" t="s">
        <v>355</v>
      </c>
      <c r="B107" s="11" t="s">
        <v>356</v>
      </c>
      <c r="C107" s="11" t="s">
        <v>12315</v>
      </c>
      <c r="D107" s="60">
        <v>106</v>
      </c>
      <c r="E107" s="11" t="str">
        <f t="shared" si="3"/>
        <v>E6_1_1_11</v>
      </c>
      <c r="F107" s="11" t="s">
        <v>13081</v>
      </c>
      <c r="G107" s="11" t="s">
        <v>13082</v>
      </c>
      <c r="H107" s="11" t="s">
        <v>13083</v>
      </c>
      <c r="I107" s="11" t="s">
        <v>13084</v>
      </c>
      <c r="J107" s="61" t="str">
        <f t="shared" si="4"/>
        <v>(${Variables:E6_1_1_11_kcat} * E6_1_1_11 * C00002 * C00065 * C16636)/(${Variables:E6_1_1_11_km} + (E6_1_1_11 * C00002 * C00065 * C16636))</v>
      </c>
      <c r="K107" s="54" t="str">
        <f t="shared" si="5"/>
        <v>r106: C00002 + C00065 + C16636 -&gt; C00020 + C00013 + C06481 | (${Variables:E6_1_1_11_kcat} * E6_1_1_11 * C00002 * C00065 * C16636)/(${Variables:E6_1_1_11_km} + (E6_1_1_11 * C00002 * C00065 * C16636))</v>
      </c>
    </row>
    <row r="108" spans="1:11" ht="29">
      <c r="A108" s="11" t="s">
        <v>391</v>
      </c>
      <c r="B108" s="11" t="s">
        <v>392</v>
      </c>
      <c r="C108" s="11" t="s">
        <v>12319</v>
      </c>
      <c r="D108" s="60">
        <v>107</v>
      </c>
      <c r="E108" s="11" t="str">
        <f t="shared" si="3"/>
        <v>E5_2_1_8</v>
      </c>
      <c r="F108" s="11" t="s">
        <v>7469</v>
      </c>
      <c r="G108" s="11" t="s">
        <v>7469</v>
      </c>
      <c r="H108" s="11" t="s">
        <v>7470</v>
      </c>
      <c r="I108" s="11" t="s">
        <v>7470</v>
      </c>
      <c r="J108" s="61" t="str">
        <f t="shared" si="4"/>
        <v>(${Variables:E5_2_1_8_kcat} * E5_2_1_8 * C03798)/(${Variables:E5_2_1_8_km} + (E5_2_1_8 * C03798))</v>
      </c>
      <c r="K108" s="54" t="str">
        <f t="shared" si="5"/>
        <v>r107: C03798 -&gt; C03633 | (${Variables:E5_2_1_8_kcat} * E5_2_1_8 * C03798)/(${Variables:E5_2_1_8_km} + (E5_2_1_8 * C03798))</v>
      </c>
    </row>
    <row r="109" spans="1:11" ht="29">
      <c r="A109" s="11" t="s">
        <v>418</v>
      </c>
      <c r="B109" s="11" t="s">
        <v>419</v>
      </c>
      <c r="C109" s="11" t="s">
        <v>12322</v>
      </c>
      <c r="D109" s="60">
        <v>108</v>
      </c>
      <c r="E109" s="11" t="str">
        <f t="shared" si="3"/>
        <v>E5_3_3_2</v>
      </c>
      <c r="F109" s="11" t="s">
        <v>7479</v>
      </c>
      <c r="G109" s="11" t="s">
        <v>7479</v>
      </c>
      <c r="H109" s="11" t="s">
        <v>7480</v>
      </c>
      <c r="I109" s="11" t="s">
        <v>7480</v>
      </c>
      <c r="J109" s="61" t="str">
        <f t="shared" si="4"/>
        <v>(${Variables:E5_3_3_2_kcat} * E5_3_3_2 * C00129)/(${Variables:E5_3_3_2_km} + (E5_3_3_2 * C00129))</v>
      </c>
      <c r="K109" s="54" t="str">
        <f t="shared" si="5"/>
        <v>r108: C00129 -&gt; C00235 | (${Variables:E5_3_3_2_kcat} * E5_3_3_2 * C00129)/(${Variables:E5_3_3_2_km} + (E5_3_3_2 * C00129))</v>
      </c>
    </row>
    <row r="110" spans="1:11" ht="29">
      <c r="A110" s="11" t="s">
        <v>421</v>
      </c>
      <c r="B110" s="11" t="s">
        <v>422</v>
      </c>
      <c r="C110" s="11" t="s">
        <v>12323</v>
      </c>
      <c r="D110" s="60">
        <v>109</v>
      </c>
      <c r="E110" s="11" t="str">
        <f t="shared" si="3"/>
        <v>E2_7_4_2</v>
      </c>
      <c r="F110" s="11" t="s">
        <v>13085</v>
      </c>
      <c r="G110" s="11" t="s">
        <v>13086</v>
      </c>
      <c r="H110" s="11" t="s">
        <v>13087</v>
      </c>
      <c r="I110" s="11" t="s">
        <v>13088</v>
      </c>
      <c r="J110" s="61" t="str">
        <f t="shared" si="4"/>
        <v>(${Variables:E2_7_4_2_kcat} * E2_7_4_2 * C00002 * C01107)/(${Variables:E2_7_4_2_km} + (E2_7_4_2 * C00002 * C01107))</v>
      </c>
      <c r="K110" s="54" t="str">
        <f t="shared" si="5"/>
        <v>r109: C00002 + C01107 -&gt; C00008 + C01143 | (${Variables:E2_7_4_2_kcat} * E2_7_4_2 * C00002 * C01107)/(${Variables:E2_7_4_2_km} + (E2_7_4_2 * C00002 * C01107))</v>
      </c>
    </row>
    <row r="111" spans="1:11" ht="29">
      <c r="A111" s="11" t="s">
        <v>425</v>
      </c>
      <c r="B111" s="11" t="s">
        <v>426</v>
      </c>
      <c r="C111" s="11" t="s">
        <v>12324</v>
      </c>
      <c r="D111" s="60">
        <v>110</v>
      </c>
      <c r="E111" s="11" t="str">
        <f t="shared" si="3"/>
        <v>E4_1_1_33</v>
      </c>
      <c r="F111" s="11" t="s">
        <v>13089</v>
      </c>
      <c r="G111" s="11" t="s">
        <v>13090</v>
      </c>
      <c r="H111" s="11" t="s">
        <v>13091</v>
      </c>
      <c r="I111" s="11" t="s">
        <v>13092</v>
      </c>
      <c r="J111" s="61" t="str">
        <f t="shared" si="4"/>
        <v>(${Variables:E4_1_1_33_kcat} * E4_1_1_33 * C00002 * C01143)/(${Variables:E4_1_1_33_km} + (E4_1_1_33 * C00002 * C01143))</v>
      </c>
      <c r="K111" s="54" t="str">
        <f t="shared" si="5"/>
        <v>r110: C00002 + C01143 -&gt; C00008 + C00009 + C00129 + C00011 | (${Variables:E4_1_1_33_kcat} * E4_1_1_33 * C00002 * C01143)/(${Variables:E4_1_1_33_km} + (E4_1_1_33 * C00002 * C01143))</v>
      </c>
    </row>
    <row r="112" spans="1:11" ht="29">
      <c r="A112" s="11" t="s">
        <v>441</v>
      </c>
      <c r="B112" s="11" t="s">
        <v>442</v>
      </c>
      <c r="C112" s="11" t="s">
        <v>12325</v>
      </c>
      <c r="D112" s="60">
        <v>111</v>
      </c>
      <c r="E112" s="11" t="str">
        <f t="shared" si="3"/>
        <v>E3_5_1_28</v>
      </c>
      <c r="F112" s="11" t="s">
        <v>13093</v>
      </c>
      <c r="G112" s="11" t="s">
        <v>13094</v>
      </c>
      <c r="H112" s="11" t="s">
        <v>13095</v>
      </c>
      <c r="I112" s="11" t="s">
        <v>13096</v>
      </c>
      <c r="J112" s="61" t="str">
        <f t="shared" si="4"/>
        <v>(${Variables:E3_5_1_28_kcat} * E3_5_1_28 * C02999 * C00001)/(${Variables:E3_5_1_28_km} + (E3_5_1_28 * C02999 * C00001))</v>
      </c>
      <c r="K112" s="54" t="str">
        <f t="shared" si="5"/>
        <v>r111: C02999 + C00001 -&gt; C02713 + C00041 | (${Variables:E3_5_1_28_kcat} * E3_5_1_28 * C02999 * C00001)/(${Variables:E3_5_1_28_km} + (E3_5_1_28 * C02999 * C00001))</v>
      </c>
    </row>
    <row r="113" spans="1:11" ht="29">
      <c r="A113" s="11" t="s">
        <v>451</v>
      </c>
      <c r="B113" s="11" t="s">
        <v>452</v>
      </c>
      <c r="C113" s="11" t="s">
        <v>12326</v>
      </c>
      <c r="D113" s="60">
        <v>112</v>
      </c>
      <c r="E113" s="11" t="str">
        <f t="shared" si="3"/>
        <v>E1_1_1_44</v>
      </c>
      <c r="F113" s="11" t="s">
        <v>13097</v>
      </c>
      <c r="G113" s="11" t="s">
        <v>13098</v>
      </c>
      <c r="H113" s="11" t="s">
        <v>13099</v>
      </c>
      <c r="I113" s="11" t="s">
        <v>13100</v>
      </c>
      <c r="J113" s="61" t="str">
        <f t="shared" si="4"/>
        <v>(${Variables:E1_1_1_44_kcat} * E1_1_1_44 * C00345 * C00006)/(${Variables:E1_1_1_44_km} + (E1_1_1_44 * C00345 * C00006))</v>
      </c>
      <c r="K113" s="54" t="str">
        <f t="shared" si="5"/>
        <v>r112: C00345 + C00006 -&gt; C00199 + C00011 + C00005 + C00080 | (${Variables:E1_1_1_44_kcat} * E1_1_1_44 * C00345 * C00006)/(${Variables:E1_1_1_44_km} + (E1_1_1_44 * C00345 * C00006))</v>
      </c>
    </row>
    <row r="114" spans="1:11" ht="29">
      <c r="A114" s="11" t="s">
        <v>458</v>
      </c>
      <c r="B114" s="11" t="s">
        <v>459</v>
      </c>
      <c r="C114" s="11" t="s">
        <v>12328</v>
      </c>
      <c r="D114" s="60">
        <v>113</v>
      </c>
      <c r="E114" s="11" t="str">
        <f t="shared" si="3"/>
        <v>E2_1_1_173</v>
      </c>
      <c r="F114" s="11" t="s">
        <v>13101</v>
      </c>
      <c r="G114" s="11" t="s">
        <v>13102</v>
      </c>
      <c r="H114" s="11" t="s">
        <v>13103</v>
      </c>
      <c r="I114" s="11" t="s">
        <v>13104</v>
      </c>
      <c r="J114" s="61" t="str">
        <f t="shared" si="4"/>
        <v>(${Variables:E2_1_1_173_kcat} * E2_1_1_173 * C00019 * C00240)/(${Variables:E2_1_1_173_km} + (E2_1_1_173 * C00019 * C00240))</v>
      </c>
      <c r="K114" s="54" t="str">
        <f t="shared" si="5"/>
        <v>r113: C00019 + C00240 -&gt; C00021 + C04153 | (${Variables:E2_1_1_173_kcat} * E2_1_1_173 * C00019 * C00240)/(${Variables:E2_1_1_173_km} + (E2_1_1_173 * C00019 * C00240))</v>
      </c>
    </row>
    <row r="115" spans="1:11" ht="29">
      <c r="A115" s="11" t="s">
        <v>477</v>
      </c>
      <c r="B115" s="11" t="s">
        <v>478</v>
      </c>
      <c r="C115" s="11" t="s">
        <v>12329</v>
      </c>
      <c r="D115" s="60">
        <v>114</v>
      </c>
      <c r="E115" s="11" t="str">
        <f t="shared" si="3"/>
        <v>E3_2_1_97</v>
      </c>
      <c r="F115" s="11" t="s">
        <v>13105</v>
      </c>
      <c r="G115" s="11" t="s">
        <v>13106</v>
      </c>
      <c r="H115" s="11" t="s">
        <v>13107</v>
      </c>
      <c r="I115" s="11" t="s">
        <v>13108</v>
      </c>
      <c r="J115" s="61" t="str">
        <f t="shared" si="4"/>
        <v>(${Variables:E3_2_1_97_kcat} * E3_2_1_97 * C04776 * C00001)/(${Variables:E3_2_1_97_km} + (E3_2_1_97 * C04776 * C00001))</v>
      </c>
      <c r="K115" s="54" t="str">
        <f t="shared" si="5"/>
        <v>r114: C04776 + C00001 -&gt; C07278 + C02189 | (${Variables:E3_2_1_97_kcat} * E3_2_1_97 * C04776 * C00001)/(${Variables:E3_2_1_97_km} + (E3_2_1_97 * C04776 * C00001))</v>
      </c>
    </row>
    <row r="116" spans="1:11" ht="29">
      <c r="A116" s="11" t="s">
        <v>477</v>
      </c>
      <c r="B116" s="11" t="s">
        <v>478</v>
      </c>
      <c r="C116" s="11" t="s">
        <v>12329</v>
      </c>
      <c r="D116" s="60">
        <v>115</v>
      </c>
      <c r="E116" s="11" t="str">
        <f t="shared" si="3"/>
        <v>E3_2_1_97</v>
      </c>
      <c r="F116" s="11" t="s">
        <v>13109</v>
      </c>
      <c r="G116" s="11" t="s">
        <v>13110</v>
      </c>
      <c r="H116" s="11" t="s">
        <v>13111</v>
      </c>
      <c r="I116" s="11" t="s">
        <v>13112</v>
      </c>
      <c r="J116" s="61" t="str">
        <f t="shared" si="4"/>
        <v>(${Variables:E3_2_1_97_kcat} * E3_2_1_97 * G00024 * C00001)/(${Variables:E3_2_1_97_km} + (E3_2_1_97 * G00024 * C00001))</v>
      </c>
      <c r="K116" s="54" t="str">
        <f t="shared" si="5"/>
        <v>r115: G00024 + C00001 -&gt; G10607 + C02189 | (${Variables:E3_2_1_97_kcat} * E3_2_1_97 * G00024 * C00001)/(${Variables:E3_2_1_97_km} + (E3_2_1_97 * G00024 * C00001))</v>
      </c>
    </row>
    <row r="117" spans="1:11" ht="43.5">
      <c r="A117" s="11" t="s">
        <v>488</v>
      </c>
      <c r="B117" s="11" t="s">
        <v>489</v>
      </c>
      <c r="C117" s="11" t="s">
        <v>12330</v>
      </c>
      <c r="D117" s="60">
        <v>116</v>
      </c>
      <c r="E117" s="11" t="str">
        <f t="shared" si="3"/>
        <v>E1_1_1_133</v>
      </c>
      <c r="F117" s="11" t="s">
        <v>13113</v>
      </c>
      <c r="G117" s="11" t="s">
        <v>13114</v>
      </c>
      <c r="H117" s="11" t="s">
        <v>13115</v>
      </c>
      <c r="I117" s="11" t="s">
        <v>13116</v>
      </c>
      <c r="J117" s="61" t="str">
        <f t="shared" si="4"/>
        <v>(${Variables:E1_1_1_133_kcat} * E1_1_1_133 * C03319 * C00006)/(${Variables:E1_1_1_133_km} + (E1_1_1_133 * C03319 * C00006))</v>
      </c>
      <c r="K117" s="54" t="str">
        <f t="shared" si="5"/>
        <v>r116: C03319 + C00006 -&gt; C00688 + C00005 + C00080 | (${Variables:E1_1_1_133_kcat} * E1_1_1_133 * C03319 * C00006)/(${Variables:E1_1_1_133_km} + (E1_1_1_133 * C03319 * C00006))</v>
      </c>
    </row>
    <row r="118" spans="1:11" ht="29">
      <c r="A118" s="11" t="s">
        <v>496</v>
      </c>
      <c r="B118" s="11" t="s">
        <v>497</v>
      </c>
      <c r="C118" s="11" t="s">
        <v>12331</v>
      </c>
      <c r="D118" s="60">
        <v>117</v>
      </c>
      <c r="E118" s="11" t="str">
        <f t="shared" si="3"/>
        <v>E4_2_1_46</v>
      </c>
      <c r="F118" s="11" t="s">
        <v>7525</v>
      </c>
      <c r="G118" s="11" t="s">
        <v>7525</v>
      </c>
      <c r="H118" s="11" t="s">
        <v>13117</v>
      </c>
      <c r="I118" s="11" t="s">
        <v>13118</v>
      </c>
      <c r="J118" s="61" t="str">
        <f t="shared" si="4"/>
        <v>(${Variables:E4_2_1_46_kcat} * E4_2_1_46 * C00842)/(${Variables:E4_2_1_46_km} + (E4_2_1_46 * C00842))</v>
      </c>
      <c r="K118" s="54" t="str">
        <f t="shared" si="5"/>
        <v>r117: C00842 -&gt; C11907 + C00001 | (${Variables:E4_2_1_46_kcat} * E4_2_1_46 * C00842)/(${Variables:E4_2_1_46_km} + (E4_2_1_46 * C00842))</v>
      </c>
    </row>
    <row r="119" spans="1:11" ht="29">
      <c r="A119" s="11" t="s">
        <v>500</v>
      </c>
      <c r="B119" s="11" t="s">
        <v>501</v>
      </c>
      <c r="C119" s="11" t="s">
        <v>12332</v>
      </c>
      <c r="D119" s="60">
        <v>118</v>
      </c>
      <c r="E119" s="11" t="str">
        <f t="shared" si="3"/>
        <v>E5_1_3_13</v>
      </c>
      <c r="F119" s="11" t="s">
        <v>7530</v>
      </c>
      <c r="G119" s="11" t="s">
        <v>7530</v>
      </c>
      <c r="H119" s="11" t="s">
        <v>7531</v>
      </c>
      <c r="I119" s="11" t="s">
        <v>7531</v>
      </c>
      <c r="J119" s="61" t="str">
        <f t="shared" si="4"/>
        <v>(${Variables:E5_1_3_13_kcat} * E5_1_3_13 * C11907)/(${Variables:E5_1_3_13_km} + (E5_1_3_13 * C11907))</v>
      </c>
      <c r="K119" s="54" t="str">
        <f t="shared" si="5"/>
        <v>r118: C11907 -&gt; C00688 | (${Variables:E5_1_3_13_kcat} * E5_1_3_13 * C11907)/(${Variables:E5_1_3_13_km} + (E5_1_3_13 * C11907))</v>
      </c>
    </row>
    <row r="120" spans="1:11" ht="29">
      <c r="A120" s="11" t="s">
        <v>504</v>
      </c>
      <c r="B120" s="11" t="s">
        <v>505</v>
      </c>
      <c r="C120" s="11" t="s">
        <v>12333</v>
      </c>
      <c r="D120" s="60">
        <v>119</v>
      </c>
      <c r="E120" s="11" t="str">
        <f t="shared" si="3"/>
        <v>E2_7_7_24</v>
      </c>
      <c r="F120" s="11" t="s">
        <v>13119</v>
      </c>
      <c r="G120" s="11" t="s">
        <v>13120</v>
      </c>
      <c r="H120" s="11" t="s">
        <v>13121</v>
      </c>
      <c r="I120" s="11" t="s">
        <v>13122</v>
      </c>
      <c r="J120" s="61" t="str">
        <f t="shared" si="4"/>
        <v>(${Variables:E2_7_7_24_kcat} * E2_7_7_24 * C00459 * C00103)/(${Variables:E2_7_7_24_km} + (E2_7_7_24 * C00459 * C00103))</v>
      </c>
      <c r="K120" s="54" t="str">
        <f t="shared" si="5"/>
        <v>r119: C00459 + C00103 -&gt; C00013 + C00842 | (${Variables:E2_7_7_24_kcat} * E2_7_7_24 * C00459 * C00103)/(${Variables:E2_7_7_24_km} + (E2_7_7_24 * C00459 * C00103))</v>
      </c>
    </row>
    <row r="121" spans="1:11" ht="43.5">
      <c r="A121" s="11" t="s">
        <v>518</v>
      </c>
      <c r="B121" s="11" t="s">
        <v>519</v>
      </c>
      <c r="C121" s="11" t="s">
        <v>12334</v>
      </c>
      <c r="D121" s="60">
        <v>120</v>
      </c>
      <c r="E121" s="11" t="str">
        <f t="shared" si="3"/>
        <v>E1_1_1_22</v>
      </c>
      <c r="F121" s="11" t="s">
        <v>13123</v>
      </c>
      <c r="G121" s="11" t="s">
        <v>13124</v>
      </c>
      <c r="H121" s="11" t="s">
        <v>13125</v>
      </c>
      <c r="I121" s="11" t="s">
        <v>13126</v>
      </c>
      <c r="J121" s="61" t="str">
        <f t="shared" si="4"/>
        <v>(${Variables:E1_1_1_22_kcat} * E1_1_1_22 * C00029 * C00001 * C00003)/(${Variables:E1_1_1_22_km} + (E1_1_1_22 * C00029 * C00001 * C00003))</v>
      </c>
      <c r="K121" s="54" t="str">
        <f t="shared" si="5"/>
        <v>r120: C00029 + C00001 + C00003 -&gt; C00167 + C00004 + C00080 | (${Variables:E1_1_1_22_kcat} * E1_1_1_22 * C00029 * C00001 * C00003)/(${Variables:E1_1_1_22_km} + (E1_1_1_22 * C00029 * C00001 * C00003))</v>
      </c>
    </row>
    <row r="122" spans="1:11" ht="29">
      <c r="A122" s="11" t="s">
        <v>545</v>
      </c>
      <c r="B122" s="11" t="s">
        <v>546</v>
      </c>
      <c r="C122" s="11" t="s">
        <v>12336</v>
      </c>
      <c r="D122" s="60">
        <v>121</v>
      </c>
      <c r="E122" s="11" t="str">
        <f t="shared" si="3"/>
        <v>E2_7_10_2</v>
      </c>
      <c r="F122" s="11" t="s">
        <v>13127</v>
      </c>
      <c r="G122" s="11" t="s">
        <v>13128</v>
      </c>
      <c r="H122" s="11" t="s">
        <v>13129</v>
      </c>
      <c r="I122" s="11" t="s">
        <v>13130</v>
      </c>
      <c r="J122" s="61" t="str">
        <f t="shared" si="4"/>
        <v>(${Variables:E2_7_10_2_kcat} * E2_7_10_2 * C00002 * C00585)/(${Variables:E2_7_10_2_km} + (E2_7_10_2 * C00002 * C00585))</v>
      </c>
      <c r="K122" s="54" t="str">
        <f t="shared" si="5"/>
        <v>r121: C00002 + C00585 -&gt; C00008 + C01167 | (${Variables:E2_7_10_2_kcat} * E2_7_10_2 * C00002 * C00585)/(${Variables:E2_7_10_2_km} + (E2_7_10_2 * C00002 * C00585))</v>
      </c>
    </row>
    <row r="123" spans="1:11" ht="29">
      <c r="A123" s="11" t="s">
        <v>553</v>
      </c>
      <c r="B123" s="11" t="s">
        <v>554</v>
      </c>
      <c r="C123" s="11" t="s">
        <v>12337</v>
      </c>
      <c r="D123" s="60">
        <v>122</v>
      </c>
      <c r="E123" s="11" t="str">
        <f t="shared" si="3"/>
        <v>E3_1_3_48</v>
      </c>
      <c r="F123" s="11" t="s">
        <v>13131</v>
      </c>
      <c r="G123" s="11" t="s">
        <v>13132</v>
      </c>
      <c r="H123" s="11" t="s">
        <v>13133</v>
      </c>
      <c r="I123" s="11" t="s">
        <v>13134</v>
      </c>
      <c r="J123" s="61" t="str">
        <f t="shared" si="4"/>
        <v>(${Variables:E3_1_3_48_kcat} * E3_1_3_48 * C01167 * C00001)/(${Variables:E3_1_3_48_km} + (E3_1_3_48 * C01167 * C00001))</v>
      </c>
      <c r="K123" s="54" t="str">
        <f t="shared" si="5"/>
        <v>r122: C01167 + C00001 -&gt; C00585 + C00009 | (${Variables:E3_1_3_48_kcat} * E3_1_3_48 * C01167 * C00001)/(${Variables:E3_1_3_48_km} + (E3_1_3_48 * C01167 * C00001))</v>
      </c>
    </row>
    <row r="124" spans="1:11" ht="29">
      <c r="A124" s="11" t="s">
        <v>583</v>
      </c>
      <c r="B124" s="11" t="s">
        <v>584</v>
      </c>
      <c r="C124" s="11" t="s">
        <v>12339</v>
      </c>
      <c r="D124" s="60">
        <v>123</v>
      </c>
      <c r="E124" s="11" t="str">
        <f t="shared" si="3"/>
        <v>E4_4_1_21</v>
      </c>
      <c r="F124" s="11" t="s">
        <v>7563</v>
      </c>
      <c r="G124" s="11" t="s">
        <v>7563</v>
      </c>
      <c r="H124" s="11" t="s">
        <v>13135</v>
      </c>
      <c r="I124" s="11" t="s">
        <v>13136</v>
      </c>
      <c r="J124" s="61" t="str">
        <f t="shared" si="4"/>
        <v>(${Variables:E4_4_1_21_kcat} * E4_4_1_21 * C03539)/(${Variables:E4_4_1_21_km} + (E4_4_1_21 * C03539))</v>
      </c>
      <c r="K124" s="54" t="str">
        <f t="shared" si="5"/>
        <v>r123: C03539 -&gt; C11838 + C00155 | (${Variables:E4_4_1_21_kcat} * E4_4_1_21 * C03539)/(${Variables:E4_4_1_21_km} + (E4_4_1_21 * C03539))</v>
      </c>
    </row>
    <row r="125" spans="1:11" ht="29">
      <c r="A125" s="11" t="s">
        <v>593</v>
      </c>
      <c r="B125" s="11" t="s">
        <v>594</v>
      </c>
      <c r="C125" s="11" t="s">
        <v>12340</v>
      </c>
      <c r="D125" s="60">
        <v>124</v>
      </c>
      <c r="E125" s="11" t="str">
        <f t="shared" si="3"/>
        <v>E2_7_8_13</v>
      </c>
      <c r="F125" s="11" t="s">
        <v>13137</v>
      </c>
      <c r="G125" s="11" t="s">
        <v>13138</v>
      </c>
      <c r="H125" s="11" t="s">
        <v>13139</v>
      </c>
      <c r="I125" s="11" t="s">
        <v>13140</v>
      </c>
      <c r="J125" s="61" t="str">
        <f t="shared" si="4"/>
        <v>(${Variables:E2_7_8_13_kcat} * E2_7_8_13 * C04702 * C17556)/(${Variables:E2_7_8_13_km} + (E2_7_8_13 * C04702 * C17556))</v>
      </c>
      <c r="K125" s="54" t="str">
        <f t="shared" si="5"/>
        <v>r124: C04702 + C17556 -&gt; C00105 + C04851 | (${Variables:E2_7_8_13_kcat} * E2_7_8_13 * C04702 * C17556)/(${Variables:E2_7_8_13_km} + (E2_7_8_13 * C04702 * C17556))</v>
      </c>
    </row>
    <row r="126" spans="1:11" ht="29">
      <c r="A126" s="11" t="s">
        <v>593</v>
      </c>
      <c r="B126" s="11" t="s">
        <v>594</v>
      </c>
      <c r="C126" s="11" t="s">
        <v>12340</v>
      </c>
      <c r="D126" s="60">
        <v>125</v>
      </c>
      <c r="E126" s="11" t="str">
        <f t="shared" si="3"/>
        <v>E2_7_8_13</v>
      </c>
      <c r="F126" s="11" t="s">
        <v>13141</v>
      </c>
      <c r="G126" s="11" t="s">
        <v>13142</v>
      </c>
      <c r="H126" s="11" t="s">
        <v>13143</v>
      </c>
      <c r="I126" s="11" t="s">
        <v>13144</v>
      </c>
      <c r="J126" s="61" t="str">
        <f t="shared" si="4"/>
        <v>(${Variables:E2_7_8_13_kcat} * E2_7_8_13 * C04882 * C17556)/(${Variables:E2_7_8_13_km} + (E2_7_8_13 * C04882 * C17556))</v>
      </c>
      <c r="K126" s="54" t="str">
        <f t="shared" si="5"/>
        <v>r125: C04882 + C17556 -&gt; C00105 + C05897 | (${Variables:E2_7_8_13_kcat} * E2_7_8_13 * C04882 * C17556)/(${Variables:E2_7_8_13_km} + (E2_7_8_13 * C04882 * C17556))</v>
      </c>
    </row>
    <row r="127" spans="1:11" ht="29">
      <c r="A127" s="11" t="s">
        <v>640</v>
      </c>
      <c r="B127" s="11" t="s">
        <v>641</v>
      </c>
      <c r="C127" s="11" t="s">
        <v>13145</v>
      </c>
      <c r="D127" s="60">
        <v>126</v>
      </c>
      <c r="E127" s="11" t="str">
        <f t="shared" si="3"/>
        <v>E3_2_1_179</v>
      </c>
      <c r="F127" s="11" t="s">
        <v>13146</v>
      </c>
      <c r="G127" s="11" t="s">
        <v>13147</v>
      </c>
      <c r="H127" s="11" t="s">
        <v>13148</v>
      </c>
      <c r="I127" s="11" t="s">
        <v>13149</v>
      </c>
      <c r="J127" s="61" t="str">
        <f t="shared" si="4"/>
        <v>(${Variables:E3_2_1_179_kcat} * E3_2_1_179 * C19965 * C00001)/(${Variables:E3_2_1_179_km} + (E3_2_1_179 * C19965 * C00001))</v>
      </c>
      <c r="K127" s="54" t="str">
        <f t="shared" si="5"/>
        <v>r126: C19965 + C00001 -&gt; C04053 + C19966 | (${Variables:E3_2_1_179_kcat} * E3_2_1_179 * C19965 * C00001)/(${Variables:E3_2_1_179_km} + (E3_2_1_179 * C19965 * C00001))</v>
      </c>
    </row>
    <row r="128" spans="1:11" ht="29">
      <c r="A128" s="11" t="s">
        <v>648</v>
      </c>
      <c r="B128" s="11" t="s">
        <v>649</v>
      </c>
      <c r="C128" s="11" t="s">
        <v>12343</v>
      </c>
      <c r="D128" s="60">
        <v>127</v>
      </c>
      <c r="E128" s="11" t="str">
        <f t="shared" si="3"/>
        <v>E1_1_1_69</v>
      </c>
      <c r="F128" s="11" t="s">
        <v>13150</v>
      </c>
      <c r="G128" s="11" t="s">
        <v>13151</v>
      </c>
      <c r="H128" s="11" t="s">
        <v>13152</v>
      </c>
      <c r="I128" s="11" t="s">
        <v>13153</v>
      </c>
      <c r="J128" s="61" t="str">
        <f t="shared" si="4"/>
        <v>(${Variables:E1_1_1_69_kcat} * E1_1_1_69 * C00257 * C00003)/(${Variables:E1_1_1_69_km} + (E1_1_1_69 * C00257 * C00003))</v>
      </c>
      <c r="K128" s="54" t="str">
        <f t="shared" si="5"/>
        <v>r127: C00257 + C00003 -&gt; C01062 + C00004 + C00080 | (${Variables:E1_1_1_69_kcat} * E1_1_1_69 * C00257 * C00003)/(${Variables:E1_1_1_69_km} + (E1_1_1_69 * C00257 * C00003))</v>
      </c>
    </row>
    <row r="129" spans="1:11" ht="29">
      <c r="A129" s="11" t="s">
        <v>648</v>
      </c>
      <c r="B129" s="11" t="s">
        <v>649</v>
      </c>
      <c r="C129" s="11" t="s">
        <v>12343</v>
      </c>
      <c r="D129" s="60">
        <v>128</v>
      </c>
      <c r="E129" s="11" t="str">
        <f t="shared" si="3"/>
        <v>E1_1_1_69</v>
      </c>
      <c r="F129" s="11" t="s">
        <v>13154</v>
      </c>
      <c r="G129" s="11" t="s">
        <v>13155</v>
      </c>
      <c r="H129" s="11" t="s">
        <v>13156</v>
      </c>
      <c r="I129" s="11" t="s">
        <v>13157</v>
      </c>
      <c r="J129" s="61" t="str">
        <f t="shared" si="4"/>
        <v>(${Variables:E1_1_1_69_kcat} * E1_1_1_69 * C00257 * C00006)/(${Variables:E1_1_1_69_km} + (E1_1_1_69 * C00257 * C00006))</v>
      </c>
      <c r="K129" s="54" t="str">
        <f t="shared" si="5"/>
        <v>r128: C00257 + C00006 -&gt; C01062 + C00005 + C00080 | (${Variables:E1_1_1_69_kcat} * E1_1_1_69 * C00257 * C00006)/(${Variables:E1_1_1_69_km} + (E1_1_1_69 * C00257 * C00006))</v>
      </c>
    </row>
    <row r="130" spans="1:11" ht="29">
      <c r="A130" s="11" t="s">
        <v>658</v>
      </c>
      <c r="B130" s="11" t="s">
        <v>659</v>
      </c>
      <c r="C130" s="11" t="s">
        <v>12344</v>
      </c>
      <c r="D130" s="60">
        <v>129</v>
      </c>
      <c r="E130" s="11" t="str">
        <f t="shared" si="3"/>
        <v>E4_1_2_21</v>
      </c>
      <c r="F130" s="11" t="s">
        <v>7591</v>
      </c>
      <c r="G130" s="11" t="s">
        <v>7591</v>
      </c>
      <c r="H130" s="11" t="s">
        <v>13158</v>
      </c>
      <c r="I130" s="11" t="s">
        <v>13159</v>
      </c>
      <c r="J130" s="61" t="str">
        <f t="shared" si="4"/>
        <v>(${Variables:E4_1_2_21_kcat} * E4_1_2_21 * C01286)/(${Variables:E4_1_2_21_km} + (E4_1_2_21 * C01286))</v>
      </c>
      <c r="K130" s="54" t="str">
        <f t="shared" si="5"/>
        <v>r129: C01286 -&gt; C00022 + C00118 | (${Variables:E4_1_2_21_kcat} * E4_1_2_21 * C01286)/(${Variables:E4_1_2_21_km} + (E4_1_2_21 * C01286))</v>
      </c>
    </row>
    <row r="131" spans="1:11" ht="29">
      <c r="A131" s="11" t="s">
        <v>664</v>
      </c>
      <c r="B131" s="11" t="s">
        <v>665</v>
      </c>
      <c r="C131" s="11" t="s">
        <v>12345</v>
      </c>
      <c r="D131" s="60">
        <v>130</v>
      </c>
      <c r="E131" s="11" t="str">
        <f t="shared" ref="E131:E194" si="6">CONCATENATE("E",C131)</f>
        <v>E4_2_2_1</v>
      </c>
      <c r="F131" s="11" t="s">
        <v>7596</v>
      </c>
      <c r="G131" s="11" t="s">
        <v>7596</v>
      </c>
      <c r="H131" s="11" t="s">
        <v>7597</v>
      </c>
      <c r="I131" s="11" t="s">
        <v>7597</v>
      </c>
      <c r="J131" s="61" t="str">
        <f t="shared" ref="J131:J194" si="7">CONCATENATE("(${Variables:",E131,"_kcat","} * ",E131," * ",G131,")","/(${Variables:",E131,"_km","} + (",E131," * ",G131,"))")</f>
        <v>(${Variables:E4_2_2_1_kcat} * E4_2_2_1 * C00518)/(${Variables:E4_2_2_1_km} + (E4_2_2_1 * C00518))</v>
      </c>
      <c r="K131" s="54" t="str">
        <f t="shared" ref="K131:K194" si="8">CONCATENATE("r",D131,": ",F131," -&gt; ",H131," | ",J131)</f>
        <v>r130: C00518 -&gt; C04794 | (${Variables:E4_2_2_1_kcat} * E4_2_2_1 * C00518)/(${Variables:E4_2_2_1_km} + (E4_2_2_1 * C00518))</v>
      </c>
    </row>
    <row r="132" spans="1:11" ht="29">
      <c r="A132" s="11" t="s">
        <v>664</v>
      </c>
      <c r="B132" s="11" t="s">
        <v>665</v>
      </c>
      <c r="C132" s="11" t="s">
        <v>12345</v>
      </c>
      <c r="D132" s="60">
        <v>131</v>
      </c>
      <c r="E132" s="11" t="str">
        <f t="shared" si="6"/>
        <v>E4_2_2_1</v>
      </c>
      <c r="F132" s="11" t="s">
        <v>7599</v>
      </c>
      <c r="G132" s="11" t="s">
        <v>7599</v>
      </c>
      <c r="H132" s="11" t="s">
        <v>7600</v>
      </c>
      <c r="I132" s="11" t="s">
        <v>7600</v>
      </c>
      <c r="J132" s="61" t="str">
        <f t="shared" si="7"/>
        <v>(${Variables:E4_2_2_1_kcat} * E4_2_2_1 * G10505)/(${Variables:E4_2_2_1_km} + (E4_2_2_1 * G10505))</v>
      </c>
      <c r="K132" s="54" t="str">
        <f t="shared" si="8"/>
        <v>r131: G10505 -&gt; G02170 | (${Variables:E4_2_2_1_kcat} * E4_2_2_1 * G10505)/(${Variables:E4_2_2_1_km} + (E4_2_2_1 * G10505))</v>
      </c>
    </row>
    <row r="133" spans="1:11" ht="29">
      <c r="A133" s="11" t="s">
        <v>668</v>
      </c>
      <c r="B133" s="11" t="s">
        <v>669</v>
      </c>
      <c r="C133" s="11" t="s">
        <v>12346</v>
      </c>
      <c r="D133" s="60">
        <v>132</v>
      </c>
      <c r="E133" s="11" t="str">
        <f t="shared" si="6"/>
        <v>E1_11_1_9</v>
      </c>
      <c r="F133" s="11" t="s">
        <v>13160</v>
      </c>
      <c r="G133" s="11" t="s">
        <v>13161</v>
      </c>
      <c r="H133" s="11" t="s">
        <v>13162</v>
      </c>
      <c r="I133" s="11" t="s">
        <v>13163</v>
      </c>
      <c r="J133" s="61" t="str">
        <f t="shared" si="7"/>
        <v>(${Variables:E1_11_1_9_kcat} * E1_11_1_9 * C00027 * C00051)/(${Variables:E1_11_1_9_km} + (E1_11_1_9 * C00027 * C00051))</v>
      </c>
      <c r="K133" s="54" t="str">
        <f t="shared" si="8"/>
        <v>r132: C00027 + C00051 -&gt; C00127 + C00001 | (${Variables:E1_11_1_9_kcat} * E1_11_1_9 * C00027 * C00051)/(${Variables:E1_11_1_9_km} + (E1_11_1_9 * C00027 * C00051))</v>
      </c>
    </row>
    <row r="134" spans="1:11" ht="29">
      <c r="A134" s="11" t="s">
        <v>703</v>
      </c>
      <c r="B134" s="11" t="s">
        <v>704</v>
      </c>
      <c r="C134" s="11" t="s">
        <v>12342</v>
      </c>
      <c r="D134" s="60">
        <v>133</v>
      </c>
      <c r="E134" s="11" t="str">
        <f t="shared" si="6"/>
        <v>E3_2_1_86</v>
      </c>
      <c r="F134" s="11" t="s">
        <v>13164</v>
      </c>
      <c r="G134" s="11" t="s">
        <v>13165</v>
      </c>
      <c r="H134" s="11" t="s">
        <v>13166</v>
      </c>
      <c r="I134" s="11" t="s">
        <v>13167</v>
      </c>
      <c r="J134" s="61" t="str">
        <f t="shared" si="7"/>
        <v>(${Variables:E3_2_1_86_kcat} * E3_2_1_86 * C04534 * C00001)/(${Variables:E3_2_1_86_km} + (E3_2_1_86 * C04534 * C00001))</v>
      </c>
      <c r="K134" s="54" t="str">
        <f t="shared" si="8"/>
        <v>r133: C04534 + C00001 -&gt; C00031 + C00092 | (${Variables:E3_2_1_86_kcat} * E3_2_1_86 * C04534 * C00001)/(${Variables:E3_2_1_86_km} + (E3_2_1_86 * C04534 * C00001))</v>
      </c>
    </row>
    <row r="135" spans="1:11" ht="29">
      <c r="A135" s="11" t="s">
        <v>703</v>
      </c>
      <c r="B135" s="11" t="s">
        <v>704</v>
      </c>
      <c r="C135" s="11" t="s">
        <v>12342</v>
      </c>
      <c r="D135" s="60">
        <v>134</v>
      </c>
      <c r="E135" s="11" t="str">
        <f t="shared" si="6"/>
        <v>E3_2_1_86</v>
      </c>
      <c r="F135" s="11" t="s">
        <v>13168</v>
      </c>
      <c r="G135" s="11" t="s">
        <v>13169</v>
      </c>
      <c r="H135" s="11" t="s">
        <v>13166</v>
      </c>
      <c r="I135" s="11" t="s">
        <v>13167</v>
      </c>
      <c r="J135" s="61" t="str">
        <f t="shared" si="7"/>
        <v>(${Variables:E3_2_1_86_kcat} * E3_2_1_86 * G10518 * C00001)/(${Variables:E3_2_1_86_km} + (E3_2_1_86 * G10518 * C00001))</v>
      </c>
      <c r="K135" s="54" t="str">
        <f t="shared" si="8"/>
        <v>r134: G10518 + C00001 -&gt; C00031 + C00092 | (${Variables:E3_2_1_86_kcat} * E3_2_1_86 * G10518 * C00001)/(${Variables:E3_2_1_86_km} + (E3_2_1_86 * G10518 * C00001))</v>
      </c>
    </row>
    <row r="136" spans="1:11" ht="29">
      <c r="A136" s="11" t="s">
        <v>703</v>
      </c>
      <c r="B136" s="11" t="s">
        <v>704</v>
      </c>
      <c r="C136" s="11" t="s">
        <v>12342</v>
      </c>
      <c r="D136" s="60">
        <v>135</v>
      </c>
      <c r="E136" s="11" t="str">
        <f t="shared" si="6"/>
        <v>E3_2_1_86</v>
      </c>
      <c r="F136" s="11" t="s">
        <v>13170</v>
      </c>
      <c r="G136" s="11" t="s">
        <v>13171</v>
      </c>
      <c r="H136" s="11" t="s">
        <v>13172</v>
      </c>
      <c r="I136" s="11" t="s">
        <v>13173</v>
      </c>
      <c r="J136" s="61" t="str">
        <f t="shared" si="7"/>
        <v>(${Variables:E3_2_1_86_kcat} * E3_2_1_86 * C06187 * C00001)/(${Variables:E3_2_1_86_km} + (E3_2_1_86 * C06187 * C00001))</v>
      </c>
      <c r="K136" s="54" t="str">
        <f t="shared" si="8"/>
        <v>r135: C06187 + C00001 -&gt; C00530 + C01172 | (${Variables:E3_2_1_86_kcat} * E3_2_1_86 * C06187 * C00001)/(${Variables:E3_2_1_86_km} + (E3_2_1_86 * C06187 * C00001))</v>
      </c>
    </row>
    <row r="137" spans="1:11" ht="29">
      <c r="A137" s="11" t="s">
        <v>703</v>
      </c>
      <c r="B137" s="11" t="s">
        <v>704</v>
      </c>
      <c r="C137" s="11" t="s">
        <v>12342</v>
      </c>
      <c r="D137" s="60">
        <v>136</v>
      </c>
      <c r="E137" s="11" t="str">
        <f t="shared" si="6"/>
        <v>E3_2_1_86</v>
      </c>
      <c r="F137" s="11" t="s">
        <v>13174</v>
      </c>
      <c r="G137" s="11" t="s">
        <v>13175</v>
      </c>
      <c r="H137" s="11" t="s">
        <v>13176</v>
      </c>
      <c r="I137" s="11" t="s">
        <v>13177</v>
      </c>
      <c r="J137" s="61" t="str">
        <f t="shared" si="7"/>
        <v>(${Variables:E3_2_1_86_kcat} * E3_2_1_86 * C06188 * C00001)/(${Variables:E3_2_1_86_km} + (E3_2_1_86 * C06188 * C00001))</v>
      </c>
      <c r="K137" s="54" t="str">
        <f t="shared" si="8"/>
        <v>r136: C06188 + C00001 -&gt; C02323 + C01172 | (${Variables:E3_2_1_86_kcat} * E3_2_1_86 * C06188 * C00001)/(${Variables:E3_2_1_86_km} + (E3_2_1_86 * C06188 * C00001))</v>
      </c>
    </row>
    <row r="138" spans="1:11" ht="29">
      <c r="A138" s="11" t="s">
        <v>721</v>
      </c>
      <c r="B138" s="11" t="s">
        <v>722</v>
      </c>
      <c r="C138" s="11" t="s">
        <v>12348</v>
      </c>
      <c r="D138" s="60">
        <v>137</v>
      </c>
      <c r="E138" s="11" t="str">
        <f t="shared" si="6"/>
        <v>E2_7_6_3</v>
      </c>
      <c r="F138" s="11" t="s">
        <v>13178</v>
      </c>
      <c r="G138" s="11" t="s">
        <v>13179</v>
      </c>
      <c r="H138" s="11" t="s">
        <v>13180</v>
      </c>
      <c r="I138" s="11" t="s">
        <v>13181</v>
      </c>
      <c r="J138" s="61" t="str">
        <f t="shared" si="7"/>
        <v>(${Variables:E2_7_6_3_kcat} * E2_7_6_3 * C00002 * C01300)/(${Variables:E2_7_6_3_km} + (E2_7_6_3 * C00002 * C01300))</v>
      </c>
      <c r="K138" s="54" t="str">
        <f t="shared" si="8"/>
        <v>r137: C00002 + C01300 -&gt; C00020 + C04807 | (${Variables:E2_7_6_3_kcat} * E2_7_6_3 * C00002 * C01300)/(${Variables:E2_7_6_3_km} + (E2_7_6_3 * C00002 * C01300))</v>
      </c>
    </row>
    <row r="139" spans="1:11" ht="29">
      <c r="A139" s="11" t="s">
        <v>725</v>
      </c>
      <c r="B139" s="11" t="s">
        <v>726</v>
      </c>
      <c r="C139" s="11" t="s">
        <v>12349</v>
      </c>
      <c r="D139" s="60">
        <v>138</v>
      </c>
      <c r="E139" s="11" t="str">
        <f t="shared" si="6"/>
        <v>E3_5_4_16</v>
      </c>
      <c r="F139" s="11" t="s">
        <v>13182</v>
      </c>
      <c r="G139" s="11" t="s">
        <v>13183</v>
      </c>
      <c r="H139" s="11" t="s">
        <v>13184</v>
      </c>
      <c r="I139" s="11" t="s">
        <v>13185</v>
      </c>
      <c r="J139" s="61" t="str">
        <f t="shared" si="7"/>
        <v>(${Variables:E3_5_4_16_kcat} * E3_5_4_16 * C00044 * C00001)/(${Variables:E3_5_4_16_km} + (E3_5_4_16 * C00044 * C00001))</v>
      </c>
      <c r="K139" s="54" t="str">
        <f t="shared" si="8"/>
        <v>r138: C00044 + C00001 -&gt; C04895 + C00058 | (${Variables:E3_5_4_16_kcat} * E3_5_4_16 * C00044 * C00001)/(${Variables:E3_5_4_16_km} + (E3_5_4_16 * C00044 * C00001))</v>
      </c>
    </row>
    <row r="140" spans="1:11" ht="29">
      <c r="A140" s="11" t="s">
        <v>725</v>
      </c>
      <c r="B140" s="11" t="s">
        <v>726</v>
      </c>
      <c r="C140" s="11" t="s">
        <v>12349</v>
      </c>
      <c r="D140" s="60">
        <v>139</v>
      </c>
      <c r="E140" s="11" t="str">
        <f t="shared" si="6"/>
        <v>E3_5_4_16</v>
      </c>
      <c r="F140" s="11" t="s">
        <v>13182</v>
      </c>
      <c r="G140" s="11" t="s">
        <v>13183</v>
      </c>
      <c r="H140" s="11" t="s">
        <v>7632</v>
      </c>
      <c r="I140" s="11" t="s">
        <v>7632</v>
      </c>
      <c r="J140" s="61" t="str">
        <f t="shared" si="7"/>
        <v>(${Variables:E3_5_4_16_kcat} * E3_5_4_16 * C00044 * C00001)/(${Variables:E3_5_4_16_km} + (E3_5_4_16 * C00044 * C00001))</v>
      </c>
      <c r="K140" s="54" t="str">
        <f t="shared" si="8"/>
        <v>r139: C00044 + C00001 -&gt; C05922 | (${Variables:E3_5_4_16_kcat} * E3_5_4_16 * C00044 * C00001)/(${Variables:E3_5_4_16_km} + (E3_5_4_16 * C00044 * C00001))</v>
      </c>
    </row>
    <row r="141" spans="1:11" ht="29">
      <c r="A141" s="11" t="s">
        <v>725</v>
      </c>
      <c r="B141" s="11" t="s">
        <v>726</v>
      </c>
      <c r="C141" s="11" t="s">
        <v>12349</v>
      </c>
      <c r="D141" s="60">
        <v>140</v>
      </c>
      <c r="E141" s="11" t="str">
        <f t="shared" si="6"/>
        <v>E3_5_4_16</v>
      </c>
      <c r="F141" s="11" t="s">
        <v>13186</v>
      </c>
      <c r="G141" s="11" t="s">
        <v>13187</v>
      </c>
      <c r="H141" s="11" t="s">
        <v>7635</v>
      </c>
      <c r="I141" s="11" t="s">
        <v>7635</v>
      </c>
      <c r="J141" s="61" t="str">
        <f t="shared" si="7"/>
        <v>(${Variables:E3_5_4_16_kcat} * E3_5_4_16 * C04895 * C00001)/(${Variables:E3_5_4_16_km} + (E3_5_4_16 * C04895 * C00001))</v>
      </c>
      <c r="K141" s="54" t="str">
        <f t="shared" si="8"/>
        <v>r140: C04895 + C00001 -&gt; C06148 | (${Variables:E3_5_4_16_kcat} * E3_5_4_16 * C04895 * C00001)/(${Variables:E3_5_4_16_km} + (E3_5_4_16 * C04895 * C00001))</v>
      </c>
    </row>
    <row r="142" spans="1:11" ht="29">
      <c r="A142" s="11" t="s">
        <v>725</v>
      </c>
      <c r="B142" s="11" t="s">
        <v>726</v>
      </c>
      <c r="C142" s="11" t="s">
        <v>12349</v>
      </c>
      <c r="D142" s="60">
        <v>141</v>
      </c>
      <c r="E142" s="11" t="str">
        <f t="shared" si="6"/>
        <v>E3_5_4_16</v>
      </c>
      <c r="F142" s="11" t="s">
        <v>13188</v>
      </c>
      <c r="G142" s="11" t="s">
        <v>13189</v>
      </c>
      <c r="H142" s="11" t="s">
        <v>13190</v>
      </c>
      <c r="I142" s="11" t="s">
        <v>13191</v>
      </c>
      <c r="J142" s="61" t="str">
        <f t="shared" si="7"/>
        <v>(${Variables:E3_5_4_16_kcat} * E3_5_4_16 * C05922 * C00001)/(${Variables:E3_5_4_16_km} + (E3_5_4_16 * C05922 * C00001))</v>
      </c>
      <c r="K142" s="54" t="str">
        <f t="shared" si="8"/>
        <v>r141: C05922 + C00001 -&gt; C05923 + C00058 | (${Variables:E3_5_4_16_kcat} * E3_5_4_16 * C05922 * C00001)/(${Variables:E3_5_4_16_km} + (E3_5_4_16 * C05922 * C00001))</v>
      </c>
    </row>
    <row r="143" spans="1:11" ht="29">
      <c r="A143" s="11" t="s">
        <v>725</v>
      </c>
      <c r="B143" s="11" t="s">
        <v>726</v>
      </c>
      <c r="C143" s="11" t="s">
        <v>12349</v>
      </c>
      <c r="D143" s="60">
        <v>142</v>
      </c>
      <c r="E143" s="11" t="str">
        <f t="shared" si="6"/>
        <v>E3_5_4_16</v>
      </c>
      <c r="F143" s="11" t="s">
        <v>7640</v>
      </c>
      <c r="G143" s="11" t="s">
        <v>7640</v>
      </c>
      <c r="H143" s="11" t="s">
        <v>7635</v>
      </c>
      <c r="I143" s="11" t="s">
        <v>7635</v>
      </c>
      <c r="J143" s="61" t="str">
        <f t="shared" si="7"/>
        <v>(${Variables:E3_5_4_16_kcat} * E3_5_4_16 * C05923)/(${Variables:E3_5_4_16_km} + (E3_5_4_16 * C05923))</v>
      </c>
      <c r="K143" s="54" t="str">
        <f t="shared" si="8"/>
        <v>r142: C05923 -&gt; C06148 | (${Variables:E3_5_4_16_kcat} * E3_5_4_16 * C05923)/(${Variables:E3_5_4_16_km} + (E3_5_4_16 * C05923))</v>
      </c>
    </row>
    <row r="144" spans="1:11" ht="43.5">
      <c r="A144" s="11" t="s">
        <v>729</v>
      </c>
      <c r="B144" s="11" t="s">
        <v>730</v>
      </c>
      <c r="C144" s="11" t="s">
        <v>12350</v>
      </c>
      <c r="D144" s="60">
        <v>143</v>
      </c>
      <c r="E144" s="11" t="str">
        <f t="shared" si="6"/>
        <v>E6_3_2_17</v>
      </c>
      <c r="F144" s="11" t="s">
        <v>13192</v>
      </c>
      <c r="G144" s="11" t="s">
        <v>13193</v>
      </c>
      <c r="H144" s="11" t="s">
        <v>13194</v>
      </c>
      <c r="I144" s="11" t="s">
        <v>13195</v>
      </c>
      <c r="J144" s="61" t="str">
        <f t="shared" si="7"/>
        <v>(${Variables:E6_3_2_17_kcat} * E6_3_2_17 * C00002 * C03541 * C00025)/(${Variables:E6_3_2_17_km} + (E6_3_2_17 * C00002 * C03541 * C00025))</v>
      </c>
      <c r="K144" s="54" t="str">
        <f t="shared" si="8"/>
        <v>r143: C00002 + C03541 + C00025 -&gt; C00008 + C00009 + C03541 | (${Variables:E6_3_2_17_kcat} * E6_3_2_17 * C00002 * C03541 * C00025)/(${Variables:E6_3_2_17_km} + (E6_3_2_17 * C00002 * C03541 * C00025))</v>
      </c>
    </row>
    <row r="145" spans="1:11" ht="43.5">
      <c r="A145" s="11" t="s">
        <v>729</v>
      </c>
      <c r="B145" s="11" t="s">
        <v>730</v>
      </c>
      <c r="C145" s="11" t="s">
        <v>12350</v>
      </c>
      <c r="D145" s="60">
        <v>144</v>
      </c>
      <c r="E145" s="11" t="str">
        <f t="shared" si="6"/>
        <v>E6_3_2_17</v>
      </c>
      <c r="F145" s="11" t="s">
        <v>13196</v>
      </c>
      <c r="G145" s="11" t="s">
        <v>13197</v>
      </c>
      <c r="H145" s="11" t="s">
        <v>13198</v>
      </c>
      <c r="I145" s="11" t="s">
        <v>13199</v>
      </c>
      <c r="J145" s="61" t="str">
        <f t="shared" si="7"/>
        <v>(${Variables:E6_3_2_17_kcat} * E6_3_2_17 * C00002 * C00101 * C00025)/(${Variables:E6_3_2_17_km} + (E6_3_2_17 * C00002 * C00101 * C00025))</v>
      </c>
      <c r="K145" s="54" t="str">
        <f t="shared" si="8"/>
        <v>r144: C00002 + C00101 + C00025 -&gt; C00008 + C00009 + C09332 | (${Variables:E6_3_2_17_kcat} * E6_3_2_17 * C00002 * C00101 * C00025)/(${Variables:E6_3_2_17_km} + (E6_3_2_17 * C00002 * C00101 * C00025))</v>
      </c>
    </row>
    <row r="146" spans="1:11" ht="43.5">
      <c r="A146" s="11" t="s">
        <v>729</v>
      </c>
      <c r="B146" s="11" t="s">
        <v>730</v>
      </c>
      <c r="C146" s="11" t="s">
        <v>12350</v>
      </c>
      <c r="D146" s="60">
        <v>145</v>
      </c>
      <c r="E146" s="11" t="str">
        <f t="shared" si="6"/>
        <v>E6_3_2_17</v>
      </c>
      <c r="F146" s="11" t="s">
        <v>13200</v>
      </c>
      <c r="G146" s="11" t="s">
        <v>13201</v>
      </c>
      <c r="H146" s="11" t="s">
        <v>13202</v>
      </c>
      <c r="I146" s="11" t="s">
        <v>13203</v>
      </c>
      <c r="J146" s="61" t="str">
        <f t="shared" si="7"/>
        <v>(${Variables:E6_3_2_17_kcat} * E6_3_2_17 * C00002 * C00234 * C00025)/(${Variables:E6_3_2_17_km} + (E6_3_2_17 * C00002 * C00234 * C00025))</v>
      </c>
      <c r="K146" s="54" t="str">
        <f t="shared" si="8"/>
        <v>r145: C00002 + C00234 + C00025 -&gt; C00008 + C00009 + C05928 | (${Variables:E6_3_2_17_kcat} * E6_3_2_17 * C00002 * C00234 * C00025)/(${Variables:E6_3_2_17_km} + (E6_3_2_17 * C00002 * C00234 * C00025))</v>
      </c>
    </row>
    <row r="147" spans="1:11" ht="43.5">
      <c r="A147" s="11" t="s">
        <v>729</v>
      </c>
      <c r="B147" s="11" t="s">
        <v>730</v>
      </c>
      <c r="C147" s="11" t="s">
        <v>12350</v>
      </c>
      <c r="D147" s="60">
        <v>146</v>
      </c>
      <c r="E147" s="11" t="str">
        <f t="shared" si="6"/>
        <v>E6_3_2_17</v>
      </c>
      <c r="F147" s="11" t="s">
        <v>13204</v>
      </c>
      <c r="G147" s="11" t="s">
        <v>13205</v>
      </c>
      <c r="H147" s="11" t="s">
        <v>13206</v>
      </c>
      <c r="I147" s="11" t="s">
        <v>13207</v>
      </c>
      <c r="J147" s="61" t="str">
        <f t="shared" si="7"/>
        <v>(${Variables:E6_3_2_17_kcat} * E6_3_2_17 * C00002 * C00921 * C00025)/(${Variables:E6_3_2_17_km} + (E6_3_2_17 * C00002 * C00921 * C00025))</v>
      </c>
      <c r="K147" s="54" t="str">
        <f t="shared" si="8"/>
        <v>r146: C00002 + C00921 + C00025 -&gt; C00008 + C00009 + C00415 | (${Variables:E6_3_2_17_kcat} * E6_3_2_17 * C00002 * C00921 * C00025)/(${Variables:E6_3_2_17_km} + (E6_3_2_17 * C00002 * C00921 * C00025))</v>
      </c>
    </row>
    <row r="148" spans="1:11" ht="43.5">
      <c r="A148" s="11" t="s">
        <v>729</v>
      </c>
      <c r="B148" s="11" t="s">
        <v>730</v>
      </c>
      <c r="C148" s="11" t="s">
        <v>12350</v>
      </c>
      <c r="D148" s="60">
        <v>147</v>
      </c>
      <c r="E148" s="11" t="str">
        <f t="shared" si="6"/>
        <v>E6_3_2_17</v>
      </c>
      <c r="F148" s="11" t="s">
        <v>13208</v>
      </c>
      <c r="G148" s="11" t="s">
        <v>13209</v>
      </c>
      <c r="H148" s="11" t="s">
        <v>13210</v>
      </c>
      <c r="I148" s="11" t="s">
        <v>13211</v>
      </c>
      <c r="J148" s="61" t="str">
        <f t="shared" si="7"/>
        <v>(${Variables:E6_3_2_17_kcat} * E6_3_2_17 * C00002 * C05928 * C00025)/(${Variables:E6_3_2_17_km} + (E6_3_2_17 * C00002 * C05928 * C00025))</v>
      </c>
      <c r="K148" s="54" t="str">
        <f t="shared" si="8"/>
        <v>r147: C00002 + C05928 + C00025 -&gt; C00008 + C00009 + C05929 | (${Variables:E6_3_2_17_kcat} * E6_3_2_17 * C00002 * C05928 * C00025)/(${Variables:E6_3_2_17_km} + (E6_3_2_17 * C00002 * C05928 * C00025))</v>
      </c>
    </row>
    <row r="149" spans="1:11" ht="29">
      <c r="A149" s="11" t="s">
        <v>733</v>
      </c>
      <c r="B149" s="11" t="s">
        <v>734</v>
      </c>
      <c r="C149" s="11" t="s">
        <v>12352</v>
      </c>
      <c r="D149" s="60">
        <v>148</v>
      </c>
      <c r="E149" s="11" t="str">
        <f t="shared" si="6"/>
        <v>E2_5_1_15</v>
      </c>
      <c r="F149" s="11" t="s">
        <v>13212</v>
      </c>
      <c r="G149" s="11" t="s">
        <v>13213</v>
      </c>
      <c r="H149" s="11" t="s">
        <v>13214</v>
      </c>
      <c r="I149" s="11" t="s">
        <v>13215</v>
      </c>
      <c r="J149" s="61" t="str">
        <f t="shared" si="7"/>
        <v>(${Variables:E2_5_1_15_kcat} * E2_5_1_15 * C04807 * C00568)/(${Variables:E2_5_1_15_km} + (E2_5_1_15 * C04807 * C00568))</v>
      </c>
      <c r="K149" s="54" t="str">
        <f t="shared" si="8"/>
        <v>r148: C04807 + C00568 -&gt; C00013 + C00921 | (${Variables:E2_5_1_15_kcat} * E2_5_1_15 * C04807 * C00568)/(${Variables:E2_5_1_15_km} + (E2_5_1_15 * C04807 * C00568))</v>
      </c>
    </row>
    <row r="150" spans="1:11" ht="29">
      <c r="A150" s="11" t="s">
        <v>733</v>
      </c>
      <c r="B150" s="11" t="s">
        <v>734</v>
      </c>
      <c r="C150" s="11" t="s">
        <v>12352</v>
      </c>
      <c r="D150" s="60">
        <v>149</v>
      </c>
      <c r="E150" s="11" t="str">
        <f t="shared" si="6"/>
        <v>E2_5_1_15</v>
      </c>
      <c r="F150" s="11" t="s">
        <v>13216</v>
      </c>
      <c r="G150" s="11" t="s">
        <v>13217</v>
      </c>
      <c r="H150" s="11" t="s">
        <v>13218</v>
      </c>
      <c r="I150" s="11" t="s">
        <v>13219</v>
      </c>
      <c r="J150" s="61" t="str">
        <f t="shared" si="7"/>
        <v>(${Variables:E2_5_1_15_kcat} * E2_5_1_15 * C01300 * C00568)/(${Variables:E2_5_1_15_km} + (E2_5_1_15 * C01300 * C00568))</v>
      </c>
      <c r="K150" s="54" t="str">
        <f t="shared" si="8"/>
        <v>r149: C01300 + C00568 -&gt; C00921 + C00001 | (${Variables:E2_5_1_15_kcat} * E2_5_1_15 * C01300 * C00568)/(${Variables:E2_5_1_15_km} + (E2_5_1_15 * C01300 * C00568))</v>
      </c>
    </row>
    <row r="151" spans="1:11" ht="29">
      <c r="A151" s="11" t="s">
        <v>747</v>
      </c>
      <c r="B151" s="11" t="s">
        <v>748</v>
      </c>
      <c r="C151" s="11" t="s">
        <v>12353</v>
      </c>
      <c r="D151" s="60">
        <v>150</v>
      </c>
      <c r="E151" s="11" t="str">
        <f t="shared" si="6"/>
        <v>E1_1_1_1</v>
      </c>
      <c r="F151" s="6" t="s">
        <v>13220</v>
      </c>
      <c r="G151" s="6" t="s">
        <v>13221</v>
      </c>
      <c r="H151" s="6" t="s">
        <v>13222</v>
      </c>
      <c r="I151" s="6" t="s">
        <v>13223</v>
      </c>
      <c r="J151" s="61" t="str">
        <f t="shared" si="7"/>
        <v>(${Variables:E1_1_1_1_kcat} * E1_1_1_1 * C00226 * C00003)/(${Variables:E1_1_1_1_km} + (E1_1_1_1 * C00226 * C00003))</v>
      </c>
      <c r="K151" s="54" t="str">
        <f t="shared" si="8"/>
        <v>r150: C00226 + C00003 -&gt; C00071 + C00004 + C00080 | (${Variables:E1_1_1_1_kcat} * E1_1_1_1 * C00226 * C00003)/(${Variables:E1_1_1_1_km} + (E1_1_1_1 * C00226 * C00003))</v>
      </c>
    </row>
    <row r="152" spans="1:11" ht="29">
      <c r="A152" s="11" t="s">
        <v>747</v>
      </c>
      <c r="B152" s="11" t="s">
        <v>748</v>
      </c>
      <c r="C152" s="11" t="s">
        <v>12353</v>
      </c>
      <c r="D152" s="60">
        <v>151</v>
      </c>
      <c r="E152" s="11" t="str">
        <f t="shared" si="6"/>
        <v>E1_1_1_1</v>
      </c>
      <c r="F152" s="6" t="s">
        <v>13224</v>
      </c>
      <c r="G152" s="6" t="s">
        <v>13225</v>
      </c>
      <c r="H152" s="6" t="s">
        <v>13226</v>
      </c>
      <c r="I152" s="6" t="s">
        <v>13227</v>
      </c>
      <c r="J152" s="61" t="str">
        <f t="shared" si="7"/>
        <v>(${Variables:E1_1_1_1_kcat} * E1_1_1_1 * C00469 * C00003)/(${Variables:E1_1_1_1_km} + (E1_1_1_1 * C00469 * C00003))</v>
      </c>
      <c r="K152" s="54" t="str">
        <f t="shared" si="8"/>
        <v>r151: C00469 + C00003 -&gt; C00084 + C00004 + C00080 | (${Variables:E1_1_1_1_kcat} * E1_1_1_1 * C00469 * C00003)/(${Variables:E1_1_1_1_km} + (E1_1_1_1 * C00469 * C00003))</v>
      </c>
    </row>
    <row r="153" spans="1:11" ht="29">
      <c r="A153" s="11" t="s">
        <v>747</v>
      </c>
      <c r="B153" s="11" t="s">
        <v>748</v>
      </c>
      <c r="C153" s="11" t="s">
        <v>12353</v>
      </c>
      <c r="D153" s="60">
        <v>152</v>
      </c>
      <c r="E153" s="11" t="str">
        <f t="shared" si="6"/>
        <v>E1_1_1_1</v>
      </c>
      <c r="F153" s="6" t="s">
        <v>13228</v>
      </c>
      <c r="G153" s="6" t="s">
        <v>13229</v>
      </c>
      <c r="H153" s="6" t="s">
        <v>13230</v>
      </c>
      <c r="I153" s="6" t="s">
        <v>13231</v>
      </c>
      <c r="J153" s="61" t="str">
        <f t="shared" si="7"/>
        <v>(${Variables:E1_1_1_1_kcat} * E1_1_1_1 * C00473 * C00003)/(${Variables:E1_1_1_1_km} + (E1_1_1_1 * C00473 * C00003))</v>
      </c>
      <c r="K153" s="54" t="str">
        <f t="shared" si="8"/>
        <v>r152: C00473 + C00003 -&gt; C00376 + C00004 + C00080 | (${Variables:E1_1_1_1_kcat} * E1_1_1_1 * C00473 * C00003)/(${Variables:E1_1_1_1_km} + (E1_1_1_1 * C00473 * C00003))</v>
      </c>
    </row>
    <row r="154" spans="1:11" ht="29">
      <c r="A154" s="11" t="s">
        <v>747</v>
      </c>
      <c r="B154" s="11" t="s">
        <v>748</v>
      </c>
      <c r="C154" s="11" t="s">
        <v>12353</v>
      </c>
      <c r="D154" s="60">
        <v>153</v>
      </c>
      <c r="E154" s="11" t="str">
        <f t="shared" si="6"/>
        <v>E1_1_1_1</v>
      </c>
      <c r="F154" s="6" t="s">
        <v>13232</v>
      </c>
      <c r="G154" s="6" t="s">
        <v>13233</v>
      </c>
      <c r="H154" s="6" t="s">
        <v>13234</v>
      </c>
      <c r="I154" s="6" t="s">
        <v>13235</v>
      </c>
      <c r="J154" s="61" t="str">
        <f t="shared" si="7"/>
        <v>(${Variables:E1_1_1_1_kcat} * E1_1_1_1 * C00756 * C00003)/(${Variables:E1_1_1_1_km} + (E1_1_1_1 * C00756 * C00003))</v>
      </c>
      <c r="K154" s="54" t="str">
        <f t="shared" si="8"/>
        <v>r153: C00756 + C00003 -&gt; C01545 + C00004 + C00080 | (${Variables:E1_1_1_1_kcat} * E1_1_1_1 * C00756 * C00003)/(${Variables:E1_1_1_1_km} + (E1_1_1_1 * C00756 * C00003))</v>
      </c>
    </row>
    <row r="155" spans="1:11" ht="29">
      <c r="A155" s="11" t="s">
        <v>747</v>
      </c>
      <c r="B155" s="11" t="s">
        <v>748</v>
      </c>
      <c r="C155" s="11" t="s">
        <v>12353</v>
      </c>
      <c r="D155" s="60">
        <v>154</v>
      </c>
      <c r="E155" s="11" t="str">
        <f t="shared" si="6"/>
        <v>E1_1_1_1</v>
      </c>
      <c r="F155" s="6" t="s">
        <v>13236</v>
      </c>
      <c r="G155" s="6" t="s">
        <v>13237</v>
      </c>
      <c r="H155" s="6" t="s">
        <v>13238</v>
      </c>
      <c r="I155" s="6" t="s">
        <v>13239</v>
      </c>
      <c r="J155" s="61" t="str">
        <f t="shared" si="7"/>
        <v>(${Variables:E1_1_1_1_kcat} * E1_1_1_1 * C05444 * C00003)/(${Variables:E1_1_1_1_km} + (E1_1_1_1 * C05444 * C00003))</v>
      </c>
      <c r="K155" s="54" t="str">
        <f t="shared" si="8"/>
        <v>r154: C05444 + C00003 -&gt; C05445 + C00004 + C00080 | (${Variables:E1_1_1_1_kcat} * E1_1_1_1 * C05444 * C00003)/(${Variables:E1_1_1_1_km} + (E1_1_1_1 * C05444 * C00003))</v>
      </c>
    </row>
    <row r="156" spans="1:11" ht="29">
      <c r="A156" s="11" t="s">
        <v>747</v>
      </c>
      <c r="B156" s="11" t="s">
        <v>748</v>
      </c>
      <c r="C156" s="11" t="s">
        <v>12353</v>
      </c>
      <c r="D156" s="60">
        <v>155</v>
      </c>
      <c r="E156" s="11" t="str">
        <f t="shared" si="6"/>
        <v>E1_1_1_1</v>
      </c>
      <c r="F156" s="6" t="s">
        <v>13240</v>
      </c>
      <c r="G156" s="6" t="s">
        <v>13241</v>
      </c>
      <c r="H156" s="6" t="s">
        <v>13242</v>
      </c>
      <c r="I156" s="6" t="s">
        <v>13243</v>
      </c>
      <c r="J156" s="61" t="str">
        <f t="shared" si="7"/>
        <v>(${Variables:E1_1_1_1_kcat} * E1_1_1_1 * C05576 * C00003)/(${Variables:E1_1_1_1_km} + (E1_1_1_1 * C05576 * C00003))</v>
      </c>
      <c r="K156" s="54" t="str">
        <f t="shared" si="8"/>
        <v>r155: C05576 + C00003 -&gt; C05577 + C00004 + C00080 | (${Variables:E1_1_1_1_kcat} * E1_1_1_1 * C05576 * C00003)/(${Variables:E1_1_1_1_km} + (E1_1_1_1 * C05576 * C00003))</v>
      </c>
    </row>
    <row r="157" spans="1:11" ht="29">
      <c r="A157" s="11" t="s">
        <v>747</v>
      </c>
      <c r="B157" s="11" t="s">
        <v>748</v>
      </c>
      <c r="C157" s="11" t="s">
        <v>12353</v>
      </c>
      <c r="D157" s="60">
        <v>156</v>
      </c>
      <c r="E157" s="11" t="str">
        <f t="shared" si="6"/>
        <v>E1_1_1_1</v>
      </c>
      <c r="F157" s="6" t="s">
        <v>13244</v>
      </c>
      <c r="G157" s="6" t="s">
        <v>13245</v>
      </c>
      <c r="H157" s="6" t="s">
        <v>13246</v>
      </c>
      <c r="I157" s="6" t="s">
        <v>13247</v>
      </c>
      <c r="J157" s="61" t="str">
        <f t="shared" si="7"/>
        <v>(${Variables:E1_1_1_1_kcat} * E1_1_1_1 * C06611 * C00003)/(${Variables:E1_1_1_1_km} + (E1_1_1_1 * C06611 * C00003))</v>
      </c>
      <c r="K157" s="54" t="str">
        <f t="shared" si="8"/>
        <v>r156: C06611 + C00003 -&gt; C06613 + C00004 + C00080 | (${Variables:E1_1_1_1_kcat} * E1_1_1_1 * C06611 * C00003)/(${Variables:E1_1_1_1_km} + (E1_1_1_1 * C06611 * C00003))</v>
      </c>
    </row>
    <row r="158" spans="1:11" ht="29">
      <c r="A158" s="11" t="s">
        <v>747</v>
      </c>
      <c r="B158" s="11" t="s">
        <v>748</v>
      </c>
      <c r="C158" s="11" t="s">
        <v>12353</v>
      </c>
      <c r="D158" s="60">
        <v>157</v>
      </c>
      <c r="E158" s="11" t="str">
        <f t="shared" si="6"/>
        <v>E1_1_1_1</v>
      </c>
      <c r="F158" s="6" t="s">
        <v>13248</v>
      </c>
      <c r="G158" s="6" t="s">
        <v>13249</v>
      </c>
      <c r="H158" s="6" t="s">
        <v>13250</v>
      </c>
      <c r="I158" s="6" t="s">
        <v>13251</v>
      </c>
      <c r="J158" s="61" t="str">
        <f t="shared" si="7"/>
        <v>(${Variables:E1_1_1_1_kcat} * E1_1_1_1 * C06612 * C00003)/(${Variables:E1_1_1_1_km} + (E1_1_1_1 * C06612 * C00003))</v>
      </c>
      <c r="K158" s="54" t="str">
        <f t="shared" si="8"/>
        <v>r157: C06612 + C00003 -&gt; C16348 + C00004 + C00080 | (${Variables:E1_1_1_1_kcat} * E1_1_1_1 * C06612 * C00003)/(${Variables:E1_1_1_1_km} + (E1_1_1_1 * C06612 * C00003))</v>
      </c>
    </row>
    <row r="159" spans="1:11" ht="29">
      <c r="A159" s="11" t="s">
        <v>747</v>
      </c>
      <c r="B159" s="11" t="s">
        <v>748</v>
      </c>
      <c r="C159" s="11" t="s">
        <v>12353</v>
      </c>
      <c r="D159" s="60">
        <v>158</v>
      </c>
      <c r="E159" s="11" t="str">
        <f t="shared" si="6"/>
        <v>E1_1_1_1</v>
      </c>
      <c r="F159" s="6" t="s">
        <v>13252</v>
      </c>
      <c r="G159" s="6" t="s">
        <v>13253</v>
      </c>
      <c r="H159" s="6" t="s">
        <v>13254</v>
      </c>
      <c r="I159" s="6" t="s">
        <v>13255</v>
      </c>
      <c r="J159" s="61" t="str">
        <f t="shared" si="7"/>
        <v>(${Variables:E1_1_1_1_kcat} * E1_1_1_1 * C14089 * C00003)/(${Variables:E1_1_1_1_km} + (E1_1_1_1 * C14089 * C00003))</v>
      </c>
      <c r="K159" s="54" t="str">
        <f t="shared" si="8"/>
        <v>r158: C14089 + C00003 -&gt; C14090 + C00004 + C00080 | (${Variables:E1_1_1_1_kcat} * E1_1_1_1 * C14089 * C00003)/(${Variables:E1_1_1_1_km} + (E1_1_1_1 * C14089 * C00003))</v>
      </c>
    </row>
    <row r="160" spans="1:11" ht="29">
      <c r="A160" s="11" t="s">
        <v>747</v>
      </c>
      <c r="B160" s="11" t="s">
        <v>748</v>
      </c>
      <c r="C160" s="11" t="s">
        <v>12353</v>
      </c>
      <c r="D160" s="60">
        <v>159</v>
      </c>
      <c r="E160" s="11" t="str">
        <f t="shared" si="6"/>
        <v>E1_1_1_1</v>
      </c>
      <c r="F160" s="6" t="s">
        <v>13256</v>
      </c>
      <c r="G160" s="6" t="s">
        <v>13257</v>
      </c>
      <c r="H160" s="6" t="s">
        <v>13258</v>
      </c>
      <c r="I160" s="6" t="s">
        <v>13259</v>
      </c>
      <c r="J160" s="61" t="str">
        <f t="shared" si="7"/>
        <v>(${Variables:E1_1_1_1_kcat} * E1_1_1_1 * C02909 * C00003)/(${Variables:E1_1_1_1_km} + (E1_1_1_1 * C02909 * C00003))</v>
      </c>
      <c r="K160" s="54" t="str">
        <f t="shared" si="8"/>
        <v>r159: C02909 + C00003 -&gt; C14099 + C00004 + C00080 | (${Variables:E1_1_1_1_kcat} * E1_1_1_1 * C02909 * C00003)/(${Variables:E1_1_1_1_km} + (E1_1_1_1 * C02909 * C00003))</v>
      </c>
    </row>
    <row r="161" spans="1:11" ht="43.5">
      <c r="A161" s="11" t="s">
        <v>747</v>
      </c>
      <c r="B161" s="11" t="s">
        <v>748</v>
      </c>
      <c r="C161" s="11" t="s">
        <v>12353</v>
      </c>
      <c r="D161" s="60">
        <v>160</v>
      </c>
      <c r="E161" s="11" t="str">
        <f t="shared" si="6"/>
        <v>E1_1_1_1</v>
      </c>
      <c r="F161" s="6" t="s">
        <v>13260</v>
      </c>
      <c r="G161" s="6" t="s">
        <v>13261</v>
      </c>
      <c r="H161" s="6" t="s">
        <v>13262</v>
      </c>
      <c r="I161" s="6" t="s">
        <v>13263</v>
      </c>
      <c r="J161" s="61" t="str">
        <f t="shared" si="7"/>
        <v>(${Variables:E1_1_1_1_kcat} * E1_1_1_1 * C07645 * C00004 * C00080)/(${Variables:E1_1_1_1_km} + (E1_1_1_1 * C07645 * C00004 * C00080))</v>
      </c>
      <c r="K161" s="54" t="str">
        <f t="shared" si="8"/>
        <v>r160: C07645 + C00004 + C00080 -&gt; C16551 + C00003 | (${Variables:E1_1_1_1_kcat} * E1_1_1_1 * C07645 * C00004 * C00080)/(${Variables:E1_1_1_1_km} + (E1_1_1_1 * C07645 * C00004 * C00080))</v>
      </c>
    </row>
    <row r="162" spans="1:11" ht="29">
      <c r="A162" s="11" t="s">
        <v>747</v>
      </c>
      <c r="B162" s="11" t="s">
        <v>748</v>
      </c>
      <c r="C162" s="11" t="s">
        <v>12353</v>
      </c>
      <c r="D162" s="60">
        <v>161</v>
      </c>
      <c r="E162" s="11" t="str">
        <f t="shared" si="6"/>
        <v>E1_1_1_1</v>
      </c>
      <c r="F162" s="6" t="s">
        <v>13264</v>
      </c>
      <c r="G162" s="6" t="s">
        <v>13265</v>
      </c>
      <c r="H162" s="6" t="s">
        <v>13266</v>
      </c>
      <c r="I162" s="6" t="s">
        <v>13267</v>
      </c>
      <c r="J162" s="61" t="str">
        <f t="shared" si="7"/>
        <v>(${Variables:E1_1_1_1_kcat} * E1_1_1_1 * C16586 * C00003)/(${Variables:E1_1_1_1_km} + (E1_1_1_1 * C16586 * C00003))</v>
      </c>
      <c r="K162" s="54" t="str">
        <f t="shared" si="8"/>
        <v>r161: C16586 + C00003 -&gt; C16587 + C00004 + C00080 | (${Variables:E1_1_1_1_kcat} * E1_1_1_1 * C16586 * C00003)/(${Variables:E1_1_1_1_km} + (E1_1_1_1 * C16586 * C00003))</v>
      </c>
    </row>
    <row r="163" spans="1:11" ht="29">
      <c r="A163" s="11" t="s">
        <v>747</v>
      </c>
      <c r="B163" s="11" t="s">
        <v>748</v>
      </c>
      <c r="C163" s="11" t="s">
        <v>12353</v>
      </c>
      <c r="D163" s="60">
        <v>162</v>
      </c>
      <c r="E163" s="11" t="str">
        <f t="shared" si="6"/>
        <v>E1_1_1_1</v>
      </c>
      <c r="F163" s="6" t="s">
        <v>13268</v>
      </c>
      <c r="G163" s="6" t="s">
        <v>13269</v>
      </c>
      <c r="H163" s="6" t="s">
        <v>13270</v>
      </c>
      <c r="I163" s="6" t="s">
        <v>13271</v>
      </c>
      <c r="J163" s="61" t="str">
        <f t="shared" si="7"/>
        <v>(${Variables:E1_1_1_1_kcat} * E1_1_1_1 * C00114 * C00003)/(${Variables:E1_1_1_1_km} + (E1_1_1_1 * C00114 * C00003))</v>
      </c>
      <c r="K163" s="54" t="str">
        <f t="shared" si="8"/>
        <v>r162: C00114 + C00003 -&gt; C00576 + C00004 + C00080 | (${Variables:E1_1_1_1_kcat} * E1_1_1_1 * C00114 * C00003)/(${Variables:E1_1_1_1_km} + (E1_1_1_1 * C00114 * C00003))</v>
      </c>
    </row>
    <row r="164" spans="1:11" ht="29">
      <c r="A164" s="11" t="s">
        <v>747</v>
      </c>
      <c r="B164" s="11" t="s">
        <v>748</v>
      </c>
      <c r="C164" s="11" t="s">
        <v>12353</v>
      </c>
      <c r="D164" s="60">
        <v>163</v>
      </c>
      <c r="E164" s="11" t="str">
        <f t="shared" si="6"/>
        <v>E1_1_1_1</v>
      </c>
      <c r="F164" s="6" t="s">
        <v>13272</v>
      </c>
      <c r="G164" s="6" t="s">
        <v>13273</v>
      </c>
      <c r="H164" s="6" t="s">
        <v>13274</v>
      </c>
      <c r="I164" s="6" t="s">
        <v>13275</v>
      </c>
      <c r="J164" s="61" t="str">
        <f t="shared" si="7"/>
        <v>(${Variables:E1_1_1_1_kcat} * E1_1_1_1 * C00114 * C00006)/(${Variables:E1_1_1_1_km} + (E1_1_1_1 * C00114 * C00006))</v>
      </c>
      <c r="K164" s="54" t="str">
        <f t="shared" si="8"/>
        <v>r163: C00114 + C00006 -&gt; C00576 + C00005 + C00080 | (${Variables:E1_1_1_1_kcat} * E1_1_1_1 * C00114 * C00006)/(${Variables:E1_1_1_1_km} + (E1_1_1_1 * C00114 * C00006))</v>
      </c>
    </row>
    <row r="165" spans="1:11" ht="43.5">
      <c r="A165" s="11" t="s">
        <v>747</v>
      </c>
      <c r="B165" s="11" t="s">
        <v>748</v>
      </c>
      <c r="C165" s="11" t="s">
        <v>12353</v>
      </c>
      <c r="D165" s="60">
        <v>164</v>
      </c>
      <c r="E165" s="11" t="str">
        <f t="shared" si="6"/>
        <v>E1_1_1_1</v>
      </c>
      <c r="F165" s="6" t="s">
        <v>13276</v>
      </c>
      <c r="G165" s="6" t="s">
        <v>13277</v>
      </c>
      <c r="H165" s="6" t="s">
        <v>13278</v>
      </c>
      <c r="I165" s="6" t="s">
        <v>13279</v>
      </c>
      <c r="J165" s="61" t="str">
        <f t="shared" si="7"/>
        <v>(${Variables:E1_1_1_1_kcat} * E1_1_1_1 * C16310 * C00004 * C00080)/(${Variables:E1_1_1_1_km} + (E1_1_1_1 * C16310 * C00004 * C00080))</v>
      </c>
      <c r="K165" s="54" t="str">
        <f t="shared" si="8"/>
        <v>r164: C16310 + C00004 + C00080 -&gt; C08492 + C00003 | (${Variables:E1_1_1_1_kcat} * E1_1_1_1 * C16310 * C00004 * C00080)/(${Variables:E1_1_1_1_km} + (E1_1_1_1 * C16310 * C00004 * C00080))</v>
      </c>
    </row>
    <row r="166" spans="1:11" ht="29">
      <c r="A166" s="11" t="s">
        <v>747</v>
      </c>
      <c r="B166" s="11" t="s">
        <v>748</v>
      </c>
      <c r="C166" s="11" t="s">
        <v>12353</v>
      </c>
      <c r="D166" s="60">
        <v>165</v>
      </c>
      <c r="E166" s="11" t="str">
        <f t="shared" si="6"/>
        <v>E1_1_1_1</v>
      </c>
      <c r="F166" s="6" t="s">
        <v>13280</v>
      </c>
      <c r="G166" s="6" t="s">
        <v>13281</v>
      </c>
      <c r="H166" s="6" t="s">
        <v>13282</v>
      </c>
      <c r="I166" s="6" t="s">
        <v>13283</v>
      </c>
      <c r="J166" s="61" t="str">
        <f t="shared" si="7"/>
        <v>(${Variables:E1_1_1_1_kcat} * E1_1_1_1 * C01612 * C00003)/(${Variables:E1_1_1_1_km} + (E1_1_1_1 * C01612 * C00003))</v>
      </c>
      <c r="K166" s="54" t="str">
        <f t="shared" si="8"/>
        <v>r165: C01612 + C00003 -&gt; C01450 + C00004 + C00080 | (${Variables:E1_1_1_1_kcat} * E1_1_1_1 * C01612 * C00003)/(${Variables:E1_1_1_1_km} + (E1_1_1_1 * C01612 * C00003))</v>
      </c>
    </row>
    <row r="167" spans="1:11" ht="29">
      <c r="A167" s="11" t="s">
        <v>747</v>
      </c>
      <c r="B167" s="11" t="s">
        <v>748</v>
      </c>
      <c r="C167" s="11" t="s">
        <v>12353</v>
      </c>
      <c r="D167" s="60">
        <v>166</v>
      </c>
      <c r="E167" s="11" t="str">
        <f t="shared" si="6"/>
        <v>E1_1_1_1</v>
      </c>
      <c r="F167" s="6" t="s">
        <v>13284</v>
      </c>
      <c r="G167" s="6" t="s">
        <v>13285</v>
      </c>
      <c r="H167" s="6" t="s">
        <v>13286</v>
      </c>
      <c r="I167" s="6" t="s">
        <v>13287</v>
      </c>
      <c r="J167" s="61" t="str">
        <f t="shared" si="7"/>
        <v>(${Variables:E1_1_1_1_kcat} * E1_1_1_1 * C16595 * C00003)/(${Variables:E1_1_1_1_km} + (E1_1_1_1 * C16595 * C00003))</v>
      </c>
      <c r="K167" s="54" t="str">
        <f t="shared" si="8"/>
        <v>r166: C16595 + C00003 -&gt; C16596 + C00004 + C00080 | (${Variables:E1_1_1_1_kcat} * E1_1_1_1 * C16595 * C00003)/(${Variables:E1_1_1_1_km} + (E1_1_1_1 * C16595 * C00003))</v>
      </c>
    </row>
    <row r="168" spans="1:11" ht="29">
      <c r="A168" s="11" t="s">
        <v>747</v>
      </c>
      <c r="B168" s="11" t="s">
        <v>748</v>
      </c>
      <c r="C168" s="11" t="s">
        <v>12353</v>
      </c>
      <c r="D168" s="60">
        <v>167</v>
      </c>
      <c r="E168" s="11" t="str">
        <f t="shared" si="6"/>
        <v>E1_1_1_1</v>
      </c>
      <c r="F168" s="6" t="s">
        <v>13288</v>
      </c>
      <c r="G168" s="6" t="s">
        <v>13289</v>
      </c>
      <c r="H168" s="6" t="s">
        <v>13290</v>
      </c>
      <c r="I168" s="6" t="s">
        <v>13291</v>
      </c>
      <c r="J168" s="61" t="str">
        <f t="shared" si="7"/>
        <v>(${Variables:E1_1_1_1_kcat} * E1_1_1_1 * C00418 * C00003)/(${Variables:E1_1_1_1_km} + (E1_1_1_1 * C00418 * C00003))</v>
      </c>
      <c r="K168" s="54" t="str">
        <f t="shared" si="8"/>
        <v>r167: C00418 + C00003 -&gt; C00772 + C00004 + C00080 | (${Variables:E1_1_1_1_kcat} * E1_1_1_1 * C00418 * C00003)/(${Variables:E1_1_1_1_km} + (E1_1_1_1 * C00418 * C00003))</v>
      </c>
    </row>
    <row r="169" spans="1:11" ht="43.5">
      <c r="A169" s="11" t="s">
        <v>747</v>
      </c>
      <c r="B169" s="11" t="s">
        <v>748</v>
      </c>
      <c r="C169" s="11" t="s">
        <v>12353</v>
      </c>
      <c r="D169" s="60">
        <v>168</v>
      </c>
      <c r="E169" s="11" t="str">
        <f t="shared" si="6"/>
        <v>E1_1_1_1</v>
      </c>
      <c r="F169" s="6" t="s">
        <v>13292</v>
      </c>
      <c r="G169" s="6" t="s">
        <v>13293</v>
      </c>
      <c r="H169" s="6" t="s">
        <v>13294</v>
      </c>
      <c r="I169" s="6" t="s">
        <v>13295</v>
      </c>
      <c r="J169" s="61" t="str">
        <f t="shared" si="7"/>
        <v>(${Variables:E1_1_1_1_kcat} * E1_1_1_1 * C06899 * C00004 * C00080)/(${Variables:E1_1_1_1_km} + (E1_1_1_1 * C06899 * C00004 * C00080))</v>
      </c>
      <c r="K169" s="54" t="str">
        <f t="shared" si="8"/>
        <v>r168: C06899 + C00004 + C00080 -&gt; C07490 + C00003 + C00001 | (${Variables:E1_1_1_1_kcat} * E1_1_1_1 * C06899 * C00004 * C00080)/(${Variables:E1_1_1_1_km} + (E1_1_1_1 * C06899 * C00004 * C00080))</v>
      </c>
    </row>
    <row r="170" spans="1:11" ht="29">
      <c r="A170" s="11" t="s">
        <v>767</v>
      </c>
      <c r="B170" s="11" t="s">
        <v>768</v>
      </c>
      <c r="C170" s="11" t="s">
        <v>12355</v>
      </c>
      <c r="D170" s="60">
        <v>169</v>
      </c>
      <c r="E170" s="11" t="str">
        <f t="shared" si="6"/>
        <v>E4_2_1_70</v>
      </c>
      <c r="F170" s="11" t="s">
        <v>13296</v>
      </c>
      <c r="G170" s="11" t="s">
        <v>13297</v>
      </c>
      <c r="H170" s="11" t="s">
        <v>13298</v>
      </c>
      <c r="I170" s="11" t="s">
        <v>13299</v>
      </c>
      <c r="J170" s="61" t="str">
        <f t="shared" si="7"/>
        <v>(${Variables:E4_2_1_70_kcat} * E4_2_1_70 * C00106 * C00117)/(${Variables:E4_2_1_70_km} + (E4_2_1_70 * C00106 * C00117))</v>
      </c>
      <c r="K170" s="54" t="str">
        <f t="shared" si="8"/>
        <v>r169: C00106 + C00117 -&gt; C01168 + C00001 | (${Variables:E4_2_1_70_kcat} * E4_2_1_70 * C00106 * C00117)/(${Variables:E4_2_1_70_km} + (E4_2_1_70 * C00106 * C00117))</v>
      </c>
    </row>
    <row r="171" spans="1:11" ht="29">
      <c r="A171" s="11" t="s">
        <v>793</v>
      </c>
      <c r="B171" s="11" t="s">
        <v>794</v>
      </c>
      <c r="C171" s="11" t="s">
        <v>12357</v>
      </c>
      <c r="D171" s="60">
        <v>170</v>
      </c>
      <c r="E171" s="11" t="str">
        <f t="shared" si="6"/>
        <v>E3_6_5_3</v>
      </c>
      <c r="F171" s="11" t="s">
        <v>13182</v>
      </c>
      <c r="G171" s="11" t="s">
        <v>13183</v>
      </c>
      <c r="H171" s="11" t="s">
        <v>13300</v>
      </c>
      <c r="I171" s="11" t="s">
        <v>13301</v>
      </c>
      <c r="J171" s="61" t="str">
        <f t="shared" si="7"/>
        <v>(${Variables:E3_6_5_3_kcat} * E3_6_5_3 * C00044 * C00001)/(${Variables:E3_6_5_3_km} + (E3_6_5_3 * C00044 * C00001))</v>
      </c>
      <c r="K171" s="54" t="str">
        <f t="shared" si="8"/>
        <v>r170: C00044 + C00001 -&gt; C00035 + C00009 | (${Variables:E3_6_5_3_kcat} * E3_6_5_3 * C00044 * C00001)/(${Variables:E3_6_5_3_km} + (E3_6_5_3 * C00044 * C00001))</v>
      </c>
    </row>
    <row r="172" spans="1:11" ht="43.5">
      <c r="A172" s="11" t="s">
        <v>809</v>
      </c>
      <c r="B172" s="11" t="s">
        <v>810</v>
      </c>
      <c r="C172" s="11" t="s">
        <v>12358</v>
      </c>
      <c r="D172" s="60">
        <v>171</v>
      </c>
      <c r="E172" s="11" t="str">
        <f t="shared" si="6"/>
        <v>E1_14_13_107</v>
      </c>
      <c r="F172" s="11" t="s">
        <v>13302</v>
      </c>
      <c r="G172" s="11" t="s">
        <v>13303</v>
      </c>
      <c r="H172" s="11" t="s">
        <v>13304</v>
      </c>
      <c r="I172" s="11" t="s">
        <v>13305</v>
      </c>
      <c r="J172" s="61" t="str">
        <f t="shared" si="7"/>
        <v>(${Variables:E1_14_13_107_kcat} * E1_14_13_107 * C06099 * C00004 * C00080)/(${Variables:E1_14_13_107_km} + (E1_14_13_107 * C06099 * C00004 * C00080))</v>
      </c>
      <c r="K172" s="54" t="str">
        <f t="shared" si="8"/>
        <v>r171: C06099 + C00004 + C00080 -&gt; C07271 + C00003 + C00001 | (${Variables:E1_14_13_107_kcat} * E1_14_13_107 * C06099 * C00004 * C00080)/(${Variables:E1_14_13_107_km} + (E1_14_13_107 * C06099 * C00004 * C00080))</v>
      </c>
    </row>
    <row r="173" spans="1:11" ht="58">
      <c r="A173" s="11" t="s">
        <v>809</v>
      </c>
      <c r="B173" s="11" t="s">
        <v>810</v>
      </c>
      <c r="C173" s="11" t="s">
        <v>12358</v>
      </c>
      <c r="D173" s="60">
        <v>172</v>
      </c>
      <c r="E173" s="11" t="str">
        <f t="shared" si="6"/>
        <v>E1_14_13_107</v>
      </c>
      <c r="F173" s="11" t="s">
        <v>13306</v>
      </c>
      <c r="G173" s="11" t="s">
        <v>13307</v>
      </c>
      <c r="H173" s="11" t="s">
        <v>13308</v>
      </c>
      <c r="I173" s="11" t="s">
        <v>13309</v>
      </c>
      <c r="J173" s="61" t="str">
        <f t="shared" si="7"/>
        <v>(${Variables:E1_14_13_107_kcat} * E1_14_13_107 * C00521 * C00004 * C00080 * C00007)/(${Variables:E1_14_13_107_km} + (E1_14_13_107 * C00521 * C00004 * C00080 * C00007))</v>
      </c>
      <c r="K173" s="54" t="str">
        <f t="shared" si="8"/>
        <v>r172: C00521 + C00004 + C00080 + C00007 -&gt; C19081 + C00003 + C00001 | (${Variables:E1_14_13_107_kcat} * E1_14_13_107 * C00521 * C00004 * C00080 * C00007)/(${Variables:E1_14_13_107_km} + (E1_14_13_107 * C00521 * C00004 * C00080 * C00007))</v>
      </c>
    </row>
    <row r="174" spans="1:11" ht="58">
      <c r="A174" s="11" t="s">
        <v>809</v>
      </c>
      <c r="B174" s="11" t="s">
        <v>810</v>
      </c>
      <c r="C174" s="11" t="s">
        <v>12358</v>
      </c>
      <c r="D174" s="60">
        <v>173</v>
      </c>
      <c r="E174" s="11" t="str">
        <f t="shared" si="6"/>
        <v>E1_14_13_107</v>
      </c>
      <c r="F174" s="11" t="s">
        <v>13310</v>
      </c>
      <c r="G174" s="11" t="s">
        <v>13311</v>
      </c>
      <c r="H174" s="11" t="s">
        <v>13312</v>
      </c>
      <c r="I174" s="11" t="s">
        <v>13313</v>
      </c>
      <c r="J174" s="61" t="str">
        <f t="shared" si="7"/>
        <v>(${Variables:E1_14_13_107_kcat} * E1_14_13_107 * C00521 * C00005 * C00007 * C00080)/(${Variables:E1_14_13_107_km} + (E1_14_13_107 * C00521 * C00005 * C00007 * C00080))</v>
      </c>
      <c r="K174" s="54" t="str">
        <f t="shared" si="8"/>
        <v>r173: C00521 + C00005 + C00007 + C00080 -&gt; C19081 + C00006 + C00001 | (${Variables:E1_14_13_107_kcat} * E1_14_13_107 * C00521 * C00005 * C00007 * C00080)/(${Variables:E1_14_13_107_km} + (E1_14_13_107 * C00521 * C00005 * C00007 * C00080))</v>
      </c>
    </row>
    <row r="175" spans="1:11" ht="58">
      <c r="A175" s="11" t="s">
        <v>809</v>
      </c>
      <c r="B175" s="11" t="s">
        <v>810</v>
      </c>
      <c r="C175" s="11" t="s">
        <v>12358</v>
      </c>
      <c r="D175" s="60">
        <v>174</v>
      </c>
      <c r="E175" s="11" t="str">
        <f t="shared" si="6"/>
        <v>E1_14_13_107</v>
      </c>
      <c r="F175" s="11" t="s">
        <v>13314</v>
      </c>
      <c r="G175" s="11" t="s">
        <v>13315</v>
      </c>
      <c r="H175" s="11" t="s">
        <v>13316</v>
      </c>
      <c r="I175" s="11" t="s">
        <v>13317</v>
      </c>
      <c r="J175" s="61" t="str">
        <f t="shared" si="7"/>
        <v>(${Variables:E1_14_13_107_kcat} * E1_14_13_107 * C06099 * C00005 * C00007 * C00080)/(${Variables:E1_14_13_107_km} + (E1_14_13_107 * C06099 * C00005 * C00007 * C00080))</v>
      </c>
      <c r="K175" s="54" t="str">
        <f t="shared" si="8"/>
        <v>r174: C06099 + C00005 + C00007 + C00080 -&gt; C07271 + C00006 + C00001 | (${Variables:E1_14_13_107_kcat} * E1_14_13_107 * C06099 * C00005 * C00007 * C00080)/(${Variables:E1_14_13_107_km} + (E1_14_13_107 * C06099 * C00005 * C00007 * C00080))</v>
      </c>
    </row>
    <row r="176" spans="1:11" ht="29">
      <c r="A176" s="11" t="s">
        <v>813</v>
      </c>
      <c r="B176" s="11" t="s">
        <v>814</v>
      </c>
      <c r="C176" s="11" t="s">
        <v>12359</v>
      </c>
      <c r="D176" s="60">
        <v>175</v>
      </c>
      <c r="E176" s="11" t="str">
        <f t="shared" si="6"/>
        <v>E2_6_1_16</v>
      </c>
      <c r="F176" s="11" t="s">
        <v>13318</v>
      </c>
      <c r="G176" s="11" t="s">
        <v>13319</v>
      </c>
      <c r="H176" s="11" t="s">
        <v>13320</v>
      </c>
      <c r="I176" s="11" t="s">
        <v>13321</v>
      </c>
      <c r="J176" s="61" t="str">
        <f t="shared" si="7"/>
        <v>(${Variables:E2_6_1_16_kcat} * E2_6_1_16 * C00064 * C00085)/(${Variables:E2_6_1_16_km} + (E2_6_1_16 * C00064 * C00085))</v>
      </c>
      <c r="K176" s="54" t="str">
        <f t="shared" si="8"/>
        <v>r175: C00064 + C00085 -&gt; C00025 + C00352 | (${Variables:E2_6_1_16_kcat} * E2_6_1_16 * C00064 * C00085)/(${Variables:E2_6_1_16_km} + (E2_6_1_16 * C00064 * C00085))</v>
      </c>
    </row>
    <row r="177" spans="1:11" ht="29">
      <c r="A177" s="11" t="s">
        <v>817</v>
      </c>
      <c r="B177" s="11" t="s">
        <v>818</v>
      </c>
      <c r="C177" s="11" t="s">
        <v>12360</v>
      </c>
      <c r="D177" s="60">
        <v>176</v>
      </c>
      <c r="E177" s="11" t="str">
        <f t="shared" si="6"/>
        <v>E3_2_1_21</v>
      </c>
      <c r="F177" s="11" t="s">
        <v>13322</v>
      </c>
      <c r="G177" s="11" t="s">
        <v>13323</v>
      </c>
      <c r="H177" s="11" t="s">
        <v>7769</v>
      </c>
      <c r="I177" s="11" t="s">
        <v>7769</v>
      </c>
      <c r="J177" s="61" t="str">
        <f t="shared" si="7"/>
        <v>(${Variables:E3_2_1_21_kcat} * E3_2_1_21 * C00185 * C00001)/(${Variables:E3_2_1_21_km} + (E3_2_1_21 * C00185 * C00001))</v>
      </c>
      <c r="K177" s="54" t="str">
        <f t="shared" si="8"/>
        <v>r176: C00185 + C00001 -&gt; C00221 | (${Variables:E3_2_1_21_kcat} * E3_2_1_21 * C00185 * C00001)/(${Variables:E3_2_1_21_km} + (E3_2_1_21 * C00185 * C00001))</v>
      </c>
    </row>
    <row r="178" spans="1:11" ht="29">
      <c r="A178" s="11" t="s">
        <v>817</v>
      </c>
      <c r="B178" s="11" t="s">
        <v>818</v>
      </c>
      <c r="C178" s="11" t="s">
        <v>12360</v>
      </c>
      <c r="D178" s="60">
        <v>177</v>
      </c>
      <c r="E178" s="11" t="str">
        <f t="shared" si="6"/>
        <v>E3_2_1_21</v>
      </c>
      <c r="F178" s="11" t="s">
        <v>13322</v>
      </c>
      <c r="G178" s="11" t="s">
        <v>13323</v>
      </c>
      <c r="H178" s="11" t="s">
        <v>7771</v>
      </c>
      <c r="I178" s="11" t="s">
        <v>7771</v>
      </c>
      <c r="J178" s="61" t="str">
        <f t="shared" si="7"/>
        <v>(${Variables:E3_2_1_21_kcat} * E3_2_1_21 * C00185 * C00001)/(${Variables:E3_2_1_21_km} + (E3_2_1_21 * C00185 * C00001))</v>
      </c>
      <c r="K178" s="54" t="str">
        <f t="shared" si="8"/>
        <v>r177: C00185 + C00001 -&gt; C00031 | (${Variables:E3_2_1_21_kcat} * E3_2_1_21 * C00185 * C00001)/(${Variables:E3_2_1_21_km} + (E3_2_1_21 * C00185 * C00001))</v>
      </c>
    </row>
    <row r="179" spans="1:11" ht="29">
      <c r="A179" s="11" t="s">
        <v>817</v>
      </c>
      <c r="B179" s="11" t="s">
        <v>818</v>
      </c>
      <c r="C179" s="11" t="s">
        <v>12360</v>
      </c>
      <c r="D179" s="60">
        <v>178</v>
      </c>
      <c r="E179" s="11" t="str">
        <f t="shared" si="6"/>
        <v>E3_2_1_21</v>
      </c>
      <c r="F179" s="11" t="s">
        <v>13324</v>
      </c>
      <c r="G179" s="11" t="s">
        <v>13325</v>
      </c>
      <c r="H179" s="11" t="s">
        <v>13326</v>
      </c>
      <c r="I179" s="11" t="s">
        <v>13327</v>
      </c>
      <c r="J179" s="61" t="str">
        <f t="shared" si="7"/>
        <v>(${Variables:E3_2_1_21_kcat} * E3_2_1_21 * C00844 * C00001)/(${Variables:E3_2_1_21_km} + (E3_2_1_21 * C00844 * C00001))</v>
      </c>
      <c r="K179" s="54" t="str">
        <f t="shared" si="8"/>
        <v>r178: C00844 + C00001 -&gt; C00561 + C00031 | (${Variables:E3_2_1_21_kcat} * E3_2_1_21 * C00844 * C00001)/(${Variables:E3_2_1_21_km} + (E3_2_1_21 * C00844 * C00001))</v>
      </c>
    </row>
    <row r="180" spans="1:11" ht="29">
      <c r="A180" s="11" t="s">
        <v>817</v>
      </c>
      <c r="B180" s="11" t="s">
        <v>818</v>
      </c>
      <c r="C180" s="11" t="s">
        <v>12360</v>
      </c>
      <c r="D180" s="60">
        <v>179</v>
      </c>
      <c r="E180" s="11" t="str">
        <f t="shared" si="6"/>
        <v>E3_2_1_21</v>
      </c>
      <c r="F180" s="11" t="s">
        <v>13328</v>
      </c>
      <c r="G180" s="11" t="s">
        <v>13329</v>
      </c>
      <c r="H180" s="11" t="s">
        <v>13330</v>
      </c>
      <c r="I180" s="11" t="s">
        <v>13331</v>
      </c>
      <c r="J180" s="61" t="str">
        <f t="shared" si="7"/>
        <v>(${Variables:E3_2_1_21_kcat} * E3_2_1_21 * C01898 * C00001)/(${Variables:E3_2_1_21_km} + (E3_2_1_21 * C01898 * C00001))</v>
      </c>
      <c r="K180" s="54" t="str">
        <f t="shared" si="8"/>
        <v>r179: C01898 + C00001 -&gt; C00031 + C00185 | (${Variables:E3_2_1_21_kcat} * E3_2_1_21 * C01898 * C00001)/(${Variables:E3_2_1_21_km} + (E3_2_1_21 * C01898 * C00001))</v>
      </c>
    </row>
    <row r="181" spans="1:11" ht="29">
      <c r="A181" s="11" t="s">
        <v>817</v>
      </c>
      <c r="B181" s="11" t="s">
        <v>818</v>
      </c>
      <c r="C181" s="11" t="s">
        <v>12360</v>
      </c>
      <c r="D181" s="60">
        <v>180</v>
      </c>
      <c r="E181" s="11" t="str">
        <f t="shared" si="6"/>
        <v>E3_2_1_21</v>
      </c>
      <c r="F181" s="11" t="s">
        <v>13332</v>
      </c>
      <c r="G181" s="11" t="s">
        <v>13333</v>
      </c>
      <c r="H181" s="11" t="s">
        <v>13334</v>
      </c>
      <c r="I181" s="11" t="s">
        <v>13335</v>
      </c>
      <c r="J181" s="61" t="str">
        <f t="shared" si="7"/>
        <v>(${Variables:E3_2_1_21_kcat} * E3_2_1_21 * C00844 * C00031)/(${Variables:E3_2_1_21_km} + (E3_2_1_21 * C00844 * C00031))</v>
      </c>
      <c r="K181" s="54" t="str">
        <f t="shared" si="8"/>
        <v>r180: C00844 + C00031 -&gt; C08325 + C00001 | (${Variables:E3_2_1_21_kcat} * E3_2_1_21 * C00844 * C00031)/(${Variables:E3_2_1_21_km} + (E3_2_1_21 * C00844 * C00031))</v>
      </c>
    </row>
    <row r="182" spans="1:11" ht="29">
      <c r="A182" s="11" t="s">
        <v>817</v>
      </c>
      <c r="B182" s="11" t="s">
        <v>818</v>
      </c>
      <c r="C182" s="11" t="s">
        <v>12360</v>
      </c>
      <c r="D182" s="60">
        <v>181</v>
      </c>
      <c r="E182" s="11" t="str">
        <f t="shared" si="6"/>
        <v>E3_2_1_21</v>
      </c>
      <c r="F182" s="11" t="s">
        <v>13336</v>
      </c>
      <c r="G182" s="11" t="s">
        <v>13337</v>
      </c>
      <c r="H182" s="11" t="s">
        <v>13338</v>
      </c>
      <c r="I182" s="11" t="s">
        <v>13339</v>
      </c>
      <c r="J182" s="61" t="str">
        <f t="shared" si="7"/>
        <v>(${Variables:E3_2_1_21_kcat} * E3_2_1_21 * C00963 * C00001)/(${Variables:E3_2_1_21_km} + (E3_2_1_21 * C00963 * C00001))</v>
      </c>
      <c r="K182" s="54" t="str">
        <f t="shared" si="8"/>
        <v>r181: C00963 + C00001 -&gt; C00031 + C01335 | (${Variables:E3_2_1_21_kcat} * E3_2_1_21 * C00963 * C00001)/(${Variables:E3_2_1_21_km} + (E3_2_1_21 * C00963 * C00001))</v>
      </c>
    </row>
    <row r="183" spans="1:11" ht="29">
      <c r="A183" s="11" t="s">
        <v>817</v>
      </c>
      <c r="B183" s="11" t="s">
        <v>818</v>
      </c>
      <c r="C183" s="11" t="s">
        <v>12360</v>
      </c>
      <c r="D183" s="60">
        <v>182</v>
      </c>
      <c r="E183" s="11" t="str">
        <f t="shared" si="6"/>
        <v>E3_2_1_21</v>
      </c>
      <c r="F183" s="11" t="s">
        <v>13340</v>
      </c>
      <c r="G183" s="11" t="s">
        <v>13341</v>
      </c>
      <c r="H183" s="11" t="s">
        <v>13342</v>
      </c>
      <c r="I183" s="11" t="s">
        <v>13343</v>
      </c>
      <c r="J183" s="61" t="str">
        <f t="shared" si="7"/>
        <v>(${Variables:E3_2_1_21_kcat} * E3_2_1_21 * C05713 * C00001)/(${Variables:E3_2_1_21_km} + (E3_2_1_21 * C05713 * C00001))</v>
      </c>
      <c r="K183" s="54" t="str">
        <f t="shared" si="8"/>
        <v>r182: C05713 + C00001 -&gt; C05712 + C00031 | (${Variables:E3_2_1_21_kcat} * E3_2_1_21 * C05713 * C00001)/(${Variables:E3_2_1_21_km} + (E3_2_1_21 * C05713 * C00001))</v>
      </c>
    </row>
    <row r="184" spans="1:11" ht="29">
      <c r="A184" s="11" t="s">
        <v>817</v>
      </c>
      <c r="B184" s="11" t="s">
        <v>818</v>
      </c>
      <c r="C184" s="11" t="s">
        <v>12360</v>
      </c>
      <c r="D184" s="60">
        <v>183</v>
      </c>
      <c r="E184" s="11" t="str">
        <f t="shared" si="6"/>
        <v>E3_2_1_21</v>
      </c>
      <c r="F184" s="11" t="s">
        <v>13344</v>
      </c>
      <c r="G184" s="11" t="s">
        <v>13345</v>
      </c>
      <c r="H184" s="11" t="s">
        <v>13346</v>
      </c>
      <c r="I184" s="11" t="s">
        <v>13347</v>
      </c>
      <c r="J184" s="61" t="str">
        <f t="shared" si="7"/>
        <v>(${Variables:E3_2_1_21_kcat} * E3_2_1_21 * C05839 * C00001)/(${Variables:E3_2_1_21_km} + (E3_2_1_21 * C05839 * C00001))</v>
      </c>
      <c r="K184" s="54" t="str">
        <f t="shared" si="8"/>
        <v>r183: C05839 + C00001 -&gt; C05838 + C00031 | (${Variables:E3_2_1_21_kcat} * E3_2_1_21 * C05839 * C00001)/(${Variables:E3_2_1_21_km} + (E3_2_1_21 * C05839 * C00001))</v>
      </c>
    </row>
    <row r="185" spans="1:11" ht="29">
      <c r="A185" s="11" t="s">
        <v>817</v>
      </c>
      <c r="B185" s="11" t="s">
        <v>818</v>
      </c>
      <c r="C185" s="11" t="s">
        <v>12360</v>
      </c>
      <c r="D185" s="60">
        <v>184</v>
      </c>
      <c r="E185" s="11" t="str">
        <f t="shared" si="6"/>
        <v>E3_2_1_21</v>
      </c>
      <c r="F185" s="11" t="s">
        <v>13348</v>
      </c>
      <c r="G185" s="11" t="s">
        <v>13349</v>
      </c>
      <c r="H185" s="11" t="s">
        <v>13350</v>
      </c>
      <c r="I185" s="11" t="s">
        <v>13351</v>
      </c>
      <c r="J185" s="61" t="str">
        <f t="shared" si="7"/>
        <v>(${Variables:E3_2_1_21_kcat} * E3_2_1_21 * G10481 * C00001)/(${Variables:E3_2_1_21_km} + (E3_2_1_21 * G10481 * C00001))</v>
      </c>
      <c r="K185" s="54" t="str">
        <f t="shared" si="8"/>
        <v>r184: G10481 + C00001 -&gt; G10481 + C00221 | (${Variables:E3_2_1_21_kcat} * E3_2_1_21 * G10481 * C00001)/(${Variables:E3_2_1_21_km} + (E3_2_1_21 * G10481 * C00001))</v>
      </c>
    </row>
    <row r="186" spans="1:11" ht="29">
      <c r="A186" s="11" t="s">
        <v>817</v>
      </c>
      <c r="B186" s="11" t="s">
        <v>818</v>
      </c>
      <c r="C186" s="11" t="s">
        <v>12360</v>
      </c>
      <c r="D186" s="60">
        <v>185</v>
      </c>
      <c r="E186" s="11" t="str">
        <f t="shared" si="6"/>
        <v>E3_2_1_21</v>
      </c>
      <c r="F186" s="11" t="s">
        <v>13352</v>
      </c>
      <c r="G186" s="11" t="s">
        <v>13353</v>
      </c>
      <c r="H186" s="11" t="s">
        <v>7769</v>
      </c>
      <c r="I186" s="11" t="s">
        <v>7769</v>
      </c>
      <c r="J186" s="61" t="str">
        <f t="shared" si="7"/>
        <v>(${Variables:E3_2_1_21_kcat} * E3_2_1_21 * G00289 * C00001)/(${Variables:E3_2_1_21_km} + (E3_2_1_21 * G00289 * C00001))</v>
      </c>
      <c r="K186" s="54" t="str">
        <f t="shared" si="8"/>
        <v>r185: G00289 + C00001 -&gt; C00221 | (${Variables:E3_2_1_21_kcat} * E3_2_1_21 * G00289 * C00001)/(${Variables:E3_2_1_21_km} + (E3_2_1_21 * G00289 * C00001))</v>
      </c>
    </row>
    <row r="187" spans="1:11" ht="29">
      <c r="A187" s="11" t="s">
        <v>817</v>
      </c>
      <c r="B187" s="11" t="s">
        <v>818</v>
      </c>
      <c r="C187" s="11" t="s">
        <v>12360</v>
      </c>
      <c r="D187" s="60">
        <v>186</v>
      </c>
      <c r="E187" s="11" t="str">
        <f t="shared" si="6"/>
        <v>E3_2_1_21</v>
      </c>
      <c r="F187" s="11" t="s">
        <v>13352</v>
      </c>
      <c r="G187" s="11" t="s">
        <v>13353</v>
      </c>
      <c r="H187" s="11" t="s">
        <v>7796</v>
      </c>
      <c r="I187" s="11" t="s">
        <v>7796</v>
      </c>
      <c r="J187" s="61" t="str">
        <f t="shared" si="7"/>
        <v>(${Variables:E3_2_1_21_kcat} * E3_2_1_21 * G00289 * C00001)/(${Variables:E3_2_1_21_km} + (E3_2_1_21 * G00289 * C00001))</v>
      </c>
      <c r="K187" s="54" t="str">
        <f t="shared" si="8"/>
        <v>r186: G00289 + C00001 -&gt; C00321 | (${Variables:E3_2_1_21_kcat} * E3_2_1_21 * G00289 * C00001)/(${Variables:E3_2_1_21_km} + (E3_2_1_21 * G00289 * C00001))</v>
      </c>
    </row>
    <row r="188" spans="1:11" ht="29">
      <c r="A188" s="11" t="s">
        <v>817</v>
      </c>
      <c r="B188" s="11" t="s">
        <v>818</v>
      </c>
      <c r="C188" s="11" t="s">
        <v>12360</v>
      </c>
      <c r="D188" s="60">
        <v>187</v>
      </c>
      <c r="E188" s="11" t="str">
        <f t="shared" si="6"/>
        <v>E3_2_1_21</v>
      </c>
      <c r="F188" s="11" t="s">
        <v>13354</v>
      </c>
      <c r="G188" s="11" t="s">
        <v>13355</v>
      </c>
      <c r="H188" s="11" t="s">
        <v>13356</v>
      </c>
      <c r="I188" s="11" t="s">
        <v>13357</v>
      </c>
      <c r="J188" s="61" t="str">
        <f t="shared" si="7"/>
        <v>(${Variables:E3_2_1_21_kcat} * E3_2_1_21 * C05143 * C00001)/(${Variables:E3_2_1_21_km} + (E3_2_1_21 * C05143 * C00001))</v>
      </c>
      <c r="K188" s="54" t="str">
        <f t="shared" si="8"/>
        <v>r187: C05143 + C00001 -&gt; C03742 + C00221 | (${Variables:E3_2_1_21_kcat} * E3_2_1_21 * C05143 * C00001)/(${Variables:E3_2_1_21_km} + (E3_2_1_21 * C05143 * C00001))</v>
      </c>
    </row>
    <row r="189" spans="1:11" ht="29">
      <c r="A189" s="11" t="s">
        <v>817</v>
      </c>
      <c r="B189" s="11" t="s">
        <v>818</v>
      </c>
      <c r="C189" s="11" t="s">
        <v>12360</v>
      </c>
      <c r="D189" s="60">
        <v>188</v>
      </c>
      <c r="E189" s="11" t="str">
        <f t="shared" si="6"/>
        <v>E3_2_1_21</v>
      </c>
      <c r="F189" s="11" t="s">
        <v>13358</v>
      </c>
      <c r="G189" s="11" t="s">
        <v>13359</v>
      </c>
      <c r="H189" s="11" t="s">
        <v>13360</v>
      </c>
      <c r="I189" s="11" t="s">
        <v>13361</v>
      </c>
      <c r="J189" s="61" t="str">
        <f t="shared" si="7"/>
        <v>(${Variables:E3_2_1_21_kcat} * E3_2_1_21 * C08334 * C00001)/(${Variables:E3_2_1_21_km} + (E3_2_1_21 * C08334 * C00001))</v>
      </c>
      <c r="K189" s="54" t="str">
        <f t="shared" si="8"/>
        <v>r188: C08334 + C00001 -&gt; C18796 + C00221 | (${Variables:E3_2_1_21_kcat} * E3_2_1_21 * C08334 * C00001)/(${Variables:E3_2_1_21_km} + (E3_2_1_21 * C08334 * C00001))</v>
      </c>
    </row>
    <row r="190" spans="1:11" ht="29">
      <c r="A190" s="11" t="s">
        <v>817</v>
      </c>
      <c r="B190" s="11" t="s">
        <v>818</v>
      </c>
      <c r="C190" s="11" t="s">
        <v>12360</v>
      </c>
      <c r="D190" s="60">
        <v>189</v>
      </c>
      <c r="E190" s="11" t="str">
        <f t="shared" si="6"/>
        <v>E3_2_1_21</v>
      </c>
      <c r="F190" s="11" t="s">
        <v>13362</v>
      </c>
      <c r="G190" s="11" t="s">
        <v>13363</v>
      </c>
      <c r="H190" s="11" t="s">
        <v>13364</v>
      </c>
      <c r="I190" s="11" t="s">
        <v>13365</v>
      </c>
      <c r="J190" s="61" t="str">
        <f t="shared" si="7"/>
        <v>(${Variables:E3_2_1_21_kcat} * E3_2_1_21 * C01594 * C00001)/(${Variables:E3_2_1_21_km} + (E3_2_1_21 * C01594 * C00001))</v>
      </c>
      <c r="K190" s="54" t="str">
        <f t="shared" si="8"/>
        <v>r189: C01594 + C00001 -&gt; C02659 + C00221 | (${Variables:E3_2_1_21_kcat} * E3_2_1_21 * C01594 * C00001)/(${Variables:E3_2_1_21_km} + (E3_2_1_21 * C01594 * C00001))</v>
      </c>
    </row>
    <row r="191" spans="1:11" ht="29">
      <c r="A191" s="11" t="s">
        <v>817</v>
      </c>
      <c r="B191" s="11" t="s">
        <v>818</v>
      </c>
      <c r="C191" s="11" t="s">
        <v>12360</v>
      </c>
      <c r="D191" s="60">
        <v>190</v>
      </c>
      <c r="E191" s="11" t="str">
        <f t="shared" si="6"/>
        <v>E3_2_1_21</v>
      </c>
      <c r="F191" s="11" t="s">
        <v>13366</v>
      </c>
      <c r="G191" s="11" t="s">
        <v>13367</v>
      </c>
      <c r="H191" s="11" t="s">
        <v>13368</v>
      </c>
      <c r="I191" s="11" t="s">
        <v>13369</v>
      </c>
      <c r="J191" s="61" t="str">
        <f t="shared" si="7"/>
        <v>(${Variables:E3_2_1_21_kcat} * E3_2_1_21 * C10216 * C00001)/(${Variables:E3_2_1_21_km} + (E3_2_1_21 * C10216 * C00001))</v>
      </c>
      <c r="K191" s="54" t="str">
        <f t="shared" si="8"/>
        <v>r190: C10216 + C00001 -&gt; C10208 + C00221 | (${Variables:E3_2_1_21_kcat} * E3_2_1_21 * C10216 * C00001)/(${Variables:E3_2_1_21_km} + (E3_2_1_21 * C10216 * C00001))</v>
      </c>
    </row>
    <row r="192" spans="1:11" ht="29">
      <c r="A192" s="11" t="s">
        <v>817</v>
      </c>
      <c r="B192" s="11" t="s">
        <v>818</v>
      </c>
      <c r="C192" s="11" t="s">
        <v>12360</v>
      </c>
      <c r="D192" s="60">
        <v>191</v>
      </c>
      <c r="E192" s="11" t="str">
        <f t="shared" si="6"/>
        <v>E3_2_1_21</v>
      </c>
      <c r="F192" s="11" t="s">
        <v>13370</v>
      </c>
      <c r="G192" s="11" t="s">
        <v>13371</v>
      </c>
      <c r="H192" s="11" t="s">
        <v>13372</v>
      </c>
      <c r="I192" s="11" t="s">
        <v>13373</v>
      </c>
      <c r="J192" s="61" t="str">
        <f t="shared" si="7"/>
        <v>(${Variables:E3_2_1_21_kcat} * E3_2_1_21 * C09126 * C00001)/(${Variables:E3_2_1_21_km} + (E3_2_1_21 * C09126 * C00001))</v>
      </c>
      <c r="K192" s="54" t="str">
        <f t="shared" si="8"/>
        <v>r191: C09126 + C00001 -&gt; C06563 + C00221 | (${Variables:E3_2_1_21_kcat} * E3_2_1_21 * C09126 * C00001)/(${Variables:E3_2_1_21_km} + (E3_2_1_21 * C09126 * C00001))</v>
      </c>
    </row>
    <row r="193" spans="1:11" ht="29">
      <c r="A193" s="11" t="s">
        <v>817</v>
      </c>
      <c r="B193" s="11" t="s">
        <v>818</v>
      </c>
      <c r="C193" s="11" t="s">
        <v>12360</v>
      </c>
      <c r="D193" s="60">
        <v>192</v>
      </c>
      <c r="E193" s="11" t="str">
        <f t="shared" si="6"/>
        <v>E3_2_1_21</v>
      </c>
      <c r="F193" s="11" t="s">
        <v>13374</v>
      </c>
      <c r="G193" s="11" t="s">
        <v>13375</v>
      </c>
      <c r="H193" s="11" t="s">
        <v>13376</v>
      </c>
      <c r="I193" s="11" t="s">
        <v>13377</v>
      </c>
      <c r="J193" s="61" t="str">
        <f t="shared" si="7"/>
        <v>(${Variables:E3_2_1_21_kcat} * E3_2_1_21 * C05623 * C00001)/(${Variables:E3_2_1_21_km} + (E3_2_1_21 * C05623 * C00001))</v>
      </c>
      <c r="K193" s="54" t="str">
        <f t="shared" si="8"/>
        <v>r192: C05623 + C00001 -&gt; C00389 + C00221 | (${Variables:E3_2_1_21_kcat} * E3_2_1_21 * C05623 * C00001)/(${Variables:E3_2_1_21_km} + (E3_2_1_21 * C05623 * C00001))</v>
      </c>
    </row>
    <row r="194" spans="1:11" ht="29">
      <c r="A194" s="11" t="s">
        <v>817</v>
      </c>
      <c r="B194" s="11" t="s">
        <v>818</v>
      </c>
      <c r="C194" s="11" t="s">
        <v>12360</v>
      </c>
      <c r="D194" s="60">
        <v>193</v>
      </c>
      <c r="E194" s="11" t="str">
        <f t="shared" si="6"/>
        <v>E3_2_1_21</v>
      </c>
      <c r="F194" s="11" t="s">
        <v>13378</v>
      </c>
      <c r="G194" s="11" t="s">
        <v>13379</v>
      </c>
      <c r="H194" s="11" t="s">
        <v>13380</v>
      </c>
      <c r="I194" s="11" t="s">
        <v>13381</v>
      </c>
      <c r="J194" s="61" t="str">
        <f t="shared" si="7"/>
        <v>(${Variables:E3_2_1_21_kcat} * E3_2_1_21 * C09009 * C00001)/(${Variables:E3_2_1_21_km} + (E3_2_1_21 * C09009 * C00001))</v>
      </c>
      <c r="K194" s="54" t="str">
        <f t="shared" si="8"/>
        <v>r193: C09009 + C00001 -&gt; C00509 + C00221 | (${Variables:E3_2_1_21_kcat} * E3_2_1_21 * C09009 * C00001)/(${Variables:E3_2_1_21_km} + (E3_2_1_21 * C09009 * C00001))</v>
      </c>
    </row>
    <row r="195" spans="1:11" ht="43.5">
      <c r="A195" s="11" t="s">
        <v>821</v>
      </c>
      <c r="B195" s="11" t="s">
        <v>822</v>
      </c>
      <c r="C195" s="11" t="s">
        <v>12361</v>
      </c>
      <c r="D195" s="60">
        <v>194</v>
      </c>
      <c r="E195" s="11" t="str">
        <f t="shared" ref="E195:E258" si="9">CONCATENATE("E",C195)</f>
        <v>E6_1_1_15</v>
      </c>
      <c r="F195" s="11" t="s">
        <v>13382</v>
      </c>
      <c r="G195" s="11" t="s">
        <v>13383</v>
      </c>
      <c r="H195" s="11" t="s">
        <v>13384</v>
      </c>
      <c r="I195" s="11" t="s">
        <v>13385</v>
      </c>
      <c r="J195" s="61" t="str">
        <f t="shared" ref="J195:J258" si="10">CONCATENATE("(${Variables:",E195,"_kcat","} * ",E195," * ",G195,")","/(${Variables:",E195,"_km","} + (",E195," * ",G195,"))")</f>
        <v>(${Variables:E6_1_1_15_kcat} * E6_1_1_15 * C00002 * C00148 * C01649)/(${Variables:E6_1_1_15_km} + (E6_1_1_15 * C00002 * C00148 * C01649))</v>
      </c>
      <c r="K195" s="54" t="str">
        <f t="shared" ref="K195:K258" si="11">CONCATENATE("r",D195,": ",F195," -&gt; ",H195," | ",J195)</f>
        <v>r194: C00002 + C00148 + C01649 -&gt; C00020 + C00013 + C02702 | (${Variables:E6_1_1_15_kcat} * E6_1_1_15 * C00002 * C00148 * C01649)/(${Variables:E6_1_1_15_km} + (E6_1_1_15 * C00002 * C00148 * C01649))</v>
      </c>
    </row>
    <row r="196" spans="1:11" ht="29">
      <c r="A196" s="11" t="s">
        <v>829</v>
      </c>
      <c r="B196" s="11" t="s">
        <v>830</v>
      </c>
      <c r="C196" s="11" t="s">
        <v>12362</v>
      </c>
      <c r="D196" s="60">
        <v>195</v>
      </c>
      <c r="E196" s="11" t="str">
        <f t="shared" si="9"/>
        <v>E2_7_7_41</v>
      </c>
      <c r="F196" s="11" t="s">
        <v>13386</v>
      </c>
      <c r="G196" s="11" t="s">
        <v>13387</v>
      </c>
      <c r="H196" s="11" t="s">
        <v>13388</v>
      </c>
      <c r="I196" s="11" t="s">
        <v>13389</v>
      </c>
      <c r="J196" s="61" t="str">
        <f t="shared" si="10"/>
        <v>(${Variables:E2_7_7_41_kcat} * E2_7_7_41 * C00063 * C00416)/(${Variables:E2_7_7_41_km} + (E2_7_7_41 * C00063 * C00416))</v>
      </c>
      <c r="K196" s="54" t="str">
        <f t="shared" si="11"/>
        <v>r195: C00063 + C00416 -&gt; C00013 + C00269 | (${Variables:E2_7_7_41_kcat} * E2_7_7_41 * C00063 * C00416)/(${Variables:E2_7_7_41_km} + (E2_7_7_41 * C00063 * C00416))</v>
      </c>
    </row>
    <row r="197" spans="1:11" ht="29">
      <c r="A197" s="11" t="s">
        <v>833</v>
      </c>
      <c r="B197" s="11" t="s">
        <v>834</v>
      </c>
      <c r="C197" s="11" t="s">
        <v>12363</v>
      </c>
      <c r="D197" s="60">
        <v>196</v>
      </c>
      <c r="E197" s="11" t="str">
        <f t="shared" si="9"/>
        <v>E2_5_1_31</v>
      </c>
      <c r="F197" s="11" t="s">
        <v>13390</v>
      </c>
      <c r="G197" s="11" t="s">
        <v>13391</v>
      </c>
      <c r="H197" s="11" t="s">
        <v>13392</v>
      </c>
      <c r="I197" s="11" t="s">
        <v>13393</v>
      </c>
      <c r="J197" s="61" t="str">
        <f t="shared" si="10"/>
        <v>(${Variables:E2_5_1_31_kcat} * E2_5_1_31 * C00448 * C00129)/(${Variables:E2_5_1_31_km} + (E2_5_1_31 * C00448 * C00129))</v>
      </c>
      <c r="K197" s="54" t="str">
        <f t="shared" si="11"/>
        <v>r196: C00448 + C00129 -&gt; C04574 + C00013 | (${Variables:E2_5_1_31_kcat} * E2_5_1_31 * C00448 * C00129)/(${Variables:E2_5_1_31_km} + (E2_5_1_31 * C00448 * C00129))</v>
      </c>
    </row>
    <row r="198" spans="1:11" ht="43.5">
      <c r="A198" s="11" t="s">
        <v>851</v>
      </c>
      <c r="B198" s="11" t="s">
        <v>852</v>
      </c>
      <c r="C198" s="11" t="s">
        <v>12365</v>
      </c>
      <c r="D198" s="60">
        <v>197</v>
      </c>
      <c r="E198" s="11" t="str">
        <f t="shared" si="9"/>
        <v>E6_1_1_4</v>
      </c>
      <c r="F198" s="11" t="s">
        <v>13394</v>
      </c>
      <c r="G198" s="11" t="s">
        <v>13395</v>
      </c>
      <c r="H198" s="11" t="s">
        <v>13396</v>
      </c>
      <c r="I198" s="11" t="s">
        <v>13397</v>
      </c>
      <c r="J198" s="61" t="str">
        <f t="shared" si="10"/>
        <v>(${Variables:E6_1_1_4_kcat} * E6_1_1_4 * C00002 * C00123 * C01645)/(${Variables:E6_1_1_4_km} + (E6_1_1_4 * C00002 * C00123 * C01645))</v>
      </c>
      <c r="K198" s="54" t="str">
        <f t="shared" si="11"/>
        <v>r197: C00002 + C00123 + C01645 -&gt; C00020 + C00013 + C02047 | (${Variables:E6_1_1_4_kcat} * E6_1_1_4 * C00002 * C00123 * C01645)/(${Variables:E6_1_1_4_km} + (E6_1_1_4 * C00002 * C00123 * C01645))</v>
      </c>
    </row>
    <row r="199" spans="1:11" ht="29">
      <c r="A199" s="11" t="s">
        <v>855</v>
      </c>
      <c r="B199" s="11" t="s">
        <v>856</v>
      </c>
      <c r="C199" s="11" t="s">
        <v>12366</v>
      </c>
      <c r="D199" s="60">
        <v>198</v>
      </c>
      <c r="E199" s="11" t="str">
        <f t="shared" si="9"/>
        <v>E1_1_1_6</v>
      </c>
      <c r="F199" s="11" t="s">
        <v>13398</v>
      </c>
      <c r="G199" s="11" t="s">
        <v>13399</v>
      </c>
      <c r="H199" s="11" t="s">
        <v>13400</v>
      </c>
      <c r="I199" s="11" t="s">
        <v>13401</v>
      </c>
      <c r="J199" s="61" t="str">
        <f t="shared" si="10"/>
        <v>(${Variables:E1_1_1_6_kcat} * E1_1_1_6 * C00116 * C00003)/(${Variables:E1_1_1_6_km} + (E1_1_1_6 * C00116 * C00003))</v>
      </c>
      <c r="K199" s="54" t="str">
        <f t="shared" si="11"/>
        <v>r198: C00116 + C00003 -&gt; C00184 + C00004 + C00080 | (${Variables:E1_1_1_6_kcat} * E1_1_1_6 * C00116 * C00003)/(${Variables:E1_1_1_6_km} + (E1_1_1_6 * C00116 * C00003))</v>
      </c>
    </row>
    <row r="200" spans="1:11" ht="29">
      <c r="A200" s="11" t="s">
        <v>855</v>
      </c>
      <c r="B200" s="11" t="s">
        <v>856</v>
      </c>
      <c r="C200" s="11" t="s">
        <v>12366</v>
      </c>
      <c r="D200" s="60">
        <v>199</v>
      </c>
      <c r="E200" s="11" t="str">
        <f t="shared" si="9"/>
        <v>E1_1_1_6</v>
      </c>
      <c r="F200" s="11" t="s">
        <v>13402</v>
      </c>
      <c r="G200" s="11" t="s">
        <v>13403</v>
      </c>
      <c r="H200" s="11" t="s">
        <v>13404</v>
      </c>
      <c r="I200" s="11" t="s">
        <v>13405</v>
      </c>
      <c r="J200" s="61" t="str">
        <f t="shared" si="10"/>
        <v>(${Variables:E1_1_1_6_kcat} * E1_1_1_6 * C00424 * C00003)/(${Variables:E1_1_1_6_km} + (E1_1_1_6 * C00424 * C00003))</v>
      </c>
      <c r="K200" s="54" t="str">
        <f t="shared" si="11"/>
        <v>r199: C00424 + C00003 -&gt; C00546 + C00004 + C00080 | (${Variables:E1_1_1_6_kcat} * E1_1_1_6 * C00424 * C00003)/(${Variables:E1_1_1_6_km} + (E1_1_1_6 * C00424 * C00003))</v>
      </c>
    </row>
    <row r="201" spans="1:11" ht="29">
      <c r="A201" s="11" t="s">
        <v>855</v>
      </c>
      <c r="B201" s="11" t="s">
        <v>856</v>
      </c>
      <c r="C201" s="11" t="s">
        <v>12366</v>
      </c>
      <c r="D201" s="60">
        <v>200</v>
      </c>
      <c r="E201" s="11" t="str">
        <f t="shared" si="9"/>
        <v>E1_1_1_6</v>
      </c>
      <c r="F201" s="11" t="s">
        <v>13406</v>
      </c>
      <c r="G201" s="11" t="s">
        <v>13407</v>
      </c>
      <c r="H201" s="11" t="s">
        <v>13408</v>
      </c>
      <c r="I201" s="11" t="s">
        <v>13409</v>
      </c>
      <c r="J201" s="61" t="str">
        <f t="shared" si="10"/>
        <v>(${Variables:E1_1_1_6_kcat} * E1_1_1_6 * C00583 * C00003)/(${Variables:E1_1_1_6_km} + (E1_1_1_6 * C00583 * C00003))</v>
      </c>
      <c r="K201" s="54" t="str">
        <f t="shared" si="11"/>
        <v>r200: C00583 + C00003 -&gt; C05235 + C00004 + C00080 | (${Variables:E1_1_1_6_kcat} * E1_1_1_6 * C00583 * C00003)/(${Variables:E1_1_1_6_km} + (E1_1_1_6 * C00583 * C00003))</v>
      </c>
    </row>
    <row r="202" spans="1:11" ht="29">
      <c r="A202" s="11" t="s">
        <v>863</v>
      </c>
      <c r="B202" s="11" t="s">
        <v>864</v>
      </c>
      <c r="C202" s="11" t="s">
        <v>12367</v>
      </c>
      <c r="D202" s="60">
        <v>201</v>
      </c>
      <c r="E202" s="11" t="str">
        <f t="shared" si="9"/>
        <v>E4_1_1_83</v>
      </c>
      <c r="F202" s="11" t="s">
        <v>13410</v>
      </c>
      <c r="G202" s="11" t="s">
        <v>13411</v>
      </c>
      <c r="H202" s="11" t="s">
        <v>13412</v>
      </c>
      <c r="I202" s="11" t="s">
        <v>13413</v>
      </c>
      <c r="J202" s="61" t="str">
        <f t="shared" si="10"/>
        <v>(${Variables:E4_1_1_83_kcat} * E4_1_1_83 * C00642 * C00080)/(${Variables:E4_1_1_83_km} + (E4_1_1_83 * C00642 * C00080))</v>
      </c>
      <c r="K202" s="54" t="str">
        <f t="shared" si="11"/>
        <v>r201: C00642 + C00080 -&gt; C01468 + C00011 | (${Variables:E4_1_1_83_kcat} * E4_1_1_83 * C00642 * C00080)/(${Variables:E4_1_1_83_km} + (E4_1_1_83 * C00642 * C00080))</v>
      </c>
    </row>
    <row r="203" spans="1:11" ht="29">
      <c r="A203" s="11" t="s">
        <v>923</v>
      </c>
      <c r="B203" s="11" t="s">
        <v>924</v>
      </c>
      <c r="C203" s="11" t="s">
        <v>12368</v>
      </c>
      <c r="D203" s="60">
        <v>202</v>
      </c>
      <c r="E203" s="11" t="str">
        <f t="shared" si="9"/>
        <v>E2_7_7_6</v>
      </c>
      <c r="F203" s="11" t="s">
        <v>13414</v>
      </c>
      <c r="G203" s="11" t="s">
        <v>13415</v>
      </c>
      <c r="H203" s="11" t="s">
        <v>13416</v>
      </c>
      <c r="I203" s="11" t="s">
        <v>13417</v>
      </c>
      <c r="J203" s="61" t="str">
        <f t="shared" si="10"/>
        <v>(${Variables:E2_7_7_6_kcat} * E2_7_7_6 * C00201 * C00046)/(${Variables:E2_7_7_6_km} + (E2_7_7_6 * C00201 * C00046))</v>
      </c>
      <c r="K203" s="54" t="str">
        <f t="shared" si="11"/>
        <v>r202: C00201 + C00046 -&gt; C00013 + C00046 | (${Variables:E2_7_7_6_kcat} * E2_7_7_6 * C00201 * C00046)/(${Variables:E2_7_7_6_km} + (E2_7_7_6 * C00201 * C00046))</v>
      </c>
    </row>
    <row r="204" spans="1:11" ht="29">
      <c r="A204" s="11" t="s">
        <v>923</v>
      </c>
      <c r="B204" s="11" t="s">
        <v>924</v>
      </c>
      <c r="C204" s="11" t="s">
        <v>12368</v>
      </c>
      <c r="D204" s="60">
        <v>203</v>
      </c>
      <c r="E204" s="11" t="str">
        <f t="shared" si="9"/>
        <v>E2_7_7_6</v>
      </c>
      <c r="F204" s="11" t="s">
        <v>13418</v>
      </c>
      <c r="G204" s="11" t="s">
        <v>13419</v>
      </c>
      <c r="H204" s="11" t="s">
        <v>13416</v>
      </c>
      <c r="I204" s="11" t="s">
        <v>13417</v>
      </c>
      <c r="J204" s="61" t="str">
        <f t="shared" si="10"/>
        <v>(${Variables:E2_7_7_6_kcat} * E2_7_7_6 * C00002 * C00046)/(${Variables:E2_7_7_6_km} + (E2_7_7_6 * C00002 * C00046))</v>
      </c>
      <c r="K204" s="54" t="str">
        <f t="shared" si="11"/>
        <v>r203: C00002 + C00046 -&gt; C00013 + C00046 | (${Variables:E2_7_7_6_kcat} * E2_7_7_6 * C00002 * C00046)/(${Variables:E2_7_7_6_km} + (E2_7_7_6 * C00002 * C00046))</v>
      </c>
    </row>
    <row r="205" spans="1:11" ht="29">
      <c r="A205" s="11" t="s">
        <v>923</v>
      </c>
      <c r="B205" s="11" t="s">
        <v>924</v>
      </c>
      <c r="C205" s="11" t="s">
        <v>12368</v>
      </c>
      <c r="D205" s="60">
        <v>204</v>
      </c>
      <c r="E205" s="11" t="str">
        <f t="shared" si="9"/>
        <v>E2_7_7_6</v>
      </c>
      <c r="F205" s="11" t="s">
        <v>13420</v>
      </c>
      <c r="G205" s="11" t="s">
        <v>13421</v>
      </c>
      <c r="H205" s="11" t="s">
        <v>13416</v>
      </c>
      <c r="I205" s="11" t="s">
        <v>13417</v>
      </c>
      <c r="J205" s="61" t="str">
        <f t="shared" si="10"/>
        <v>(${Variables:E2_7_7_6_kcat} * E2_7_7_6 * C00044 * C00046)/(${Variables:E2_7_7_6_km} + (E2_7_7_6 * C00044 * C00046))</v>
      </c>
      <c r="K205" s="54" t="str">
        <f t="shared" si="11"/>
        <v>r204: C00044 + C00046 -&gt; C00013 + C00046 | (${Variables:E2_7_7_6_kcat} * E2_7_7_6 * C00044 * C00046)/(${Variables:E2_7_7_6_km} + (E2_7_7_6 * C00044 * C00046))</v>
      </c>
    </row>
    <row r="206" spans="1:11" ht="29">
      <c r="A206" s="11" t="s">
        <v>923</v>
      </c>
      <c r="B206" s="11" t="s">
        <v>924</v>
      </c>
      <c r="C206" s="11" t="s">
        <v>12368</v>
      </c>
      <c r="D206" s="60">
        <v>205</v>
      </c>
      <c r="E206" s="11" t="str">
        <f t="shared" si="9"/>
        <v>E2_7_7_6</v>
      </c>
      <c r="F206" s="11" t="s">
        <v>13422</v>
      </c>
      <c r="G206" s="11" t="s">
        <v>13423</v>
      </c>
      <c r="H206" s="11" t="s">
        <v>13416</v>
      </c>
      <c r="I206" s="11" t="s">
        <v>13417</v>
      </c>
      <c r="J206" s="61" t="str">
        <f t="shared" si="10"/>
        <v>(${Variables:E2_7_7_6_kcat} * E2_7_7_6 * C00063 * C00046)/(${Variables:E2_7_7_6_km} + (E2_7_7_6 * C00063 * C00046))</v>
      </c>
      <c r="K206" s="54" t="str">
        <f t="shared" si="11"/>
        <v>r205: C00063 + C00046 -&gt; C00013 + C00046 | (${Variables:E2_7_7_6_kcat} * E2_7_7_6 * C00063 * C00046)/(${Variables:E2_7_7_6_km} + (E2_7_7_6 * C00063 * C00046))</v>
      </c>
    </row>
    <row r="207" spans="1:11" ht="29">
      <c r="A207" s="11" t="s">
        <v>923</v>
      </c>
      <c r="B207" s="11" t="s">
        <v>924</v>
      </c>
      <c r="C207" s="11" t="s">
        <v>12368</v>
      </c>
      <c r="D207" s="60">
        <v>206</v>
      </c>
      <c r="E207" s="11" t="str">
        <f t="shared" si="9"/>
        <v>E2_7_7_6</v>
      </c>
      <c r="F207" s="11" t="s">
        <v>13424</v>
      </c>
      <c r="G207" s="11" t="s">
        <v>13425</v>
      </c>
      <c r="H207" s="11" t="s">
        <v>13416</v>
      </c>
      <c r="I207" s="11" t="s">
        <v>13417</v>
      </c>
      <c r="J207" s="61" t="str">
        <f t="shared" si="10"/>
        <v>(${Variables:E2_7_7_6_kcat} * E2_7_7_6 * C00075 * C00046)/(${Variables:E2_7_7_6_km} + (E2_7_7_6 * C00075 * C00046))</v>
      </c>
      <c r="K207" s="54" t="str">
        <f t="shared" si="11"/>
        <v>r206: C00075 + C00046 -&gt; C00013 + C00046 | (${Variables:E2_7_7_6_kcat} * E2_7_7_6 * C00075 * C00046)/(${Variables:E2_7_7_6_km} + (E2_7_7_6 * C00075 * C00046))</v>
      </c>
    </row>
    <row r="208" spans="1:11" ht="29">
      <c r="A208" s="11" t="s">
        <v>923</v>
      </c>
      <c r="B208" s="11" t="s">
        <v>924</v>
      </c>
      <c r="C208" s="11" t="s">
        <v>12368</v>
      </c>
      <c r="D208" s="60">
        <v>207</v>
      </c>
      <c r="E208" s="11" t="str">
        <f t="shared" si="9"/>
        <v>E2_7_7_6</v>
      </c>
      <c r="F208" s="11" t="s">
        <v>7876</v>
      </c>
      <c r="G208" s="11" t="s">
        <v>7876</v>
      </c>
      <c r="H208" s="11" t="s">
        <v>13426</v>
      </c>
      <c r="I208" s="11" t="s">
        <v>13427</v>
      </c>
      <c r="J208" s="61" t="str">
        <f t="shared" si="10"/>
        <v>(${Variables:E2_7_7_6_kcat} * E2_7_7_6 * C00201)/(${Variables:E2_7_7_6_km} + (E2_7_7_6 * C00201))</v>
      </c>
      <c r="K208" s="54" t="str">
        <f t="shared" si="11"/>
        <v>r207: C00201 -&gt; C20864 + C00013 | (${Variables:E2_7_7_6_kcat} * E2_7_7_6 * C00201)/(${Variables:E2_7_7_6_km} + (E2_7_7_6 * C00201))</v>
      </c>
    </row>
    <row r="209" spans="1:11" ht="29">
      <c r="A209" s="11" t="s">
        <v>943</v>
      </c>
      <c r="B209" s="11" t="s">
        <v>944</v>
      </c>
      <c r="C209" s="11" t="s">
        <v>12369</v>
      </c>
      <c r="D209" s="60">
        <v>208</v>
      </c>
      <c r="E209" s="11" t="str">
        <f t="shared" si="9"/>
        <v>E2_7_4_3</v>
      </c>
      <c r="F209" s="11" t="s">
        <v>13428</v>
      </c>
      <c r="G209" s="11" t="s">
        <v>13429</v>
      </c>
      <c r="H209" s="11" t="s">
        <v>7882</v>
      </c>
      <c r="I209" s="11" t="s">
        <v>7882</v>
      </c>
      <c r="J209" s="61" t="str">
        <f t="shared" si="10"/>
        <v>(${Variables:E2_7_4_3_kcat} * E2_7_4_3 * C00002 * C00020)/(${Variables:E2_7_4_3_km} + (E2_7_4_3 * C00002 * C00020))</v>
      </c>
      <c r="K209" s="54" t="str">
        <f t="shared" si="11"/>
        <v>r208: C00002 + C00020 -&gt; C00008 | (${Variables:E2_7_4_3_kcat} * E2_7_4_3 * C00002 * C00020)/(${Variables:E2_7_4_3_km} + (E2_7_4_3 * C00002 * C00020))</v>
      </c>
    </row>
    <row r="210" spans="1:11" ht="29">
      <c r="A210" s="11" t="s">
        <v>943</v>
      </c>
      <c r="B210" s="11" t="s">
        <v>944</v>
      </c>
      <c r="C210" s="11" t="s">
        <v>12369</v>
      </c>
      <c r="D210" s="60">
        <v>209</v>
      </c>
      <c r="E210" s="11" t="str">
        <f t="shared" si="9"/>
        <v>E2_7_4_3</v>
      </c>
      <c r="F210" s="11" t="s">
        <v>13430</v>
      </c>
      <c r="G210" s="11" t="s">
        <v>13431</v>
      </c>
      <c r="H210" s="11" t="s">
        <v>13432</v>
      </c>
      <c r="I210" s="11" t="s">
        <v>13433</v>
      </c>
      <c r="J210" s="61" t="str">
        <f t="shared" si="10"/>
        <v>(${Variables:E2_7_4_3_kcat} * E2_7_4_3 * C00002 * C00360)/(${Variables:E2_7_4_3_km} + (E2_7_4_3 * C00002 * C00360))</v>
      </c>
      <c r="K210" s="54" t="str">
        <f t="shared" si="11"/>
        <v>r209: C00002 + C00360 -&gt; C00008 + C00206 | (${Variables:E2_7_4_3_kcat} * E2_7_4_3 * C00002 * C00360)/(${Variables:E2_7_4_3_km} + (E2_7_4_3 * C00002 * C00360))</v>
      </c>
    </row>
    <row r="211" spans="1:11" ht="29">
      <c r="A211" s="11" t="s">
        <v>943</v>
      </c>
      <c r="B211" s="11" t="s">
        <v>944</v>
      </c>
      <c r="C211" s="11" t="s">
        <v>12369</v>
      </c>
      <c r="D211" s="60">
        <v>210</v>
      </c>
      <c r="E211" s="11" t="str">
        <f t="shared" si="9"/>
        <v>E2_7_4_3</v>
      </c>
      <c r="F211" s="11" t="s">
        <v>13434</v>
      </c>
      <c r="G211" s="11" t="s">
        <v>13435</v>
      </c>
      <c r="H211" s="11" t="s">
        <v>13436</v>
      </c>
      <c r="I211" s="11" t="s">
        <v>13437</v>
      </c>
      <c r="J211" s="61" t="str">
        <f t="shared" si="10"/>
        <v>(${Variables:E2_7_4_3_kcat} * E2_7_4_3 * C00068 * C00008)/(${Variables:E2_7_4_3_km} + (E2_7_4_3 * C00068 * C00008))</v>
      </c>
      <c r="K211" s="54" t="str">
        <f t="shared" si="11"/>
        <v>r210: C00068 + C00008 -&gt; C03028 + C00020 | (${Variables:E2_7_4_3_kcat} * E2_7_4_3 * C00068 * C00008)/(${Variables:E2_7_4_3_km} + (E2_7_4_3 * C00068 * C00008))</v>
      </c>
    </row>
    <row r="212" spans="1:11" ht="43.5">
      <c r="A212" s="11" t="s">
        <v>1038</v>
      </c>
      <c r="B212" s="11" t="s">
        <v>1039</v>
      </c>
      <c r="C212" s="11" t="s">
        <v>12572</v>
      </c>
      <c r="D212" s="60">
        <v>211</v>
      </c>
      <c r="E212" s="11" t="str">
        <f t="shared" si="9"/>
        <v>E1_97_1_4</v>
      </c>
      <c r="F212" s="11" t="s">
        <v>13438</v>
      </c>
      <c r="G212" s="11" t="s">
        <v>13439</v>
      </c>
      <c r="H212" s="11" t="s">
        <v>13440</v>
      </c>
      <c r="I212" s="11" t="s">
        <v>13441</v>
      </c>
      <c r="J212" s="61" t="str">
        <f t="shared" si="10"/>
        <v>(${Variables:E1_97_1_4_kcat} * E1_97_1_4 * C00019 * C05196 * C05197)/(${Variables:E1_97_1_4_km} + (E1_97_1_4 * C00019 * C05196 * C05197))</v>
      </c>
      <c r="K212" s="54" t="str">
        <f t="shared" si="11"/>
        <v>r211: C00019 + C05196 + C05197 -&gt; C05198 + C00073 + C05199 + C05312 | (${Variables:E1_97_1_4_kcat} * E1_97_1_4 * C00019 * C05196 * C05197)/(${Variables:E1_97_1_4_km} + (E1_97_1_4 * C00019 * C05196 * C05197))</v>
      </c>
    </row>
    <row r="213" spans="1:11" ht="43.5">
      <c r="A213" s="11" t="s">
        <v>1045</v>
      </c>
      <c r="B213" s="11" t="s">
        <v>1046</v>
      </c>
      <c r="C213" s="11" t="s">
        <v>12370</v>
      </c>
      <c r="D213" s="60">
        <v>212</v>
      </c>
      <c r="E213" s="11" t="str">
        <f t="shared" si="9"/>
        <v>E1_17_4_2</v>
      </c>
      <c r="F213" s="11" t="s">
        <v>13442</v>
      </c>
      <c r="G213" s="11" t="s">
        <v>13443</v>
      </c>
      <c r="H213" s="11" t="s">
        <v>13444</v>
      </c>
      <c r="I213" s="11" t="s">
        <v>13445</v>
      </c>
      <c r="J213" s="61" t="str">
        <f t="shared" si="10"/>
        <v>(${Variables:E1_17_4_2_kcat} * E1_17_4_2 * C00677 * C00343 * C00001)/(${Variables:E1_17_4_2_km} + (E1_17_4_2 * C00677 * C00343 * C00001))</v>
      </c>
      <c r="K213" s="54" t="str">
        <f t="shared" si="11"/>
        <v>r212: C00677 + C00343 + C00001 -&gt; C03802 + C00342 | (${Variables:E1_17_4_2_kcat} * E1_17_4_2 * C00677 * C00343 * C00001)/(${Variables:E1_17_4_2_km} + (E1_17_4_2 * C00677 * C00343 * C00001))</v>
      </c>
    </row>
    <row r="214" spans="1:11" ht="43.5">
      <c r="A214" s="11" t="s">
        <v>1045</v>
      </c>
      <c r="B214" s="11" t="s">
        <v>1046</v>
      </c>
      <c r="C214" s="11" t="s">
        <v>12370</v>
      </c>
      <c r="D214" s="60">
        <v>213</v>
      </c>
      <c r="E214" s="11" t="str">
        <f t="shared" si="9"/>
        <v>E1_17_4_2</v>
      </c>
      <c r="F214" s="11" t="s">
        <v>13446</v>
      </c>
      <c r="G214" s="11" t="s">
        <v>13447</v>
      </c>
      <c r="H214" s="11" t="s">
        <v>13448</v>
      </c>
      <c r="I214" s="11" t="s">
        <v>13449</v>
      </c>
      <c r="J214" s="61" t="str">
        <f t="shared" si="10"/>
        <v>(${Variables:E1_17_4_2_kcat} * E1_17_4_2 * C00131 * C00343 * C00001)/(${Variables:E1_17_4_2_km} + (E1_17_4_2 * C00131 * C00343 * C00001))</v>
      </c>
      <c r="K214" s="54" t="str">
        <f t="shared" si="11"/>
        <v>r213: C00131 + C00343 + C00001 -&gt; C00002 + C00342 | (${Variables:E1_17_4_2_kcat} * E1_17_4_2 * C00131 * C00343 * C00001)/(${Variables:E1_17_4_2_km} + (E1_17_4_2 * C00131 * C00343 * C00001))</v>
      </c>
    </row>
    <row r="215" spans="1:11" ht="43.5">
      <c r="A215" s="11" t="s">
        <v>1045</v>
      </c>
      <c r="B215" s="11" t="s">
        <v>1046</v>
      </c>
      <c r="C215" s="11" t="s">
        <v>12370</v>
      </c>
      <c r="D215" s="60">
        <v>214</v>
      </c>
      <c r="E215" s="11" t="str">
        <f t="shared" si="9"/>
        <v>E1_17_4_2</v>
      </c>
      <c r="F215" s="11" t="s">
        <v>13450</v>
      </c>
      <c r="G215" s="11" t="s">
        <v>13451</v>
      </c>
      <c r="H215" s="11" t="s">
        <v>13452</v>
      </c>
      <c r="I215" s="11" t="s">
        <v>13453</v>
      </c>
      <c r="J215" s="61" t="str">
        <f t="shared" si="10"/>
        <v>(${Variables:E1_17_4_2_kcat} * E1_17_4_2 * C00286 * C00343 * C00001)/(${Variables:E1_17_4_2_km} + (E1_17_4_2 * C00286 * C00343 * C00001))</v>
      </c>
      <c r="K215" s="54" t="str">
        <f t="shared" si="11"/>
        <v>r214: C00286 + C00343 + C00001 -&gt; C00044 + C00342 | (${Variables:E1_17_4_2_kcat} * E1_17_4_2 * C00286 * C00343 * C00001)/(${Variables:E1_17_4_2_km} + (E1_17_4_2 * C00286 * C00343 * C00001))</v>
      </c>
    </row>
    <row r="216" spans="1:11" ht="43.5">
      <c r="A216" s="11" t="s">
        <v>1045</v>
      </c>
      <c r="B216" s="11" t="s">
        <v>1046</v>
      </c>
      <c r="C216" s="11" t="s">
        <v>12370</v>
      </c>
      <c r="D216" s="60">
        <v>215</v>
      </c>
      <c r="E216" s="11" t="str">
        <f t="shared" si="9"/>
        <v>E1_17_4_2</v>
      </c>
      <c r="F216" s="11" t="s">
        <v>13454</v>
      </c>
      <c r="G216" s="11" t="s">
        <v>13455</v>
      </c>
      <c r="H216" s="11" t="s">
        <v>13456</v>
      </c>
      <c r="I216" s="11" t="s">
        <v>13457</v>
      </c>
      <c r="J216" s="61" t="str">
        <f t="shared" si="10"/>
        <v>(${Variables:E1_17_4_2_kcat} * E1_17_4_2 * C00458 * C00343 * C00001)/(${Variables:E1_17_4_2_km} + (E1_17_4_2 * C00458 * C00343 * C00001))</v>
      </c>
      <c r="K216" s="54" t="str">
        <f t="shared" si="11"/>
        <v>r215: C00458 + C00343 + C00001 -&gt; C00063 + C00342 | (${Variables:E1_17_4_2_kcat} * E1_17_4_2 * C00458 * C00343 * C00001)/(${Variables:E1_17_4_2_km} + (E1_17_4_2 * C00458 * C00343 * C00001))</v>
      </c>
    </row>
    <row r="217" spans="1:11" ht="43.5">
      <c r="A217" s="11" t="s">
        <v>1045</v>
      </c>
      <c r="B217" s="11" t="s">
        <v>1046</v>
      </c>
      <c r="C217" s="11" t="s">
        <v>12370</v>
      </c>
      <c r="D217" s="60">
        <v>216</v>
      </c>
      <c r="E217" s="11" t="str">
        <f t="shared" si="9"/>
        <v>E1_17_4_2</v>
      </c>
      <c r="F217" s="11" t="s">
        <v>13458</v>
      </c>
      <c r="G217" s="11" t="s">
        <v>13459</v>
      </c>
      <c r="H217" s="11" t="s">
        <v>13460</v>
      </c>
      <c r="I217" s="11" t="s">
        <v>13461</v>
      </c>
      <c r="J217" s="61" t="str">
        <f t="shared" si="10"/>
        <v>(${Variables:E1_17_4_2_kcat} * E1_17_4_2 * C00460 * C00343 * C00001)/(${Variables:E1_17_4_2_km} + (E1_17_4_2 * C00460 * C00343 * C00001))</v>
      </c>
      <c r="K217" s="54" t="str">
        <f t="shared" si="11"/>
        <v>r216: C00460 + C00343 + C00001 -&gt; C00075 + C00342 | (${Variables:E1_17_4_2_kcat} * E1_17_4_2 * C00460 * C00343 * C00001)/(${Variables:E1_17_4_2_km} + (E1_17_4_2 * C00460 * C00343 * C00001))</v>
      </c>
    </row>
    <row r="218" spans="1:11" ht="29">
      <c r="A218" s="11" t="s">
        <v>1113</v>
      </c>
      <c r="B218" s="11" t="s">
        <v>1114</v>
      </c>
      <c r="C218" s="11" t="s">
        <v>12373</v>
      </c>
      <c r="D218" s="60">
        <v>217</v>
      </c>
      <c r="E218" s="11" t="str">
        <f t="shared" si="9"/>
        <v>E2_5_1_9</v>
      </c>
      <c r="F218" s="11" t="s">
        <v>7920</v>
      </c>
      <c r="G218" s="11" t="s">
        <v>7920</v>
      </c>
      <c r="H218" s="11" t="s">
        <v>13462</v>
      </c>
      <c r="I218" s="11" t="s">
        <v>13463</v>
      </c>
      <c r="J218" s="61" t="str">
        <f t="shared" si="10"/>
        <v>(${Variables:E2_5_1_9_kcat} * E2_5_1_9 * C04332)/(${Variables:E2_5_1_9_km} + (E2_5_1_9 * C04332))</v>
      </c>
      <c r="K218" s="54" t="str">
        <f t="shared" si="11"/>
        <v>r217: C04332 -&gt; C00255 + C04732 | (${Variables:E2_5_1_9_kcat} * E2_5_1_9 * C04332)/(${Variables:E2_5_1_9_km} + (E2_5_1_9 * C04332))</v>
      </c>
    </row>
    <row r="219" spans="1:11" ht="29">
      <c r="A219" s="11" t="s">
        <v>1160</v>
      </c>
      <c r="B219" s="11" t="s">
        <v>1161</v>
      </c>
      <c r="C219" s="11" t="s">
        <v>12374</v>
      </c>
      <c r="D219" s="60">
        <v>218</v>
      </c>
      <c r="E219" s="11" t="str">
        <f t="shared" si="9"/>
        <v>E3_5_1_16</v>
      </c>
      <c r="F219" s="11" t="s">
        <v>13464</v>
      </c>
      <c r="G219" s="11" t="s">
        <v>13465</v>
      </c>
      <c r="H219" s="11" t="s">
        <v>13466</v>
      </c>
      <c r="I219" s="11" t="s">
        <v>13467</v>
      </c>
      <c r="J219" s="61" t="str">
        <f t="shared" si="10"/>
        <v>(${Variables:E3_5_1_16_kcat} * E3_5_1_16 * C00437 * C00001)/(${Variables:E3_5_1_16_km} + (E3_5_1_16 * C00437 * C00001))</v>
      </c>
      <c r="K219" s="54" t="str">
        <f t="shared" si="11"/>
        <v>r218: C00437 + C00001 -&gt; C00033 + C00077 | (${Variables:E3_5_1_16_kcat} * E3_5_1_16 * C00437 * C00001)/(${Variables:E3_5_1_16_km} + (E3_5_1_16 * C00437 * C00001))</v>
      </c>
    </row>
    <row r="220" spans="1:11" ht="29">
      <c r="A220" s="11" t="s">
        <v>1160</v>
      </c>
      <c r="B220" s="11" t="s">
        <v>1161</v>
      </c>
      <c r="C220" s="11" t="s">
        <v>12374</v>
      </c>
      <c r="D220" s="60">
        <v>219</v>
      </c>
      <c r="E220" s="11" t="str">
        <f t="shared" si="9"/>
        <v>E3_5_1_16</v>
      </c>
      <c r="F220" s="11" t="s">
        <v>13468</v>
      </c>
      <c r="G220" s="11" t="s">
        <v>13469</v>
      </c>
      <c r="H220" s="11" t="s">
        <v>13470</v>
      </c>
      <c r="I220" s="11" t="s">
        <v>13471</v>
      </c>
      <c r="J220" s="61" t="str">
        <f t="shared" si="10"/>
        <v>(${Variables:E3_5_1_16_kcat} * E3_5_1_16 * C15532 * C00001)/(${Variables:E3_5_1_16_km} + (E3_5_1_16 * C15532 * C00001))</v>
      </c>
      <c r="K220" s="54" t="str">
        <f t="shared" si="11"/>
        <v>r219: C15532 + C00001 -&gt; C00033 + C00327 | (${Variables:E3_5_1_16_kcat} * E3_5_1_16 * C15532 * C00001)/(${Variables:E3_5_1_16_km} + (E3_5_1_16 * C15532 * C00001))</v>
      </c>
    </row>
    <row r="221" spans="1:11" ht="43.5">
      <c r="A221" s="11" t="s">
        <v>1285</v>
      </c>
      <c r="B221" s="11" t="s">
        <v>1286</v>
      </c>
      <c r="C221" s="11" t="s">
        <v>12539</v>
      </c>
      <c r="D221" s="60">
        <v>220</v>
      </c>
      <c r="E221" s="11" t="str">
        <f t="shared" si="9"/>
        <v>E6_3_4_5</v>
      </c>
      <c r="F221" s="11" t="s">
        <v>13472</v>
      </c>
      <c r="G221" s="11" t="s">
        <v>13473</v>
      </c>
      <c r="H221" s="11" t="s">
        <v>13474</v>
      </c>
      <c r="I221" s="11" t="s">
        <v>13475</v>
      </c>
      <c r="J221" s="61" t="str">
        <f t="shared" si="10"/>
        <v>(${Variables:E6_3_4_5_kcat} * E6_3_4_5 * C00002 * C00327 * C00049)/(${Variables:E6_3_4_5_km} + (E6_3_4_5 * C00002 * C00327 * C00049))</v>
      </c>
      <c r="K221" s="54" t="str">
        <f t="shared" si="11"/>
        <v>r220: C00002 + C00327 + C00049 -&gt; C00020 + C00013 + C03406 | (${Variables:E6_3_4_5_kcat} * E6_3_4_5 * C00002 * C00327 * C00049)/(${Variables:E6_3_4_5_km} + (E6_3_4_5 * C00002 * C00327 * C00049))</v>
      </c>
    </row>
    <row r="222" spans="1:11" ht="29">
      <c r="A222" s="11" t="s">
        <v>1306</v>
      </c>
      <c r="B222" s="11" t="s">
        <v>1307</v>
      </c>
      <c r="C222" s="11" t="s">
        <v>12375</v>
      </c>
      <c r="D222" s="60">
        <v>221</v>
      </c>
      <c r="E222" s="11" t="str">
        <f t="shared" si="9"/>
        <v>E4_3_1_17</v>
      </c>
      <c r="F222" s="11" t="s">
        <v>7224</v>
      </c>
      <c r="G222" s="11" t="s">
        <v>7224</v>
      </c>
      <c r="H222" s="11" t="s">
        <v>13476</v>
      </c>
      <c r="I222" s="11" t="s">
        <v>13477</v>
      </c>
      <c r="J222" s="61" t="str">
        <f t="shared" si="10"/>
        <v>(${Variables:E4_3_1_17_kcat} * E4_3_1_17 * C00065)/(${Variables:E4_3_1_17_km} + (E4_3_1_17 * C00065))</v>
      </c>
      <c r="K222" s="54" t="str">
        <f t="shared" si="11"/>
        <v>r221: C00065 -&gt; C02218 + C00001 | (${Variables:E4_3_1_17_kcat} * E4_3_1_17 * C00065)/(${Variables:E4_3_1_17_km} + (E4_3_1_17 * C00065))</v>
      </c>
    </row>
    <row r="223" spans="1:11" ht="29">
      <c r="A223" s="11" t="s">
        <v>1306</v>
      </c>
      <c r="B223" s="11" t="s">
        <v>1307</v>
      </c>
      <c r="C223" s="11" t="s">
        <v>12375</v>
      </c>
      <c r="D223" s="60">
        <v>222</v>
      </c>
      <c r="E223" s="11" t="str">
        <f t="shared" si="9"/>
        <v>E4_3_1_17</v>
      </c>
      <c r="F223" s="11" t="s">
        <v>13478</v>
      </c>
      <c r="G223" s="11" t="s">
        <v>13479</v>
      </c>
      <c r="H223" s="11" t="s">
        <v>12871</v>
      </c>
      <c r="I223" s="11" t="s">
        <v>12872</v>
      </c>
      <c r="J223" s="61" t="str">
        <f t="shared" si="10"/>
        <v>(${Variables:E4_3_1_17_kcat} * E4_3_1_17 * C20904 * C00001)/(${Variables:E4_3_1_17_km} + (E4_3_1_17 * C20904 * C00001))</v>
      </c>
      <c r="K223" s="54" t="str">
        <f t="shared" si="11"/>
        <v>r222: C20904 + C00001 -&gt; C00022 + C00014 | (${Variables:E4_3_1_17_kcat} * E4_3_1_17 * C20904 * C00001)/(${Variables:E4_3_1_17_km} + (E4_3_1_17 * C20904 * C00001))</v>
      </c>
    </row>
    <row r="224" spans="1:11" ht="29">
      <c r="A224" s="11" t="s">
        <v>1306</v>
      </c>
      <c r="B224" s="11" t="s">
        <v>1307</v>
      </c>
      <c r="C224" s="11" t="s">
        <v>12375</v>
      </c>
      <c r="D224" s="60">
        <v>223</v>
      </c>
      <c r="E224" s="11" t="str">
        <f t="shared" si="9"/>
        <v>E4_3_1_17</v>
      </c>
      <c r="F224" s="11" t="s">
        <v>7948</v>
      </c>
      <c r="G224" s="11" t="s">
        <v>7948</v>
      </c>
      <c r="H224" s="11" t="s">
        <v>7949</v>
      </c>
      <c r="I224" s="11" t="s">
        <v>7949</v>
      </c>
      <c r="J224" s="61" t="str">
        <f t="shared" si="10"/>
        <v>(${Variables:E4_3_1_17_kcat} * E4_3_1_17 * C02218)/(${Variables:E4_3_1_17_km} + (E4_3_1_17 * C02218))</v>
      </c>
      <c r="K224" s="54" t="str">
        <f t="shared" si="11"/>
        <v>r223: C02218 -&gt; C20904 | (${Variables:E4_3_1_17_kcat} * E4_3_1_17 * C02218)/(${Variables:E4_3_1_17_km} + (E4_3_1_17 * C02218))</v>
      </c>
    </row>
    <row r="225" spans="1:11" ht="29">
      <c r="A225" s="11" t="s">
        <v>1312</v>
      </c>
      <c r="B225" s="11" t="s">
        <v>1313</v>
      </c>
      <c r="C225" s="11" t="s">
        <v>12376</v>
      </c>
      <c r="D225" s="60">
        <v>224</v>
      </c>
      <c r="E225" s="11" t="str">
        <f t="shared" si="9"/>
        <v>E3_1_3_5</v>
      </c>
      <c r="F225" s="11" t="s">
        <v>13480</v>
      </c>
      <c r="G225" s="11" t="s">
        <v>13481</v>
      </c>
      <c r="H225" s="11" t="s">
        <v>13482</v>
      </c>
      <c r="I225" s="11" t="s">
        <v>13483</v>
      </c>
      <c r="J225" s="61" t="str">
        <f t="shared" si="10"/>
        <v>(${Variables:E3_1_3_5_kcat} * E3_1_3_5 * C02520 * C00001)/(${Variables:E3_1_3_5_km} + (E3_1_3_5 * C02520 * C00001))</v>
      </c>
      <c r="K225" s="54" t="str">
        <f t="shared" si="11"/>
        <v>r224: C02520 + C00001 -&gt; C00911 + C00009 | (${Variables:E3_1_3_5_kcat} * E3_1_3_5 * C02520 * C00001)/(${Variables:E3_1_3_5_km} + (E3_1_3_5 * C02520 * C00001))</v>
      </c>
    </row>
    <row r="226" spans="1:11" ht="29">
      <c r="A226" s="11" t="s">
        <v>1312</v>
      </c>
      <c r="B226" s="11" t="s">
        <v>1313</v>
      </c>
      <c r="C226" s="11" t="s">
        <v>12376</v>
      </c>
      <c r="D226" s="60">
        <v>225</v>
      </c>
      <c r="E226" s="11" t="str">
        <f t="shared" si="9"/>
        <v>E3_1_3_5</v>
      </c>
      <c r="F226" s="62" t="s">
        <v>15552</v>
      </c>
      <c r="G226" s="62" t="s">
        <v>15553</v>
      </c>
      <c r="H226" s="11" t="s">
        <v>13484</v>
      </c>
      <c r="I226" s="11" t="s">
        <v>13485</v>
      </c>
      <c r="J226" s="61" t="str">
        <f t="shared" si="10"/>
        <v>(${Variables:E3_1_3_5_kcat} * E3_1_3_5 * C00002 * C00001)/(${Variables:E3_1_3_5_km} + (E3_1_3_5 * C00002 * C00001))</v>
      </c>
      <c r="K226" s="54" t="str">
        <f t="shared" si="11"/>
        <v>r225: C00002 + C00001 -&gt; C00212 + C00009 | (${Variables:E3_1_3_5_kcat} * E3_1_3_5 * C00002 * C00001)/(${Variables:E3_1_3_5_km} + (E3_1_3_5 * C00002 * C00001))</v>
      </c>
    </row>
    <row r="227" spans="1:11" ht="29">
      <c r="A227" s="11" t="s">
        <v>1312</v>
      </c>
      <c r="B227" s="11" t="s">
        <v>1313</v>
      </c>
      <c r="C227" s="11" t="s">
        <v>12376</v>
      </c>
      <c r="D227" s="60">
        <v>226</v>
      </c>
      <c r="E227" s="11" t="str">
        <f t="shared" si="9"/>
        <v>E3_1_3_5</v>
      </c>
      <c r="F227" s="11" t="s">
        <v>13486</v>
      </c>
      <c r="G227" s="11" t="s">
        <v>13487</v>
      </c>
      <c r="H227" s="11" t="s">
        <v>13488</v>
      </c>
      <c r="I227" s="11" t="s">
        <v>13489</v>
      </c>
      <c r="J227" s="61" t="str">
        <f t="shared" si="10"/>
        <v>(${Variables:E3_1_3_5_kcat} * E3_1_3_5 * C00055 * C00001)/(${Variables:E3_1_3_5_km} + (E3_1_3_5 * C00055 * C00001))</v>
      </c>
      <c r="K227" s="54" t="str">
        <f t="shared" si="11"/>
        <v>r226: C00055 + C00001 -&gt; C00475 + C00009 | (${Variables:E3_1_3_5_kcat} * E3_1_3_5 * C00055 * C00001)/(${Variables:E3_1_3_5_km} + (E3_1_3_5 * C00055 * C00001))</v>
      </c>
    </row>
    <row r="228" spans="1:11" ht="29">
      <c r="A228" s="11" t="s">
        <v>1312</v>
      </c>
      <c r="B228" s="11" t="s">
        <v>1313</v>
      </c>
      <c r="C228" s="11" t="s">
        <v>12376</v>
      </c>
      <c r="D228" s="60">
        <v>227</v>
      </c>
      <c r="E228" s="11" t="str">
        <f t="shared" si="9"/>
        <v>E3_1_3_5</v>
      </c>
      <c r="F228" s="11" t="s">
        <v>13490</v>
      </c>
      <c r="G228" s="11" t="s">
        <v>13491</v>
      </c>
      <c r="H228" s="62" t="s">
        <v>15474</v>
      </c>
      <c r="I228" s="62" t="s">
        <v>15475</v>
      </c>
      <c r="J228" s="61" t="str">
        <f t="shared" si="10"/>
        <v>(${Variables:E3_1_3_5_kcat} * E3_1_3_5 * C00105 * C00001)/(${Variables:E3_1_3_5_km} + (E3_1_3_5 * C00105 * C00001))</v>
      </c>
      <c r="K228" s="54" t="str">
        <f t="shared" si="11"/>
        <v>r227: C00105 + C00001 -&gt; C00299 + C00009 | (${Variables:E3_1_3_5_kcat} * E3_1_3_5 * C00105 * C00001)/(${Variables:E3_1_3_5_km} + (E3_1_3_5 * C00105 * C00001))</v>
      </c>
    </row>
    <row r="229" spans="1:11" ht="29">
      <c r="A229" s="11" t="s">
        <v>1312</v>
      </c>
      <c r="B229" s="11" t="s">
        <v>1313</v>
      </c>
      <c r="C229" s="11" t="s">
        <v>12376</v>
      </c>
      <c r="D229" s="60">
        <v>228</v>
      </c>
      <c r="E229" s="11" t="str">
        <f t="shared" si="9"/>
        <v>E3_1_3_5</v>
      </c>
      <c r="F229" s="11" t="s">
        <v>13492</v>
      </c>
      <c r="G229" s="11" t="s">
        <v>13493</v>
      </c>
      <c r="H229" s="11" t="s">
        <v>13494</v>
      </c>
      <c r="I229" s="11" t="s">
        <v>13495</v>
      </c>
      <c r="J229" s="61" t="str">
        <f t="shared" si="10"/>
        <v>(${Variables:E3_1_3_5_kcat} * E3_1_3_5 * C00130 * C00001)/(${Variables:E3_1_3_5_km} + (E3_1_3_5 * C00130 * C00001))</v>
      </c>
      <c r="K229" s="54" t="str">
        <f t="shared" si="11"/>
        <v>r228: C00130 + C00001 -&gt; C00294 + C00009 | (${Variables:E3_1_3_5_kcat} * E3_1_3_5 * C00130 * C00001)/(${Variables:E3_1_3_5_km} + (E3_1_3_5 * C00130 * C00001))</v>
      </c>
    </row>
    <row r="230" spans="1:11" ht="29">
      <c r="A230" s="11" t="s">
        <v>1312</v>
      </c>
      <c r="B230" s="11" t="s">
        <v>1313</v>
      </c>
      <c r="C230" s="11" t="s">
        <v>12376</v>
      </c>
      <c r="D230" s="60">
        <v>229</v>
      </c>
      <c r="E230" s="11" t="str">
        <f t="shared" si="9"/>
        <v>E3_1_3_5</v>
      </c>
      <c r="F230" s="11" t="s">
        <v>13496</v>
      </c>
      <c r="G230" s="11" t="s">
        <v>13497</v>
      </c>
      <c r="H230" s="62" t="s">
        <v>15554</v>
      </c>
      <c r="I230" s="62" t="s">
        <v>15555</v>
      </c>
      <c r="J230" s="61" t="str">
        <f t="shared" si="10"/>
        <v>(${Variables:E3_1_3_5_kcat} * E3_1_3_5 * C00144 * C00001)/(${Variables:E3_1_3_5_km} + (E3_1_3_5 * C00144 * C00001))</v>
      </c>
      <c r="K230" s="54" t="str">
        <f t="shared" si="11"/>
        <v>r229: C00144 + C00001 -&gt; C00038 + C00009 | (${Variables:E3_1_3_5_kcat} * E3_1_3_5 * C00144 * C00001)/(${Variables:E3_1_3_5_km} + (E3_1_3_5 * C00144 * C00001))</v>
      </c>
    </row>
    <row r="231" spans="1:11" ht="29">
      <c r="A231" s="11" t="s">
        <v>1312</v>
      </c>
      <c r="B231" s="11" t="s">
        <v>1313</v>
      </c>
      <c r="C231" s="11" t="s">
        <v>12376</v>
      </c>
      <c r="D231" s="60">
        <v>230</v>
      </c>
      <c r="E231" s="11" t="str">
        <f t="shared" si="9"/>
        <v>E3_1_3_5</v>
      </c>
      <c r="F231" s="11" t="s">
        <v>13498</v>
      </c>
      <c r="G231" s="11" t="s">
        <v>13499</v>
      </c>
      <c r="H231" s="11" t="s">
        <v>13500</v>
      </c>
      <c r="I231" s="11" t="s">
        <v>13501</v>
      </c>
      <c r="J231" s="61" t="str">
        <f t="shared" si="10"/>
        <v>(${Variables:E3_1_3_5_kcat} * E3_1_3_5 * C00455 * C00001)/(${Variables:E3_1_3_5_km} + (E3_1_3_5 * C00455 * C00001))</v>
      </c>
      <c r="K231" s="54" t="str">
        <f t="shared" si="11"/>
        <v>r230: C00455 + C00001 -&gt; C03150 + C00009 | (${Variables:E3_1_3_5_kcat} * E3_1_3_5 * C00455 * C00001)/(${Variables:E3_1_3_5_km} + (E3_1_3_5 * C00455 * C00001))</v>
      </c>
    </row>
    <row r="232" spans="1:11" ht="29">
      <c r="A232" s="11" t="s">
        <v>1312</v>
      </c>
      <c r="B232" s="11" t="s">
        <v>1313</v>
      </c>
      <c r="C232" s="11" t="s">
        <v>12376</v>
      </c>
      <c r="D232" s="60">
        <v>231</v>
      </c>
      <c r="E232" s="11" t="str">
        <f t="shared" si="9"/>
        <v>E3_1_3_5</v>
      </c>
      <c r="F232" s="11" t="s">
        <v>13502</v>
      </c>
      <c r="G232" s="11" t="s">
        <v>13503</v>
      </c>
      <c r="H232" s="11" t="s">
        <v>13504</v>
      </c>
      <c r="I232" s="11" t="s">
        <v>13505</v>
      </c>
      <c r="J232" s="61" t="str">
        <f t="shared" si="10"/>
        <v>(${Variables:E3_1_3_5_kcat} * E3_1_3_5 * C00655 * C00001)/(${Variables:E3_1_3_5_km} + (E3_1_3_5 * C00655 * C00001))</v>
      </c>
      <c r="K232" s="54" t="str">
        <f t="shared" si="11"/>
        <v>r231: C00655 + C00001 -&gt; C01762 + C00009 | (${Variables:E3_1_3_5_kcat} * E3_1_3_5 * C00655 * C00001)/(${Variables:E3_1_3_5_km} + (E3_1_3_5 * C00655 * C00001))</v>
      </c>
    </row>
    <row r="233" spans="1:11" ht="29">
      <c r="A233" s="11" t="s">
        <v>1312</v>
      </c>
      <c r="B233" s="11" t="s">
        <v>1313</v>
      </c>
      <c r="C233" s="11" t="s">
        <v>12376</v>
      </c>
      <c r="D233" s="60">
        <v>232</v>
      </c>
      <c r="E233" s="11" t="str">
        <f t="shared" si="9"/>
        <v>E3_1_3_5</v>
      </c>
      <c r="F233" s="11" t="s">
        <v>13506</v>
      </c>
      <c r="G233" s="11" t="s">
        <v>13507</v>
      </c>
      <c r="H233" s="11" t="s">
        <v>13508</v>
      </c>
      <c r="I233" s="11" t="s">
        <v>13509</v>
      </c>
      <c r="J233" s="61" t="str">
        <f t="shared" si="10"/>
        <v>(${Variables:E3_1_3_5_kcat} * E3_1_3_5 * C01185 * C00001)/(${Variables:E3_1_3_5_km} + (E3_1_3_5 * C01185 * C00001))</v>
      </c>
      <c r="K233" s="54" t="str">
        <f t="shared" si="11"/>
        <v>r232: C01185 + C00001 -&gt; C05841 + C00009 | (${Variables:E3_1_3_5_kcat} * E3_1_3_5 * C01185 * C00001)/(${Variables:E3_1_3_5_km} + (E3_1_3_5 * C01185 * C00001))</v>
      </c>
    </row>
    <row r="234" spans="1:11" ht="29">
      <c r="A234" s="11" t="s">
        <v>1312</v>
      </c>
      <c r="B234" s="11" t="s">
        <v>1313</v>
      </c>
      <c r="C234" s="11" t="s">
        <v>12376</v>
      </c>
      <c r="D234" s="60">
        <v>233</v>
      </c>
      <c r="E234" s="11" t="str">
        <f t="shared" si="9"/>
        <v>E3_1_3_5</v>
      </c>
      <c r="F234" s="11" t="s">
        <v>13510</v>
      </c>
      <c r="G234" s="11" t="s">
        <v>13511</v>
      </c>
      <c r="H234" s="11" t="s">
        <v>13512</v>
      </c>
      <c r="I234" s="11" t="s">
        <v>13513</v>
      </c>
      <c r="J234" s="61" t="str">
        <f t="shared" si="10"/>
        <v>(${Variables:E3_1_3_5_kcat} * E3_1_3_5 * C00364 * C00001)/(${Variables:E3_1_3_5_km} + (E3_1_3_5 * C00364 * C00001))</v>
      </c>
      <c r="K234" s="54" t="str">
        <f t="shared" si="11"/>
        <v>r233: C00364 + C00001 -&gt; C00214 + C00009 | (${Variables:E3_1_3_5_kcat} * E3_1_3_5 * C00364 * C00001)/(${Variables:E3_1_3_5_km} + (E3_1_3_5 * C00364 * C00001))</v>
      </c>
    </row>
    <row r="235" spans="1:11" ht="29">
      <c r="A235" s="11" t="s">
        <v>1312</v>
      </c>
      <c r="B235" s="11" t="s">
        <v>1313</v>
      </c>
      <c r="C235" s="11" t="s">
        <v>12376</v>
      </c>
      <c r="D235" s="60">
        <v>234</v>
      </c>
      <c r="E235" s="11" t="str">
        <f t="shared" si="9"/>
        <v>E3_1_3_5</v>
      </c>
      <c r="F235" s="11" t="s">
        <v>13514</v>
      </c>
      <c r="G235" s="11" t="s">
        <v>13515</v>
      </c>
      <c r="H235" s="11" t="s">
        <v>13516</v>
      </c>
      <c r="I235" s="11" t="s">
        <v>13517</v>
      </c>
      <c r="J235" s="61" t="str">
        <f t="shared" si="10"/>
        <v>(${Variables:E3_1_3_5_kcat} * E3_1_3_5 * C00239 * C00001)/(${Variables:E3_1_3_5_km} + (E3_1_3_5 * C00239 * C00001))</v>
      </c>
      <c r="K235" s="54" t="str">
        <f t="shared" si="11"/>
        <v>r234: C00239 + C00001 -&gt; C00881 + C00009 | (${Variables:E3_1_3_5_kcat} * E3_1_3_5 * C00239 * C00001)/(${Variables:E3_1_3_5_km} + (E3_1_3_5 * C00239 * C00001))</v>
      </c>
    </row>
    <row r="236" spans="1:11" ht="29">
      <c r="A236" s="11" t="s">
        <v>1312</v>
      </c>
      <c r="B236" s="11" t="s">
        <v>1313</v>
      </c>
      <c r="C236" s="11" t="s">
        <v>12376</v>
      </c>
      <c r="D236" s="60">
        <v>235</v>
      </c>
      <c r="E236" s="11" t="str">
        <f t="shared" si="9"/>
        <v>E3_1_3_5</v>
      </c>
      <c r="F236" s="11" t="s">
        <v>13518</v>
      </c>
      <c r="G236" s="11" t="s">
        <v>13519</v>
      </c>
      <c r="H236" s="11" t="s">
        <v>13520</v>
      </c>
      <c r="I236" s="11" t="s">
        <v>13521</v>
      </c>
      <c r="J236" s="61" t="str">
        <f t="shared" si="10"/>
        <v>(${Variables:E3_1_3_5_kcat} * E3_1_3_5 * C00362 * C00001)/(${Variables:E3_1_3_5_km} + (E3_1_3_5 * C00362 * C00001))</v>
      </c>
      <c r="K236" s="54" t="str">
        <f t="shared" si="11"/>
        <v>r235: C00362 + C00001 -&gt; C00330 + C00009 | (${Variables:E3_1_3_5_kcat} * E3_1_3_5 * C00362 * C00001)/(${Variables:E3_1_3_5_km} + (E3_1_3_5 * C00362 * C00001))</v>
      </c>
    </row>
    <row r="237" spans="1:11" ht="29">
      <c r="A237" s="11" t="s">
        <v>1312</v>
      </c>
      <c r="B237" s="11" t="s">
        <v>1313</v>
      </c>
      <c r="C237" s="11" t="s">
        <v>12376</v>
      </c>
      <c r="D237" s="60">
        <v>236</v>
      </c>
      <c r="E237" s="11" t="str">
        <f t="shared" si="9"/>
        <v>E3_1_3_5</v>
      </c>
      <c r="F237" s="11" t="s">
        <v>13522</v>
      </c>
      <c r="G237" s="11" t="s">
        <v>13523</v>
      </c>
      <c r="H237" s="11" t="s">
        <v>13524</v>
      </c>
      <c r="I237" s="11" t="s">
        <v>13525</v>
      </c>
      <c r="J237" s="61" t="str">
        <f t="shared" si="10"/>
        <v>(${Variables:E3_1_3_5_kcat} * E3_1_3_5 * C00360 * C00001)/(${Variables:E3_1_3_5_km} + (E3_1_3_5 * C00360 * C00001))</v>
      </c>
      <c r="K237" s="54" t="str">
        <f t="shared" si="11"/>
        <v>r236: C00360 + C00001 -&gt; C00559 + C00009 | (${Variables:E3_1_3_5_kcat} * E3_1_3_5 * C00360 * C00001)/(${Variables:E3_1_3_5_km} + (E3_1_3_5 * C00360 * C00001))</v>
      </c>
    </row>
    <row r="238" spans="1:11" ht="29">
      <c r="A238" s="11" t="s">
        <v>1312</v>
      </c>
      <c r="B238" s="11" t="s">
        <v>1313</v>
      </c>
      <c r="C238" s="11" t="s">
        <v>12376</v>
      </c>
      <c r="D238" s="60">
        <v>237</v>
      </c>
      <c r="E238" s="11" t="str">
        <f t="shared" si="9"/>
        <v>E3_1_3_5</v>
      </c>
      <c r="F238" s="11" t="s">
        <v>13526</v>
      </c>
      <c r="G238" s="11" t="s">
        <v>13527</v>
      </c>
      <c r="H238" s="11" t="s">
        <v>13528</v>
      </c>
      <c r="I238" s="11" t="s">
        <v>13529</v>
      </c>
      <c r="J238" s="61" t="str">
        <f t="shared" si="10"/>
        <v>(${Variables:E3_1_3_5_kcat} * E3_1_3_5 * C00365 * C00001)/(${Variables:E3_1_3_5_km} + (E3_1_3_5 * C00365 * C00001))</v>
      </c>
      <c r="K238" s="54" t="str">
        <f t="shared" si="11"/>
        <v>r237: C00365 + C00001 -&gt; C00526 + C00009 | (${Variables:E3_1_3_5_kcat} * E3_1_3_5 * C00365 * C00001)/(${Variables:E3_1_3_5_km} + (E3_1_3_5 * C00365 * C00001))</v>
      </c>
    </row>
    <row r="239" spans="1:11" ht="29">
      <c r="A239" s="11" t="s">
        <v>1312</v>
      </c>
      <c r="B239" s="11" t="s">
        <v>1313</v>
      </c>
      <c r="C239" s="11" t="s">
        <v>12376</v>
      </c>
      <c r="D239" s="60">
        <v>238</v>
      </c>
      <c r="E239" s="11" t="str">
        <f t="shared" si="9"/>
        <v>E3_1_3_5</v>
      </c>
      <c r="F239" s="11" t="s">
        <v>13530</v>
      </c>
      <c r="G239" s="11" t="s">
        <v>13531</v>
      </c>
      <c r="H239" s="11" t="s">
        <v>13532</v>
      </c>
      <c r="I239" s="11" t="s">
        <v>13533</v>
      </c>
      <c r="J239" s="61" t="str">
        <f t="shared" si="10"/>
        <v>(${Variables:E3_1_3_5_kcat} * E3_1_3_5 * C06196 * C00001)/(${Variables:E3_1_3_5_km} + (E3_1_3_5 * C06196 * C00001))</v>
      </c>
      <c r="K239" s="54" t="str">
        <f t="shared" si="11"/>
        <v>r238: C06196 + C00001 -&gt; C05512 + C00009 | (${Variables:E3_1_3_5_kcat} * E3_1_3_5 * C06196 * C00001)/(${Variables:E3_1_3_5_km} + (E3_1_3_5 * C06196 * C00001))</v>
      </c>
    </row>
    <row r="240" spans="1:11" ht="29">
      <c r="A240" s="11" t="s">
        <v>1316</v>
      </c>
      <c r="B240" s="11" t="s">
        <v>1317</v>
      </c>
      <c r="C240" s="11" t="s">
        <v>12377</v>
      </c>
      <c r="D240" s="60">
        <v>239</v>
      </c>
      <c r="E240" s="11" t="str">
        <f t="shared" si="9"/>
        <v>E5_1_3_2</v>
      </c>
      <c r="F240" s="11" t="s">
        <v>8000</v>
      </c>
      <c r="G240" s="11" t="s">
        <v>8000</v>
      </c>
      <c r="H240" s="11" t="s">
        <v>8001</v>
      </c>
      <c r="I240" s="11" t="s">
        <v>8001</v>
      </c>
      <c r="J240" s="61" t="str">
        <f t="shared" si="10"/>
        <v>(${Variables:E5_1_3_2_kcat} * E5_1_3_2 * C00029)/(${Variables:E5_1_3_2_km} + (E5_1_3_2 * C00029))</v>
      </c>
      <c r="K240" s="54" t="str">
        <f t="shared" si="11"/>
        <v>r239: C00029 -&gt; C00052 | (${Variables:E5_1_3_2_kcat} * E5_1_3_2 * C00029)/(${Variables:E5_1_3_2_km} + (E5_1_3_2 * C00029))</v>
      </c>
    </row>
    <row r="241" spans="1:11" ht="29">
      <c r="A241" s="11" t="s">
        <v>1316</v>
      </c>
      <c r="B241" s="11" t="s">
        <v>1317</v>
      </c>
      <c r="C241" s="11" t="s">
        <v>12377</v>
      </c>
      <c r="D241" s="60">
        <v>240</v>
      </c>
      <c r="E241" s="11" t="str">
        <f t="shared" si="9"/>
        <v>E5_1_3_2</v>
      </c>
      <c r="F241" s="11" t="s">
        <v>8003</v>
      </c>
      <c r="G241" s="11" t="s">
        <v>8003</v>
      </c>
      <c r="H241" s="11" t="s">
        <v>8004</v>
      </c>
      <c r="I241" s="11" t="s">
        <v>8004</v>
      </c>
      <c r="J241" s="61" t="str">
        <f t="shared" si="10"/>
        <v>(${Variables:E5_1_3_2_kcat} * E5_1_3_2 * C00043)/(${Variables:E5_1_3_2_km} + (E5_1_3_2 * C00043))</v>
      </c>
      <c r="K241" s="54" t="str">
        <f t="shared" si="11"/>
        <v>r240: C00043 -&gt; C00203 | (${Variables:E5_1_3_2_kcat} * E5_1_3_2 * C00043)/(${Variables:E5_1_3_2_km} + (E5_1_3_2 * C00043))</v>
      </c>
    </row>
    <row r="242" spans="1:11" ht="29">
      <c r="A242" s="11" t="s">
        <v>1316</v>
      </c>
      <c r="B242" s="11" t="s">
        <v>1317</v>
      </c>
      <c r="C242" s="11" t="s">
        <v>12377</v>
      </c>
      <c r="D242" s="60">
        <v>241</v>
      </c>
      <c r="E242" s="11" t="str">
        <f t="shared" si="9"/>
        <v>E5_1_3_2</v>
      </c>
      <c r="F242" s="11" t="s">
        <v>7525</v>
      </c>
      <c r="G242" s="11" t="s">
        <v>7525</v>
      </c>
      <c r="H242" s="11" t="s">
        <v>8006</v>
      </c>
      <c r="I242" s="11" t="s">
        <v>8006</v>
      </c>
      <c r="J242" s="61" t="str">
        <f t="shared" si="10"/>
        <v>(${Variables:E5_1_3_2_kcat} * E5_1_3_2 * C00842)/(${Variables:E5_1_3_2_km} + (E5_1_3_2 * C00842))</v>
      </c>
      <c r="K242" s="54" t="str">
        <f t="shared" si="11"/>
        <v>r241: C00842 -&gt; C02097 | (${Variables:E5_1_3_2_kcat} * E5_1_3_2 * C00842)/(${Variables:E5_1_3_2_km} + (E5_1_3_2 * C00842))</v>
      </c>
    </row>
    <row r="243" spans="1:11" ht="29">
      <c r="A243" s="11" t="s">
        <v>1382</v>
      </c>
      <c r="B243" s="11" t="s">
        <v>1383</v>
      </c>
      <c r="C243" s="11" t="s">
        <v>12378</v>
      </c>
      <c r="D243" s="60">
        <v>242</v>
      </c>
      <c r="E243" s="11" t="str">
        <f t="shared" si="9"/>
        <v>E2_4_2_1</v>
      </c>
      <c r="F243" s="11" t="s">
        <v>13534</v>
      </c>
      <c r="G243" s="11" t="s">
        <v>13535</v>
      </c>
      <c r="H243" s="11" t="s">
        <v>13536</v>
      </c>
      <c r="I243" s="11" t="s">
        <v>13537</v>
      </c>
      <c r="J243" s="61" t="str">
        <f t="shared" si="10"/>
        <v>(${Variables:E2_4_2_1_kcat} * E2_4_2_1 * C15586 * C00009)/(${Variables:E2_4_2_1_km} + (E2_4_2_1 * C15586 * C00009))</v>
      </c>
      <c r="K243" s="54" t="str">
        <f t="shared" si="11"/>
        <v>r242: C15586 + C00009 -&gt; C15587 + C00620 | (${Variables:E2_4_2_1_kcat} * E2_4_2_1 * C15586 * C00009)/(${Variables:E2_4_2_1_km} + (E2_4_2_1 * C15586 * C00009))</v>
      </c>
    </row>
    <row r="244" spans="1:11" ht="29">
      <c r="A244" s="11" t="s">
        <v>1382</v>
      </c>
      <c r="B244" s="11" t="s">
        <v>1383</v>
      </c>
      <c r="C244" s="11" t="s">
        <v>12378</v>
      </c>
      <c r="D244" s="60">
        <v>243</v>
      </c>
      <c r="E244" s="11" t="str">
        <f t="shared" si="9"/>
        <v>E2_4_2_1</v>
      </c>
      <c r="F244" s="11" t="s">
        <v>13484</v>
      </c>
      <c r="G244" s="11" t="s">
        <v>13485</v>
      </c>
      <c r="H244" s="11" t="s">
        <v>13538</v>
      </c>
      <c r="I244" s="11" t="s">
        <v>13539</v>
      </c>
      <c r="J244" s="61" t="str">
        <f t="shared" si="10"/>
        <v>(${Variables:E2_4_2_1_kcat} * E2_4_2_1 * C00212 * C00009)/(${Variables:E2_4_2_1_km} + (E2_4_2_1 * C00212 * C00009))</v>
      </c>
      <c r="K244" s="54" t="str">
        <f t="shared" si="11"/>
        <v>r243: C00212 + C00009 -&gt; C00147 + C00620 | (${Variables:E2_4_2_1_kcat} * E2_4_2_1 * C00212 * C00009)/(${Variables:E2_4_2_1_km} + (E2_4_2_1 * C00212 * C00009))</v>
      </c>
    </row>
    <row r="245" spans="1:11" ht="29">
      <c r="A245" s="11" t="s">
        <v>1382</v>
      </c>
      <c r="B245" s="11" t="s">
        <v>1383</v>
      </c>
      <c r="C245" s="11" t="s">
        <v>12378</v>
      </c>
      <c r="D245" s="60">
        <v>244</v>
      </c>
      <c r="E245" s="11" t="str">
        <f t="shared" si="9"/>
        <v>E2_4_2_1</v>
      </c>
      <c r="F245" s="11" t="s">
        <v>13494</v>
      </c>
      <c r="G245" s="11" t="s">
        <v>13495</v>
      </c>
      <c r="H245" s="11" t="s">
        <v>13540</v>
      </c>
      <c r="I245" s="11" t="s">
        <v>13541</v>
      </c>
      <c r="J245" s="61" t="str">
        <f t="shared" si="10"/>
        <v>(${Variables:E2_4_2_1_kcat} * E2_4_2_1 * C00294 * C00009)/(${Variables:E2_4_2_1_km} + (E2_4_2_1 * C00294 * C00009))</v>
      </c>
      <c r="K245" s="54" t="str">
        <f t="shared" si="11"/>
        <v>r244: C00294 + C00009 -&gt; C00262 + C00620 | (${Variables:E2_4_2_1_kcat} * E2_4_2_1 * C00294 * C00009)/(${Variables:E2_4_2_1_km} + (E2_4_2_1 * C00294 * C00009))</v>
      </c>
    </row>
    <row r="246" spans="1:11" ht="29">
      <c r="A246" s="11" t="s">
        <v>1382</v>
      </c>
      <c r="B246" s="11" t="s">
        <v>1383</v>
      </c>
      <c r="C246" s="11" t="s">
        <v>12378</v>
      </c>
      <c r="D246" s="60">
        <v>245</v>
      </c>
      <c r="E246" s="11" t="str">
        <f t="shared" si="9"/>
        <v>E2_4_2_1</v>
      </c>
      <c r="F246" s="11" t="s">
        <v>13542</v>
      </c>
      <c r="G246" s="11" t="s">
        <v>13543</v>
      </c>
      <c r="H246" s="11" t="s">
        <v>13544</v>
      </c>
      <c r="I246" s="11" t="s">
        <v>13545</v>
      </c>
      <c r="J246" s="61" t="str">
        <f t="shared" si="10"/>
        <v>(${Variables:E2_4_2_1_kcat} * E2_4_2_1 * C00387 * C00009)/(${Variables:E2_4_2_1_km} + (E2_4_2_1 * C00387 * C00009))</v>
      </c>
      <c r="K246" s="54" t="str">
        <f t="shared" si="11"/>
        <v>r245: C00387 + C00009 -&gt; C00242 + C00620 | (${Variables:E2_4_2_1_kcat} * E2_4_2_1 * C00387 * C00009)/(${Variables:E2_4_2_1_km} + (E2_4_2_1 * C00387 * C00009))</v>
      </c>
    </row>
    <row r="247" spans="1:11" ht="29">
      <c r="A247" s="11" t="s">
        <v>1382</v>
      </c>
      <c r="B247" s="11" t="s">
        <v>1383</v>
      </c>
      <c r="C247" s="11" t="s">
        <v>12378</v>
      </c>
      <c r="D247" s="60">
        <v>246</v>
      </c>
      <c r="E247" s="11" t="str">
        <f t="shared" si="9"/>
        <v>E2_4_2_1</v>
      </c>
      <c r="F247" s="11" t="s">
        <v>13504</v>
      </c>
      <c r="G247" s="11" t="s">
        <v>13505</v>
      </c>
      <c r="H247" s="11" t="s">
        <v>13546</v>
      </c>
      <c r="I247" s="11" t="s">
        <v>13547</v>
      </c>
      <c r="J247" s="61" t="str">
        <f t="shared" si="10"/>
        <v>(${Variables:E2_4_2_1_kcat} * E2_4_2_1 * C01762 * C00009)/(${Variables:E2_4_2_1_km} + (E2_4_2_1 * C01762 * C00009))</v>
      </c>
      <c r="K247" s="54" t="str">
        <f t="shared" si="11"/>
        <v>r246: C01762 + C00009 -&gt; C00385 + C00620 | (${Variables:E2_4_2_1_kcat} * E2_4_2_1 * C01762 * C00009)/(${Variables:E2_4_2_1_km} + (E2_4_2_1 * C01762 * C00009))</v>
      </c>
    </row>
    <row r="248" spans="1:11" ht="29">
      <c r="A248" s="11" t="s">
        <v>1382</v>
      </c>
      <c r="B248" s="11" t="s">
        <v>1383</v>
      </c>
      <c r="C248" s="11" t="s">
        <v>12378</v>
      </c>
      <c r="D248" s="60">
        <v>247</v>
      </c>
      <c r="E248" s="11" t="str">
        <f t="shared" si="9"/>
        <v>E2_4_2_1</v>
      </c>
      <c r="F248" s="11" t="s">
        <v>13548</v>
      </c>
      <c r="G248" s="11" t="s">
        <v>13549</v>
      </c>
      <c r="H248" s="11" t="s">
        <v>13550</v>
      </c>
      <c r="I248" s="11" t="s">
        <v>13551</v>
      </c>
      <c r="J248" s="61" t="str">
        <f t="shared" si="10"/>
        <v>(${Variables:E2_4_2_1_kcat} * E2_4_2_1 * C20463 * C00009)/(${Variables:E2_4_2_1_km} + (E2_4_2_1 * C20463 * C00009))</v>
      </c>
      <c r="K248" s="54" t="str">
        <f t="shared" si="11"/>
        <v>r247: C20463 + C00009 -&gt; C15587 + C00672 | (${Variables:E2_4_2_1_kcat} * E2_4_2_1 * C20463 * C00009)/(${Variables:E2_4_2_1_km} + (E2_4_2_1 * C20463 * C00009))</v>
      </c>
    </row>
    <row r="249" spans="1:11" ht="29">
      <c r="A249" s="11" t="s">
        <v>1382</v>
      </c>
      <c r="B249" s="11" t="s">
        <v>1383</v>
      </c>
      <c r="C249" s="11" t="s">
        <v>12378</v>
      </c>
      <c r="D249" s="60">
        <v>248</v>
      </c>
      <c r="E249" s="11" t="str">
        <f t="shared" si="9"/>
        <v>E2_4_2_1</v>
      </c>
      <c r="F249" s="11" t="s">
        <v>13520</v>
      </c>
      <c r="G249" s="11" t="s">
        <v>13521</v>
      </c>
      <c r="H249" s="11" t="s">
        <v>13552</v>
      </c>
      <c r="I249" s="11" t="s">
        <v>13553</v>
      </c>
      <c r="J249" s="61" t="str">
        <f t="shared" si="10"/>
        <v>(${Variables:E2_4_2_1_kcat} * E2_4_2_1 * C00330 * C00009)/(${Variables:E2_4_2_1_km} + (E2_4_2_1 * C00330 * C00009))</v>
      </c>
      <c r="K249" s="54" t="str">
        <f t="shared" si="11"/>
        <v>r248: C00330 + C00009 -&gt; C00242 + C00672 | (${Variables:E2_4_2_1_kcat} * E2_4_2_1 * C00330 * C00009)/(${Variables:E2_4_2_1_km} + (E2_4_2_1 * C00330 * C00009))</v>
      </c>
    </row>
    <row r="250" spans="1:11" ht="29">
      <c r="A250" s="11" t="s">
        <v>1382</v>
      </c>
      <c r="B250" s="11" t="s">
        <v>1383</v>
      </c>
      <c r="C250" s="11" t="s">
        <v>12378</v>
      </c>
      <c r="D250" s="60">
        <v>249</v>
      </c>
      <c r="E250" s="11" t="str">
        <f t="shared" si="9"/>
        <v>E2_4_2_1</v>
      </c>
      <c r="F250" s="11" t="s">
        <v>13524</v>
      </c>
      <c r="G250" s="11" t="s">
        <v>13525</v>
      </c>
      <c r="H250" s="11" t="s">
        <v>13554</v>
      </c>
      <c r="I250" s="11" t="s">
        <v>13555</v>
      </c>
      <c r="J250" s="61" t="str">
        <f t="shared" si="10"/>
        <v>(${Variables:E2_4_2_1_kcat} * E2_4_2_1 * C00559 * C00009)/(${Variables:E2_4_2_1_km} + (E2_4_2_1 * C00559 * C00009))</v>
      </c>
      <c r="K250" s="54" t="str">
        <f t="shared" si="11"/>
        <v>r249: C00559 + C00009 -&gt; C00147 + C00672 | (${Variables:E2_4_2_1_kcat} * E2_4_2_1 * C00559 * C00009)/(${Variables:E2_4_2_1_km} + (E2_4_2_1 * C00559 * C00009))</v>
      </c>
    </row>
    <row r="251" spans="1:11" ht="29">
      <c r="A251" s="11" t="s">
        <v>1382</v>
      </c>
      <c r="B251" s="11" t="s">
        <v>1383</v>
      </c>
      <c r="C251" s="11" t="s">
        <v>12378</v>
      </c>
      <c r="D251" s="60">
        <v>250</v>
      </c>
      <c r="E251" s="11" t="str">
        <f t="shared" si="9"/>
        <v>E2_4_2_1</v>
      </c>
      <c r="F251" s="11" t="s">
        <v>13532</v>
      </c>
      <c r="G251" s="11" t="s">
        <v>13533</v>
      </c>
      <c r="H251" s="11" t="s">
        <v>13556</v>
      </c>
      <c r="I251" s="11" t="s">
        <v>13557</v>
      </c>
      <c r="J251" s="61" t="str">
        <f t="shared" si="10"/>
        <v>(${Variables:E2_4_2_1_kcat} * E2_4_2_1 * C05512 * C00009)/(${Variables:E2_4_2_1_km} + (E2_4_2_1 * C05512 * C00009))</v>
      </c>
      <c r="K251" s="54" t="str">
        <f t="shared" si="11"/>
        <v>r250: C05512 + C00009 -&gt; C00262 + C00672 | (${Variables:E2_4_2_1_kcat} * E2_4_2_1 * C05512 * C00009)/(${Variables:E2_4_2_1_km} + (E2_4_2_1 * C05512 * C00009))</v>
      </c>
    </row>
    <row r="252" spans="1:11" ht="29">
      <c r="A252" s="11" t="s">
        <v>1382</v>
      </c>
      <c r="B252" s="11" t="s">
        <v>1383</v>
      </c>
      <c r="C252" s="11" t="s">
        <v>12378</v>
      </c>
      <c r="D252" s="60">
        <v>251</v>
      </c>
      <c r="E252" s="11" t="str">
        <f t="shared" si="9"/>
        <v>E2_4_2_1</v>
      </c>
      <c r="F252" s="11" t="s">
        <v>13500</v>
      </c>
      <c r="G252" s="11" t="s">
        <v>13501</v>
      </c>
      <c r="H252" s="11" t="s">
        <v>13558</v>
      </c>
      <c r="I252" s="11" t="s">
        <v>13559</v>
      </c>
      <c r="J252" s="61" t="str">
        <f t="shared" si="10"/>
        <v>(${Variables:E2_4_2_1_kcat} * E2_4_2_1 * C03150 * C00009)/(${Variables:E2_4_2_1_km} + (E2_4_2_1 * C03150 * C00009))</v>
      </c>
      <c r="K252" s="54" t="str">
        <f t="shared" si="11"/>
        <v>r251: C03150 + C00009 -&gt; C00153 + C00620 | (${Variables:E2_4_2_1_kcat} * E2_4_2_1 * C03150 * C00009)/(${Variables:E2_4_2_1_km} + (E2_4_2_1 * C03150 * C00009))</v>
      </c>
    </row>
    <row r="253" spans="1:11" ht="29">
      <c r="A253" s="11" t="s">
        <v>1382</v>
      </c>
      <c r="B253" s="11" t="s">
        <v>1383</v>
      </c>
      <c r="C253" s="11" t="s">
        <v>12378</v>
      </c>
      <c r="D253" s="60">
        <v>252</v>
      </c>
      <c r="E253" s="11" t="str">
        <f t="shared" si="9"/>
        <v>E2_4_2_1</v>
      </c>
      <c r="F253" s="11" t="s">
        <v>13508</v>
      </c>
      <c r="G253" s="11" t="s">
        <v>13509</v>
      </c>
      <c r="H253" s="11" t="s">
        <v>13560</v>
      </c>
      <c r="I253" s="11" t="s">
        <v>13561</v>
      </c>
      <c r="J253" s="61" t="str">
        <f t="shared" si="10"/>
        <v>(${Variables:E2_4_2_1_kcat} * E2_4_2_1 * C05841 * C00009)/(${Variables:E2_4_2_1_km} + (E2_4_2_1 * C05841 * C00009))</v>
      </c>
      <c r="K253" s="54" t="str">
        <f t="shared" si="11"/>
        <v>r252: C05841 + C00009 -&gt; C00253 + C00620 + C00080 | (${Variables:E2_4_2_1_kcat} * E2_4_2_1 * C05841 * C00009)/(${Variables:E2_4_2_1_km} + (E2_4_2_1 * C05841 * C00009))</v>
      </c>
    </row>
    <row r="254" spans="1:11" ht="29">
      <c r="A254" s="11" t="s">
        <v>1386</v>
      </c>
      <c r="B254" s="11" t="s">
        <v>1387</v>
      </c>
      <c r="C254" s="11" t="s">
        <v>12409</v>
      </c>
      <c r="D254" s="60">
        <v>253</v>
      </c>
      <c r="E254" s="11" t="str">
        <f t="shared" si="9"/>
        <v>E2_8_1_1</v>
      </c>
      <c r="F254" s="11" t="s">
        <v>13562</v>
      </c>
      <c r="G254" s="11" t="s">
        <v>13563</v>
      </c>
      <c r="H254" s="11" t="s">
        <v>13564</v>
      </c>
      <c r="I254" s="11" t="s">
        <v>13565</v>
      </c>
      <c r="J254" s="61" t="str">
        <f t="shared" si="10"/>
        <v>(${Variables:E2_8_1_1_kcat} * E2_8_1_1 * C00320 * C00177)/(${Variables:E2_8_1_1_km} + (E2_8_1_1 * C00320 * C00177))</v>
      </c>
      <c r="K254" s="54" t="str">
        <f t="shared" si="11"/>
        <v>r253: C00320 + C00177 -&gt; C00094 + C01755 | (${Variables:E2_8_1_1_kcat} * E2_8_1_1 * C00320 * C00177)/(${Variables:E2_8_1_1_km} + (E2_8_1_1 * C00320 * C00177))</v>
      </c>
    </row>
    <row r="255" spans="1:11" ht="29">
      <c r="A255" s="11" t="s">
        <v>1396</v>
      </c>
      <c r="B255" s="11" t="s">
        <v>1397</v>
      </c>
      <c r="C255" s="11" t="s">
        <v>12410</v>
      </c>
      <c r="D255" s="60">
        <v>254</v>
      </c>
      <c r="E255" s="11" t="str">
        <f t="shared" si="9"/>
        <v>E1_13_11_2</v>
      </c>
      <c r="F255" s="11" t="s">
        <v>13566</v>
      </c>
      <c r="G255" s="11" t="s">
        <v>13567</v>
      </c>
      <c r="H255" s="11" t="s">
        <v>8043</v>
      </c>
      <c r="I255" s="11" t="s">
        <v>8043</v>
      </c>
      <c r="J255" s="61" t="str">
        <f t="shared" si="10"/>
        <v>(${Variables:E1_13_11_2_kcat} * E1_13_11_2 * C00090 * C00007)/(${Variables:E1_13_11_2_km} + (E1_13_11_2 * C00090 * C00007))</v>
      </c>
      <c r="K255" s="54" t="str">
        <f t="shared" si="11"/>
        <v>r254: C00090 + C00007 -&gt; C00682 | (${Variables:E1_13_11_2_kcat} * E1_13_11_2 * C00090 * C00007)/(${Variables:E1_13_11_2_km} + (E1_13_11_2 * C00090 * C00007))</v>
      </c>
    </row>
    <row r="256" spans="1:11" ht="29">
      <c r="A256" s="11" t="s">
        <v>1396</v>
      </c>
      <c r="B256" s="11" t="s">
        <v>1397</v>
      </c>
      <c r="C256" s="11" t="s">
        <v>12410</v>
      </c>
      <c r="D256" s="60">
        <v>255</v>
      </c>
      <c r="E256" s="11" t="str">
        <f t="shared" si="9"/>
        <v>E1_13_11_2</v>
      </c>
      <c r="F256" s="11" t="s">
        <v>13568</v>
      </c>
      <c r="G256" s="11" t="s">
        <v>13569</v>
      </c>
      <c r="H256" s="11" t="s">
        <v>8046</v>
      </c>
      <c r="I256" s="11" t="s">
        <v>8046</v>
      </c>
      <c r="J256" s="61" t="str">
        <f t="shared" si="10"/>
        <v>(${Variables:E1_13_11_2_kcat} * E1_13_11_2 * C02923 * C00007)/(${Variables:E1_13_11_2_km} + (E1_13_11_2 * C02923 * C00007))</v>
      </c>
      <c r="K256" s="54" t="str">
        <f t="shared" si="11"/>
        <v>r255: C02923 + C00007 -&gt; C06210 | (${Variables:E1_13_11_2_kcat} * E1_13_11_2 * C02923 * C00007)/(${Variables:E1_13_11_2_km} + (E1_13_11_2 * C02923 * C00007))</v>
      </c>
    </row>
    <row r="257" spans="1:11" ht="29">
      <c r="A257" s="11" t="s">
        <v>1396</v>
      </c>
      <c r="B257" s="11" t="s">
        <v>1397</v>
      </c>
      <c r="C257" s="11" t="s">
        <v>12410</v>
      </c>
      <c r="D257" s="60">
        <v>256</v>
      </c>
      <c r="E257" s="11" t="str">
        <f t="shared" si="9"/>
        <v>E1_13_11_2</v>
      </c>
      <c r="F257" s="11" t="s">
        <v>13570</v>
      </c>
      <c r="G257" s="11" t="s">
        <v>13571</v>
      </c>
      <c r="H257" s="11" t="s">
        <v>8049</v>
      </c>
      <c r="I257" s="11" t="s">
        <v>8049</v>
      </c>
      <c r="J257" s="61" t="str">
        <f t="shared" si="10"/>
        <v>(${Variables:E1_13_11_2_kcat} * E1_13_11_2 * C06730 * C00007)/(${Variables:E1_13_11_2_km} + (E1_13_11_2 * C06730 * C00007))</v>
      </c>
      <c r="K257" s="54" t="str">
        <f t="shared" si="11"/>
        <v>r256: C06730 + C00007 -&gt; C06760 | (${Variables:E1_13_11_2_kcat} * E1_13_11_2 * C06730 * C00007)/(${Variables:E1_13_11_2_km} + (E1_13_11_2 * C06730 * C00007))</v>
      </c>
    </row>
    <row r="258" spans="1:11" ht="29">
      <c r="A258" s="11" t="s">
        <v>1396</v>
      </c>
      <c r="B258" s="11" t="s">
        <v>1397</v>
      </c>
      <c r="C258" s="11" t="s">
        <v>12410</v>
      </c>
      <c r="D258" s="60">
        <v>257</v>
      </c>
      <c r="E258" s="11" t="str">
        <f t="shared" si="9"/>
        <v>E1_13_11_2</v>
      </c>
      <c r="F258" s="11" t="s">
        <v>13572</v>
      </c>
      <c r="G258" s="11" t="s">
        <v>13573</v>
      </c>
      <c r="H258" s="11" t="s">
        <v>8052</v>
      </c>
      <c r="I258" s="11" t="s">
        <v>8052</v>
      </c>
      <c r="J258" s="61" t="str">
        <f t="shared" si="10"/>
        <v>(${Variables:E1_13_11_2_kcat} * E1_13_11_2 * C07085 * C00007)/(${Variables:E1_13_11_2_km} + (E1_13_11_2 * C07085 * C00007))</v>
      </c>
      <c r="K258" s="54" t="str">
        <f t="shared" si="11"/>
        <v>r257: C07085 + C00007 -&gt; C07087 | (${Variables:E1_13_11_2_kcat} * E1_13_11_2 * C07085 * C00007)/(${Variables:E1_13_11_2_km} + (E1_13_11_2 * C07085 * C00007))</v>
      </c>
    </row>
    <row r="259" spans="1:11" ht="29">
      <c r="A259" s="11" t="s">
        <v>1396</v>
      </c>
      <c r="B259" s="11" t="s">
        <v>1397</v>
      </c>
      <c r="C259" s="11" t="s">
        <v>12410</v>
      </c>
      <c r="D259" s="60">
        <v>258</v>
      </c>
      <c r="E259" s="11" t="str">
        <f t="shared" ref="E259:E322" si="12">CONCATENATE("E",C259)</f>
        <v>E1_13_11_2</v>
      </c>
      <c r="F259" s="11" t="s">
        <v>13574</v>
      </c>
      <c r="G259" s="11" t="s">
        <v>13575</v>
      </c>
      <c r="H259" s="11" t="s">
        <v>8055</v>
      </c>
      <c r="I259" s="11" t="s">
        <v>8055</v>
      </c>
      <c r="J259" s="61" t="str">
        <f t="shared" ref="J259:J322" si="13">CONCATENATE("(${Variables:",E259,"_kcat","} * ",E259," * ",G259,")","/(${Variables:",E259,"_km","} + (",E259," * ",G259,"))")</f>
        <v>(${Variables:E1_13_11_2_kcat} * E1_13_11_2 * C02375 * C00007)/(${Variables:E1_13_11_2_km} + (E1_13_11_2 * C02375 * C00007))</v>
      </c>
      <c r="K259" s="54" t="str">
        <f t="shared" ref="K259:K322" si="14">CONCATENATE("r",D259,": ",F259," -&gt; ",H259," | ",J259)</f>
        <v>r258: C02375 + C00007 -&gt; C07089 | (${Variables:E1_13_11_2_kcat} * E1_13_11_2 * C02375 * C00007)/(${Variables:E1_13_11_2_km} + (E1_13_11_2 * C02375 * C00007))</v>
      </c>
    </row>
    <row r="260" spans="1:11" ht="29">
      <c r="A260" s="11" t="s">
        <v>1396</v>
      </c>
      <c r="B260" s="11" t="s">
        <v>1397</v>
      </c>
      <c r="C260" s="11" t="s">
        <v>12410</v>
      </c>
      <c r="D260" s="60">
        <v>259</v>
      </c>
      <c r="E260" s="11" t="str">
        <f t="shared" si="12"/>
        <v>E1_13_11_2</v>
      </c>
      <c r="F260" s="11" t="s">
        <v>13576</v>
      </c>
      <c r="G260" s="11" t="s">
        <v>13577</v>
      </c>
      <c r="H260" s="11" t="s">
        <v>13578</v>
      </c>
      <c r="I260" s="11" t="s">
        <v>13579</v>
      </c>
      <c r="J260" s="61" t="str">
        <f t="shared" si="13"/>
        <v>(${Variables:E1_13_11_2_kcat} * E1_13_11_2 * C06336 * C00007)/(${Variables:E1_13_11_2_km} + (E1_13_11_2 * C06336 * C00007))</v>
      </c>
      <c r="K260" s="54" t="str">
        <f t="shared" si="14"/>
        <v>r259: C06336 + C00007 -&gt; C02501 + C00094 | (${Variables:E1_13_11_2_kcat} * E1_13_11_2 * C06336 * C00007)/(${Variables:E1_13_11_2_km} + (E1_13_11_2 * C06336 * C00007))</v>
      </c>
    </row>
    <row r="261" spans="1:11" ht="29">
      <c r="A261" s="11" t="s">
        <v>1400</v>
      </c>
      <c r="B261" s="11" t="s">
        <v>1401</v>
      </c>
      <c r="C261" s="11" t="s">
        <v>12411</v>
      </c>
      <c r="D261" s="60">
        <v>260</v>
      </c>
      <c r="E261" s="11" t="str">
        <f t="shared" si="12"/>
        <v>E5_1_3_3</v>
      </c>
      <c r="F261" s="11" t="s">
        <v>8062</v>
      </c>
      <c r="G261" s="11" t="s">
        <v>8062</v>
      </c>
      <c r="H261" s="11" t="s">
        <v>7769</v>
      </c>
      <c r="I261" s="11" t="s">
        <v>7769</v>
      </c>
      <c r="J261" s="61" t="str">
        <f t="shared" si="13"/>
        <v>(${Variables:E5_1_3_3_kcat} * E5_1_3_3 * C00267)/(${Variables:E5_1_3_3_km} + (E5_1_3_3 * C00267))</v>
      </c>
      <c r="K261" s="54" t="str">
        <f t="shared" si="14"/>
        <v>r260: C00267 -&gt; C00221 | (${Variables:E5_1_3_3_kcat} * E5_1_3_3 * C00267)/(${Variables:E5_1_3_3_km} + (E5_1_3_3 * C00267))</v>
      </c>
    </row>
    <row r="262" spans="1:11" ht="29">
      <c r="A262" s="11" t="s">
        <v>1400</v>
      </c>
      <c r="B262" s="11" t="s">
        <v>1401</v>
      </c>
      <c r="C262" s="11" t="s">
        <v>12411</v>
      </c>
      <c r="D262" s="60">
        <v>261</v>
      </c>
      <c r="E262" s="11" t="str">
        <f t="shared" si="12"/>
        <v>E5_1_3_3</v>
      </c>
      <c r="F262" s="11" t="s">
        <v>8064</v>
      </c>
      <c r="G262" s="11" t="s">
        <v>8064</v>
      </c>
      <c r="H262" s="11" t="s">
        <v>8065</v>
      </c>
      <c r="I262" s="11" t="s">
        <v>8065</v>
      </c>
      <c r="J262" s="61" t="str">
        <f t="shared" si="13"/>
        <v>(${Variables:E5_1_3_3_kcat} * E5_1_3_3 * C00124)/(${Variables:E5_1_3_3_km} + (E5_1_3_3 * C00124))</v>
      </c>
      <c r="K262" s="54" t="str">
        <f t="shared" si="14"/>
        <v>r261: C00124 -&gt; C00984 | (${Variables:E5_1_3_3_kcat} * E5_1_3_3 * C00124)/(${Variables:E5_1_3_3_km} + (E5_1_3_3 * C00124))</v>
      </c>
    </row>
    <row r="263" spans="1:11" ht="29">
      <c r="A263" s="11" t="s">
        <v>1423</v>
      </c>
      <c r="B263" s="11" t="s">
        <v>1424</v>
      </c>
      <c r="C263" s="11" t="s">
        <v>12540</v>
      </c>
      <c r="D263" s="60">
        <v>262</v>
      </c>
      <c r="E263" s="11" t="str">
        <f t="shared" si="12"/>
        <v>E3_2_1_23</v>
      </c>
      <c r="F263" s="11" t="s">
        <v>13580</v>
      </c>
      <c r="G263" s="11" t="s">
        <v>13581</v>
      </c>
      <c r="H263" s="11" t="s">
        <v>13582</v>
      </c>
      <c r="I263" s="11" t="s">
        <v>13583</v>
      </c>
      <c r="J263" s="61" t="str">
        <f t="shared" si="13"/>
        <v>(${Variables:E3_2_1_23_kcat} * E3_2_1_23 * C00243 * C00001)/(${Variables:E3_2_1_23_km} + (E3_2_1_23 * C00243 * C00001))</v>
      </c>
      <c r="K263" s="54" t="str">
        <f t="shared" si="14"/>
        <v>r262: C00243 + C00001 -&gt; C00031 + C00962 | (${Variables:E3_2_1_23_kcat} * E3_2_1_23 * C00243 * C00001)/(${Variables:E3_2_1_23_km} + (E3_2_1_23 * C00243 * C00001))</v>
      </c>
    </row>
    <row r="264" spans="1:11" ht="29">
      <c r="A264" s="11" t="s">
        <v>1423</v>
      </c>
      <c r="B264" s="11" t="s">
        <v>1424</v>
      </c>
      <c r="C264" s="11" t="s">
        <v>12540</v>
      </c>
      <c r="D264" s="60">
        <v>263</v>
      </c>
      <c r="E264" s="11" t="str">
        <f t="shared" si="12"/>
        <v>E3_2_1_23</v>
      </c>
      <c r="F264" s="11" t="s">
        <v>13584</v>
      </c>
      <c r="G264" s="11" t="s">
        <v>13585</v>
      </c>
      <c r="H264" s="11" t="s">
        <v>13586</v>
      </c>
      <c r="I264" s="11" t="s">
        <v>13587</v>
      </c>
      <c r="J264" s="61" t="str">
        <f t="shared" si="13"/>
        <v>(${Variables:E3_2_1_23_kcat} * E3_2_1_23 * C05796 * C00001)/(${Variables:E3_2_1_23_km} + (E3_2_1_23 * C05796 * C00001))</v>
      </c>
      <c r="K264" s="54" t="str">
        <f t="shared" si="14"/>
        <v>r263: C05796 + C00001 -&gt; C00124 + C05796 | (${Variables:E3_2_1_23_kcat} * E3_2_1_23 * C05796 * C00001)/(${Variables:E3_2_1_23_km} + (E3_2_1_23 * C05796 * C00001))</v>
      </c>
    </row>
    <row r="265" spans="1:11" ht="29">
      <c r="A265" s="11" t="s">
        <v>1423</v>
      </c>
      <c r="B265" s="11" t="s">
        <v>1424</v>
      </c>
      <c r="C265" s="11" t="s">
        <v>12540</v>
      </c>
      <c r="D265" s="60">
        <v>264</v>
      </c>
      <c r="E265" s="11" t="str">
        <f t="shared" si="12"/>
        <v>E3_2_1_23</v>
      </c>
      <c r="F265" s="11" t="s">
        <v>13580</v>
      </c>
      <c r="G265" s="11" t="s">
        <v>13581</v>
      </c>
      <c r="H265" s="11" t="s">
        <v>13588</v>
      </c>
      <c r="I265" s="11" t="s">
        <v>13589</v>
      </c>
      <c r="J265" s="61" t="str">
        <f t="shared" si="13"/>
        <v>(${Variables:E3_2_1_23_kcat} * E3_2_1_23 * C00243 * C00001)/(${Variables:E3_2_1_23_km} + (E3_2_1_23 * C00243 * C00001))</v>
      </c>
      <c r="K265" s="54" t="str">
        <f t="shared" si="14"/>
        <v>r264: C00243 + C00001 -&gt; C00267 + C00124 | (${Variables:E3_2_1_23_kcat} * E3_2_1_23 * C00243 * C00001)/(${Variables:E3_2_1_23_km} + (E3_2_1_23 * C00243 * C00001))</v>
      </c>
    </row>
    <row r="266" spans="1:11" ht="29">
      <c r="A266" s="11" t="s">
        <v>1423</v>
      </c>
      <c r="B266" s="11" t="s">
        <v>1424</v>
      </c>
      <c r="C266" s="11" t="s">
        <v>12540</v>
      </c>
      <c r="D266" s="60">
        <v>265</v>
      </c>
      <c r="E266" s="11" t="str">
        <f t="shared" si="12"/>
        <v>E3_2_1_23</v>
      </c>
      <c r="F266" s="11" t="s">
        <v>13590</v>
      </c>
      <c r="G266" s="11" t="s">
        <v>13591</v>
      </c>
      <c r="H266" s="11" t="s">
        <v>13592</v>
      </c>
      <c r="I266" s="11" t="s">
        <v>13593</v>
      </c>
      <c r="J266" s="61" t="str">
        <f t="shared" si="13"/>
        <v>(${Variables:E3_2_1_23_kcat} * E3_2_1_23 * C01290 * C00001)/(${Variables:E3_2_1_23_km} + (E3_2_1_23 * C01290 * C00001))</v>
      </c>
      <c r="K266" s="54" t="str">
        <f t="shared" si="14"/>
        <v>r265: C01290 + C00001 -&gt; C01190 + C00124 | (${Variables:E3_2_1_23_kcat} * E3_2_1_23 * C01290 * C00001)/(${Variables:E3_2_1_23_km} + (E3_2_1_23 * C01290 * C00001))</v>
      </c>
    </row>
    <row r="267" spans="1:11" ht="29">
      <c r="A267" s="11" t="s">
        <v>1423</v>
      </c>
      <c r="B267" s="11" t="s">
        <v>1424</v>
      </c>
      <c r="C267" s="11" t="s">
        <v>12540</v>
      </c>
      <c r="D267" s="60">
        <v>266</v>
      </c>
      <c r="E267" s="11" t="str">
        <f t="shared" si="12"/>
        <v>E3_2_1_23</v>
      </c>
      <c r="F267" s="11" t="s">
        <v>13594</v>
      </c>
      <c r="G267" s="11" t="s">
        <v>13595</v>
      </c>
      <c r="H267" s="11" t="s">
        <v>13596</v>
      </c>
      <c r="I267" s="11" t="s">
        <v>13597</v>
      </c>
      <c r="J267" s="61" t="str">
        <f t="shared" si="13"/>
        <v>(${Variables:E3_2_1_23_kcat} * E3_2_1_23 * C04911 * C00001)/(${Variables:E3_2_1_23_km} + (E3_2_1_23 * C04911 * C00001))</v>
      </c>
      <c r="K267" s="54" t="str">
        <f t="shared" si="14"/>
        <v>r266: C04911 + C00001 -&gt; C04884 + C00124 | (${Variables:E3_2_1_23_kcat} * E3_2_1_23 * C04911 * C00001)/(${Variables:E3_2_1_23_km} + (E3_2_1_23 * C04911 * C00001))</v>
      </c>
    </row>
    <row r="268" spans="1:11" ht="29">
      <c r="A268" s="11" t="s">
        <v>1423</v>
      </c>
      <c r="B268" s="11" t="s">
        <v>1424</v>
      </c>
      <c r="C268" s="11" t="s">
        <v>12540</v>
      </c>
      <c r="D268" s="60">
        <v>267</v>
      </c>
      <c r="E268" s="11" t="str">
        <f t="shared" si="12"/>
        <v>E3_2_1_23</v>
      </c>
      <c r="F268" s="11" t="s">
        <v>13598</v>
      </c>
      <c r="G268" s="11" t="s">
        <v>13599</v>
      </c>
      <c r="H268" s="11" t="s">
        <v>13600</v>
      </c>
      <c r="I268" s="11" t="s">
        <v>13601</v>
      </c>
      <c r="J268" s="61" t="str">
        <f t="shared" si="13"/>
        <v>(${Variables:E3_2_1_23_kcat} * E3_2_1_23 * C05403 * C00001)/(${Variables:E3_2_1_23_km} + (E3_2_1_23 * C05403 * C00001))</v>
      </c>
      <c r="K268" s="54" t="str">
        <f t="shared" si="14"/>
        <v>r267: C05403 + C00001 -&gt; C05394 + C00221 | (${Variables:E3_2_1_23_kcat} * E3_2_1_23 * C05403 * C00001)/(${Variables:E3_2_1_23_km} + (E3_2_1_23 * C05403 * C00001))</v>
      </c>
    </row>
    <row r="269" spans="1:11" ht="29">
      <c r="A269" s="11" t="s">
        <v>1423</v>
      </c>
      <c r="B269" s="11" t="s">
        <v>1424</v>
      </c>
      <c r="C269" s="11" t="s">
        <v>12540</v>
      </c>
      <c r="D269" s="60">
        <v>268</v>
      </c>
      <c r="E269" s="11" t="str">
        <f t="shared" si="12"/>
        <v>E3_2_1_23</v>
      </c>
      <c r="F269" s="11" t="s">
        <v>13602</v>
      </c>
      <c r="G269" s="11" t="s">
        <v>13603</v>
      </c>
      <c r="H269" s="11" t="s">
        <v>13604</v>
      </c>
      <c r="I269" s="11" t="s">
        <v>13605</v>
      </c>
      <c r="J269" s="61" t="str">
        <f t="shared" si="13"/>
        <v>(${Variables:E3_2_1_23_kcat} * E3_2_1_23 * C06136 * C00001)/(${Variables:E3_2_1_23_km} + (E3_2_1_23 * C06136 * C00001))</v>
      </c>
      <c r="K269" s="54" t="str">
        <f t="shared" si="14"/>
        <v>r268: C06136 + C00001 -&gt; C06135 + C00124 | (${Variables:E3_2_1_23_kcat} * E3_2_1_23 * C06136 * C00001)/(${Variables:E3_2_1_23_km} + (E3_2_1_23 * C06136 * C00001))</v>
      </c>
    </row>
    <row r="270" spans="1:11" ht="29">
      <c r="A270" s="11" t="s">
        <v>1423</v>
      </c>
      <c r="B270" s="11" t="s">
        <v>1424</v>
      </c>
      <c r="C270" s="11" t="s">
        <v>12540</v>
      </c>
      <c r="D270" s="60">
        <v>269</v>
      </c>
      <c r="E270" s="11" t="str">
        <f t="shared" si="12"/>
        <v>E3_2_1_23</v>
      </c>
      <c r="F270" s="11" t="s">
        <v>13606</v>
      </c>
      <c r="G270" s="11" t="s">
        <v>13607</v>
      </c>
      <c r="H270" s="11" t="s">
        <v>13608</v>
      </c>
      <c r="I270" s="11" t="s">
        <v>13609</v>
      </c>
      <c r="J270" s="61" t="str">
        <f t="shared" si="13"/>
        <v>(${Variables:E3_2_1_23_kcat} * E3_2_1_23 * G00124 * C00001)/(${Variables:E3_2_1_23_km} + (E3_2_1_23 * G00124 * C00001))</v>
      </c>
      <c r="K270" s="54" t="str">
        <f t="shared" si="14"/>
        <v>r269: G00124 + C00001 -&gt; G00123 + C00124 | (${Variables:E3_2_1_23_kcat} * E3_2_1_23 * G00124 * C00001)/(${Variables:E3_2_1_23_km} + (E3_2_1_23 * G00124 * C00001))</v>
      </c>
    </row>
    <row r="271" spans="1:11" ht="29">
      <c r="A271" s="11" t="s">
        <v>1423</v>
      </c>
      <c r="B271" s="11" t="s">
        <v>1424</v>
      </c>
      <c r="C271" s="11" t="s">
        <v>12540</v>
      </c>
      <c r="D271" s="60">
        <v>270</v>
      </c>
      <c r="E271" s="11" t="str">
        <f t="shared" si="12"/>
        <v>E3_2_1_23</v>
      </c>
      <c r="F271" s="11" t="s">
        <v>13610</v>
      </c>
      <c r="G271" s="11" t="s">
        <v>13611</v>
      </c>
      <c r="H271" s="11" t="s">
        <v>13612</v>
      </c>
      <c r="I271" s="11" t="s">
        <v>13613</v>
      </c>
      <c r="J271" s="61" t="str">
        <f t="shared" si="13"/>
        <v>(${Variables:E3_2_1_23_kcat} * E3_2_1_23 * G00110 * C00001)/(${Variables:E3_2_1_23_km} + (E3_2_1_23 * G00110 * C00001))</v>
      </c>
      <c r="K271" s="54" t="str">
        <f t="shared" si="14"/>
        <v>r270: G00110 + C00001 -&gt; G00109 + C00124 | (${Variables:E3_2_1_23_kcat} * E3_2_1_23 * G00110 * C00001)/(${Variables:E3_2_1_23_km} + (E3_2_1_23 * G00110 * C00001))</v>
      </c>
    </row>
    <row r="272" spans="1:11" ht="29">
      <c r="A272" s="11" t="s">
        <v>1423</v>
      </c>
      <c r="B272" s="11" t="s">
        <v>1424</v>
      </c>
      <c r="C272" s="11" t="s">
        <v>12540</v>
      </c>
      <c r="D272" s="60">
        <v>271</v>
      </c>
      <c r="E272" s="11" t="str">
        <f t="shared" si="12"/>
        <v>E3_2_1_23</v>
      </c>
      <c r="F272" s="11" t="s">
        <v>13614</v>
      </c>
      <c r="G272" s="11" t="s">
        <v>13615</v>
      </c>
      <c r="H272" s="11" t="s">
        <v>13588</v>
      </c>
      <c r="I272" s="11" t="s">
        <v>13589</v>
      </c>
      <c r="J272" s="61" t="str">
        <f t="shared" si="13"/>
        <v>(${Variables:E3_2_1_23_kcat} * E3_2_1_23 * G10504 * C00001)/(${Variables:E3_2_1_23_km} + (E3_2_1_23 * G10504 * C00001))</v>
      </c>
      <c r="K272" s="54" t="str">
        <f t="shared" si="14"/>
        <v>r271: G10504 + C00001 -&gt; C00267 + C00124 | (${Variables:E3_2_1_23_kcat} * E3_2_1_23 * G10504 * C00001)/(${Variables:E3_2_1_23_km} + (E3_2_1_23 * G10504 * C00001))</v>
      </c>
    </row>
    <row r="273" spans="1:11" ht="29">
      <c r="A273" s="11" t="s">
        <v>1423</v>
      </c>
      <c r="B273" s="11" t="s">
        <v>1424</v>
      </c>
      <c r="C273" s="11" t="s">
        <v>12540</v>
      </c>
      <c r="D273" s="60">
        <v>272</v>
      </c>
      <c r="E273" s="11" t="str">
        <f t="shared" si="12"/>
        <v>E3_2_1_23</v>
      </c>
      <c r="F273" s="11" t="s">
        <v>13616</v>
      </c>
      <c r="G273" s="11" t="s">
        <v>13617</v>
      </c>
      <c r="H273" s="11" t="s">
        <v>13618</v>
      </c>
      <c r="I273" s="11" t="s">
        <v>13619</v>
      </c>
      <c r="J273" s="61" t="str">
        <f t="shared" si="13"/>
        <v>(${Variables:E3_2_1_23_kcat} * E3_2_1_23 * G00092 * C00001)/(${Variables:E3_2_1_23_km} + (E3_2_1_23 * G00092 * C00001))</v>
      </c>
      <c r="K273" s="54" t="str">
        <f t="shared" si="14"/>
        <v>r272: G00092 + C00001 -&gt; G10238 + C00124 | (${Variables:E3_2_1_23_kcat} * E3_2_1_23 * G00092 * C00001)/(${Variables:E3_2_1_23_km} + (E3_2_1_23 * G00092 * C00001))</v>
      </c>
    </row>
    <row r="274" spans="1:11" ht="29">
      <c r="A274" s="11" t="s">
        <v>1423</v>
      </c>
      <c r="B274" s="11" t="s">
        <v>1424</v>
      </c>
      <c r="C274" s="11" t="s">
        <v>12540</v>
      </c>
      <c r="D274" s="60">
        <v>273</v>
      </c>
      <c r="E274" s="11" t="str">
        <f t="shared" si="12"/>
        <v>E3_2_1_23</v>
      </c>
      <c r="F274" s="11" t="s">
        <v>13614</v>
      </c>
      <c r="G274" s="11" t="s">
        <v>13615</v>
      </c>
      <c r="H274" s="11" t="s">
        <v>13582</v>
      </c>
      <c r="I274" s="11" t="s">
        <v>13583</v>
      </c>
      <c r="J274" s="61" t="str">
        <f t="shared" si="13"/>
        <v>(${Variables:E3_2_1_23_kcat} * E3_2_1_23 * G10504 * C00001)/(${Variables:E3_2_1_23_km} + (E3_2_1_23 * G10504 * C00001))</v>
      </c>
      <c r="K274" s="54" t="str">
        <f t="shared" si="14"/>
        <v>r273: G10504 + C00001 -&gt; C00031 + C00962 | (${Variables:E3_2_1_23_kcat} * E3_2_1_23 * G10504 * C00001)/(${Variables:E3_2_1_23_km} + (E3_2_1_23 * G10504 * C00001))</v>
      </c>
    </row>
    <row r="275" spans="1:11" ht="29">
      <c r="A275" s="11" t="s">
        <v>1423</v>
      </c>
      <c r="B275" s="11" t="s">
        <v>1424</v>
      </c>
      <c r="C275" s="11" t="s">
        <v>12540</v>
      </c>
      <c r="D275" s="60">
        <v>274</v>
      </c>
      <c r="E275" s="11" t="str">
        <f t="shared" si="12"/>
        <v>E3_2_1_23</v>
      </c>
      <c r="F275" s="11" t="s">
        <v>13620</v>
      </c>
      <c r="G275" s="11" t="s">
        <v>13621</v>
      </c>
      <c r="H275" s="11" t="s">
        <v>13600</v>
      </c>
      <c r="I275" s="11" t="s">
        <v>13601</v>
      </c>
      <c r="J275" s="61" t="str">
        <f t="shared" si="13"/>
        <v>(${Variables:E3_2_1_23_kcat} * E3_2_1_23 * G10531 * C00001)/(${Variables:E3_2_1_23_km} + (E3_2_1_23 * G10531 * C00001))</v>
      </c>
      <c r="K275" s="54" t="str">
        <f t="shared" si="14"/>
        <v>r274: G10531 + C00001 -&gt; C05394 + C00221 | (${Variables:E3_2_1_23_kcat} * E3_2_1_23 * G10531 * C00001)/(${Variables:E3_2_1_23_km} + (E3_2_1_23 * G10531 * C00001))</v>
      </c>
    </row>
    <row r="276" spans="1:11" ht="29">
      <c r="A276" s="11" t="s">
        <v>1423</v>
      </c>
      <c r="B276" s="11" t="s">
        <v>1424</v>
      </c>
      <c r="C276" s="11" t="s">
        <v>12540</v>
      </c>
      <c r="D276" s="60">
        <v>275</v>
      </c>
      <c r="E276" s="11" t="str">
        <f t="shared" si="12"/>
        <v>E3_2_1_23</v>
      </c>
      <c r="F276" s="11" t="s">
        <v>13622</v>
      </c>
      <c r="G276" s="11" t="s">
        <v>13623</v>
      </c>
      <c r="H276" s="11" t="s">
        <v>13624</v>
      </c>
      <c r="I276" s="11" t="s">
        <v>13625</v>
      </c>
      <c r="J276" s="61" t="str">
        <f t="shared" si="13"/>
        <v>(${Variables:E3_2_1_23_kcat} * E3_2_1_23 * G10534 * C00001)/(${Variables:E3_2_1_23_km} + (E3_2_1_23 * G10534 * C00001))</v>
      </c>
      <c r="K276" s="54" t="str">
        <f t="shared" si="14"/>
        <v>r275: G10534 + C00001 -&gt; C00124 + G10534 | (${Variables:E3_2_1_23_kcat} * E3_2_1_23 * G10534 * C00001)/(${Variables:E3_2_1_23_km} + (E3_2_1_23 * G10534 * C00001))</v>
      </c>
    </row>
    <row r="277" spans="1:11" ht="29">
      <c r="A277" s="11" t="s">
        <v>1423</v>
      </c>
      <c r="B277" s="11" t="s">
        <v>1424</v>
      </c>
      <c r="C277" s="11" t="s">
        <v>12540</v>
      </c>
      <c r="D277" s="60">
        <v>276</v>
      </c>
      <c r="E277" s="11" t="str">
        <f t="shared" si="12"/>
        <v>E3_2_1_23</v>
      </c>
      <c r="F277" s="11" t="s">
        <v>13626</v>
      </c>
      <c r="G277" s="11" t="s">
        <v>13627</v>
      </c>
      <c r="H277" s="11" t="s">
        <v>13628</v>
      </c>
      <c r="I277" s="11" t="s">
        <v>13629</v>
      </c>
      <c r="J277" s="61" t="str">
        <f t="shared" si="13"/>
        <v>(${Variables:E3_2_1_23_kcat} * E3_2_1_23 * G01977 * C00001)/(${Variables:E3_2_1_23_km} + (E3_2_1_23 * G01977 * C00001))</v>
      </c>
      <c r="K277" s="54" t="str">
        <f t="shared" si="14"/>
        <v>r276: G01977 + C00001 -&gt; G13073 + C00124 | (${Variables:E3_2_1_23_kcat} * E3_2_1_23 * G01977 * C00001)/(${Variables:E3_2_1_23_km} + (E3_2_1_23 * G01977 * C00001))</v>
      </c>
    </row>
    <row r="278" spans="1:11" ht="29">
      <c r="A278" s="11" t="s">
        <v>1435</v>
      </c>
      <c r="B278" s="11" t="s">
        <v>1436</v>
      </c>
      <c r="C278" s="11" t="s">
        <v>12541</v>
      </c>
      <c r="D278" s="60">
        <v>277</v>
      </c>
      <c r="E278" s="11" t="str">
        <f t="shared" si="12"/>
        <v>E4_3_2_2</v>
      </c>
      <c r="F278" s="11" t="s">
        <v>8112</v>
      </c>
      <c r="G278" s="11" t="s">
        <v>8112</v>
      </c>
      <c r="H278" s="11" t="s">
        <v>13630</v>
      </c>
      <c r="I278" s="11" t="s">
        <v>13631</v>
      </c>
      <c r="J278" s="61" t="str">
        <f t="shared" si="13"/>
        <v>(${Variables:E4_3_2_2_kcat} * E4_3_2_2 * C03794)/(${Variables:E4_3_2_2_km} + (E4_3_2_2 * C03794))</v>
      </c>
      <c r="K278" s="54" t="str">
        <f t="shared" si="14"/>
        <v>r277: C03794 -&gt; C00122 + C00020 | (${Variables:E4_3_2_2_kcat} * E4_3_2_2 * C03794)/(${Variables:E4_3_2_2_km} + (E4_3_2_2 * C03794))</v>
      </c>
    </row>
    <row r="279" spans="1:11" ht="29">
      <c r="A279" s="11" t="s">
        <v>1435</v>
      </c>
      <c r="B279" s="11" t="s">
        <v>1436</v>
      </c>
      <c r="C279" s="11" t="s">
        <v>12541</v>
      </c>
      <c r="D279" s="60">
        <v>278</v>
      </c>
      <c r="E279" s="11" t="str">
        <f t="shared" si="12"/>
        <v>E4_3_2_2</v>
      </c>
      <c r="F279" s="11" t="s">
        <v>8115</v>
      </c>
      <c r="G279" s="11" t="s">
        <v>8115</v>
      </c>
      <c r="H279" s="11" t="s">
        <v>13632</v>
      </c>
      <c r="I279" s="11" t="s">
        <v>13633</v>
      </c>
      <c r="J279" s="61" t="str">
        <f t="shared" si="13"/>
        <v>(${Variables:E4_3_2_2_kcat} * E4_3_2_2 * C04823)/(${Variables:E4_3_2_2_km} + (E4_3_2_2 * C04823))</v>
      </c>
      <c r="K279" s="54" t="str">
        <f t="shared" si="14"/>
        <v>r278: C04823 -&gt; C00122 + C04677 | (${Variables:E4_3_2_2_kcat} * E4_3_2_2 * C04823)/(${Variables:E4_3_2_2_km} + (E4_3_2_2 * C04823))</v>
      </c>
    </row>
    <row r="280" spans="1:11" ht="29">
      <c r="A280" s="11" t="s">
        <v>1435</v>
      </c>
      <c r="B280" s="11" t="s">
        <v>1436</v>
      </c>
      <c r="C280" s="11" t="s">
        <v>12541</v>
      </c>
      <c r="D280" s="60">
        <v>279</v>
      </c>
      <c r="E280" s="11" t="str">
        <f t="shared" si="12"/>
        <v>E4_3_2_2</v>
      </c>
      <c r="F280" s="11" t="s">
        <v>8118</v>
      </c>
      <c r="G280" s="11" t="s">
        <v>8118</v>
      </c>
      <c r="H280" s="11" t="s">
        <v>13634</v>
      </c>
      <c r="I280" s="11" t="s">
        <v>13635</v>
      </c>
      <c r="J280" s="61" t="str">
        <f t="shared" si="13"/>
        <v>(${Variables:E4_3_2_2_kcat} * E4_3_2_2 * C22395)/(${Variables:E4_3_2_2_km} + (E4_3_2_2 * C22395))</v>
      </c>
      <c r="K280" s="54" t="str">
        <f t="shared" si="14"/>
        <v>r279: C22395 -&gt; C22441 + C00122 | (${Variables:E4_3_2_2_kcat} * E4_3_2_2 * C22395)/(${Variables:E4_3_2_2_km} + (E4_3_2_2 * C22395))</v>
      </c>
    </row>
    <row r="281" spans="1:11" ht="29">
      <c r="A281" s="11" t="s">
        <v>1441</v>
      </c>
      <c r="B281" s="11" t="s">
        <v>1442</v>
      </c>
      <c r="C281" s="11" t="s">
        <v>12542</v>
      </c>
      <c r="D281" s="60">
        <v>280</v>
      </c>
      <c r="E281" s="11" t="str">
        <f t="shared" si="12"/>
        <v>E4_1_1_21</v>
      </c>
      <c r="F281" s="11" t="s">
        <v>8123</v>
      </c>
      <c r="G281" s="11" t="s">
        <v>8123</v>
      </c>
      <c r="H281" s="11" t="s">
        <v>13636</v>
      </c>
      <c r="I281" s="11" t="s">
        <v>13637</v>
      </c>
      <c r="J281" s="61" t="str">
        <f t="shared" si="13"/>
        <v>(${Variables:E4_1_1_21_kcat} * E4_1_1_21 * C04751)/(${Variables:E4_1_1_21_km} + (E4_1_1_21 * C04751))</v>
      </c>
      <c r="K281" s="54" t="str">
        <f t="shared" si="14"/>
        <v>r280: C04751 -&gt; C03373 + C00011 | (${Variables:E4_1_1_21_kcat} * E4_1_1_21 * C04751)/(${Variables:E4_1_1_21_km} + (E4_1_1_21 * C04751))</v>
      </c>
    </row>
    <row r="282" spans="1:11" ht="43.5">
      <c r="A282" s="11" t="s">
        <v>1441</v>
      </c>
      <c r="B282" s="11" t="s">
        <v>1442</v>
      </c>
      <c r="C282" s="11" t="s">
        <v>12543</v>
      </c>
      <c r="D282" s="60">
        <v>281</v>
      </c>
      <c r="E282" s="11" t="str">
        <f t="shared" si="12"/>
        <v>E6_3_4_18</v>
      </c>
      <c r="F282" s="11" t="s">
        <v>13638</v>
      </c>
      <c r="G282" s="11" t="s">
        <v>13639</v>
      </c>
      <c r="H282" s="11" t="s">
        <v>13640</v>
      </c>
      <c r="I282" s="11" t="s">
        <v>13641</v>
      </c>
      <c r="J282" s="61" t="str">
        <f t="shared" si="13"/>
        <v>(${Variables:E6_3_4_18_kcat} * E6_3_4_18 * C00002 * C03373 * C00288)/(${Variables:E6_3_4_18_km} + (E6_3_4_18 * C00002 * C03373 * C00288))</v>
      </c>
      <c r="K282" s="54" t="str">
        <f t="shared" si="14"/>
        <v>r281: C00002 + C03373 + C00288 -&gt; C00008 + C00009 + C15667 | (${Variables:E6_3_4_18_kcat} * E6_3_4_18 * C00002 * C03373 * C00288)/(${Variables:E6_3_4_18_km} + (E6_3_4_18 * C00002 * C03373 * C00288))</v>
      </c>
    </row>
    <row r="283" spans="1:11" ht="29">
      <c r="A283" s="11" t="s">
        <v>1445</v>
      </c>
      <c r="B283" s="11" t="s">
        <v>1446</v>
      </c>
      <c r="C283" s="11" t="s">
        <v>12544</v>
      </c>
      <c r="D283" s="60">
        <v>282</v>
      </c>
      <c r="E283" s="11" t="str">
        <f t="shared" si="12"/>
        <v>E5_4_99_18</v>
      </c>
      <c r="F283" s="11" t="s">
        <v>8133</v>
      </c>
      <c r="G283" s="11" t="s">
        <v>8133</v>
      </c>
      <c r="H283" s="11" t="s">
        <v>8123</v>
      </c>
      <c r="I283" s="11" t="s">
        <v>8123</v>
      </c>
      <c r="J283" s="61" t="str">
        <f t="shared" si="13"/>
        <v>(${Variables:E5_4_99_18_kcat} * E5_4_99_18 * C15667)/(${Variables:E5_4_99_18_km} + (E5_4_99_18 * C15667))</v>
      </c>
      <c r="K283" s="54" t="str">
        <f t="shared" si="14"/>
        <v>r282: C15667 -&gt; C04751 | (${Variables:E5_4_99_18_kcat} * E5_4_99_18 * C15667)/(${Variables:E5_4_99_18_km} + (E5_4_99_18 * C15667))</v>
      </c>
    </row>
    <row r="284" spans="1:11" ht="43.5">
      <c r="A284" s="11" t="s">
        <v>1449</v>
      </c>
      <c r="B284" s="11" t="s">
        <v>1450</v>
      </c>
      <c r="C284" s="11" t="s">
        <v>12545</v>
      </c>
      <c r="D284" s="60">
        <v>283</v>
      </c>
      <c r="E284" s="11" t="str">
        <f t="shared" si="12"/>
        <v>E6_3_4_13</v>
      </c>
      <c r="F284" s="11" t="s">
        <v>13642</v>
      </c>
      <c r="G284" s="11" t="s">
        <v>13643</v>
      </c>
      <c r="H284" s="11" t="s">
        <v>13644</v>
      </c>
      <c r="I284" s="11" t="s">
        <v>13645</v>
      </c>
      <c r="J284" s="61" t="str">
        <f t="shared" si="13"/>
        <v>(${Variables:E6_3_4_13_kcat} * E6_3_4_13 * C00002 * C03090 * C00037)/(${Variables:E6_3_4_13_km} + (E6_3_4_13 * C00002 * C03090 * C00037))</v>
      </c>
      <c r="K284" s="54" t="str">
        <f t="shared" si="14"/>
        <v>r283: C00002 + C03090 + C00037 -&gt; C00008 + C00009 + C03838 | (${Variables:E6_3_4_13_kcat} * E6_3_4_13 * C00002 * C03090 * C00037)/(${Variables:E6_3_4_13_km} + (E6_3_4_13 * C00002 * C03090 * C00037))</v>
      </c>
    </row>
    <row r="285" spans="1:11" ht="29">
      <c r="A285" s="11" t="s">
        <v>1453</v>
      </c>
      <c r="B285" s="11" t="s">
        <v>1454</v>
      </c>
      <c r="C285" s="11" t="s">
        <v>12546</v>
      </c>
      <c r="D285" s="60">
        <v>284</v>
      </c>
      <c r="E285" s="11" t="str">
        <f t="shared" si="12"/>
        <v>E2_1_2_3</v>
      </c>
      <c r="F285" s="11" t="s">
        <v>13646</v>
      </c>
      <c r="G285" s="11" t="s">
        <v>13647</v>
      </c>
      <c r="H285" s="11" t="s">
        <v>13648</v>
      </c>
      <c r="I285" s="11" t="s">
        <v>13649</v>
      </c>
      <c r="J285" s="61" t="str">
        <f t="shared" si="13"/>
        <v>(${Variables:E2_1_2_3_kcat} * E2_1_2_3 * C00234 * C04677)/(${Variables:E2_1_2_3_km} + (E2_1_2_3 * C00234 * C04677))</v>
      </c>
      <c r="K285" s="54" t="str">
        <f t="shared" si="14"/>
        <v>r284: C00234 + C04677 -&gt; C00101 + C04734 | (${Variables:E2_1_2_3_kcat} * E2_1_2_3 * C00234 * C04677)/(${Variables:E2_1_2_3_km} + (E2_1_2_3 * C00234 * C04677))</v>
      </c>
    </row>
    <row r="286" spans="1:11" ht="29">
      <c r="A286" s="11" t="s">
        <v>1460</v>
      </c>
      <c r="B286" s="11" t="s">
        <v>1461</v>
      </c>
      <c r="C286" s="11" t="s">
        <v>12547</v>
      </c>
      <c r="D286" s="60">
        <v>285</v>
      </c>
      <c r="E286" s="11" t="str">
        <f t="shared" si="12"/>
        <v>E2_1_2_2</v>
      </c>
      <c r="F286" s="11" t="s">
        <v>13650</v>
      </c>
      <c r="G286" s="11" t="s">
        <v>13651</v>
      </c>
      <c r="H286" s="11" t="s">
        <v>13652</v>
      </c>
      <c r="I286" s="11" t="s">
        <v>13653</v>
      </c>
      <c r="J286" s="61" t="str">
        <f t="shared" si="13"/>
        <v>(${Variables:E2_1_2_2_kcat} * E2_1_2_2 * C00234 * C03838)/(${Variables:E2_1_2_2_km} + (E2_1_2_2 * C00234 * C03838))</v>
      </c>
      <c r="K286" s="54" t="str">
        <f t="shared" si="14"/>
        <v>r285: C00234 + C03838 -&gt; C00101 + C04376 | (${Variables:E2_1_2_2_kcat} * E2_1_2_2 * C00234 * C03838)/(${Variables:E2_1_2_2_km} + (E2_1_2_2 * C00234 * C03838))</v>
      </c>
    </row>
    <row r="287" spans="1:11" ht="43.5">
      <c r="A287" s="11" t="s">
        <v>1460</v>
      </c>
      <c r="B287" s="11" t="s">
        <v>1461</v>
      </c>
      <c r="C287" s="11" t="s">
        <v>12547</v>
      </c>
      <c r="D287" s="60">
        <v>286</v>
      </c>
      <c r="E287" s="11" t="str">
        <f t="shared" si="12"/>
        <v>E2_1_2_2</v>
      </c>
      <c r="F287" s="11" t="s">
        <v>13654</v>
      </c>
      <c r="G287" s="11" t="s">
        <v>13655</v>
      </c>
      <c r="H287" s="11" t="s">
        <v>13656</v>
      </c>
      <c r="I287" s="11" t="s">
        <v>13657</v>
      </c>
      <c r="J287" s="61" t="str">
        <f t="shared" si="13"/>
        <v>(${Variables:E2_1_2_2_kcat} * E2_1_2_2 * C03838 * C00445 * C00001)/(${Variables:E2_1_2_2_km} + (E2_1_2_2 * C03838 * C00445 * C00001))</v>
      </c>
      <c r="K287" s="54" t="str">
        <f t="shared" si="14"/>
        <v>r286: C03838 + C00445 + C00001 -&gt; C04376 + C00101 | (${Variables:E2_1_2_2_kcat} * E2_1_2_2 * C03838 * C00445 * C00001)/(${Variables:E2_1_2_2_km} + (E2_1_2_2 * C03838 * C00445 * C00001))</v>
      </c>
    </row>
    <row r="288" spans="1:11" ht="29">
      <c r="A288" s="11" t="s">
        <v>1464</v>
      </c>
      <c r="B288" s="11" t="s">
        <v>1465</v>
      </c>
      <c r="C288" s="11" t="s">
        <v>12548</v>
      </c>
      <c r="D288" s="60">
        <v>287</v>
      </c>
      <c r="E288" s="11" t="str">
        <f t="shared" si="12"/>
        <v>E6_3_3_1</v>
      </c>
      <c r="F288" s="11" t="s">
        <v>13658</v>
      </c>
      <c r="G288" s="11" t="s">
        <v>13659</v>
      </c>
      <c r="H288" s="11" t="s">
        <v>13660</v>
      </c>
      <c r="I288" s="11" t="s">
        <v>13661</v>
      </c>
      <c r="J288" s="61" t="str">
        <f t="shared" si="13"/>
        <v>(${Variables:E6_3_3_1_kcat} * E6_3_3_1 * C00002 * C04640)/(${Variables:E6_3_3_1_km} + (E6_3_3_1 * C00002 * C04640))</v>
      </c>
      <c r="K288" s="54" t="str">
        <f t="shared" si="14"/>
        <v>r287: C00002 + C04640 -&gt; C00008 + C00009 + C03373 | (${Variables:E6_3_3_1_kcat} * E6_3_3_1 * C00002 * C04640)/(${Variables:E6_3_3_1_km} + (E6_3_3_1 * C00002 * C04640))</v>
      </c>
    </row>
    <row r="289" spans="1:11" ht="43.5">
      <c r="A289" s="11" t="s">
        <v>1468</v>
      </c>
      <c r="B289" s="11" t="s">
        <v>1469</v>
      </c>
      <c r="C289" s="11" t="s">
        <v>12379</v>
      </c>
      <c r="D289" s="60">
        <v>288</v>
      </c>
      <c r="E289" s="11" t="str">
        <f t="shared" si="12"/>
        <v>E2_4_2_14</v>
      </c>
      <c r="F289" s="11" t="s">
        <v>13662</v>
      </c>
      <c r="G289" s="11" t="s">
        <v>13663</v>
      </c>
      <c r="H289" s="11" t="s">
        <v>13664</v>
      </c>
      <c r="I289" s="11" t="s">
        <v>13665</v>
      </c>
      <c r="J289" s="61" t="str">
        <f t="shared" si="13"/>
        <v>(${Variables:E2_4_2_14_kcat} * E2_4_2_14 * C03090 * C00013 * C00025)/(${Variables:E2_4_2_14_km} + (E2_4_2_14 * C03090 * C00013 * C00025))</v>
      </c>
      <c r="K289" s="54" t="str">
        <f t="shared" si="14"/>
        <v>r288: C03090 + C00013 + C00025 -&gt; C00064 + C00119 + C00001 | (${Variables:E2_4_2_14_kcat} * E2_4_2_14 * C03090 * C00013 * C00025)/(${Variables:E2_4_2_14_km} + (E2_4_2_14 * C03090 * C00013 * C00025))</v>
      </c>
    </row>
    <row r="290" spans="1:11" ht="43.5">
      <c r="A290" s="11" t="s">
        <v>1472</v>
      </c>
      <c r="B290" s="11" t="s">
        <v>1473</v>
      </c>
      <c r="C290" s="11" t="s">
        <v>12380</v>
      </c>
      <c r="D290" s="60">
        <v>289</v>
      </c>
      <c r="E290" s="11" t="str">
        <f t="shared" si="12"/>
        <v>E6_3_5_3</v>
      </c>
      <c r="F290" s="11" t="s">
        <v>13666</v>
      </c>
      <c r="G290" s="11" t="s">
        <v>13667</v>
      </c>
      <c r="H290" s="11" t="s">
        <v>13668</v>
      </c>
      <c r="I290" s="11" t="s">
        <v>13669</v>
      </c>
      <c r="J290" s="61" t="str">
        <f t="shared" si="13"/>
        <v>(${Variables:E6_3_5_3_kcat} * E6_3_5_3 * C00002 * C04376 * C00064 * C00001)/(${Variables:E6_3_5_3_km} + (E6_3_5_3 * C00002 * C04376 * C00064 * C00001))</v>
      </c>
      <c r="K290" s="54" t="str">
        <f t="shared" si="14"/>
        <v>r289: C00002 + C04376 + C00064 + C00001 -&gt; C00008 + C00009 + C04640 + C00025 | (${Variables:E6_3_5_3_kcat} * E6_3_5_3 * C00002 * C04376 * C00064 * C00001)/(${Variables:E6_3_5_3_km} + (E6_3_5_3 * C00002 * C04376 * C00064 * C00001))</v>
      </c>
    </row>
    <row r="291" spans="1:11" ht="43.5">
      <c r="A291" s="11" t="s">
        <v>1476</v>
      </c>
      <c r="B291" s="11" t="s">
        <v>1477</v>
      </c>
      <c r="C291" s="11" t="s">
        <v>12381</v>
      </c>
      <c r="D291" s="60">
        <v>290</v>
      </c>
      <c r="E291" s="11" t="str">
        <f t="shared" si="12"/>
        <v>E6_3_2_6</v>
      </c>
      <c r="F291" s="11" t="s">
        <v>13670</v>
      </c>
      <c r="G291" s="11" t="s">
        <v>13671</v>
      </c>
      <c r="H291" s="11" t="s">
        <v>13672</v>
      </c>
      <c r="I291" s="11" t="s">
        <v>13673</v>
      </c>
      <c r="J291" s="61" t="str">
        <f t="shared" si="13"/>
        <v>(${Variables:E6_3_2_6_kcat} * E6_3_2_6 * C00002 * C04751 * C00049)/(${Variables:E6_3_2_6_km} + (E6_3_2_6 * C00002 * C04751 * C00049))</v>
      </c>
      <c r="K291" s="54" t="str">
        <f t="shared" si="14"/>
        <v>r290: C00002 + C04751 + C00049 -&gt; C00008 + C00009 + C04823 | (${Variables:E6_3_2_6_kcat} * E6_3_2_6 * C00002 * C04751 * C00049)/(${Variables:E6_3_2_6_km} + (E6_3_2_6 * C00002 * C04751 * C00049))</v>
      </c>
    </row>
    <row r="292" spans="1:11" ht="29">
      <c r="A292" s="11" t="s">
        <v>1506</v>
      </c>
      <c r="B292" s="11" t="s">
        <v>1507</v>
      </c>
      <c r="C292" s="11" t="s">
        <v>12382</v>
      </c>
      <c r="D292" s="60">
        <v>291</v>
      </c>
      <c r="E292" s="11" t="str">
        <f t="shared" si="12"/>
        <v>E2_6_1_1</v>
      </c>
      <c r="F292" s="11" t="s">
        <v>13674</v>
      </c>
      <c r="G292" s="11" t="s">
        <v>13675</v>
      </c>
      <c r="H292" s="11" t="s">
        <v>13676</v>
      </c>
      <c r="I292" s="11" t="s">
        <v>13677</v>
      </c>
      <c r="J292" s="61" t="str">
        <f t="shared" si="13"/>
        <v>(${Variables:E2_6_1_1_kcat} * E2_6_1_1 * C00049 * C00026)/(${Variables:E2_6_1_1_km} + (E2_6_1_1 * C00049 * C00026))</v>
      </c>
      <c r="K292" s="54" t="str">
        <f t="shared" si="14"/>
        <v>r291: C00049 + C00026 -&gt; C00036 + C00025 | (${Variables:E2_6_1_1_kcat} * E2_6_1_1 * C00049 * C00026)/(${Variables:E2_6_1_1_km} + (E2_6_1_1 * C00049 * C00026))</v>
      </c>
    </row>
    <row r="293" spans="1:11" ht="29">
      <c r="A293" s="11" t="s">
        <v>1506</v>
      </c>
      <c r="B293" s="11" t="s">
        <v>1507</v>
      </c>
      <c r="C293" s="11" t="s">
        <v>12382</v>
      </c>
      <c r="D293" s="60">
        <v>292</v>
      </c>
      <c r="E293" s="11" t="str">
        <f t="shared" si="12"/>
        <v>E2_6_1_1</v>
      </c>
      <c r="F293" s="11" t="s">
        <v>13678</v>
      </c>
      <c r="G293" s="11" t="s">
        <v>13679</v>
      </c>
      <c r="H293" s="11" t="s">
        <v>13680</v>
      </c>
      <c r="I293" s="11" t="s">
        <v>13681</v>
      </c>
      <c r="J293" s="61" t="str">
        <f t="shared" si="13"/>
        <v>(${Variables:E2_6_1_1_kcat} * E2_6_1_1 * C00079 * C00026)/(${Variables:E2_6_1_1_km} + (E2_6_1_1 * C00079 * C00026))</v>
      </c>
      <c r="K293" s="54" t="str">
        <f t="shared" si="14"/>
        <v>r292: C00079 + C00026 -&gt; C00166 + C00025 | (${Variables:E2_6_1_1_kcat} * E2_6_1_1 * C00079 * C00026)/(${Variables:E2_6_1_1_km} + (E2_6_1_1 * C00079 * C00026))</v>
      </c>
    </row>
    <row r="294" spans="1:11" ht="29">
      <c r="A294" s="11" t="s">
        <v>1506</v>
      </c>
      <c r="B294" s="11" t="s">
        <v>1507</v>
      </c>
      <c r="C294" s="11" t="s">
        <v>12382</v>
      </c>
      <c r="D294" s="60">
        <v>293</v>
      </c>
      <c r="E294" s="11" t="str">
        <f t="shared" si="12"/>
        <v>E2_6_1_1</v>
      </c>
      <c r="F294" s="11" t="s">
        <v>13682</v>
      </c>
      <c r="G294" s="11" t="s">
        <v>13683</v>
      </c>
      <c r="H294" s="11" t="s">
        <v>13684</v>
      </c>
      <c r="I294" s="11" t="s">
        <v>13685</v>
      </c>
      <c r="J294" s="61" t="str">
        <f t="shared" si="13"/>
        <v>(${Variables:E2_6_1_1_kcat} * E2_6_1_1 * C00082 * C00026)/(${Variables:E2_6_1_1_km} + (E2_6_1_1 * C00082 * C00026))</v>
      </c>
      <c r="K294" s="54" t="str">
        <f t="shared" si="14"/>
        <v>r293: C00082 + C00026 -&gt; C01179 + C00025 | (${Variables:E2_6_1_1_kcat} * E2_6_1_1 * C00082 * C00026)/(${Variables:E2_6_1_1_km} + (E2_6_1_1 * C00082 * C00026))</v>
      </c>
    </row>
    <row r="295" spans="1:11" ht="29">
      <c r="A295" s="11" t="s">
        <v>1506</v>
      </c>
      <c r="B295" s="11" t="s">
        <v>1507</v>
      </c>
      <c r="C295" s="11" t="s">
        <v>12382</v>
      </c>
      <c r="D295" s="60">
        <v>294</v>
      </c>
      <c r="E295" s="11" t="str">
        <f t="shared" si="12"/>
        <v>E2_6_1_1</v>
      </c>
      <c r="F295" s="11" t="s">
        <v>13686</v>
      </c>
      <c r="G295" s="11" t="s">
        <v>13687</v>
      </c>
      <c r="H295" s="11" t="s">
        <v>13688</v>
      </c>
      <c r="I295" s="11" t="s">
        <v>13689</v>
      </c>
      <c r="J295" s="61" t="str">
        <f t="shared" si="13"/>
        <v>(${Variables:E2_6_1_1_kcat} * E2_6_1_1 * C00097 * C00026)/(${Variables:E2_6_1_1_km} + (E2_6_1_1 * C00097 * C00026))</v>
      </c>
      <c r="K295" s="54" t="str">
        <f t="shared" si="14"/>
        <v>r294: C00097 + C00026 -&gt; C00957 + C00025 | (${Variables:E2_6_1_1_kcat} * E2_6_1_1 * C00097 * C00026)/(${Variables:E2_6_1_1_km} + (E2_6_1_1 * C00097 * C00026))</v>
      </c>
    </row>
    <row r="296" spans="1:11" ht="29">
      <c r="A296" s="11" t="s">
        <v>1506</v>
      </c>
      <c r="B296" s="11" t="s">
        <v>1507</v>
      </c>
      <c r="C296" s="11" t="s">
        <v>12382</v>
      </c>
      <c r="D296" s="60">
        <v>295</v>
      </c>
      <c r="E296" s="11" t="str">
        <f t="shared" si="12"/>
        <v>E2_6_1_1</v>
      </c>
      <c r="F296" s="11" t="s">
        <v>13686</v>
      </c>
      <c r="G296" s="11" t="s">
        <v>13687</v>
      </c>
      <c r="H296" s="11" t="s">
        <v>13690</v>
      </c>
      <c r="I296" s="11" t="s">
        <v>13691</v>
      </c>
      <c r="J296" s="61" t="str">
        <f t="shared" si="13"/>
        <v>(${Variables:E2_6_1_1_kcat} * E2_6_1_1 * C00097 * C00026)/(${Variables:E2_6_1_1_km} + (E2_6_1_1 * C00097 * C00026))</v>
      </c>
      <c r="K296" s="54" t="str">
        <f t="shared" si="14"/>
        <v>r295: C00097 + C00026 -&gt; C00957 + C00302 | (${Variables:E2_6_1_1_kcat} * E2_6_1_1 * C00097 * C00026)/(${Variables:E2_6_1_1_km} + (E2_6_1_1 * C00097 * C00026))</v>
      </c>
    </row>
    <row r="297" spans="1:11" ht="29">
      <c r="A297" s="11" t="s">
        <v>1506</v>
      </c>
      <c r="B297" s="11" t="s">
        <v>1507</v>
      </c>
      <c r="C297" s="11" t="s">
        <v>12382</v>
      </c>
      <c r="D297" s="60">
        <v>296</v>
      </c>
      <c r="E297" s="11" t="str">
        <f t="shared" si="12"/>
        <v>E2_6_1_1</v>
      </c>
      <c r="F297" s="11" t="s">
        <v>13692</v>
      </c>
      <c r="G297" s="11" t="s">
        <v>13693</v>
      </c>
      <c r="H297" s="11" t="s">
        <v>13694</v>
      </c>
      <c r="I297" s="11" t="s">
        <v>13695</v>
      </c>
      <c r="J297" s="61" t="str">
        <f t="shared" si="13"/>
        <v>(${Variables:E2_6_1_1_kcat} * E2_6_1_1 * C00506 * C00026)/(${Variables:E2_6_1_1_km} + (E2_6_1_1 * C00506 * C00026))</v>
      </c>
      <c r="K297" s="54" t="str">
        <f t="shared" si="14"/>
        <v>r296: C00506 + C00026 -&gt; C05528 + C00025 | (${Variables:E2_6_1_1_kcat} * E2_6_1_1 * C00506 * C00026)/(${Variables:E2_6_1_1_km} + (E2_6_1_1 * C00506 * C00026))</v>
      </c>
    </row>
    <row r="298" spans="1:11" ht="29">
      <c r="A298" s="11" t="s">
        <v>1506</v>
      </c>
      <c r="B298" s="11" t="s">
        <v>1507</v>
      </c>
      <c r="C298" s="11" t="s">
        <v>12382</v>
      </c>
      <c r="D298" s="60">
        <v>297</v>
      </c>
      <c r="E298" s="11" t="str">
        <f t="shared" si="12"/>
        <v>E2_6_1_1</v>
      </c>
      <c r="F298" s="11" t="s">
        <v>13696</v>
      </c>
      <c r="G298" s="11" t="s">
        <v>13697</v>
      </c>
      <c r="H298" s="11" t="s">
        <v>13698</v>
      </c>
      <c r="I298" s="11" t="s">
        <v>13699</v>
      </c>
      <c r="J298" s="61" t="str">
        <f t="shared" si="13"/>
        <v>(${Variables:E2_6_1_1_kcat} * E2_6_1_1 * C00606 * C00026)/(${Variables:E2_6_1_1_km} + (E2_6_1_1 * C00606 * C00026))</v>
      </c>
      <c r="K298" s="54" t="str">
        <f t="shared" si="14"/>
        <v>r297: C00606 + C00026 -&gt; C05527 + C00025 | (${Variables:E2_6_1_1_kcat} * E2_6_1_1 * C00606 * C00026)/(${Variables:E2_6_1_1_km} + (E2_6_1_1 * C00606 * C00026))</v>
      </c>
    </row>
    <row r="299" spans="1:11" ht="29">
      <c r="A299" s="11" t="s">
        <v>1506</v>
      </c>
      <c r="B299" s="11" t="s">
        <v>1507</v>
      </c>
      <c r="C299" s="11" t="s">
        <v>12382</v>
      </c>
      <c r="D299" s="60">
        <v>298</v>
      </c>
      <c r="E299" s="11" t="str">
        <f t="shared" si="12"/>
        <v>E2_6_1_1</v>
      </c>
      <c r="F299" s="11" t="s">
        <v>13700</v>
      </c>
      <c r="G299" s="11" t="s">
        <v>13701</v>
      </c>
      <c r="H299" s="11" t="s">
        <v>13702</v>
      </c>
      <c r="I299" s="11" t="s">
        <v>13703</v>
      </c>
      <c r="J299" s="61" t="str">
        <f t="shared" si="13"/>
        <v>(${Variables:E2_6_1_1_kcat} * E2_6_1_1 * C05947 * C00026)/(${Variables:E2_6_1_1_km} + (E2_6_1_1 * C05947 * C00026))</v>
      </c>
      <c r="K299" s="54" t="str">
        <f t="shared" si="14"/>
        <v>r298: C05947 + C00026 -&gt; C05946 + C00025 | (${Variables:E2_6_1_1_kcat} * E2_6_1_1 * C05947 * C00026)/(${Variables:E2_6_1_1_km} + (E2_6_1_1 * C05947 * C00026))</v>
      </c>
    </row>
    <row r="300" spans="1:11" ht="29">
      <c r="A300" s="11" t="s">
        <v>1531</v>
      </c>
      <c r="B300" s="11" t="s">
        <v>1532</v>
      </c>
      <c r="C300" s="11" t="s">
        <v>12383</v>
      </c>
      <c r="D300" s="60">
        <v>299</v>
      </c>
      <c r="E300" s="11" t="str">
        <f t="shared" si="12"/>
        <v>E2_7_6_1</v>
      </c>
      <c r="F300" s="11" t="s">
        <v>13704</v>
      </c>
      <c r="G300" s="11" t="s">
        <v>13705</v>
      </c>
      <c r="H300" s="11" t="s">
        <v>13706</v>
      </c>
      <c r="I300" s="11" t="s">
        <v>13707</v>
      </c>
      <c r="J300" s="61" t="str">
        <f t="shared" si="13"/>
        <v>(${Variables:E2_7_6_1_kcat} * E2_7_6_1 * C00002 * C00117)/(${Variables:E2_7_6_1_km} + (E2_7_6_1 * C00002 * C00117))</v>
      </c>
      <c r="K300" s="54" t="str">
        <f t="shared" si="14"/>
        <v>r299: C00002 + C00117 -&gt; C00020 + C00119 | (${Variables:E2_7_6_1_kcat} * E2_7_6_1 * C00002 * C00117)/(${Variables:E2_7_6_1_km} + (E2_7_6_1 * C00002 * C00117))</v>
      </c>
    </row>
    <row r="301" spans="1:11" ht="29">
      <c r="A301" s="11" t="s">
        <v>1547</v>
      </c>
      <c r="B301" s="11" t="s">
        <v>1548</v>
      </c>
      <c r="C301" s="11" t="s">
        <v>12549</v>
      </c>
      <c r="D301" s="60">
        <v>300</v>
      </c>
      <c r="E301" s="11" t="str">
        <f t="shared" si="12"/>
        <v>E3_6_1_23</v>
      </c>
      <c r="F301" s="11" t="s">
        <v>13708</v>
      </c>
      <c r="G301" s="11" t="s">
        <v>13709</v>
      </c>
      <c r="H301" s="11" t="s">
        <v>13710</v>
      </c>
      <c r="I301" s="11" t="s">
        <v>13711</v>
      </c>
      <c r="J301" s="61" t="str">
        <f t="shared" si="13"/>
        <v>(${Variables:E3_6_1_23_kcat} * E3_6_1_23 * C00460 * C00001)/(${Variables:E3_6_1_23_km} + (E3_6_1_23 * C00460 * C00001))</v>
      </c>
      <c r="K301" s="54" t="str">
        <f t="shared" si="14"/>
        <v>r300: C00460 + C00001 -&gt; C00365 + C00013 | (${Variables:E3_6_1_23_kcat} * E3_6_1_23 * C00460 * C00001)/(${Variables:E3_6_1_23_km} + (E3_6_1_23 * C00460 * C00001))</v>
      </c>
    </row>
    <row r="302" spans="1:11" ht="29">
      <c r="A302" s="11" t="s">
        <v>1547</v>
      </c>
      <c r="B302" s="11" t="s">
        <v>1548</v>
      </c>
      <c r="C302" s="11" t="s">
        <v>12549</v>
      </c>
      <c r="D302" s="60">
        <v>301</v>
      </c>
      <c r="E302" s="11" t="str">
        <f t="shared" si="12"/>
        <v>E3_6_1_23</v>
      </c>
      <c r="F302" s="11" t="s">
        <v>13712</v>
      </c>
      <c r="G302" s="11" t="s">
        <v>13713</v>
      </c>
      <c r="H302" s="11" t="s">
        <v>13714</v>
      </c>
      <c r="I302" s="11" t="s">
        <v>13715</v>
      </c>
      <c r="J302" s="61" t="str">
        <f t="shared" si="13"/>
        <v>(${Variables:E3_6_1_23_kcat} * E3_6_1_23 * C21751 * C00001)/(${Variables:E3_6_1_23_km} + (E3_6_1_23 * C21751 * C00001))</v>
      </c>
      <c r="K302" s="54" t="str">
        <f t="shared" si="14"/>
        <v>r301: C21751 + C00001 -&gt; C04242 + C00013 | (${Variables:E3_6_1_23_kcat} * E3_6_1_23 * C21751 * C00001)/(${Variables:E3_6_1_23_km} + (E3_6_1_23 * C21751 * C00001))</v>
      </c>
    </row>
    <row r="303" spans="1:11" ht="43.5">
      <c r="A303" s="11" t="s">
        <v>1716</v>
      </c>
      <c r="B303" s="11" t="s">
        <v>1717</v>
      </c>
      <c r="C303" s="11" t="s">
        <v>12550</v>
      </c>
      <c r="D303" s="60">
        <v>302</v>
      </c>
      <c r="E303" s="11" t="str">
        <f t="shared" si="12"/>
        <v>E6_3_4_4</v>
      </c>
      <c r="F303" s="11" t="s">
        <v>13716</v>
      </c>
      <c r="G303" s="11" t="s">
        <v>13717</v>
      </c>
      <c r="H303" s="11" t="s">
        <v>13718</v>
      </c>
      <c r="I303" s="11" t="s">
        <v>13719</v>
      </c>
      <c r="J303" s="61" t="str">
        <f t="shared" si="13"/>
        <v>(${Variables:E6_3_4_4_kcat} * E6_3_4_4 * C00044 * C00130 * C00049)/(${Variables:E6_3_4_4_km} + (E6_3_4_4 * C00044 * C00130 * C00049))</v>
      </c>
      <c r="K303" s="54" t="str">
        <f t="shared" si="14"/>
        <v>r302: C00044 + C00130 + C00049 -&gt; C00035 + C00009 + C03794 | (${Variables:E6_3_4_4_kcat} * E6_3_4_4 * C00044 * C00130 * C00049)/(${Variables:E6_3_4_4_km} + (E6_3_4_4 * C00044 * C00130 * C00049))</v>
      </c>
    </row>
    <row r="304" spans="1:11" ht="29">
      <c r="A304" s="11" t="s">
        <v>1739</v>
      </c>
      <c r="B304" s="11" t="s">
        <v>1740</v>
      </c>
      <c r="C304" s="11" t="s">
        <v>12518</v>
      </c>
      <c r="D304" s="60">
        <v>303</v>
      </c>
      <c r="E304" s="11" t="str">
        <f t="shared" si="12"/>
        <v>E2_4_2_8</v>
      </c>
      <c r="F304" s="11" t="s">
        <v>13720</v>
      </c>
      <c r="G304" s="11" t="s">
        <v>13721</v>
      </c>
      <c r="H304" s="11" t="s">
        <v>13722</v>
      </c>
      <c r="I304" s="11" t="s">
        <v>13723</v>
      </c>
      <c r="J304" s="61" t="str">
        <f t="shared" si="13"/>
        <v>(${Variables:E2_4_2_8_kcat} * E2_4_2_8 * C00130 * C00013)/(${Variables:E2_4_2_8_km} + (E2_4_2_8 * C00130 * C00013))</v>
      </c>
      <c r="K304" s="54" t="str">
        <f t="shared" si="14"/>
        <v>r303: C00130 + C00013 -&gt; C00262 + C00119 | (${Variables:E2_4_2_8_kcat} * E2_4_2_8 * C00130 * C00013)/(${Variables:E2_4_2_8_km} + (E2_4_2_8 * C00130 * C00013))</v>
      </c>
    </row>
    <row r="305" spans="1:11" ht="29">
      <c r="A305" s="11" t="s">
        <v>1739</v>
      </c>
      <c r="B305" s="11" t="s">
        <v>1740</v>
      </c>
      <c r="C305" s="11" t="s">
        <v>12518</v>
      </c>
      <c r="D305" s="60">
        <v>304</v>
      </c>
      <c r="E305" s="11" t="str">
        <f t="shared" si="12"/>
        <v>E2_4_2_8</v>
      </c>
      <c r="F305" s="11" t="s">
        <v>13724</v>
      </c>
      <c r="G305" s="11" t="s">
        <v>13725</v>
      </c>
      <c r="H305" s="11" t="s">
        <v>13726</v>
      </c>
      <c r="I305" s="11" t="s">
        <v>13727</v>
      </c>
      <c r="J305" s="61" t="str">
        <f t="shared" si="13"/>
        <v>(${Variables:E2_4_2_8_kcat} * E2_4_2_8 * C00144 * C00013)/(${Variables:E2_4_2_8_km} + (E2_4_2_8 * C00144 * C00013))</v>
      </c>
      <c r="K305" s="54" t="str">
        <f t="shared" si="14"/>
        <v>r304: C00144 + C00013 -&gt; C00242 + C00119 | (${Variables:E2_4_2_8_kcat} * E2_4_2_8 * C00144 * C00013)/(${Variables:E2_4_2_8_km} + (E2_4_2_8 * C00144 * C00013))</v>
      </c>
    </row>
    <row r="306" spans="1:11" ht="29">
      <c r="A306" s="11" t="s">
        <v>1739</v>
      </c>
      <c r="B306" s="11" t="s">
        <v>1740</v>
      </c>
      <c r="C306" s="11" t="s">
        <v>12518</v>
      </c>
      <c r="D306" s="60">
        <v>305</v>
      </c>
      <c r="E306" s="11" t="str">
        <f t="shared" si="12"/>
        <v>E2_4_2_8</v>
      </c>
      <c r="F306" s="11" t="s">
        <v>13728</v>
      </c>
      <c r="G306" s="11" t="s">
        <v>13729</v>
      </c>
      <c r="H306" s="11" t="s">
        <v>13730</v>
      </c>
      <c r="I306" s="11" t="s">
        <v>13731</v>
      </c>
      <c r="J306" s="61" t="str">
        <f t="shared" si="13"/>
        <v>(${Variables:E2_4_2_8_kcat} * E2_4_2_8 * C00655 * C00013)/(${Variables:E2_4_2_8_km} + (E2_4_2_8 * C00655 * C00013))</v>
      </c>
      <c r="K306" s="54" t="str">
        <f t="shared" si="14"/>
        <v>r305: C00655 + C00013 -&gt; C00385 + C00119 | (${Variables:E2_4_2_8_kcat} * E2_4_2_8 * C00655 * C00013)/(${Variables:E2_4_2_8_km} + (E2_4_2_8 * C00655 * C00013))</v>
      </c>
    </row>
    <row r="307" spans="1:11" ht="29">
      <c r="A307" s="11" t="s">
        <v>1739</v>
      </c>
      <c r="B307" s="11" t="s">
        <v>1740</v>
      </c>
      <c r="C307" s="11" t="s">
        <v>12518</v>
      </c>
      <c r="D307" s="60">
        <v>306</v>
      </c>
      <c r="E307" s="11" t="str">
        <f t="shared" si="12"/>
        <v>E2_4_2_8</v>
      </c>
      <c r="F307" s="11" t="s">
        <v>13732</v>
      </c>
      <c r="G307" s="11" t="s">
        <v>13733</v>
      </c>
      <c r="H307" s="11" t="s">
        <v>13734</v>
      </c>
      <c r="I307" s="11" t="s">
        <v>13735</v>
      </c>
      <c r="J307" s="61" t="str">
        <f t="shared" si="13"/>
        <v>(${Variables:E2_4_2_8_kcat} * E2_4_2_8 * C02380 * C00119)/(${Variables:E2_4_2_8_km} + (E2_4_2_8 * C02380 * C00119))</v>
      </c>
      <c r="K307" s="54" t="str">
        <f t="shared" si="14"/>
        <v>r306: C02380 + C00119 -&gt; C04646 + C00013 | (${Variables:E2_4_2_8_kcat} * E2_4_2_8 * C02380 * C00119)/(${Variables:E2_4_2_8_km} + (E2_4_2_8 * C02380 * C00119))</v>
      </c>
    </row>
    <row r="308" spans="1:11" ht="29">
      <c r="A308" s="11" t="s">
        <v>1739</v>
      </c>
      <c r="B308" s="11" t="s">
        <v>1740</v>
      </c>
      <c r="C308" s="11" t="s">
        <v>12518</v>
      </c>
      <c r="D308" s="60">
        <v>307</v>
      </c>
      <c r="E308" s="11" t="str">
        <f t="shared" si="12"/>
        <v>E2_4_2_8</v>
      </c>
      <c r="F308" s="11" t="s">
        <v>13736</v>
      </c>
      <c r="G308" s="11" t="s">
        <v>13737</v>
      </c>
      <c r="H308" s="11" t="s">
        <v>13738</v>
      </c>
      <c r="I308" s="11" t="s">
        <v>13739</v>
      </c>
      <c r="J308" s="61" t="str">
        <f t="shared" si="13"/>
        <v>(${Variables:E2_4_2_8_kcat} * E2_4_2_8 * C16614 * C00119)/(${Variables:E2_4_2_8_km} + (E2_4_2_8 * C16614 * C00119))</v>
      </c>
      <c r="K308" s="54" t="str">
        <f t="shared" si="14"/>
        <v>r307: C16614 + C00119 -&gt; C16615 + C00013 | (${Variables:E2_4_2_8_kcat} * E2_4_2_8 * C16614 * C00119)/(${Variables:E2_4_2_8_km} + (E2_4_2_8 * C16614 * C00119))</v>
      </c>
    </row>
    <row r="309" spans="1:11" ht="29">
      <c r="A309" s="11" t="s">
        <v>1739</v>
      </c>
      <c r="B309" s="11" t="s">
        <v>1740</v>
      </c>
      <c r="C309" s="11" t="s">
        <v>12518</v>
      </c>
      <c r="D309" s="60">
        <v>308</v>
      </c>
      <c r="E309" s="11" t="str">
        <f t="shared" si="12"/>
        <v>E2_4_2_8</v>
      </c>
      <c r="F309" s="11" t="s">
        <v>13740</v>
      </c>
      <c r="G309" s="11" t="s">
        <v>13741</v>
      </c>
      <c r="H309" s="11" t="s">
        <v>13742</v>
      </c>
      <c r="I309" s="11" t="s">
        <v>13743</v>
      </c>
      <c r="J309" s="61" t="str">
        <f t="shared" si="13"/>
        <v>(${Variables:E2_4_2_8_kcat} * E2_4_2_8 * C07648 * C00119)/(${Variables:E2_4_2_8_km} + (E2_4_2_8 * C07648 * C00119))</v>
      </c>
      <c r="K309" s="54" t="str">
        <f t="shared" si="14"/>
        <v>r308: C07648 + C00119 -&gt; C16619 + C00013 | (${Variables:E2_4_2_8_kcat} * E2_4_2_8 * C07648 * C00119)/(${Variables:E2_4_2_8_km} + (E2_4_2_8 * C07648 * C00119))</v>
      </c>
    </row>
    <row r="310" spans="1:11" ht="43.5">
      <c r="A310" s="11" t="s">
        <v>1743</v>
      </c>
      <c r="B310" s="11" t="s">
        <v>1744</v>
      </c>
      <c r="C310" s="11" t="s">
        <v>12519</v>
      </c>
      <c r="D310" s="60">
        <v>309</v>
      </c>
      <c r="E310" s="11" t="str">
        <f t="shared" si="12"/>
        <v>E6_3_4_19</v>
      </c>
      <c r="F310" s="11" t="s">
        <v>13744</v>
      </c>
      <c r="G310" s="11" t="s">
        <v>13745</v>
      </c>
      <c r="H310" s="11" t="s">
        <v>13746</v>
      </c>
      <c r="I310" s="11" t="s">
        <v>13747</v>
      </c>
      <c r="J310" s="61" t="str">
        <f t="shared" si="13"/>
        <v>(${Variables:E6_3_4_19_kcat} * E6_3_4_19 * C19722 * C00047 * C00002)/(${Variables:E6_3_4_19_km} + (E6_3_4_19 * C19722 * C00047 * C00002))</v>
      </c>
      <c r="K310" s="54" t="str">
        <f t="shared" si="14"/>
        <v>r309: C19722 + C00047 + C00002 -&gt; C19723 + C00020 + C00013 + C00001 | (${Variables:E6_3_4_19_kcat} * E6_3_4_19 * C19722 * C00047 * C00002)/(${Variables:E6_3_4_19_km} + (E6_3_4_19 * C19722 * C00047 * C00002))</v>
      </c>
    </row>
    <row r="311" spans="1:11" ht="29">
      <c r="A311" s="11" t="s">
        <v>1764</v>
      </c>
      <c r="B311" s="11" t="s">
        <v>1765</v>
      </c>
      <c r="C311" s="11" t="s">
        <v>12551</v>
      </c>
      <c r="D311" s="60">
        <v>310</v>
      </c>
      <c r="E311" s="11" t="str">
        <f t="shared" si="12"/>
        <v>E3_1_1_29</v>
      </c>
      <c r="F311" s="11" t="s">
        <v>13748</v>
      </c>
      <c r="G311" s="11" t="s">
        <v>13749</v>
      </c>
      <c r="H311" s="11" t="s">
        <v>13750</v>
      </c>
      <c r="I311" s="11" t="s">
        <v>13751</v>
      </c>
      <c r="J311" s="61" t="str">
        <f t="shared" si="13"/>
        <v>(${Variables:E3_1_1_29_kcat} * E3_1_1_29 * C03880 * C00001)/(${Variables:E3_1_1_29_km} + (E3_1_1_29 * C03880 * C00001))</v>
      </c>
      <c r="K311" s="54" t="str">
        <f t="shared" si="14"/>
        <v>r310: C03880 + C00001 -&gt; C03523 + C00066 | (${Variables:E3_1_1_29_kcat} * E3_1_1_29 * C03880 * C00001)/(${Variables:E3_1_1_29_km} + (E3_1_1_29 * C03880 * C00001))</v>
      </c>
    </row>
    <row r="312" spans="1:11" ht="43.5">
      <c r="A312" s="11" t="s">
        <v>1823</v>
      </c>
      <c r="B312" s="11" t="s">
        <v>1824</v>
      </c>
      <c r="C312" s="11" t="s">
        <v>12398</v>
      </c>
      <c r="D312" s="60">
        <v>311</v>
      </c>
      <c r="E312" s="11" t="str">
        <f t="shared" si="12"/>
        <v>E6_1_1_2</v>
      </c>
      <c r="F312" s="11" t="s">
        <v>13752</v>
      </c>
      <c r="G312" s="11" t="s">
        <v>13753</v>
      </c>
      <c r="H312" s="11" t="s">
        <v>13754</v>
      </c>
      <c r="I312" s="11" t="s">
        <v>13755</v>
      </c>
      <c r="J312" s="61" t="str">
        <f t="shared" si="13"/>
        <v>(${Variables:E6_1_1_2_kcat} * E6_1_1_2 * C00002 * C00078 * C01652)/(${Variables:E6_1_1_2_km} + (E6_1_1_2 * C00002 * C00078 * C01652))</v>
      </c>
      <c r="K312" s="54" t="str">
        <f t="shared" si="14"/>
        <v>r311: C00002 + C00078 + C01652 -&gt; C00020 + C00013 + C03512 | (${Variables:E6_1_1_2_kcat} * E6_1_1_2 * C00002 * C00078 * C01652)/(${Variables:E6_1_1_2_km} + (E6_1_1_2 * C00002 * C00078 * C01652))</v>
      </c>
    </row>
    <row r="313" spans="1:11" ht="43.5">
      <c r="A313" s="11" t="s">
        <v>1827</v>
      </c>
      <c r="B313" s="11" t="s">
        <v>1828</v>
      </c>
      <c r="C313" s="11" t="s">
        <v>12399</v>
      </c>
      <c r="D313" s="60">
        <v>312</v>
      </c>
      <c r="E313" s="11" t="str">
        <f t="shared" si="12"/>
        <v>E1_1_1_205</v>
      </c>
      <c r="F313" s="11" t="s">
        <v>13756</v>
      </c>
      <c r="G313" s="11" t="s">
        <v>13757</v>
      </c>
      <c r="H313" s="11" t="s">
        <v>13758</v>
      </c>
      <c r="I313" s="11" t="s">
        <v>13759</v>
      </c>
      <c r="J313" s="61" t="str">
        <f t="shared" si="13"/>
        <v>(${Variables:E1_1_1_205_kcat} * E1_1_1_205 * C00130 * C00003 * C00001)/(${Variables:E1_1_1_205_km} + (E1_1_1_205 * C00130 * C00003 * C00001))</v>
      </c>
      <c r="K313" s="54" t="str">
        <f t="shared" si="14"/>
        <v>r312: C00130 + C00003 + C00001 -&gt; C00655 + C00004 + C00080 | (${Variables:E1_1_1_205_kcat} * E1_1_1_205 * C00130 * C00003 * C00001)/(${Variables:E1_1_1_205_km} + (E1_1_1_205 * C00130 * C00003 * C00001))</v>
      </c>
    </row>
    <row r="314" spans="1:11" ht="43.5">
      <c r="A314" s="11" t="s">
        <v>1827</v>
      </c>
      <c r="B314" s="11" t="s">
        <v>1828</v>
      </c>
      <c r="C314" s="11" t="s">
        <v>12399</v>
      </c>
      <c r="D314" s="60">
        <v>313</v>
      </c>
      <c r="E314" s="11" t="str">
        <f t="shared" si="12"/>
        <v>E1_1_1_205</v>
      </c>
      <c r="F314" s="11" t="s">
        <v>13760</v>
      </c>
      <c r="G314" s="11" t="s">
        <v>13761</v>
      </c>
      <c r="H314" s="11" t="s">
        <v>13762</v>
      </c>
      <c r="I314" s="11" t="s">
        <v>13763</v>
      </c>
      <c r="J314" s="61" t="str">
        <f t="shared" si="13"/>
        <v>(${Variables:E1_1_1_205_kcat} * E1_1_1_205 * C16618 * C00004 * C00080)/(${Variables:E1_1_1_205_km} + (E1_1_1_205 * C16618 * C00004 * C00080))</v>
      </c>
      <c r="K314" s="54" t="str">
        <f t="shared" si="14"/>
        <v>r313: C16618 + C00004 + C00080 -&gt; C04646 + C00003 + C00001 | (${Variables:E1_1_1_205_kcat} * E1_1_1_205 * C16618 * C00004 * C00080)/(${Variables:E1_1_1_205_km} + (E1_1_1_205 * C16618 * C00004 * C00080))</v>
      </c>
    </row>
    <row r="315" spans="1:11" ht="29">
      <c r="A315" s="11" t="s">
        <v>1846</v>
      </c>
      <c r="B315" s="11" t="s">
        <v>1847</v>
      </c>
      <c r="C315" s="11" t="s">
        <v>12400</v>
      </c>
      <c r="D315" s="60">
        <v>314</v>
      </c>
      <c r="E315" s="11" t="str">
        <f t="shared" si="12"/>
        <v>E2_7_8_5</v>
      </c>
      <c r="F315" s="11" t="s">
        <v>13764</v>
      </c>
      <c r="G315" s="11" t="s">
        <v>13765</v>
      </c>
      <c r="H315" s="11" t="s">
        <v>13766</v>
      </c>
      <c r="I315" s="11" t="s">
        <v>13767</v>
      </c>
      <c r="J315" s="61" t="str">
        <f t="shared" si="13"/>
        <v>(${Variables:E2_7_8_5_kcat} * E2_7_8_5 * C00269 * C00093)/(${Variables:E2_7_8_5_km} + (E2_7_8_5 * C00269 * C00093))</v>
      </c>
      <c r="K315" s="54" t="str">
        <f t="shared" si="14"/>
        <v>r314: C00269 + C00093 -&gt; C00055 + C03892 | (${Variables:E2_7_8_5_kcat} * E2_7_8_5 * C00269 * C00093)/(${Variables:E2_7_8_5_km} + (E2_7_8_5 * C00269 * C00093))</v>
      </c>
    </row>
    <row r="316" spans="1:11" ht="29">
      <c r="A316" s="11" t="s">
        <v>1886</v>
      </c>
      <c r="B316" s="11" t="s">
        <v>1887</v>
      </c>
      <c r="C316" s="11" t="s">
        <v>12401</v>
      </c>
      <c r="D316" s="60">
        <v>315</v>
      </c>
      <c r="E316" s="11" t="str">
        <f t="shared" si="12"/>
        <v>E2_5_1_47</v>
      </c>
      <c r="F316" s="11" t="s">
        <v>13768</v>
      </c>
      <c r="G316" s="11" t="s">
        <v>13769</v>
      </c>
      <c r="H316" s="11" t="s">
        <v>13770</v>
      </c>
      <c r="I316" s="11" t="s">
        <v>13771</v>
      </c>
      <c r="J316" s="61" t="str">
        <f t="shared" si="13"/>
        <v>(${Variables:E2_5_1_47_kcat} * E2_5_1_47 * C00979 * C00283)/(${Variables:E2_5_1_47_km} + (E2_5_1_47 * C00979 * C00283))</v>
      </c>
      <c r="K316" s="54" t="str">
        <f t="shared" si="14"/>
        <v>r315: C00979 + C00283 -&gt; C00097 + C00033 | (${Variables:E2_5_1_47_kcat} * E2_5_1_47 * C00979 * C00283)/(${Variables:E2_5_1_47_km} + (E2_5_1_47 * C00979 * C00283))</v>
      </c>
    </row>
    <row r="317" spans="1:11" ht="29">
      <c r="A317" s="11" t="s">
        <v>1886</v>
      </c>
      <c r="B317" s="11" t="s">
        <v>1887</v>
      </c>
      <c r="C317" s="11" t="s">
        <v>12401</v>
      </c>
      <c r="D317" s="60">
        <v>316</v>
      </c>
      <c r="E317" s="11" t="str">
        <f t="shared" si="12"/>
        <v>E2_5_1_47</v>
      </c>
      <c r="F317" s="11" t="s">
        <v>13772</v>
      </c>
      <c r="G317" s="11" t="s">
        <v>13773</v>
      </c>
      <c r="H317" s="11" t="s">
        <v>13774</v>
      </c>
      <c r="I317" s="11" t="s">
        <v>13775</v>
      </c>
      <c r="J317" s="61" t="str">
        <f t="shared" si="13"/>
        <v>(${Variables:E2_5_1_47_kcat} * E2_5_1_47 * C00969 * C01528)/(${Variables:E2_5_1_47_km} + (E2_5_1_47 * C00969 * C01528))</v>
      </c>
      <c r="K317" s="54" t="str">
        <f t="shared" si="14"/>
        <v>r316: C00969 + C01528 -&gt; C05688 + C00033 | (${Variables:E2_5_1_47_kcat} * E2_5_1_47 * C00969 * C01528)/(${Variables:E2_5_1_47_km} + (E2_5_1_47 * C00969 * C01528))</v>
      </c>
    </row>
    <row r="318" spans="1:11" ht="43.5">
      <c r="A318" s="11" t="s">
        <v>1886</v>
      </c>
      <c r="B318" s="11" t="s">
        <v>1887</v>
      </c>
      <c r="C318" s="11" t="s">
        <v>12401</v>
      </c>
      <c r="D318" s="60">
        <v>317</v>
      </c>
      <c r="E318" s="11" t="str">
        <f t="shared" si="12"/>
        <v>E2_5_1_47</v>
      </c>
      <c r="F318" s="11" t="s">
        <v>13776</v>
      </c>
      <c r="G318" s="11" t="s">
        <v>13777</v>
      </c>
      <c r="H318" s="11" t="s">
        <v>13778</v>
      </c>
      <c r="I318" s="11" t="s">
        <v>13779</v>
      </c>
      <c r="J318" s="61" t="str">
        <f t="shared" si="13"/>
        <v>(${Variables:E2_5_1_47_kcat} * E2_5_1_47 * C00979 * C00320 * C00342 * C00080)/(${Variables:E2_5_1_47_km} + (E2_5_1_47 * C00979 * C00320 * C00342 * C00080))</v>
      </c>
      <c r="K318" s="54" t="str">
        <f t="shared" si="14"/>
        <v>r317: C00979 + C00320 + C00342 + C00080 -&gt; C00097 + C00094 + C00343 + C00033 | (${Variables:E2_5_1_47_kcat} * E2_5_1_47 * C00979 * C00320 * C00342 * C00080)/(${Variables:E2_5_1_47_km} + (E2_5_1_47 * C00979 * C00320 * C00342 * C00080))</v>
      </c>
    </row>
    <row r="319" spans="1:11" ht="29">
      <c r="A319" s="11" t="s">
        <v>1886</v>
      </c>
      <c r="B319" s="11" t="s">
        <v>1887</v>
      </c>
      <c r="C319" s="11" t="s">
        <v>12401</v>
      </c>
      <c r="D319" s="60">
        <v>318</v>
      </c>
      <c r="E319" s="11" t="str">
        <f t="shared" si="12"/>
        <v>E2_5_1_47</v>
      </c>
      <c r="F319" s="11" t="s">
        <v>13780</v>
      </c>
      <c r="G319" s="11" t="s">
        <v>13781</v>
      </c>
      <c r="H319" s="11" t="s">
        <v>13782</v>
      </c>
      <c r="I319" s="11" t="s">
        <v>13783</v>
      </c>
      <c r="J319" s="61" t="str">
        <f t="shared" si="13"/>
        <v>(${Variables:E2_5_1_47_kcat} * E2_5_1_47 * C01005 * C00283)/(${Variables:E2_5_1_47_km} + (E2_5_1_47 * C01005 * C00283))</v>
      </c>
      <c r="K319" s="54" t="str">
        <f t="shared" si="14"/>
        <v>r318: C01005 + C00283 -&gt; C00097 + C00009 | (${Variables:E2_5_1_47_kcat} * E2_5_1_47 * C01005 * C00283)/(${Variables:E2_5_1_47_km} + (E2_5_1_47 * C01005 * C00283))</v>
      </c>
    </row>
    <row r="320" spans="1:11" ht="29">
      <c r="A320" s="11" t="s">
        <v>1970</v>
      </c>
      <c r="B320" s="11" t="s">
        <v>1971</v>
      </c>
      <c r="C320" s="11" t="s">
        <v>12427</v>
      </c>
      <c r="D320" s="60">
        <v>319</v>
      </c>
      <c r="E320" s="11" t="str">
        <f t="shared" si="12"/>
        <v>E2_7_1_30</v>
      </c>
      <c r="F320" s="11" t="s">
        <v>13784</v>
      </c>
      <c r="G320" s="11" t="s">
        <v>13785</v>
      </c>
      <c r="H320" s="11" t="s">
        <v>13786</v>
      </c>
      <c r="I320" s="11" t="s">
        <v>13787</v>
      </c>
      <c r="J320" s="61" t="str">
        <f t="shared" si="13"/>
        <v>(${Variables:E2_7_1_30_kcat} * E2_7_1_30 * C00002 * C00116)/(${Variables:E2_7_1_30_km} + (E2_7_1_30 * C00002 * C00116))</v>
      </c>
      <c r="K320" s="54" t="str">
        <f t="shared" si="14"/>
        <v>r319: C00002 + C00116 -&gt; C00008 + C00093 | (${Variables:E2_7_1_30_kcat} * E2_7_1_30 * C00002 * C00116)/(${Variables:E2_7_1_30_km} + (E2_7_1_30 * C00002 * C00116))</v>
      </c>
    </row>
    <row r="321" spans="1:11" ht="29">
      <c r="A321" s="11" t="s">
        <v>1974</v>
      </c>
      <c r="B321" s="11" t="s">
        <v>1975</v>
      </c>
      <c r="C321" s="11" t="s">
        <v>12428</v>
      </c>
      <c r="D321" s="60">
        <v>320</v>
      </c>
      <c r="E321" s="11" t="str">
        <f t="shared" si="12"/>
        <v>E1_1_3_21</v>
      </c>
      <c r="F321" s="11" t="s">
        <v>13788</v>
      </c>
      <c r="G321" s="11" t="s">
        <v>13789</v>
      </c>
      <c r="H321" s="11" t="s">
        <v>13790</v>
      </c>
      <c r="I321" s="11" t="s">
        <v>13791</v>
      </c>
      <c r="J321" s="61" t="str">
        <f t="shared" si="13"/>
        <v>(${Variables:E1_1_3_21_kcat} * E1_1_3_21 * C00093 * C00007)/(${Variables:E1_1_3_21_km} + (E1_1_3_21 * C00093 * C00007))</v>
      </c>
      <c r="K321" s="54" t="str">
        <f t="shared" si="14"/>
        <v>r320: C00093 + C00007 -&gt; C00111 + C00027 | (${Variables:E1_1_3_21_kcat} * E1_1_3_21 * C00093 * C00007)/(${Variables:E1_1_3_21_km} + (E1_1_3_21 * C00093 * C00007))</v>
      </c>
    </row>
    <row r="322" spans="1:11" ht="43.5">
      <c r="A322" s="11" t="s">
        <v>1991</v>
      </c>
      <c r="B322" s="11" t="s">
        <v>1992</v>
      </c>
      <c r="C322" s="11" t="s">
        <v>12429</v>
      </c>
      <c r="D322" s="60">
        <v>321</v>
      </c>
      <c r="E322" s="11" t="str">
        <f t="shared" si="12"/>
        <v>E6_1_1_13</v>
      </c>
      <c r="F322" s="11" t="s">
        <v>13792</v>
      </c>
      <c r="G322" s="11" t="s">
        <v>13793</v>
      </c>
      <c r="H322" s="11" t="s">
        <v>13794</v>
      </c>
      <c r="I322" s="11" t="s">
        <v>13795</v>
      </c>
      <c r="J322" s="61" t="str">
        <f t="shared" si="13"/>
        <v>(${Variables:E6_1_1_13_kcat} * E6_1_1_13 * C00002 * C00133 * C00653)/(${Variables:E6_1_1_13_km} + (E6_1_1_13 * C00002 * C00133 * C00653))</v>
      </c>
      <c r="K322" s="54" t="str">
        <f t="shared" si="14"/>
        <v>r321: C00002 + C00133 + C00653 -&gt; C00020 + C00013 + C04260 | (${Variables:E6_1_1_13_kcat} * E6_1_1_13 * C00002 * C00133 * C00653)/(${Variables:E6_1_1_13_km} + (E6_1_1_13 * C00002 * C00133 * C00653))</v>
      </c>
    </row>
    <row r="323" spans="1:11" ht="43.5">
      <c r="A323" s="11" t="s">
        <v>1991</v>
      </c>
      <c r="B323" s="11" t="s">
        <v>1992</v>
      </c>
      <c r="C323" s="11" t="s">
        <v>12429</v>
      </c>
      <c r="D323" s="60">
        <v>322</v>
      </c>
      <c r="E323" s="11" t="str">
        <f t="shared" ref="E323:E386" si="15">CONCATENATE("E",C323)</f>
        <v>E6_1_1_13</v>
      </c>
      <c r="F323" s="11" t="s">
        <v>13796</v>
      </c>
      <c r="G323" s="11" t="s">
        <v>13797</v>
      </c>
      <c r="H323" s="11" t="s">
        <v>13798</v>
      </c>
      <c r="I323" s="11" t="s">
        <v>13799</v>
      </c>
      <c r="J323" s="61" t="str">
        <f t="shared" ref="J323:J386" si="16">CONCATENATE("(${Variables:",E323,"_kcat","} * ",E323," * ",G323,")","/(${Variables:",E323,"_km","} + (",E323," * ",G323,"))")</f>
        <v>(${Variables:E6_1_1_13_kcat} * E6_1_1_13 * C00002 * C00133 * G13185)/(${Variables:E6_1_1_13_km} + (E6_1_1_13 * C00002 * C00133 * G13185))</v>
      </c>
      <c r="K323" s="54" t="str">
        <f t="shared" ref="K323:K386" si="17">CONCATENATE("r",D323,": ",F323," -&gt; ",H323," | ",J323)</f>
        <v>r322: C00002 + C00133 + G13185 -&gt; C00020 + C00013 + G13186 | (${Variables:E6_1_1_13_kcat} * E6_1_1_13 * C00002 * C00133 * G13185)/(${Variables:E6_1_1_13_km} + (E6_1_1_13 * C00002 * C00133 * G13185))</v>
      </c>
    </row>
    <row r="324" spans="1:11" ht="43.5">
      <c r="A324" s="11" t="s">
        <v>1991</v>
      </c>
      <c r="B324" s="11" t="s">
        <v>1992</v>
      </c>
      <c r="C324" s="11" t="s">
        <v>12429</v>
      </c>
      <c r="D324" s="60">
        <v>323</v>
      </c>
      <c r="E324" s="11" t="str">
        <f t="shared" si="15"/>
        <v>E6_1_1_13</v>
      </c>
      <c r="F324" s="11" t="s">
        <v>13800</v>
      </c>
      <c r="G324" s="11" t="s">
        <v>13801</v>
      </c>
      <c r="H324" s="11" t="s">
        <v>13802</v>
      </c>
      <c r="I324" s="11" t="s">
        <v>13803</v>
      </c>
      <c r="J324" s="61" t="str">
        <f t="shared" si="16"/>
        <v>(${Variables:E6_1_1_13_kcat} * E6_1_1_13 * C00002 * C00133 * G13167)/(${Variables:E6_1_1_13_km} + (E6_1_1_13 * C00002 * C00133 * G13167))</v>
      </c>
      <c r="K324" s="54" t="str">
        <f t="shared" si="17"/>
        <v>r323: C00002 + C00133 + G13167 -&gt; C00020 + C00013 + G13180 | (${Variables:E6_1_1_13_kcat} * E6_1_1_13 * C00002 * C00133 * G13167)/(${Variables:E6_1_1_13_km} + (E6_1_1_13 * C00002 * C00133 * G13167))</v>
      </c>
    </row>
    <row r="325" spans="1:11" ht="43.5">
      <c r="A325" s="11" t="s">
        <v>1991</v>
      </c>
      <c r="B325" s="11" t="s">
        <v>1992</v>
      </c>
      <c r="C325" s="11" t="s">
        <v>12429</v>
      </c>
      <c r="D325" s="60">
        <v>324</v>
      </c>
      <c r="E325" s="11" t="str">
        <f t="shared" si="15"/>
        <v>E6_1_1_13</v>
      </c>
      <c r="F325" s="11" t="s">
        <v>13804</v>
      </c>
      <c r="G325" s="11" t="s">
        <v>13805</v>
      </c>
      <c r="H325" s="11" t="s">
        <v>13806</v>
      </c>
      <c r="I325" s="11" t="s">
        <v>13807</v>
      </c>
      <c r="J325" s="61" t="str">
        <f t="shared" si="16"/>
        <v>(${Variables:E6_1_1_13_kcat} * E6_1_1_13 * C00002 * C00133 * G13170)/(${Variables:E6_1_1_13_km} + (E6_1_1_13 * C00002 * C00133 * G13170))</v>
      </c>
      <c r="K325" s="54" t="str">
        <f t="shared" si="17"/>
        <v>r324: C00002 + C00133 + G13170 -&gt; C00020 + C00013 + G13171 | (${Variables:E6_1_1_13_kcat} * E6_1_1_13 * C00002 * C00133 * G13170)/(${Variables:E6_1_1_13_km} + (E6_1_1_13 * C00002 * C00133 * G13170))</v>
      </c>
    </row>
    <row r="326" spans="1:11" ht="43.5">
      <c r="A326" s="11" t="s">
        <v>1991</v>
      </c>
      <c r="B326" s="11" t="s">
        <v>1992</v>
      </c>
      <c r="C326" s="11" t="s">
        <v>12429</v>
      </c>
      <c r="D326" s="60">
        <v>325</v>
      </c>
      <c r="E326" s="11" t="str">
        <f t="shared" si="15"/>
        <v>E6_1_1_13</v>
      </c>
      <c r="F326" s="11" t="s">
        <v>13808</v>
      </c>
      <c r="G326" s="11" t="s">
        <v>13809</v>
      </c>
      <c r="H326" s="11" t="s">
        <v>13810</v>
      </c>
      <c r="I326" s="11" t="s">
        <v>13811</v>
      </c>
      <c r="J326" s="61" t="str">
        <f t="shared" si="16"/>
        <v>(${Variables:E6_1_1_13_kcat} * E6_1_1_13 * C00002 * C00133 * G13174)/(${Variables:E6_1_1_13_km} + (E6_1_1_13 * C00002 * C00133 * G13174))</v>
      </c>
      <c r="K326" s="54" t="str">
        <f t="shared" si="17"/>
        <v>r325: C00002 + C00133 + G13174 -&gt; C00020 + C00013 + G13175 | (${Variables:E6_1_1_13_kcat} * E6_1_1_13 * C00002 * C00133 * G13174)/(${Variables:E6_1_1_13_km} + (E6_1_1_13 * C00002 * C00133 * G13174))</v>
      </c>
    </row>
    <row r="327" spans="1:11" ht="43.5">
      <c r="A327" s="11" t="s">
        <v>1991</v>
      </c>
      <c r="B327" s="11" t="s">
        <v>1992</v>
      </c>
      <c r="C327" s="11" t="s">
        <v>12429</v>
      </c>
      <c r="D327" s="60">
        <v>326</v>
      </c>
      <c r="E327" s="11" t="str">
        <f t="shared" si="15"/>
        <v>E6_1_1_13</v>
      </c>
      <c r="F327" s="11" t="s">
        <v>13812</v>
      </c>
      <c r="G327" s="11" t="s">
        <v>13813</v>
      </c>
      <c r="H327" s="11" t="s">
        <v>13814</v>
      </c>
      <c r="I327" s="11" t="s">
        <v>13815</v>
      </c>
      <c r="J327" s="61" t="str">
        <f t="shared" si="16"/>
        <v>(${Variables:E6_1_1_13_kcat} * E6_1_1_13 * C00002 * C00133 * G13176)/(${Variables:E6_1_1_13_km} + (E6_1_1_13 * C00002 * C00133 * G13176))</v>
      </c>
      <c r="K327" s="54" t="str">
        <f t="shared" si="17"/>
        <v>r326: C00002 + C00133 + G13176 -&gt; C00020 + C00013 + G13177 | (${Variables:E6_1_1_13_kcat} * E6_1_1_13 * C00002 * C00133 * G13176)/(${Variables:E6_1_1_13_km} + (E6_1_1_13 * C00002 * C00133 * G13176))</v>
      </c>
    </row>
    <row r="328" spans="1:11" ht="43.5">
      <c r="A328" s="11" t="s">
        <v>1991</v>
      </c>
      <c r="B328" s="11" t="s">
        <v>1992</v>
      </c>
      <c r="C328" s="11" t="s">
        <v>12429</v>
      </c>
      <c r="D328" s="60">
        <v>327</v>
      </c>
      <c r="E328" s="11" t="str">
        <f t="shared" si="15"/>
        <v>E6_1_1_13</v>
      </c>
      <c r="F328" s="11" t="s">
        <v>13816</v>
      </c>
      <c r="G328" s="11" t="s">
        <v>13817</v>
      </c>
      <c r="H328" s="11" t="s">
        <v>13818</v>
      </c>
      <c r="I328" s="11" t="s">
        <v>13819</v>
      </c>
      <c r="J328" s="61" t="str">
        <f t="shared" si="16"/>
        <v>(${Variables:E6_1_1_13_kcat} * E6_1_1_13 * C00002 * C00133 * G13178)/(${Variables:E6_1_1_13_km} + (E6_1_1_13 * C00002 * C00133 * G13178))</v>
      </c>
      <c r="K328" s="54" t="str">
        <f t="shared" si="17"/>
        <v>r327: C00002 + C00133 + G13178 -&gt; C00020 + C00013 + G13179 | (${Variables:E6_1_1_13_kcat} * E6_1_1_13 * C00002 * C00133 * G13178)/(${Variables:E6_1_1_13_km} + (E6_1_1_13 * C00002 * C00133 * G13178))</v>
      </c>
    </row>
    <row r="329" spans="1:11" ht="43.5">
      <c r="A329" s="11" t="s">
        <v>1991</v>
      </c>
      <c r="B329" s="11" t="s">
        <v>1992</v>
      </c>
      <c r="C329" s="11" t="s">
        <v>12429</v>
      </c>
      <c r="D329" s="60">
        <v>328</v>
      </c>
      <c r="E329" s="11" t="str">
        <f t="shared" si="15"/>
        <v>E6_1_1_13</v>
      </c>
      <c r="F329" s="11" t="s">
        <v>13820</v>
      </c>
      <c r="G329" s="11" t="s">
        <v>13821</v>
      </c>
      <c r="H329" s="11" t="s">
        <v>13822</v>
      </c>
      <c r="I329" s="11" t="s">
        <v>13823</v>
      </c>
      <c r="J329" s="61" t="str">
        <f t="shared" si="16"/>
        <v>(${Variables:E6_1_1_13_kcat} * E6_1_1_13 * C00002 * C00133 * G13192)/(${Variables:E6_1_1_13_km} + (E6_1_1_13 * C00002 * C00133 * G13192))</v>
      </c>
      <c r="K329" s="54" t="str">
        <f t="shared" si="17"/>
        <v>r328: C00002 + C00133 + G13192 -&gt; C00020 + C00013 + G13193 | (${Variables:E6_1_1_13_kcat} * E6_1_1_13 * C00002 * C00133 * G13192)/(${Variables:E6_1_1_13_km} + (E6_1_1_13 * C00002 * C00133 * G13192))</v>
      </c>
    </row>
    <row r="330" spans="1:11" ht="29">
      <c r="A330" s="11" t="s">
        <v>2027</v>
      </c>
      <c r="B330" s="11" t="s">
        <v>2028</v>
      </c>
      <c r="C330" s="11" t="s">
        <v>12430</v>
      </c>
      <c r="D330" s="60">
        <v>329</v>
      </c>
      <c r="E330" s="11" t="str">
        <f t="shared" si="15"/>
        <v>E2_7_1_5</v>
      </c>
      <c r="F330" s="11" t="s">
        <v>13824</v>
      </c>
      <c r="G330" s="11" t="s">
        <v>13825</v>
      </c>
      <c r="H330" s="11" t="s">
        <v>13826</v>
      </c>
      <c r="I330" s="11" t="s">
        <v>13827</v>
      </c>
      <c r="J330" s="61" t="str">
        <f t="shared" si="16"/>
        <v>(${Variables:E2_7_1_5_kcat} * E2_7_1_5 * C00002 * C00861)/(${Variables:E2_7_1_5_km} + (E2_7_1_5 * C00002 * C00861))</v>
      </c>
      <c r="K330" s="54" t="str">
        <f t="shared" si="17"/>
        <v>r329: C00002 + C00861 -&gt; C00008 + C01131 | (${Variables:E2_7_1_5_kcat} * E2_7_1_5 * C00002 * C00861)/(${Variables:E2_7_1_5_km} + (E2_7_1_5 * C00002 * C00861))</v>
      </c>
    </row>
    <row r="331" spans="1:11" ht="29">
      <c r="A331" s="11" t="s">
        <v>2027</v>
      </c>
      <c r="B331" s="11" t="s">
        <v>2028</v>
      </c>
      <c r="C331" s="11" t="s">
        <v>12430</v>
      </c>
      <c r="D331" s="60">
        <v>330</v>
      </c>
      <c r="E331" s="11" t="str">
        <f t="shared" si="15"/>
        <v>E2_7_1_5</v>
      </c>
      <c r="F331" s="11" t="s">
        <v>13828</v>
      </c>
      <c r="G331" s="11" t="s">
        <v>13829</v>
      </c>
      <c r="H331" s="11" t="s">
        <v>13830</v>
      </c>
      <c r="I331" s="11" t="s">
        <v>13831</v>
      </c>
      <c r="J331" s="61" t="str">
        <f t="shared" si="16"/>
        <v>(${Variables:E2_7_1_5_kcat} * E2_7_1_5 * C00002 * C00312)/(${Variables:E2_7_1_5_km} + (E2_7_1_5 * C00002 * C00312))</v>
      </c>
      <c r="K331" s="54" t="str">
        <f t="shared" si="17"/>
        <v>r330: C00002 + C00312 -&gt; C00008 + C06441 | (${Variables:E2_7_1_5_kcat} * E2_7_1_5 * C00002 * C00312)/(${Variables:E2_7_1_5_km} + (E2_7_1_5 * C00002 * C00312))</v>
      </c>
    </row>
    <row r="332" spans="1:11" ht="29">
      <c r="A332" s="11" t="s">
        <v>2048</v>
      </c>
      <c r="B332" s="11" t="s">
        <v>2049</v>
      </c>
      <c r="C332" s="11" t="s">
        <v>12553</v>
      </c>
      <c r="D332" s="60">
        <v>331</v>
      </c>
      <c r="E332" s="11" t="str">
        <f t="shared" si="15"/>
        <v>E3_2_1_22</v>
      </c>
      <c r="F332" s="11" t="s">
        <v>13832</v>
      </c>
      <c r="G332" s="11" t="s">
        <v>13833</v>
      </c>
      <c r="H332" s="11" t="s">
        <v>13834</v>
      </c>
      <c r="I332" s="11" t="s">
        <v>13835</v>
      </c>
      <c r="J332" s="61" t="str">
        <f t="shared" si="16"/>
        <v>(${Variables:E3_2_1_22_kcat} * E3_2_1_22 * C05402 * C00001)/(${Variables:E3_2_1_22_km} + (E3_2_1_22 * C05402 * C00001))</v>
      </c>
      <c r="K332" s="54" t="str">
        <f t="shared" si="17"/>
        <v>r331: C05402 + C00001 -&gt; C00124 + C00031 | (${Variables:E3_2_1_22_kcat} * E3_2_1_22 * C05402 * C00001)/(${Variables:E3_2_1_22_km} + (E3_2_1_22 * C05402 * C00001))</v>
      </c>
    </row>
    <row r="333" spans="1:11" ht="29">
      <c r="A333" s="11" t="s">
        <v>2048</v>
      </c>
      <c r="B333" s="11" t="s">
        <v>2049</v>
      </c>
      <c r="C333" s="11" t="s">
        <v>12553</v>
      </c>
      <c r="D333" s="60">
        <v>332</v>
      </c>
      <c r="E333" s="11" t="str">
        <f t="shared" si="15"/>
        <v>E3_2_1_22</v>
      </c>
      <c r="F333" s="11" t="s">
        <v>13836</v>
      </c>
      <c r="G333" s="11" t="s">
        <v>13837</v>
      </c>
      <c r="H333" s="11" t="s">
        <v>13838</v>
      </c>
      <c r="I333" s="11" t="s">
        <v>13839</v>
      </c>
      <c r="J333" s="61" t="str">
        <f t="shared" si="16"/>
        <v>(${Variables:E3_2_1_22_kcat} * E3_2_1_22 * C00492 * C00001)/(${Variables:E3_2_1_22_km} + (E3_2_1_22 * C00492 * C00001))</v>
      </c>
      <c r="K333" s="54" t="str">
        <f t="shared" si="17"/>
        <v>r332: C00492 + C00001 -&gt; C00124 + C00089 | (${Variables:E3_2_1_22_kcat} * E3_2_1_22 * C00492 * C00001)/(${Variables:E3_2_1_22_km} + (E3_2_1_22 * C00492 * C00001))</v>
      </c>
    </row>
    <row r="334" spans="1:11" ht="29">
      <c r="A334" s="11" t="s">
        <v>2048</v>
      </c>
      <c r="B334" s="11" t="s">
        <v>2049</v>
      </c>
      <c r="C334" s="11" t="s">
        <v>12553</v>
      </c>
      <c r="D334" s="60">
        <v>333</v>
      </c>
      <c r="E334" s="11" t="str">
        <f t="shared" si="15"/>
        <v>E3_2_1_22</v>
      </c>
      <c r="F334" s="11" t="s">
        <v>13840</v>
      </c>
      <c r="G334" s="11" t="s">
        <v>13841</v>
      </c>
      <c r="H334" s="11" t="s">
        <v>13842</v>
      </c>
      <c r="I334" s="11" t="s">
        <v>13843</v>
      </c>
      <c r="J334" s="61" t="str">
        <f t="shared" si="16"/>
        <v>(${Variables:E3_2_1_22_kcat} * E3_2_1_22 * C05401 * C00001)/(${Variables:E3_2_1_22_km} + (E3_2_1_22 * C05401 * C00001))</v>
      </c>
      <c r="K334" s="54" t="str">
        <f t="shared" si="17"/>
        <v>r333: C05401 + C00001 -&gt; C00124 + C00116 | (${Variables:E3_2_1_22_kcat} * E3_2_1_22 * C05401 * C00001)/(${Variables:E3_2_1_22_km} + (E3_2_1_22 * C05401 * C00001))</v>
      </c>
    </row>
    <row r="335" spans="1:11" ht="29">
      <c r="A335" s="11" t="s">
        <v>2048</v>
      </c>
      <c r="B335" s="11" t="s">
        <v>2049</v>
      </c>
      <c r="C335" s="11" t="s">
        <v>12553</v>
      </c>
      <c r="D335" s="60">
        <v>334</v>
      </c>
      <c r="E335" s="11" t="str">
        <f t="shared" si="15"/>
        <v>E3_2_1_22</v>
      </c>
      <c r="F335" s="11" t="s">
        <v>13844</v>
      </c>
      <c r="G335" s="11" t="s">
        <v>13845</v>
      </c>
      <c r="H335" s="11" t="s">
        <v>13846</v>
      </c>
      <c r="I335" s="11" t="s">
        <v>13847</v>
      </c>
      <c r="J335" s="61" t="str">
        <f t="shared" si="16"/>
        <v>(${Variables:E3_2_1_22_kcat} * E3_2_1_22 * C01235 * C00001)/(${Variables:E3_2_1_22_km} + (E3_2_1_22 * C01235 * C00001))</v>
      </c>
      <c r="K335" s="54" t="str">
        <f t="shared" si="17"/>
        <v>r334: C01235 + C00001 -&gt; C00137 + C00124 | (${Variables:E3_2_1_22_kcat} * E3_2_1_22 * C01235 * C00001)/(${Variables:E3_2_1_22_km} + (E3_2_1_22 * C01235 * C00001))</v>
      </c>
    </row>
    <row r="336" spans="1:11" ht="29">
      <c r="A336" s="11" t="s">
        <v>2048</v>
      </c>
      <c r="B336" s="11" t="s">
        <v>2049</v>
      </c>
      <c r="C336" s="11" t="s">
        <v>12553</v>
      </c>
      <c r="D336" s="60">
        <v>335</v>
      </c>
      <c r="E336" s="11" t="str">
        <f t="shared" si="15"/>
        <v>E3_2_1_22</v>
      </c>
      <c r="F336" s="11" t="s">
        <v>13848</v>
      </c>
      <c r="G336" s="11" t="s">
        <v>13849</v>
      </c>
      <c r="H336" s="11" t="s">
        <v>13850</v>
      </c>
      <c r="I336" s="11" t="s">
        <v>13851</v>
      </c>
      <c r="J336" s="61" t="str">
        <f t="shared" si="16"/>
        <v>(${Variables:E3_2_1_22_kcat} * E3_2_1_22 * C05400 * C00001)/(${Variables:E3_2_1_22_km} + (E3_2_1_22 * C05400 * C00001))</v>
      </c>
      <c r="K336" s="54" t="str">
        <f t="shared" si="17"/>
        <v>r335: C05400 + C00001 -&gt; C00159 + C00124 | (${Variables:E3_2_1_22_kcat} * E3_2_1_22 * C05400 * C00001)/(${Variables:E3_2_1_22_km} + (E3_2_1_22 * C05400 * C00001))</v>
      </c>
    </row>
    <row r="337" spans="1:11" ht="29">
      <c r="A337" s="11" t="s">
        <v>2048</v>
      </c>
      <c r="B337" s="11" t="s">
        <v>2049</v>
      </c>
      <c r="C337" s="11" t="s">
        <v>12553</v>
      </c>
      <c r="D337" s="60">
        <v>336</v>
      </c>
      <c r="E337" s="11" t="str">
        <f t="shared" si="15"/>
        <v>E3_2_1_22</v>
      </c>
      <c r="F337" s="11" t="s">
        <v>13852</v>
      </c>
      <c r="G337" s="11" t="s">
        <v>13853</v>
      </c>
      <c r="H337" s="11" t="s">
        <v>13854</v>
      </c>
      <c r="I337" s="11" t="s">
        <v>13855</v>
      </c>
      <c r="J337" s="61" t="str">
        <f t="shared" si="16"/>
        <v>(${Variables:E3_2_1_22_kcat} * E3_2_1_22 * C05399 * C00001)/(${Variables:E3_2_1_22_km} + (E3_2_1_22 * C05399 * C00001))</v>
      </c>
      <c r="K337" s="54" t="str">
        <f t="shared" si="17"/>
        <v>r336: C05399 + C00001 -&gt; C00794 + C00124 | (${Variables:E3_2_1_22_kcat} * E3_2_1_22 * C05399 * C00001)/(${Variables:E3_2_1_22_km} + (E3_2_1_22 * C05399 * C00001))</v>
      </c>
    </row>
    <row r="338" spans="1:11" ht="29">
      <c r="A338" s="11" t="s">
        <v>2048</v>
      </c>
      <c r="B338" s="11" t="s">
        <v>2049</v>
      </c>
      <c r="C338" s="11" t="s">
        <v>12553</v>
      </c>
      <c r="D338" s="60">
        <v>337</v>
      </c>
      <c r="E338" s="11" t="str">
        <f t="shared" si="15"/>
        <v>E3_2_1_22</v>
      </c>
      <c r="F338" s="11" t="s">
        <v>13856</v>
      </c>
      <c r="G338" s="11" t="s">
        <v>13857</v>
      </c>
      <c r="H338" s="11" t="s">
        <v>13858</v>
      </c>
      <c r="I338" s="11" t="s">
        <v>13859</v>
      </c>
      <c r="J338" s="61" t="str">
        <f t="shared" si="16"/>
        <v>(${Variables:E3_2_1_22_kcat} * E3_2_1_22 * C04737 * C00001)/(${Variables:E3_2_1_22_km} + (E3_2_1_22 * C04737 * C00001))</v>
      </c>
      <c r="K338" s="54" t="str">
        <f t="shared" si="17"/>
        <v>r337: C04737 + C00001 -&gt; C00124 + C01290 | (${Variables:E3_2_1_22_kcat} * E3_2_1_22 * C04737 * C00001)/(${Variables:E3_2_1_22_km} + (E3_2_1_22 * C04737 * C00001))</v>
      </c>
    </row>
    <row r="339" spans="1:11" ht="29">
      <c r="A339" s="11" t="s">
        <v>2048</v>
      </c>
      <c r="B339" s="11" t="s">
        <v>2049</v>
      </c>
      <c r="C339" s="11" t="s">
        <v>12553</v>
      </c>
      <c r="D339" s="60">
        <v>338</v>
      </c>
      <c r="E339" s="11" t="str">
        <f t="shared" si="15"/>
        <v>E3_2_1_22</v>
      </c>
      <c r="F339" s="11" t="s">
        <v>13860</v>
      </c>
      <c r="G339" s="11" t="s">
        <v>13861</v>
      </c>
      <c r="H339" s="11" t="s">
        <v>13862</v>
      </c>
      <c r="I339" s="11" t="s">
        <v>13863</v>
      </c>
      <c r="J339" s="61" t="str">
        <f t="shared" si="16"/>
        <v>(${Variables:E3_2_1_22_kcat} * E3_2_1_22 * C01613 * C00001)/(${Variables:E3_2_1_22_km} + (E3_2_1_22 * C01613 * C00001))</v>
      </c>
      <c r="K339" s="54" t="str">
        <f t="shared" si="17"/>
        <v>r338: C01613 + C00001 -&gt; C00492 + C00124 | (${Variables:E3_2_1_22_kcat} * E3_2_1_22 * C01613 * C00001)/(${Variables:E3_2_1_22_km} + (E3_2_1_22 * C01613 * C00001))</v>
      </c>
    </row>
    <row r="340" spans="1:11" ht="29">
      <c r="A340" s="11" t="s">
        <v>2048</v>
      </c>
      <c r="B340" s="11" t="s">
        <v>2049</v>
      </c>
      <c r="C340" s="11" t="s">
        <v>12553</v>
      </c>
      <c r="D340" s="60">
        <v>339</v>
      </c>
      <c r="E340" s="11" t="str">
        <f t="shared" si="15"/>
        <v>E3_2_1_22</v>
      </c>
      <c r="F340" s="11" t="s">
        <v>13864</v>
      </c>
      <c r="G340" s="11" t="s">
        <v>13865</v>
      </c>
      <c r="H340" s="11" t="s">
        <v>13866</v>
      </c>
      <c r="I340" s="11" t="s">
        <v>13867</v>
      </c>
      <c r="J340" s="61" t="str">
        <f t="shared" si="16"/>
        <v>(${Variables:E3_2_1_22_kcat} * E3_2_1_22 * C06126 * C00001)/(${Variables:E3_2_1_22_km} + (E3_2_1_22 * C06126 * C00001))</v>
      </c>
      <c r="K340" s="54" t="str">
        <f t="shared" si="17"/>
        <v>r339: C06126 + C00001 -&gt; C02686 + C00124 | (${Variables:E3_2_1_22_kcat} * E3_2_1_22 * C06126 * C00001)/(${Variables:E3_2_1_22_km} + (E3_2_1_22 * C06126 * C00001))</v>
      </c>
    </row>
    <row r="341" spans="1:11" ht="29">
      <c r="A341" s="11" t="s">
        <v>2048</v>
      </c>
      <c r="B341" s="11" t="s">
        <v>2049</v>
      </c>
      <c r="C341" s="11" t="s">
        <v>12553</v>
      </c>
      <c r="D341" s="60">
        <v>340</v>
      </c>
      <c r="E341" s="11" t="str">
        <f t="shared" si="15"/>
        <v>E3_2_1_22</v>
      </c>
      <c r="F341" s="11" t="s">
        <v>13868</v>
      </c>
      <c r="G341" s="11" t="s">
        <v>13869</v>
      </c>
      <c r="H341" s="11" t="s">
        <v>13870</v>
      </c>
      <c r="I341" s="11" t="s">
        <v>13871</v>
      </c>
      <c r="J341" s="61" t="str">
        <f t="shared" si="16"/>
        <v>(${Variables:E3_2_1_22_kcat} * E3_2_1_22 * C06037 * C00001)/(${Variables:E3_2_1_22_km} + (E3_2_1_22 * C06037 * C00001))</v>
      </c>
      <c r="K341" s="54" t="str">
        <f t="shared" si="17"/>
        <v>r340: C06037 + C00001 -&gt; C03692 + C00124 | (${Variables:E3_2_1_22_kcat} * E3_2_1_22 * C06037 * C00001)/(${Variables:E3_2_1_22_km} + (E3_2_1_22 * C06037 * C00001))</v>
      </c>
    </row>
    <row r="342" spans="1:11" ht="29">
      <c r="A342" s="11" t="s">
        <v>2048</v>
      </c>
      <c r="B342" s="11" t="s">
        <v>2049</v>
      </c>
      <c r="C342" s="11" t="s">
        <v>12553</v>
      </c>
      <c r="D342" s="60">
        <v>341</v>
      </c>
      <c r="E342" s="11" t="str">
        <f t="shared" si="15"/>
        <v>E3_2_1_22</v>
      </c>
      <c r="F342" s="11" t="s">
        <v>13872</v>
      </c>
      <c r="G342" s="11" t="s">
        <v>13873</v>
      </c>
      <c r="H342" s="11" t="s">
        <v>13874</v>
      </c>
      <c r="I342" s="11" t="s">
        <v>13875</v>
      </c>
      <c r="J342" s="61" t="str">
        <f t="shared" si="16"/>
        <v>(${Variables:E3_2_1_22_kcat} * E3_2_1_22 * C05404 * C00001)/(${Variables:E3_2_1_22_km} + (E3_2_1_22 * C05404 * C00001))</v>
      </c>
      <c r="K342" s="54" t="str">
        <f t="shared" si="17"/>
        <v>r341: C05404 + C00001 -&gt; C00124 + C05402 | (${Variables:E3_2_1_22_kcat} * E3_2_1_22 * C05404 * C00001)/(${Variables:E3_2_1_22_km} + (E3_2_1_22 * C05404 * C00001))</v>
      </c>
    </row>
    <row r="343" spans="1:11" ht="29">
      <c r="A343" s="11" t="s">
        <v>2048</v>
      </c>
      <c r="B343" s="11" t="s">
        <v>2049</v>
      </c>
      <c r="C343" s="11" t="s">
        <v>12553</v>
      </c>
      <c r="D343" s="60">
        <v>342</v>
      </c>
      <c r="E343" s="11" t="str">
        <f t="shared" si="15"/>
        <v>E3_2_1_22</v>
      </c>
      <c r="F343" s="11" t="s">
        <v>13876</v>
      </c>
      <c r="G343" s="11" t="s">
        <v>13877</v>
      </c>
      <c r="H343" s="11" t="s">
        <v>13878</v>
      </c>
      <c r="I343" s="11" t="s">
        <v>13879</v>
      </c>
      <c r="J343" s="61" t="str">
        <f t="shared" si="16"/>
        <v>(${Variables:E3_2_1_22_kcat} * E3_2_1_22 * C00001 * G00093)/(${Variables:E3_2_1_22_km} + (E3_2_1_22 * C00001 * G00093))</v>
      </c>
      <c r="K343" s="54" t="str">
        <f t="shared" si="17"/>
        <v>r342: C00001 + G00093 -&gt; C00124 + G00092 | (${Variables:E3_2_1_22_kcat} * E3_2_1_22 * C00001 * G00093)/(${Variables:E3_2_1_22_km} + (E3_2_1_22 * C00001 * G00093))</v>
      </c>
    </row>
    <row r="344" spans="1:11" ht="29">
      <c r="A344" s="11" t="s">
        <v>2048</v>
      </c>
      <c r="B344" s="11" t="s">
        <v>2049</v>
      </c>
      <c r="C344" s="11" t="s">
        <v>12553</v>
      </c>
      <c r="D344" s="60">
        <v>343</v>
      </c>
      <c r="E344" s="11" t="str">
        <f t="shared" si="15"/>
        <v>E3_2_1_22</v>
      </c>
      <c r="F344" s="11" t="s">
        <v>13880</v>
      </c>
      <c r="G344" s="11" t="s">
        <v>13881</v>
      </c>
      <c r="H344" s="11" t="s">
        <v>13882</v>
      </c>
      <c r="I344" s="11" t="s">
        <v>13883</v>
      </c>
      <c r="J344" s="61" t="str">
        <f t="shared" si="16"/>
        <v>(${Variables:E3_2_1_22_kcat} * E3_2_1_22 * G00249 * C00001)/(${Variables:E3_2_1_22_km} + (E3_2_1_22 * G00249 * C00001))</v>
      </c>
      <c r="K344" s="54" t="str">
        <f t="shared" si="17"/>
        <v>r343: G00249 + C00001 -&gt; C00124 + G00370 | (${Variables:E3_2_1_22_kcat} * E3_2_1_22 * G00249 * C00001)/(${Variables:E3_2_1_22_km} + (E3_2_1_22 * G00249 * C00001))</v>
      </c>
    </row>
    <row r="345" spans="1:11" ht="29">
      <c r="A345" s="11" t="s">
        <v>2048</v>
      </c>
      <c r="B345" s="11" t="s">
        <v>2049</v>
      </c>
      <c r="C345" s="11" t="s">
        <v>12553</v>
      </c>
      <c r="D345" s="60">
        <v>344</v>
      </c>
      <c r="E345" s="11" t="str">
        <f t="shared" si="15"/>
        <v>E3_2_1_22</v>
      </c>
      <c r="F345" s="11" t="s">
        <v>13884</v>
      </c>
      <c r="G345" s="11" t="s">
        <v>13885</v>
      </c>
      <c r="H345" s="11" t="s">
        <v>13834</v>
      </c>
      <c r="I345" s="11" t="s">
        <v>13835</v>
      </c>
      <c r="J345" s="61" t="str">
        <f t="shared" si="16"/>
        <v>(${Variables:E3_2_1_22_kcat} * E3_2_1_22 * G01275 * C00001)/(${Variables:E3_2_1_22_km} + (E3_2_1_22 * G01275 * C00001))</v>
      </c>
      <c r="K345" s="54" t="str">
        <f t="shared" si="17"/>
        <v>r344: G01275 + C00001 -&gt; C00124 + C00031 | (${Variables:E3_2_1_22_kcat} * E3_2_1_22 * G01275 * C00001)/(${Variables:E3_2_1_22_km} + (E3_2_1_22 * G01275 * C00001))</v>
      </c>
    </row>
    <row r="346" spans="1:11" ht="29">
      <c r="A346" s="11" t="s">
        <v>2048</v>
      </c>
      <c r="B346" s="11" t="s">
        <v>2049</v>
      </c>
      <c r="C346" s="11" t="s">
        <v>12553</v>
      </c>
      <c r="D346" s="60">
        <v>345</v>
      </c>
      <c r="E346" s="11" t="str">
        <f t="shared" si="15"/>
        <v>E3_2_1_22</v>
      </c>
      <c r="F346" s="11" t="s">
        <v>13886</v>
      </c>
      <c r="G346" s="11" t="s">
        <v>13887</v>
      </c>
      <c r="H346" s="11" t="s">
        <v>13846</v>
      </c>
      <c r="I346" s="11" t="s">
        <v>13847</v>
      </c>
      <c r="J346" s="61" t="str">
        <f t="shared" si="16"/>
        <v>(${Variables:E3_2_1_22_kcat} * E3_2_1_22 * G10488 * C00001)/(${Variables:E3_2_1_22_km} + (E3_2_1_22 * G10488 * C00001))</v>
      </c>
      <c r="K346" s="54" t="str">
        <f t="shared" si="17"/>
        <v>r345: G10488 + C00001 -&gt; C00137 + C00124 | (${Variables:E3_2_1_22_kcat} * E3_2_1_22 * G10488 * C00001)/(${Variables:E3_2_1_22_km} + (E3_2_1_22 * G10488 * C00001))</v>
      </c>
    </row>
    <row r="347" spans="1:11" ht="29">
      <c r="A347" s="11" t="s">
        <v>2048</v>
      </c>
      <c r="B347" s="11" t="s">
        <v>2049</v>
      </c>
      <c r="C347" s="11" t="s">
        <v>12553</v>
      </c>
      <c r="D347" s="60">
        <v>346</v>
      </c>
      <c r="E347" s="11" t="str">
        <f t="shared" si="15"/>
        <v>E3_2_1_22</v>
      </c>
      <c r="F347" s="11" t="s">
        <v>13888</v>
      </c>
      <c r="G347" s="11" t="s">
        <v>13889</v>
      </c>
      <c r="H347" s="11" t="s">
        <v>13890</v>
      </c>
      <c r="I347" s="11" t="s">
        <v>13891</v>
      </c>
      <c r="J347" s="61" t="str">
        <f t="shared" si="16"/>
        <v>(${Variables:E3_2_1_22_kcat} * E3_2_1_22 * G00497 * C00001)/(${Variables:E3_2_1_22_km} + (E3_2_1_22 * G00497 * C00001))</v>
      </c>
      <c r="K347" s="54" t="str">
        <f t="shared" si="17"/>
        <v>r346: G00497 + C00001 -&gt; G11121 + C00124 | (${Variables:E3_2_1_22_kcat} * E3_2_1_22 * G00497 * C00001)/(${Variables:E3_2_1_22_km} + (E3_2_1_22 * G00497 * C00001))</v>
      </c>
    </row>
    <row r="348" spans="1:11" ht="29">
      <c r="A348" s="11" t="s">
        <v>2048</v>
      </c>
      <c r="B348" s="11" t="s">
        <v>2049</v>
      </c>
      <c r="C348" s="11" t="s">
        <v>12553</v>
      </c>
      <c r="D348" s="60">
        <v>347</v>
      </c>
      <c r="E348" s="11" t="str">
        <f t="shared" si="15"/>
        <v>E3_2_1_22</v>
      </c>
      <c r="F348" s="11" t="s">
        <v>13892</v>
      </c>
      <c r="G348" s="11" t="s">
        <v>13893</v>
      </c>
      <c r="H348" s="11" t="s">
        <v>13894</v>
      </c>
      <c r="I348" s="11" t="s">
        <v>13895</v>
      </c>
      <c r="J348" s="61" t="str">
        <f t="shared" si="16"/>
        <v>(${Variables:E3_2_1_22_kcat} * E3_2_1_22 * G00501 * C00001)/(${Variables:E3_2_1_22_km} + (E3_2_1_22 * G00501 * C00001))</v>
      </c>
      <c r="K348" s="54" t="str">
        <f t="shared" si="17"/>
        <v>r347: G00501 + C00001 -&gt; C00124 + G01275 | (${Variables:E3_2_1_22_kcat} * E3_2_1_22 * G00501 * C00001)/(${Variables:E3_2_1_22_km} + (E3_2_1_22 * G00501 * C00001))</v>
      </c>
    </row>
    <row r="349" spans="1:11" ht="29">
      <c r="A349" s="11" t="s">
        <v>2048</v>
      </c>
      <c r="B349" s="11" t="s">
        <v>2049</v>
      </c>
      <c r="C349" s="11" t="s">
        <v>12553</v>
      </c>
      <c r="D349" s="60">
        <v>348</v>
      </c>
      <c r="E349" s="11" t="str">
        <f t="shared" si="15"/>
        <v>E3_2_1_22</v>
      </c>
      <c r="F349" s="11" t="s">
        <v>13896</v>
      </c>
      <c r="G349" s="11" t="s">
        <v>13897</v>
      </c>
      <c r="H349" s="11" t="s">
        <v>13850</v>
      </c>
      <c r="I349" s="11" t="s">
        <v>13851</v>
      </c>
      <c r="J349" s="61" t="str">
        <f t="shared" si="16"/>
        <v>(${Variables:E3_2_1_22_kcat} * E3_2_1_22 * G10529 * C00001)/(${Variables:E3_2_1_22_km} + (E3_2_1_22 * G10529 * C00001))</v>
      </c>
      <c r="K349" s="54" t="str">
        <f t="shared" si="17"/>
        <v>r348: G10529 + C00001 -&gt; C00159 + C00124 | (${Variables:E3_2_1_22_kcat} * E3_2_1_22 * G10529 * C00001)/(${Variables:E3_2_1_22_km} + (E3_2_1_22 * G10529 * C00001))</v>
      </c>
    </row>
    <row r="350" spans="1:11" ht="29">
      <c r="A350" s="11" t="s">
        <v>2048</v>
      </c>
      <c r="B350" s="11" t="s">
        <v>2049</v>
      </c>
      <c r="C350" s="11" t="s">
        <v>12553</v>
      </c>
      <c r="D350" s="60">
        <v>349</v>
      </c>
      <c r="E350" s="11" t="str">
        <f t="shared" si="15"/>
        <v>E3_2_1_22</v>
      </c>
      <c r="F350" s="11" t="s">
        <v>13898</v>
      </c>
      <c r="G350" s="11" t="s">
        <v>13899</v>
      </c>
      <c r="H350" s="11" t="s">
        <v>13900</v>
      </c>
      <c r="I350" s="11" t="s">
        <v>13901</v>
      </c>
      <c r="J350" s="61" t="str">
        <f t="shared" si="16"/>
        <v>(${Variables:E3_2_1_22_kcat} * E3_2_1_22 * G00278 * C00001)/(${Variables:E3_2_1_22_km} + (E3_2_1_22 * G00278 * C00001))</v>
      </c>
      <c r="K350" s="54" t="str">
        <f t="shared" si="17"/>
        <v>r349: G00278 + C00001 -&gt; G00249 + C00124 | (${Variables:E3_2_1_22_kcat} * E3_2_1_22 * G00278 * C00001)/(${Variables:E3_2_1_22_km} + (E3_2_1_22 * G00278 * C00001))</v>
      </c>
    </row>
    <row r="351" spans="1:11" ht="29">
      <c r="A351" s="11" t="s">
        <v>2056</v>
      </c>
      <c r="B351" s="11" t="s">
        <v>2057</v>
      </c>
      <c r="C351" s="11" t="s">
        <v>12431</v>
      </c>
      <c r="D351" s="60">
        <v>350</v>
      </c>
      <c r="E351" s="11" t="str">
        <f t="shared" si="15"/>
        <v>E4_1_2_17</v>
      </c>
      <c r="F351" s="11" t="s">
        <v>8391</v>
      </c>
      <c r="G351" s="11" t="s">
        <v>8391</v>
      </c>
      <c r="H351" s="11" t="s">
        <v>13902</v>
      </c>
      <c r="I351" s="11" t="s">
        <v>13903</v>
      </c>
      <c r="J351" s="61" t="str">
        <f t="shared" si="16"/>
        <v>(${Variables:E4_1_2_17_kcat} * E4_1_2_17 * C01099)/(${Variables:E4_1_2_17_km} + (E4_1_2_17 * C01099))</v>
      </c>
      <c r="K351" s="54" t="str">
        <f t="shared" si="17"/>
        <v>r350: C01099 -&gt; C00111 + C00424 | (${Variables:E4_1_2_17_kcat} * E4_1_2_17 * C01099)/(${Variables:E4_1_2_17_km} + (E4_1_2_17 * C01099))</v>
      </c>
    </row>
    <row r="352" spans="1:11" ht="29">
      <c r="A352" s="11" t="s">
        <v>2056</v>
      </c>
      <c r="B352" s="11" t="s">
        <v>2057</v>
      </c>
      <c r="C352" s="11" t="s">
        <v>12431</v>
      </c>
      <c r="D352" s="60">
        <v>351</v>
      </c>
      <c r="E352" s="11" t="str">
        <f t="shared" si="15"/>
        <v>E4_1_2_17</v>
      </c>
      <c r="F352" s="11" t="s">
        <v>8394</v>
      </c>
      <c r="G352" s="11" t="s">
        <v>8394</v>
      </c>
      <c r="H352" s="11" t="s">
        <v>13904</v>
      </c>
      <c r="I352" s="11" t="s">
        <v>13905</v>
      </c>
      <c r="J352" s="61" t="str">
        <f t="shared" si="16"/>
        <v>(${Variables:E4_1_2_17_kcat} * E4_1_2_17 * C22337)/(${Variables:E4_1_2_17_km} + (E4_1_2_17 * C22337))</v>
      </c>
      <c r="K352" s="54" t="str">
        <f t="shared" si="17"/>
        <v>r351: C22337 -&gt; C00111 + C00266 | (${Variables:E4_1_2_17_kcat} * E4_1_2_17 * C22337)/(${Variables:E4_1_2_17_km} + (E4_1_2_17 * C22337))</v>
      </c>
    </row>
    <row r="353" spans="1:11" ht="29">
      <c r="A353" s="11" t="s">
        <v>2060</v>
      </c>
      <c r="B353" s="11" t="s">
        <v>2061</v>
      </c>
      <c r="C353" s="11" t="s">
        <v>12432</v>
      </c>
      <c r="D353" s="60">
        <v>352</v>
      </c>
      <c r="E353" s="11" t="str">
        <f t="shared" si="15"/>
        <v>E5_3_1_25</v>
      </c>
      <c r="F353" s="11" t="s">
        <v>8399</v>
      </c>
      <c r="G353" s="11" t="s">
        <v>8399</v>
      </c>
      <c r="H353" s="11" t="s">
        <v>8400</v>
      </c>
      <c r="I353" s="11" t="s">
        <v>8400</v>
      </c>
      <c r="J353" s="61" t="str">
        <f t="shared" si="16"/>
        <v>(${Variables:E5_3_1_25_kcat} * E5_3_1_25 * C01019)/(${Variables:E5_3_1_25_km} + (E5_3_1_25 * C01019))</v>
      </c>
      <c r="K353" s="54" t="str">
        <f t="shared" si="17"/>
        <v>r352: C01019 -&gt; C01721 | (${Variables:E5_3_1_25_kcat} * E5_3_1_25 * C01019)/(${Variables:E5_3_1_25_km} + (E5_3_1_25 * C01019))</v>
      </c>
    </row>
    <row r="354" spans="1:11" ht="43.5">
      <c r="A354" s="11" t="s">
        <v>2087</v>
      </c>
      <c r="B354" s="11" t="s">
        <v>2088</v>
      </c>
      <c r="C354" s="11" t="s">
        <v>12412</v>
      </c>
      <c r="D354" s="60">
        <v>353</v>
      </c>
      <c r="E354" s="11" t="str">
        <f t="shared" si="15"/>
        <v>E2_7_2_2</v>
      </c>
      <c r="F354" s="11" t="s">
        <v>13906</v>
      </c>
      <c r="G354" s="11" t="s">
        <v>13907</v>
      </c>
      <c r="H354" s="11" t="s">
        <v>13908</v>
      </c>
      <c r="I354" s="11" t="s">
        <v>13909</v>
      </c>
      <c r="J354" s="61" t="str">
        <f t="shared" si="16"/>
        <v>(${Variables:E2_7_2_2_kcat} * E2_7_2_2 * C00002 * C00014 * C00288)/(${Variables:E2_7_2_2_km} + (E2_7_2_2 * C00002 * C00014 * C00288))</v>
      </c>
      <c r="K354" s="54" t="str">
        <f t="shared" si="17"/>
        <v>r353: C00002 + C00014 + C00288 -&gt; C00008 + C00169 + C00001 | (${Variables:E2_7_2_2_kcat} * E2_7_2_2 * C00002 * C00014 * C00288)/(${Variables:E2_7_2_2_km} + (E2_7_2_2 * C00002 * C00014 * C00288))</v>
      </c>
    </row>
    <row r="355" spans="1:11" ht="29">
      <c r="A355" s="11" t="s">
        <v>2087</v>
      </c>
      <c r="B355" s="11" t="s">
        <v>2088</v>
      </c>
      <c r="C355" s="11" t="s">
        <v>12412</v>
      </c>
      <c r="D355" s="60">
        <v>354</v>
      </c>
      <c r="E355" s="11" t="str">
        <f t="shared" si="15"/>
        <v>E2_7_2_2</v>
      </c>
      <c r="F355" s="11" t="s">
        <v>13910</v>
      </c>
      <c r="G355" s="11" t="s">
        <v>13911</v>
      </c>
      <c r="H355" s="11" t="s">
        <v>13912</v>
      </c>
      <c r="I355" s="11" t="s">
        <v>13913</v>
      </c>
      <c r="J355" s="61" t="str">
        <f t="shared" si="16"/>
        <v>(${Variables:E2_7_2_2_kcat} * E2_7_2_2 * C00002 * C01563)/(${Variables:E2_7_2_2_km} + (E2_7_2_2 * C00002 * C01563))</v>
      </c>
      <c r="K355" s="54" t="str">
        <f t="shared" si="17"/>
        <v>r354: C00002 + C01563 -&gt; C00008 + C00169 | (${Variables:E2_7_2_2_kcat} * E2_7_2_2 * C00002 * C01563)/(${Variables:E2_7_2_2_km} + (E2_7_2_2 * C00002 * C01563))</v>
      </c>
    </row>
    <row r="356" spans="1:11" ht="29">
      <c r="A356" s="11" t="s">
        <v>2087</v>
      </c>
      <c r="B356" s="11" t="s">
        <v>2088</v>
      </c>
      <c r="C356" s="11" t="s">
        <v>12412</v>
      </c>
      <c r="D356" s="60">
        <v>355</v>
      </c>
      <c r="E356" s="11" t="str">
        <f t="shared" si="15"/>
        <v>E2_7_2_2</v>
      </c>
      <c r="F356" s="11" t="s">
        <v>13914</v>
      </c>
      <c r="G356" s="11" t="s">
        <v>13915</v>
      </c>
      <c r="H356" s="11" t="s">
        <v>13916</v>
      </c>
      <c r="I356" s="11" t="s">
        <v>13917</v>
      </c>
      <c r="J356" s="61" t="str">
        <f t="shared" si="16"/>
        <v>(${Variables:E2_7_2_2_kcat} * E2_7_2_2 * C00014 * C00288)/(${Variables:E2_7_2_2_km} + (E2_7_2_2 * C00014 * C00288))</v>
      </c>
      <c r="K356" s="54" t="str">
        <f t="shared" si="17"/>
        <v>r355: C00014 + C00288 -&gt; C01563 + C00001 | (${Variables:E2_7_2_2_kcat} * E2_7_2_2 * C00014 * C00288)/(${Variables:E2_7_2_2_km} + (E2_7_2_2 * C00014 * C00288))</v>
      </c>
    </row>
    <row r="357" spans="1:11" ht="29">
      <c r="A357" s="11" t="s">
        <v>2091</v>
      </c>
      <c r="B357" s="11" t="s">
        <v>2092</v>
      </c>
      <c r="C357" s="11" t="s">
        <v>12554</v>
      </c>
      <c r="D357" s="60">
        <v>356</v>
      </c>
      <c r="E357" s="11" t="str">
        <f t="shared" si="15"/>
        <v>E2_1_3_3</v>
      </c>
      <c r="F357" s="11" t="s">
        <v>13918</v>
      </c>
      <c r="G357" s="11" t="s">
        <v>13919</v>
      </c>
      <c r="H357" s="11" t="s">
        <v>13920</v>
      </c>
      <c r="I357" s="11" t="s">
        <v>13921</v>
      </c>
      <c r="J357" s="61" t="str">
        <f t="shared" si="16"/>
        <v>(${Variables:E2_1_3_3_kcat} * E2_1_3_3 * C00169 * C00077)/(${Variables:E2_1_3_3_km} + (E2_1_3_3 * C00169 * C00077))</v>
      </c>
      <c r="K357" s="54" t="str">
        <f t="shared" si="17"/>
        <v>r356: C00169 + C00077 -&gt; C00009 + C00327 | (${Variables:E2_1_3_3_kcat} * E2_1_3_3 * C00169 * C00077)/(${Variables:E2_1_3_3_km} + (E2_1_3_3 * C00169 * C00077))</v>
      </c>
    </row>
    <row r="358" spans="1:11" ht="29">
      <c r="A358" s="11" t="s">
        <v>2095</v>
      </c>
      <c r="B358" s="11" t="s">
        <v>2096</v>
      </c>
      <c r="C358" s="11" t="s">
        <v>12413</v>
      </c>
      <c r="D358" s="60">
        <v>357</v>
      </c>
      <c r="E358" s="11" t="str">
        <f t="shared" si="15"/>
        <v>E3_5_3_6</v>
      </c>
      <c r="F358" s="11" t="s">
        <v>13922</v>
      </c>
      <c r="G358" s="11" t="s">
        <v>13923</v>
      </c>
      <c r="H358" s="11" t="s">
        <v>13924</v>
      </c>
      <c r="I358" s="11" t="s">
        <v>13925</v>
      </c>
      <c r="J358" s="61" t="str">
        <f t="shared" si="16"/>
        <v>(${Variables:E3_5_3_6_kcat} * E3_5_3_6 * C00062 * C00001)/(${Variables:E3_5_3_6_km} + (E3_5_3_6 * C00062 * C00001))</v>
      </c>
      <c r="K358" s="54" t="str">
        <f t="shared" si="17"/>
        <v>r357: C00062 + C00001 -&gt; C00327 + C00014 | (${Variables:E3_5_3_6_kcat} * E3_5_3_6 * C00062 * C00001)/(${Variables:E3_5_3_6_km} + (E3_5_3_6 * C00062 * C00001))</v>
      </c>
    </row>
    <row r="359" spans="1:11" ht="29">
      <c r="A359" s="11" t="s">
        <v>2095</v>
      </c>
      <c r="B359" s="11" t="s">
        <v>2096</v>
      </c>
      <c r="C359" s="11" t="s">
        <v>12413</v>
      </c>
      <c r="D359" s="60">
        <v>358</v>
      </c>
      <c r="E359" s="11" t="str">
        <f t="shared" si="15"/>
        <v>E3_5_3_6</v>
      </c>
      <c r="F359" s="11" t="s">
        <v>13926</v>
      </c>
      <c r="G359" s="11" t="s">
        <v>13927</v>
      </c>
      <c r="H359" s="11" t="s">
        <v>13928</v>
      </c>
      <c r="I359" s="11" t="s">
        <v>13929</v>
      </c>
      <c r="J359" s="61" t="str">
        <f t="shared" si="16"/>
        <v>(${Variables:E3_5_3_6_kcat} * E3_5_3_6 * C06060 * C00001)/(${Variables:E3_5_3_6_km} + (E3_5_3_6 * C06060 * C00001))</v>
      </c>
      <c r="K359" s="54" t="str">
        <f t="shared" si="17"/>
        <v>r358: C06060 + C00001 -&gt; C00241 + C00014 | (${Variables:E3_5_3_6_kcat} * E3_5_3_6 * C06060 * C00001)/(${Variables:E3_5_3_6_km} + (E3_5_3_6 * C06060 * C00001))</v>
      </c>
    </row>
    <row r="360" spans="1:11" ht="29">
      <c r="A360" s="11" t="s">
        <v>2108</v>
      </c>
      <c r="B360" s="11" t="s">
        <v>2109</v>
      </c>
      <c r="C360" s="11" t="s">
        <v>12414</v>
      </c>
      <c r="D360" s="60">
        <v>359</v>
      </c>
      <c r="E360" s="11" t="str">
        <f t="shared" si="15"/>
        <v>E3_2_1_170</v>
      </c>
      <c r="F360" s="11" t="s">
        <v>13930</v>
      </c>
      <c r="G360" s="11" t="s">
        <v>13931</v>
      </c>
      <c r="H360" s="11" t="s">
        <v>13932</v>
      </c>
      <c r="I360" s="11" t="s">
        <v>13933</v>
      </c>
      <c r="J360" s="61" t="str">
        <f t="shared" si="16"/>
        <v>(${Variables:E3_2_1_170_kcat} * E3_2_1_170 * C11544 * C00001)/(${Variables:E3_2_1_170_km} + (E3_2_1_170 * C11544 * C00001))</v>
      </c>
      <c r="K360" s="54" t="str">
        <f t="shared" si="17"/>
        <v>r359: C11544 + C00001 -&gt; C00159 + C00258 | (${Variables:E3_2_1_170_kcat} * E3_2_1_170 * C11544 * C00001)/(${Variables:E3_2_1_170_km} + (E3_2_1_170 * C11544 * C00001))</v>
      </c>
    </row>
    <row r="361" spans="1:11" ht="29">
      <c r="A361" s="11" t="s">
        <v>2108</v>
      </c>
      <c r="B361" s="11" t="s">
        <v>2109</v>
      </c>
      <c r="C361" s="11" t="s">
        <v>12415</v>
      </c>
      <c r="D361" s="60">
        <v>360</v>
      </c>
      <c r="E361" s="11" t="str">
        <f t="shared" si="15"/>
        <v>E3_2_1_24</v>
      </c>
      <c r="F361" s="11" t="s">
        <v>13934</v>
      </c>
      <c r="G361" s="11" t="s">
        <v>13935</v>
      </c>
      <c r="H361" s="11" t="s">
        <v>13936</v>
      </c>
      <c r="I361" s="11" t="s">
        <v>13937</v>
      </c>
      <c r="J361" s="61" t="str">
        <f t="shared" si="16"/>
        <v>(${Variables:E3_2_1_24_kcat} * E3_2_1_24 * G00309 * C00001)/(${Variables:E3_2_1_24_km} + (E3_2_1_24 * G00309 * C00001))</v>
      </c>
      <c r="K361" s="54" t="str">
        <f t="shared" si="17"/>
        <v>r360: G00309 + C00001 -&gt; G00319 + C00159 | (${Variables:E3_2_1_24_kcat} * E3_2_1_24 * G00309 * C00001)/(${Variables:E3_2_1_24_km} + (E3_2_1_24 * G00309 * C00001))</v>
      </c>
    </row>
    <row r="362" spans="1:11" ht="29">
      <c r="A362" s="11" t="s">
        <v>2108</v>
      </c>
      <c r="B362" s="11" t="s">
        <v>2109</v>
      </c>
      <c r="C362" s="11" t="s">
        <v>12415</v>
      </c>
      <c r="D362" s="60">
        <v>361</v>
      </c>
      <c r="E362" s="11" t="str">
        <f t="shared" si="15"/>
        <v>E3_2_1_24</v>
      </c>
      <c r="F362" s="11" t="s">
        <v>13938</v>
      </c>
      <c r="G362" s="11" t="s">
        <v>13939</v>
      </c>
      <c r="H362" s="11" t="s">
        <v>13940</v>
      </c>
      <c r="I362" s="11" t="s">
        <v>13941</v>
      </c>
      <c r="J362" s="61" t="str">
        <f t="shared" si="16"/>
        <v>(${Variables:E3_2_1_24_kcat} * E3_2_1_24 * G00595 * C00001)/(${Variables:E3_2_1_24_km} + (E3_2_1_24 * G00595 * C00001))</v>
      </c>
      <c r="K362" s="54" t="str">
        <f t="shared" si="17"/>
        <v>r361: G00595 + C00001 -&gt; G00971 + C00159 | (${Variables:E3_2_1_24_kcat} * E3_2_1_24 * G00595 * C00001)/(${Variables:E3_2_1_24_km} + (E3_2_1_24 * G00595 * C00001))</v>
      </c>
    </row>
    <row r="363" spans="1:11" ht="29">
      <c r="A363" s="11" t="s">
        <v>2111</v>
      </c>
      <c r="B363" s="11" t="s">
        <v>2112</v>
      </c>
      <c r="C363" s="11" t="s">
        <v>12416</v>
      </c>
      <c r="D363" s="60">
        <v>362</v>
      </c>
      <c r="E363" s="11" t="str">
        <f t="shared" si="15"/>
        <v>E2_7_1_85</v>
      </c>
      <c r="F363" s="11" t="s">
        <v>13942</v>
      </c>
      <c r="G363" s="11" t="s">
        <v>13943</v>
      </c>
      <c r="H363" s="11" t="s">
        <v>13944</v>
      </c>
      <c r="I363" s="11" t="s">
        <v>13945</v>
      </c>
      <c r="J363" s="61" t="str">
        <f t="shared" si="16"/>
        <v>(${Variables:E2_7_1_85_kcat} * E2_7_1_85 * C00002 * C00185)/(${Variables:E2_7_1_85_km} + (E2_7_1_85 * C00002 * C00185))</v>
      </c>
      <c r="K363" s="54" t="str">
        <f t="shared" si="17"/>
        <v>r362: C00002 + C00185 -&gt; C00008 + C04534 | (${Variables:E2_7_1_85_kcat} * E2_7_1_85 * C00002 * C00185)/(${Variables:E2_7_1_85_km} + (E2_7_1_85 * C00002 * C00185))</v>
      </c>
    </row>
    <row r="364" spans="1:11" ht="29">
      <c r="A364" s="11" t="s">
        <v>2111</v>
      </c>
      <c r="B364" s="11" t="s">
        <v>2112</v>
      </c>
      <c r="C364" s="11" t="s">
        <v>12416</v>
      </c>
      <c r="D364" s="60">
        <v>363</v>
      </c>
      <c r="E364" s="11" t="str">
        <f t="shared" si="15"/>
        <v>E2_7_1_85</v>
      </c>
      <c r="F364" s="11" t="s">
        <v>13946</v>
      </c>
      <c r="G364" s="11" t="s">
        <v>13947</v>
      </c>
      <c r="H364" s="11" t="s">
        <v>13948</v>
      </c>
      <c r="I364" s="11" t="s">
        <v>13949</v>
      </c>
      <c r="J364" s="61" t="str">
        <f t="shared" si="16"/>
        <v>(${Variables:E2_7_1_85_kcat} * E2_7_1_85 * C00002 * G00289)/(${Variables:E2_7_1_85_km} + (E2_7_1_85 * C00002 * G00289))</v>
      </c>
      <c r="K364" s="54" t="str">
        <f t="shared" si="17"/>
        <v>r363: C00002 + G00289 -&gt; G11113 + G10518 | (${Variables:E2_7_1_85_kcat} * E2_7_1_85 * C00002 * G00289)/(${Variables:E2_7_1_85_km} + (E2_7_1_85 * C00002 * G00289))</v>
      </c>
    </row>
    <row r="365" spans="1:11" ht="29">
      <c r="A365" s="11" t="s">
        <v>2140</v>
      </c>
      <c r="B365" s="11" t="s">
        <v>2141</v>
      </c>
      <c r="C365" s="11" t="s">
        <v>12417</v>
      </c>
      <c r="D365" s="60">
        <v>364</v>
      </c>
      <c r="E365" s="11" t="str">
        <f t="shared" si="15"/>
        <v>E2_2_1_1</v>
      </c>
      <c r="F365" s="11" t="s">
        <v>13950</v>
      </c>
      <c r="G365" s="11" t="s">
        <v>13951</v>
      </c>
      <c r="H365" s="11" t="s">
        <v>13952</v>
      </c>
      <c r="I365" s="11" t="s">
        <v>13953</v>
      </c>
      <c r="J365" s="61" t="str">
        <f t="shared" si="16"/>
        <v>(${Variables:E2_2_1_1_kcat} * E2_2_1_1 * C05382 * C00118)/(${Variables:E2_2_1_1_km} + (E2_2_1_1 * C05382 * C00118))</v>
      </c>
      <c r="K365" s="54" t="str">
        <f t="shared" si="17"/>
        <v>r364: C05382 + C00118 -&gt; C00117 + C00231 | (${Variables:E2_2_1_1_kcat} * E2_2_1_1 * C05382 * C00118)/(${Variables:E2_2_1_1_km} + (E2_2_1_1 * C05382 * C00118))</v>
      </c>
    </row>
    <row r="366" spans="1:11" ht="29">
      <c r="A366" s="11" t="s">
        <v>2140</v>
      </c>
      <c r="B366" s="11" t="s">
        <v>2141</v>
      </c>
      <c r="C366" s="11" t="s">
        <v>12417</v>
      </c>
      <c r="D366" s="60">
        <v>365</v>
      </c>
      <c r="E366" s="11" t="str">
        <f t="shared" si="15"/>
        <v>E2_2_1_1</v>
      </c>
      <c r="F366" s="11" t="s">
        <v>13954</v>
      </c>
      <c r="G366" s="11" t="s">
        <v>13955</v>
      </c>
      <c r="H366" s="11" t="s">
        <v>13956</v>
      </c>
      <c r="I366" s="11" t="s">
        <v>13957</v>
      </c>
      <c r="J366" s="61" t="str">
        <f t="shared" si="16"/>
        <v>(${Variables:E2_2_1_1_kcat} * E2_2_1_1 * C00085 * C00118)/(${Variables:E2_2_1_1_km} + (E2_2_1_1 * C00085 * C00118))</v>
      </c>
      <c r="K366" s="54" t="str">
        <f t="shared" si="17"/>
        <v>r365: C00085 + C00118 -&gt; C00279 + C00231 | (${Variables:E2_2_1_1_kcat} * E2_2_1_1 * C00085 * C00118)/(${Variables:E2_2_1_1_km} + (E2_2_1_1 * C00085 * C00118))</v>
      </c>
    </row>
    <row r="367" spans="1:11" ht="29">
      <c r="A367" s="11" t="s">
        <v>2140</v>
      </c>
      <c r="B367" s="11" t="s">
        <v>2141</v>
      </c>
      <c r="C367" s="11" t="s">
        <v>12417</v>
      </c>
      <c r="D367" s="60">
        <v>366</v>
      </c>
      <c r="E367" s="11" t="str">
        <f t="shared" si="15"/>
        <v>E2_2_1_1</v>
      </c>
      <c r="F367" s="11" t="s">
        <v>13958</v>
      </c>
      <c r="G367" s="11" t="s">
        <v>13959</v>
      </c>
      <c r="H367" s="11" t="s">
        <v>13956</v>
      </c>
      <c r="I367" s="11" t="s">
        <v>13957</v>
      </c>
      <c r="J367" s="61" t="str">
        <f t="shared" si="16"/>
        <v>(${Variables:E2_2_1_1_kcat} * E2_2_1_1 * C05345 * C00118)/(${Variables:E2_2_1_1_km} + (E2_2_1_1 * C05345 * C00118))</v>
      </c>
      <c r="K367" s="54" t="str">
        <f t="shared" si="17"/>
        <v>r366: C05345 + C00118 -&gt; C00279 + C00231 | (${Variables:E2_2_1_1_kcat} * E2_2_1_1 * C05345 * C00118)/(${Variables:E2_2_1_1_km} + (E2_2_1_1 * C05345 * C00118))</v>
      </c>
    </row>
    <row r="368" spans="1:11" ht="29">
      <c r="A368" s="11" t="s">
        <v>2140</v>
      </c>
      <c r="B368" s="11" t="s">
        <v>2141</v>
      </c>
      <c r="C368" s="11" t="s">
        <v>12417</v>
      </c>
      <c r="D368" s="60">
        <v>367</v>
      </c>
      <c r="E368" s="11" t="str">
        <f t="shared" si="15"/>
        <v>E2_2_1_1</v>
      </c>
      <c r="F368" s="11" t="s">
        <v>13960</v>
      </c>
      <c r="G368" s="11" t="s">
        <v>13961</v>
      </c>
      <c r="H368" s="11" t="s">
        <v>13962</v>
      </c>
      <c r="I368" s="11" t="s">
        <v>13963</v>
      </c>
      <c r="J368" s="61" t="str">
        <f t="shared" si="16"/>
        <v>(${Variables:E2_2_1_1_kcat} * E2_2_1_1 * C12214 * C00117)/(${Variables:E2_2_1_1_km} + (E2_2_1_1 * C12214 * C00117))</v>
      </c>
      <c r="K368" s="54" t="str">
        <f t="shared" si="17"/>
        <v>r367: C12214 + C00117 -&gt; C12215 + C05382 | (${Variables:E2_2_1_1_kcat} * E2_2_1_1 * C12214 * C00117)/(${Variables:E2_2_1_1_km} + (E2_2_1_1 * C12214 * C00117))</v>
      </c>
    </row>
    <row r="369" spans="1:11" ht="29">
      <c r="A369" s="11" t="s">
        <v>2140</v>
      </c>
      <c r="B369" s="11" t="s">
        <v>2141</v>
      </c>
      <c r="C369" s="11" t="s">
        <v>12417</v>
      </c>
      <c r="D369" s="60">
        <v>368</v>
      </c>
      <c r="E369" s="11" t="str">
        <f t="shared" si="15"/>
        <v>E2_2_1_1</v>
      </c>
      <c r="F369" s="11" t="s">
        <v>13964</v>
      </c>
      <c r="G369" s="11" t="s">
        <v>13965</v>
      </c>
      <c r="H369" s="11" t="s">
        <v>13966</v>
      </c>
      <c r="I369" s="11" t="s">
        <v>13967</v>
      </c>
      <c r="J369" s="61" t="str">
        <f t="shared" si="16"/>
        <v>(${Variables:E2_2_1_1_kcat} * E2_2_1_1 * C00231 * C00068)/(${Variables:E2_2_1_1_km} + (E2_2_1_1 * C00231 * C00068))</v>
      </c>
      <c r="K369" s="54" t="str">
        <f t="shared" si="17"/>
        <v>r368: C00231 + C00068 -&gt; C13378 + C00118 | (${Variables:E2_2_1_1_kcat} * E2_2_1_1 * C00231 * C00068)/(${Variables:E2_2_1_1_km} + (E2_2_1_1 * C00231 * C00068))</v>
      </c>
    </row>
    <row r="370" spans="1:11" ht="29">
      <c r="A370" s="11" t="s">
        <v>2140</v>
      </c>
      <c r="B370" s="11" t="s">
        <v>2141</v>
      </c>
      <c r="C370" s="11" t="s">
        <v>12417</v>
      </c>
      <c r="D370" s="60">
        <v>369</v>
      </c>
      <c r="E370" s="11" t="str">
        <f t="shared" si="15"/>
        <v>E2_2_1_1</v>
      </c>
      <c r="F370" s="11" t="s">
        <v>13968</v>
      </c>
      <c r="G370" s="11" t="s">
        <v>13969</v>
      </c>
      <c r="H370" s="11" t="s">
        <v>13970</v>
      </c>
      <c r="I370" s="11" t="s">
        <v>13971</v>
      </c>
      <c r="J370" s="61" t="str">
        <f t="shared" si="16"/>
        <v>(${Variables:E2_2_1_1_kcat} * E2_2_1_1 * C05382 * C00068)/(${Variables:E2_2_1_1_km} + (E2_2_1_1 * C05382 * C00068))</v>
      </c>
      <c r="K370" s="54" t="str">
        <f t="shared" si="17"/>
        <v>r369: C05382 + C00068 -&gt; C13378 + C00117 | (${Variables:E2_2_1_1_kcat} * E2_2_1_1 * C05382 * C00068)/(${Variables:E2_2_1_1_km} + (E2_2_1_1 * C05382 * C00068))</v>
      </c>
    </row>
    <row r="371" spans="1:11" ht="29">
      <c r="A371" s="11" t="s">
        <v>2144</v>
      </c>
      <c r="B371" s="11" t="s">
        <v>2145</v>
      </c>
      <c r="C371" s="11" t="s">
        <v>12418</v>
      </c>
      <c r="D371" s="60">
        <v>370</v>
      </c>
      <c r="E371" s="11" t="str">
        <f t="shared" si="15"/>
        <v>E2_2_1_7</v>
      </c>
      <c r="F371" s="11" t="s">
        <v>13158</v>
      </c>
      <c r="G371" s="11" t="s">
        <v>13159</v>
      </c>
      <c r="H371" s="11" t="s">
        <v>13972</v>
      </c>
      <c r="I371" s="11" t="s">
        <v>13973</v>
      </c>
      <c r="J371" s="61" t="str">
        <f t="shared" si="16"/>
        <v>(${Variables:E2_2_1_7_kcat} * E2_2_1_7 * C00022 * C00118)/(${Variables:E2_2_1_7_km} + (E2_2_1_7 * C00022 * C00118))</v>
      </c>
      <c r="K371" s="54" t="str">
        <f t="shared" si="17"/>
        <v>r370: C00022 + C00118 -&gt; C11437 + C00011 | (${Variables:E2_2_1_7_kcat} * E2_2_1_7 * C00022 * C00118)/(${Variables:E2_2_1_7_km} + (E2_2_1_7 * C00022 * C00118))</v>
      </c>
    </row>
    <row r="372" spans="1:11" ht="29">
      <c r="A372" s="11" t="s">
        <v>2148</v>
      </c>
      <c r="B372" s="11" t="s">
        <v>2149</v>
      </c>
      <c r="C372" s="11" t="s">
        <v>12419</v>
      </c>
      <c r="D372" s="60">
        <v>371</v>
      </c>
      <c r="E372" s="11" t="str">
        <f t="shared" si="15"/>
        <v>E4_2_1_9</v>
      </c>
      <c r="F372" s="11" t="s">
        <v>8473</v>
      </c>
      <c r="G372" s="11" t="s">
        <v>8473</v>
      </c>
      <c r="H372" s="11" t="s">
        <v>13974</v>
      </c>
      <c r="I372" s="11" t="s">
        <v>13975</v>
      </c>
      <c r="J372" s="61" t="str">
        <f t="shared" si="16"/>
        <v>(${Variables:E4_2_1_9_kcat} * E4_2_1_9 * C04039)/(${Variables:E4_2_1_9_km} + (E4_2_1_9 * C04039))</v>
      </c>
      <c r="K372" s="54" t="str">
        <f t="shared" si="17"/>
        <v>r371: C04039 -&gt; C00141 + C00001 | (${Variables:E4_2_1_9_kcat} * E4_2_1_9 * C04039)/(${Variables:E4_2_1_9_km} + (E4_2_1_9 * C04039))</v>
      </c>
    </row>
    <row r="373" spans="1:11" ht="29">
      <c r="A373" s="11" t="s">
        <v>2148</v>
      </c>
      <c r="B373" s="11" t="s">
        <v>2149</v>
      </c>
      <c r="C373" s="11" t="s">
        <v>12419</v>
      </c>
      <c r="D373" s="60">
        <v>372</v>
      </c>
      <c r="E373" s="11" t="str">
        <f t="shared" si="15"/>
        <v>E4_2_1_9</v>
      </c>
      <c r="F373" s="11" t="s">
        <v>8476</v>
      </c>
      <c r="G373" s="11" t="s">
        <v>8476</v>
      </c>
      <c r="H373" s="11" t="s">
        <v>13974</v>
      </c>
      <c r="I373" s="11" t="s">
        <v>13975</v>
      </c>
      <c r="J373" s="61" t="str">
        <f t="shared" si="16"/>
        <v>(${Variables:E4_2_1_9_kcat} * E4_2_1_9 * C04272)/(${Variables:E4_2_1_9_km} + (E4_2_1_9 * C04272))</v>
      </c>
      <c r="K373" s="54" t="str">
        <f t="shared" si="17"/>
        <v>r372: C04272 -&gt; C00141 + C00001 | (${Variables:E4_2_1_9_kcat} * E4_2_1_9 * C04272)/(${Variables:E4_2_1_9_km} + (E4_2_1_9 * C04272))</v>
      </c>
    </row>
    <row r="374" spans="1:11" ht="29">
      <c r="A374" s="11" t="s">
        <v>2148</v>
      </c>
      <c r="B374" s="11" t="s">
        <v>2149</v>
      </c>
      <c r="C374" s="11" t="s">
        <v>12419</v>
      </c>
      <c r="D374" s="60">
        <v>373</v>
      </c>
      <c r="E374" s="11" t="str">
        <f t="shared" si="15"/>
        <v>E4_2_1_9</v>
      </c>
      <c r="F374" s="11" t="s">
        <v>8478</v>
      </c>
      <c r="G374" s="11" t="s">
        <v>8478</v>
      </c>
      <c r="H374" s="11" t="s">
        <v>13976</v>
      </c>
      <c r="I374" s="11" t="s">
        <v>13977</v>
      </c>
      <c r="J374" s="61" t="str">
        <f t="shared" si="16"/>
        <v>(${Variables:E4_2_1_9_kcat} * E4_2_1_9 * C06007)/(${Variables:E4_2_1_9_km} + (E4_2_1_9 * C06007))</v>
      </c>
      <c r="K374" s="54" t="str">
        <f t="shared" si="17"/>
        <v>r373: C06007 -&gt; C00671 + C00001 | (${Variables:E4_2_1_9_kcat} * E4_2_1_9 * C06007)/(${Variables:E4_2_1_9_km} + (E4_2_1_9 * C06007))</v>
      </c>
    </row>
    <row r="375" spans="1:11" ht="43.5">
      <c r="A375" s="11" t="s">
        <v>2164</v>
      </c>
      <c r="B375" s="11" t="s">
        <v>2165</v>
      </c>
      <c r="C375" s="11" t="s">
        <v>12420</v>
      </c>
      <c r="D375" s="60">
        <v>374</v>
      </c>
      <c r="E375" s="11" t="str">
        <f t="shared" si="15"/>
        <v>E6_1_1_21</v>
      </c>
      <c r="F375" s="11" t="s">
        <v>13978</v>
      </c>
      <c r="G375" s="11" t="s">
        <v>13979</v>
      </c>
      <c r="H375" s="11" t="s">
        <v>13980</v>
      </c>
      <c r="I375" s="11" t="s">
        <v>13981</v>
      </c>
      <c r="J375" s="61" t="str">
        <f t="shared" si="16"/>
        <v>(${Variables:E6_1_1_21_kcat} * E6_1_1_21 * C00002 * C00135 * C01643)/(${Variables:E6_1_1_21_km} + (E6_1_1_21 * C00002 * C00135 * C01643))</v>
      </c>
      <c r="K375" s="54" t="str">
        <f t="shared" si="17"/>
        <v>r374: C00002 + C00135 + C01643 -&gt; C00020 + C00013 + C02988 | (${Variables:E6_1_1_21_kcat} * E6_1_1_21 * C00002 * C00135 * C01643)/(${Variables:E6_1_1_21_km} + (E6_1_1_21 * C00002 * C00135 * C01643))</v>
      </c>
    </row>
    <row r="376" spans="1:11" ht="43.5">
      <c r="A376" s="11" t="s">
        <v>2184</v>
      </c>
      <c r="B376" s="11" t="s">
        <v>2185</v>
      </c>
      <c r="C376" s="11" t="s">
        <v>12422</v>
      </c>
      <c r="D376" s="60">
        <v>375</v>
      </c>
      <c r="E376" s="11" t="str">
        <f t="shared" si="15"/>
        <v>E6_1_1_12</v>
      </c>
      <c r="F376" s="11" t="s">
        <v>13982</v>
      </c>
      <c r="G376" s="11" t="s">
        <v>13983</v>
      </c>
      <c r="H376" s="11" t="s">
        <v>13984</v>
      </c>
      <c r="I376" s="11" t="s">
        <v>13985</v>
      </c>
      <c r="J376" s="61" t="str">
        <f t="shared" si="16"/>
        <v>(${Variables:E6_1_1_12_kcat} * E6_1_1_12 * C01638 * C00049 * C00002)/(${Variables:E6_1_1_12_km} + (E6_1_1_12 * C01638 * C00049 * C00002))</v>
      </c>
      <c r="K376" s="54" t="str">
        <f t="shared" si="17"/>
        <v>r375: C01638 + C00049 + C00002 -&gt; C02984 + C00013 + C00020 | (${Variables:E6_1_1_12_kcat} * E6_1_1_12 * C01638 * C00049 * C00002)/(${Variables:E6_1_1_12_km} + (E6_1_1_12 * C01638 * C00049 * C00002))</v>
      </c>
    </row>
    <row r="377" spans="1:11" ht="29">
      <c r="A377" s="11" t="s">
        <v>2212</v>
      </c>
      <c r="B377" s="11" t="s">
        <v>2213</v>
      </c>
      <c r="C377" s="11" t="s">
        <v>12423</v>
      </c>
      <c r="D377" s="60">
        <v>376</v>
      </c>
      <c r="E377" s="11" t="str">
        <f t="shared" si="15"/>
        <v>E2_4_1_25</v>
      </c>
      <c r="F377" s="11" t="s">
        <v>13986</v>
      </c>
      <c r="G377" s="11" t="s">
        <v>13987</v>
      </c>
      <c r="H377" s="11" t="s">
        <v>8496</v>
      </c>
      <c r="I377" s="11" t="s">
        <v>8496</v>
      </c>
      <c r="J377" s="61" t="str">
        <f t="shared" si="16"/>
        <v>(${Variables:E2_4_1_25_kcat} * E2_4_1_25 * C00718 * C00031)/(${Variables:E2_4_1_25_km} + (E2_4_1_25 * C00718 * C00031))</v>
      </c>
      <c r="K377" s="54" t="str">
        <f t="shared" si="17"/>
        <v>r376: C00718 + C00031 -&gt; C00208 | (${Variables:E2_4_1_25_kcat} * E2_4_1_25 * C00718 * C00031)/(${Variables:E2_4_1_25_km} + (E2_4_1_25 * C00718 * C00031))</v>
      </c>
    </row>
    <row r="378" spans="1:11" ht="29">
      <c r="A378" s="11" t="s">
        <v>2212</v>
      </c>
      <c r="B378" s="11" t="s">
        <v>2213</v>
      </c>
      <c r="C378" s="11" t="s">
        <v>12423</v>
      </c>
      <c r="D378" s="60">
        <v>377</v>
      </c>
      <c r="E378" s="11" t="str">
        <f t="shared" si="15"/>
        <v>E2_4_1_25</v>
      </c>
      <c r="F378" s="11" t="s">
        <v>13988</v>
      </c>
      <c r="G378" s="11" t="s">
        <v>13989</v>
      </c>
      <c r="H378" s="11" t="s">
        <v>8499</v>
      </c>
      <c r="I378" s="11" t="s">
        <v>8499</v>
      </c>
      <c r="J378" s="61" t="str">
        <f t="shared" si="16"/>
        <v>(${Variables:E2_4_1_25_kcat} * E2_4_1_25 * G10495 * C00031)/(${Variables:E2_4_1_25_km} + (E2_4_1_25 * G10495 * C00031))</v>
      </c>
      <c r="K378" s="54" t="str">
        <f t="shared" si="17"/>
        <v>r377: G10495 + C00031 -&gt; G00275 | (${Variables:E2_4_1_25_kcat} * E2_4_1_25 * G10495 * C00031)/(${Variables:E2_4_1_25_km} + (E2_4_1_25 * G10495 * C00031))</v>
      </c>
    </row>
    <row r="379" spans="1:11" ht="29">
      <c r="A379" s="11" t="s">
        <v>2224</v>
      </c>
      <c r="B379" s="11" t="s">
        <v>2225</v>
      </c>
      <c r="C379" s="11" t="s">
        <v>12425</v>
      </c>
      <c r="D379" s="60">
        <v>378</v>
      </c>
      <c r="E379" s="11" t="str">
        <f t="shared" si="15"/>
        <v>E2_1_1_187</v>
      </c>
      <c r="F379" s="11" t="s">
        <v>13101</v>
      </c>
      <c r="G379" s="11" t="s">
        <v>13102</v>
      </c>
      <c r="H379" s="11" t="s">
        <v>13990</v>
      </c>
      <c r="I379" s="11" t="s">
        <v>13991</v>
      </c>
      <c r="J379" s="61" t="str">
        <f t="shared" si="16"/>
        <v>(${Variables:E2_1_1_187_kcat} * E2_1_1_187 * C00019 * C00240)/(${Variables:E2_1_1_187_km} + (E2_1_1_187 * C00019 * C00240))</v>
      </c>
      <c r="K379" s="54" t="str">
        <f t="shared" si="17"/>
        <v>r378: C00019 + C00240 -&gt; C00021 + C04152 | (${Variables:E2_1_1_187_kcat} * E2_1_1_187 * C00019 * C00240)/(${Variables:E2_1_1_187_km} + (E2_1_1_187 * C00019 * C00240))</v>
      </c>
    </row>
    <row r="380" spans="1:11" ht="43.5">
      <c r="A380" s="11" t="s">
        <v>2234</v>
      </c>
      <c r="B380" s="11" t="s">
        <v>2235</v>
      </c>
      <c r="C380" s="11" t="s">
        <v>12426</v>
      </c>
      <c r="D380" s="60">
        <v>379</v>
      </c>
      <c r="E380" s="11" t="str">
        <f t="shared" si="15"/>
        <v>E6_1_1_1</v>
      </c>
      <c r="F380" s="11" t="s">
        <v>13992</v>
      </c>
      <c r="G380" s="11" t="s">
        <v>13993</v>
      </c>
      <c r="H380" s="11" t="s">
        <v>13994</v>
      </c>
      <c r="I380" s="11" t="s">
        <v>13995</v>
      </c>
      <c r="J380" s="61" t="str">
        <f t="shared" si="16"/>
        <v>(${Variables:E6_1_1_1_kcat} * E6_1_1_1 * C00002 * C00082 * C00787)/(${Variables:E6_1_1_1_km} + (E6_1_1_1 * C00002 * C00082 * C00787))</v>
      </c>
      <c r="K380" s="54" t="str">
        <f t="shared" si="17"/>
        <v>r379: C00002 + C00082 + C00787 -&gt; C00020 + C00013 + C02839 | (${Variables:E6_1_1_1_kcat} * E6_1_1_1 * C00002 * C00082 * C00787)/(${Variables:E6_1_1_1_km} + (E6_1_1_1 * C00002 * C00082 * C00787))</v>
      </c>
    </row>
    <row r="381" spans="1:11" ht="43.5">
      <c r="A381" s="11" t="s">
        <v>2246</v>
      </c>
      <c r="B381" s="11" t="s">
        <v>2247</v>
      </c>
      <c r="C381" s="11" t="s">
        <v>12555</v>
      </c>
      <c r="D381" s="60">
        <v>380</v>
      </c>
      <c r="E381" s="11" t="str">
        <f t="shared" si="15"/>
        <v>E2_3_1_117</v>
      </c>
      <c r="F381" s="11" t="s">
        <v>13996</v>
      </c>
      <c r="G381" s="11" t="s">
        <v>13997</v>
      </c>
      <c r="H381" s="11" t="s">
        <v>13998</v>
      </c>
      <c r="I381" s="11" t="s">
        <v>13999</v>
      </c>
      <c r="J381" s="61" t="str">
        <f t="shared" si="16"/>
        <v>(${Variables:E2_3_1_117_kcat} * E2_3_1_117 * C00091 * C03972 * C00001)/(${Variables:E2_3_1_117_km} + (E2_3_1_117 * C00091 * C03972 * C00001))</v>
      </c>
      <c r="K381" s="54" t="str">
        <f t="shared" si="17"/>
        <v>r380: C00091 + C03972 + C00001 -&gt; C00010 + C04462 | (${Variables:E2_3_1_117_kcat} * E2_3_1_117 * C00091 * C03972 * C00001)/(${Variables:E2_3_1_117_km} + (E2_3_1_117 * C00091 * C03972 * C00001))</v>
      </c>
    </row>
    <row r="382" spans="1:11" ht="43.5">
      <c r="A382" s="11" t="s">
        <v>2246</v>
      </c>
      <c r="B382" s="11" t="s">
        <v>2247</v>
      </c>
      <c r="C382" s="11" t="s">
        <v>12556</v>
      </c>
      <c r="D382" s="60">
        <v>381</v>
      </c>
      <c r="E382" s="11" t="str">
        <f t="shared" si="15"/>
        <v>E2_3_1_89</v>
      </c>
      <c r="F382" s="11" t="s">
        <v>14000</v>
      </c>
      <c r="G382" s="11" t="s">
        <v>14001</v>
      </c>
      <c r="H382" s="11" t="s">
        <v>14002</v>
      </c>
      <c r="I382" s="11" t="s">
        <v>14003</v>
      </c>
      <c r="J382" s="61" t="str">
        <f t="shared" si="16"/>
        <v>(${Variables:E2_3_1_89_kcat} * E2_3_1_89 * C03972 * C00024 * C00001)/(${Variables:E2_3_1_89_km} + (E2_3_1_89 * C03972 * C00024 * C00001))</v>
      </c>
      <c r="K382" s="54" t="str">
        <f t="shared" si="17"/>
        <v>r381: C03972 + C00024 + C00001 -&gt; C05529 + C00010 | (${Variables:E2_3_1_89_kcat} * E2_3_1_89 * C03972 * C00024 * C00001)/(${Variables:E2_3_1_89_km} + (E2_3_1_89 * C03972 * C00024 * C00001))</v>
      </c>
    </row>
    <row r="383" spans="1:11" ht="29">
      <c r="A383" s="11" t="s">
        <v>2266</v>
      </c>
      <c r="B383" s="11" t="s">
        <v>2267</v>
      </c>
      <c r="C383" s="11" t="s">
        <v>12482</v>
      </c>
      <c r="D383" s="60">
        <v>382</v>
      </c>
      <c r="E383" s="11" t="str">
        <f t="shared" si="15"/>
        <v>E2_7_7_9</v>
      </c>
      <c r="F383" s="11" t="s">
        <v>14004</v>
      </c>
      <c r="G383" s="11" t="s">
        <v>14005</v>
      </c>
      <c r="H383" s="11" t="s">
        <v>14006</v>
      </c>
      <c r="I383" s="11" t="s">
        <v>14007</v>
      </c>
      <c r="J383" s="61" t="str">
        <f t="shared" si="16"/>
        <v>(${Variables:E2_7_7_9_kcat} * E2_7_7_9 * C00075 * C00103)/(${Variables:E2_7_7_9_km} + (E2_7_7_9 * C00075 * C00103))</v>
      </c>
      <c r="K383" s="54" t="str">
        <f t="shared" si="17"/>
        <v>r382: C00075 + C00103 -&gt; C00013 + C00029 | (${Variables:E2_7_7_9_kcat} * E2_7_7_9 * C00075 * C00103)/(${Variables:E2_7_7_9_km} + (E2_7_7_9 * C00075 * C00103))</v>
      </c>
    </row>
    <row r="384" spans="1:11" ht="29">
      <c r="A384" s="11" t="s">
        <v>2270</v>
      </c>
      <c r="B384" s="11" t="s">
        <v>2271</v>
      </c>
      <c r="C384" s="11" t="s">
        <v>12559</v>
      </c>
      <c r="D384" s="60">
        <v>383</v>
      </c>
      <c r="E384" s="11" t="str">
        <f t="shared" si="15"/>
        <v>E1_1_1_94</v>
      </c>
      <c r="F384" s="11" t="s">
        <v>14008</v>
      </c>
      <c r="G384" s="11" t="s">
        <v>14009</v>
      </c>
      <c r="H384" s="11" t="s">
        <v>14010</v>
      </c>
      <c r="I384" s="11" t="s">
        <v>14011</v>
      </c>
      <c r="J384" s="61" t="str">
        <f t="shared" si="16"/>
        <v>(${Variables:E1_1_1_94_kcat} * E1_1_1_94 * C00093 * C00003)/(${Variables:E1_1_1_94_km} + (E1_1_1_94 * C00093 * C00003))</v>
      </c>
      <c r="K384" s="54" t="str">
        <f t="shared" si="17"/>
        <v>r383: C00093 + C00003 -&gt; C00111 + C00004 + C00080 | (${Variables:E1_1_1_94_kcat} * E1_1_1_94 * C00093 * C00003)/(${Variables:E1_1_1_94_km} + (E1_1_1_94 * C00093 * C00003))</v>
      </c>
    </row>
    <row r="385" spans="1:11" ht="29">
      <c r="A385" s="11" t="s">
        <v>2270</v>
      </c>
      <c r="B385" s="11" t="s">
        <v>2271</v>
      </c>
      <c r="C385" s="11" t="s">
        <v>12559</v>
      </c>
      <c r="D385" s="60">
        <v>384</v>
      </c>
      <c r="E385" s="11" t="str">
        <f t="shared" si="15"/>
        <v>E1_1_1_94</v>
      </c>
      <c r="F385" s="11" t="s">
        <v>14012</v>
      </c>
      <c r="G385" s="11" t="s">
        <v>14013</v>
      </c>
      <c r="H385" s="11" t="s">
        <v>14014</v>
      </c>
      <c r="I385" s="11" t="s">
        <v>14015</v>
      </c>
      <c r="J385" s="61" t="str">
        <f t="shared" si="16"/>
        <v>(${Variables:E1_1_1_94_kcat} * E1_1_1_94 * C00093 * C00006)/(${Variables:E1_1_1_94_km} + (E1_1_1_94 * C00093 * C00006))</v>
      </c>
      <c r="K385" s="54" t="str">
        <f t="shared" si="17"/>
        <v>r384: C00093 + C00006 -&gt; C00111 + C00005 + C00080 | (${Variables:E1_1_1_94_kcat} * E1_1_1_94 * C00093 * C00006)/(${Variables:E1_1_1_94_km} + (E1_1_1_94 * C00093 * C00006))</v>
      </c>
    </row>
    <row r="386" spans="1:11" ht="43.5">
      <c r="A386" s="11" t="s">
        <v>2310</v>
      </c>
      <c r="B386" s="11" t="s">
        <v>2311</v>
      </c>
      <c r="C386" s="11" t="s">
        <v>12560</v>
      </c>
      <c r="D386" s="60">
        <v>385</v>
      </c>
      <c r="E386" s="11" t="str">
        <f t="shared" si="15"/>
        <v>E6_1_1_19</v>
      </c>
      <c r="F386" s="11" t="s">
        <v>14016</v>
      </c>
      <c r="G386" s="11" t="s">
        <v>14017</v>
      </c>
      <c r="H386" s="11" t="s">
        <v>14018</v>
      </c>
      <c r="I386" s="11" t="s">
        <v>14019</v>
      </c>
      <c r="J386" s="61" t="str">
        <f t="shared" si="16"/>
        <v>(${Variables:E6_1_1_19_kcat} * E6_1_1_19 * C00002 * C00062 * C01636)/(${Variables:E6_1_1_19_km} + (E6_1_1_19 * C00002 * C00062 * C01636))</v>
      </c>
      <c r="K386" s="54" t="str">
        <f t="shared" si="17"/>
        <v>r385: C00002 + C00062 + C01636 -&gt; C00020 + C00013 + C02163 | (${Variables:E6_1_1_19_kcat} * E6_1_1_19 * C00002 * C00062 * C01636)/(${Variables:E6_1_1_19_km} + (E6_1_1_19 * C00002 * C00062 * C01636))</v>
      </c>
    </row>
    <row r="387" spans="1:11" ht="29">
      <c r="A387" s="11" t="s">
        <v>2333</v>
      </c>
      <c r="B387" s="11" t="s">
        <v>2334</v>
      </c>
      <c r="C387" s="11" t="s">
        <v>12561</v>
      </c>
      <c r="D387" s="60">
        <v>386</v>
      </c>
      <c r="E387" s="11" t="str">
        <f t="shared" ref="E387:E450" si="18">CONCATENATE("E",C387)</f>
        <v>E5_3_1_9</v>
      </c>
      <c r="F387" s="11" t="s">
        <v>8547</v>
      </c>
      <c r="G387" s="11" t="s">
        <v>8547</v>
      </c>
      <c r="H387" s="11" t="s">
        <v>8548</v>
      </c>
      <c r="I387" s="11" t="s">
        <v>8548</v>
      </c>
      <c r="J387" s="61" t="str">
        <f t="shared" ref="J387:J450" si="19">CONCATENATE("(${Variables:",E387,"_kcat","} * ",E387," * ",G387,")","/(${Variables:",E387,"_km","} + (",E387," * ",G387,"))")</f>
        <v>(${Variables:E5_3_1_9_kcat} * E5_3_1_9 * C00668)/(${Variables:E5_3_1_9_km} + (E5_3_1_9 * C00668))</v>
      </c>
      <c r="K387" s="54" t="str">
        <f t="shared" ref="K387:K450" si="20">CONCATENATE("r",D387,": ",F387," -&gt; ",H387," | ",J387)</f>
        <v>r386: C00668 -&gt; C05345 | (${Variables:E5_3_1_9_kcat} * E5_3_1_9 * C00668)/(${Variables:E5_3_1_9_km} + (E5_3_1_9 * C00668))</v>
      </c>
    </row>
    <row r="388" spans="1:11" ht="29">
      <c r="A388" s="11" t="s">
        <v>2333</v>
      </c>
      <c r="B388" s="11" t="s">
        <v>2334</v>
      </c>
      <c r="C388" s="11" t="s">
        <v>12561</v>
      </c>
      <c r="D388" s="60">
        <v>387</v>
      </c>
      <c r="E388" s="11" t="str">
        <f t="shared" si="18"/>
        <v>E5_3_1_9</v>
      </c>
      <c r="F388" s="11" t="s">
        <v>8550</v>
      </c>
      <c r="G388" s="11" t="s">
        <v>8550</v>
      </c>
      <c r="H388" s="11" t="s">
        <v>8551</v>
      </c>
      <c r="I388" s="11" t="s">
        <v>8551</v>
      </c>
      <c r="J388" s="61" t="str">
        <f t="shared" si="19"/>
        <v>(${Variables:E5_3_1_9_kcat} * E5_3_1_9 * C00092)/(${Variables:E5_3_1_9_km} + (E5_3_1_9 * C00092))</v>
      </c>
      <c r="K388" s="54" t="str">
        <f t="shared" si="20"/>
        <v>r387: C00092 -&gt; C00085 | (${Variables:E5_3_1_9_kcat} * E5_3_1_9 * C00092)/(${Variables:E5_3_1_9_km} + (E5_3_1_9 * C00092))</v>
      </c>
    </row>
    <row r="389" spans="1:11" ht="29">
      <c r="A389" s="11" t="s">
        <v>2333</v>
      </c>
      <c r="B389" s="11" t="s">
        <v>2334</v>
      </c>
      <c r="C389" s="11" t="s">
        <v>12561</v>
      </c>
      <c r="D389" s="60">
        <v>388</v>
      </c>
      <c r="E389" s="11" t="str">
        <f t="shared" si="18"/>
        <v>E5_3_1_9</v>
      </c>
      <c r="F389" s="11" t="s">
        <v>8547</v>
      </c>
      <c r="G389" s="11" t="s">
        <v>8547</v>
      </c>
      <c r="H389" s="11" t="s">
        <v>8553</v>
      </c>
      <c r="I389" s="11" t="s">
        <v>8553</v>
      </c>
      <c r="J389" s="61" t="str">
        <f t="shared" si="19"/>
        <v>(${Variables:E5_3_1_9_kcat} * E5_3_1_9 * C00668)/(${Variables:E5_3_1_9_km} + (E5_3_1_9 * C00668))</v>
      </c>
      <c r="K389" s="54" t="str">
        <f t="shared" si="20"/>
        <v>r388: C00668 -&gt; C01172 | (${Variables:E5_3_1_9_kcat} * E5_3_1_9 * C00668)/(${Variables:E5_3_1_9_km} + (E5_3_1_9 * C00668))</v>
      </c>
    </row>
    <row r="390" spans="1:11" ht="29">
      <c r="A390" s="11" t="s">
        <v>2333</v>
      </c>
      <c r="B390" s="11" t="s">
        <v>2334</v>
      </c>
      <c r="C390" s="11" t="s">
        <v>12561</v>
      </c>
      <c r="D390" s="60">
        <v>389</v>
      </c>
      <c r="E390" s="11" t="str">
        <f t="shared" si="18"/>
        <v>E5_3_1_9</v>
      </c>
      <c r="F390" s="11" t="s">
        <v>8553</v>
      </c>
      <c r="G390" s="11" t="s">
        <v>8553</v>
      </c>
      <c r="H390" s="11" t="s">
        <v>8548</v>
      </c>
      <c r="I390" s="11" t="s">
        <v>8548</v>
      </c>
      <c r="J390" s="61" t="str">
        <f t="shared" si="19"/>
        <v>(${Variables:E5_3_1_9_kcat} * E5_3_1_9 * C01172)/(${Variables:E5_3_1_9_km} + (E5_3_1_9 * C01172))</v>
      </c>
      <c r="K390" s="54" t="str">
        <f t="shared" si="20"/>
        <v>r389: C01172 -&gt; C05345 | (${Variables:E5_3_1_9_kcat} * E5_3_1_9 * C01172)/(${Variables:E5_3_1_9_km} + (E5_3_1_9 * C01172))</v>
      </c>
    </row>
    <row r="391" spans="1:11" ht="29">
      <c r="A391" s="11" t="s">
        <v>2333</v>
      </c>
      <c r="B391" s="11" t="s">
        <v>2334</v>
      </c>
      <c r="C391" s="11" t="s">
        <v>12561</v>
      </c>
      <c r="D391" s="60">
        <v>390</v>
      </c>
      <c r="E391" s="11" t="str">
        <f t="shared" si="18"/>
        <v>E5_3_1_9</v>
      </c>
      <c r="F391" s="11" t="s">
        <v>8547</v>
      </c>
      <c r="G391" s="11" t="s">
        <v>8547</v>
      </c>
      <c r="H391" s="11" t="s">
        <v>8551</v>
      </c>
      <c r="I391" s="11" t="s">
        <v>8551</v>
      </c>
      <c r="J391" s="61" t="str">
        <f t="shared" si="19"/>
        <v>(${Variables:E5_3_1_9_kcat} * E5_3_1_9 * C00668)/(${Variables:E5_3_1_9_km} + (E5_3_1_9 * C00668))</v>
      </c>
      <c r="K391" s="54" t="str">
        <f t="shared" si="20"/>
        <v>r390: C00668 -&gt; C00085 | (${Variables:E5_3_1_9_kcat} * E5_3_1_9 * C00668)/(${Variables:E5_3_1_9_km} + (E5_3_1_9 * C00668))</v>
      </c>
    </row>
    <row r="392" spans="1:11" ht="43.5">
      <c r="A392" s="11" t="s">
        <v>2337</v>
      </c>
      <c r="B392" s="11" t="s">
        <v>2338</v>
      </c>
      <c r="C392" s="11" t="s">
        <v>12562</v>
      </c>
      <c r="D392" s="60">
        <v>391</v>
      </c>
      <c r="E392" s="11" t="str">
        <f t="shared" si="18"/>
        <v>E6_1_1_24</v>
      </c>
      <c r="F392" s="11" t="s">
        <v>14020</v>
      </c>
      <c r="G392" s="11" t="s">
        <v>14021</v>
      </c>
      <c r="H392" s="11" t="s">
        <v>14022</v>
      </c>
      <c r="I392" s="11" t="s">
        <v>14023</v>
      </c>
      <c r="J392" s="61" t="str">
        <f t="shared" si="19"/>
        <v>(${Variables:E6_1_1_24_kcat} * E6_1_1_24 * C00002 * C00025 * C01640)/(${Variables:E6_1_1_24_km} + (E6_1_1_24 * C00002 * C00025 * C01640))</v>
      </c>
      <c r="K392" s="54" t="str">
        <f t="shared" si="20"/>
        <v>r391: C00002 + C00025 + C01640 -&gt; C00020 + C00013 + C06112 | (${Variables:E6_1_1_24_kcat} * E6_1_1_24 * C00002 * C00025 * C01640)/(${Variables:E6_1_1_24_km} + (E6_1_1_24 * C00002 * C00025 * C01640))</v>
      </c>
    </row>
    <row r="393" spans="1:11" ht="43.5">
      <c r="A393" s="11" t="s">
        <v>2337</v>
      </c>
      <c r="B393" s="11" t="s">
        <v>2338</v>
      </c>
      <c r="C393" s="11" t="s">
        <v>12562</v>
      </c>
      <c r="D393" s="60">
        <v>392</v>
      </c>
      <c r="E393" s="11" t="str">
        <f t="shared" si="18"/>
        <v>E6_1_1_24</v>
      </c>
      <c r="F393" s="11" t="s">
        <v>14024</v>
      </c>
      <c r="G393" s="11" t="s">
        <v>14025</v>
      </c>
      <c r="H393" s="11" t="s">
        <v>14026</v>
      </c>
      <c r="I393" s="11" t="s">
        <v>14027</v>
      </c>
      <c r="J393" s="61" t="str">
        <f t="shared" si="19"/>
        <v>(${Variables:E6_1_1_24_kcat} * E6_1_1_24 * C01641 * C00025 * C00002)/(${Variables:E6_1_1_24_km} + (E6_1_1_24 * C01641 * C00025 * C00002))</v>
      </c>
      <c r="K393" s="54" t="str">
        <f t="shared" si="20"/>
        <v>r392: C01641 + C00025 + C00002 -&gt; C02987 + C00013 + C00020 | (${Variables:E6_1_1_24_kcat} * E6_1_1_24 * C01641 * C00025 * C00002)/(${Variables:E6_1_1_24_km} + (E6_1_1_24 * C01641 * C00025 * C00002))</v>
      </c>
    </row>
    <row r="394" spans="1:11" ht="29">
      <c r="A394" s="11" t="s">
        <v>2340</v>
      </c>
      <c r="B394" s="11" t="s">
        <v>2341</v>
      </c>
      <c r="C394" s="11" t="s">
        <v>12387</v>
      </c>
      <c r="D394" s="60">
        <v>393</v>
      </c>
      <c r="E394" s="11" t="str">
        <f t="shared" si="18"/>
        <v>E3_5_4_1</v>
      </c>
      <c r="F394" s="11" t="s">
        <v>14028</v>
      </c>
      <c r="G394" s="11" t="s">
        <v>14029</v>
      </c>
      <c r="H394" s="11" t="s">
        <v>14030</v>
      </c>
      <c r="I394" s="11" t="s">
        <v>14031</v>
      </c>
      <c r="J394" s="61" t="str">
        <f t="shared" si="19"/>
        <v>(${Variables:E3_5_4_1_kcat} * E3_5_4_1 * C00380 * C00001)/(${Variables:E3_5_4_1_km} + (E3_5_4_1 * C00380 * C00001))</v>
      </c>
      <c r="K394" s="54" t="str">
        <f t="shared" si="20"/>
        <v>r393: C00380 + C00001 -&gt; C00106 + C00014 | (${Variables:E3_5_4_1_kcat} * E3_5_4_1 * C00380 * C00001)/(${Variables:E3_5_4_1_km} + (E3_5_4_1 * C00380 * C00001))</v>
      </c>
    </row>
    <row r="395" spans="1:11" ht="29">
      <c r="A395" s="11" t="s">
        <v>2340</v>
      </c>
      <c r="B395" s="11" t="s">
        <v>2341</v>
      </c>
      <c r="C395" s="11" t="s">
        <v>12387</v>
      </c>
      <c r="D395" s="60">
        <v>394</v>
      </c>
      <c r="E395" s="11" t="str">
        <f t="shared" si="18"/>
        <v>E3_5_4_1</v>
      </c>
      <c r="F395" s="11" t="s">
        <v>14032</v>
      </c>
      <c r="G395" s="11" t="s">
        <v>14033</v>
      </c>
      <c r="H395" s="11" t="s">
        <v>14034</v>
      </c>
      <c r="I395" s="11" t="s">
        <v>14035</v>
      </c>
      <c r="J395" s="61" t="str">
        <f t="shared" si="19"/>
        <v>(${Variables:E3_5_4_1_kcat} * E3_5_4_1 * C02376 * C00001)/(${Variables:E3_5_4_1_km} + (E3_5_4_1 * C02376 * C00001))</v>
      </c>
      <c r="K395" s="54" t="str">
        <f t="shared" si="20"/>
        <v>r394: C02376 + C00001 -&gt; C00178 + C00014 | (${Variables:E3_5_4_1_kcat} * E3_5_4_1 * C02376 * C00001)/(${Variables:E3_5_4_1_km} + (E3_5_4_1 * C02376 * C00001))</v>
      </c>
    </row>
    <row r="396" spans="1:11" ht="29">
      <c r="A396" s="11" t="s">
        <v>2340</v>
      </c>
      <c r="B396" s="11" t="s">
        <v>2341</v>
      </c>
      <c r="C396" s="11" t="s">
        <v>12388</v>
      </c>
      <c r="D396" s="60">
        <v>395</v>
      </c>
      <c r="E396" s="11" t="str">
        <f t="shared" si="18"/>
        <v>E3_5_4_5</v>
      </c>
      <c r="F396" s="11" t="s">
        <v>14036</v>
      </c>
      <c r="G396" s="11" t="s">
        <v>14037</v>
      </c>
      <c r="H396" s="11" t="s">
        <v>14038</v>
      </c>
      <c r="I396" s="11" t="s">
        <v>14039</v>
      </c>
      <c r="J396" s="61" t="str">
        <f t="shared" si="19"/>
        <v>(${Variables:E3_5_4_5_kcat} * E3_5_4_5 * C00475 * C00001)/(${Variables:E3_5_4_5_km} + (E3_5_4_5 * C00475 * C00001))</v>
      </c>
      <c r="K396" s="54" t="str">
        <f t="shared" si="20"/>
        <v>r395: C00475 + C00001 -&gt; C00299 + C00014 | (${Variables:E3_5_4_5_kcat} * E3_5_4_5 * C00475 * C00001)/(${Variables:E3_5_4_5_km} + (E3_5_4_5 * C00475 * C00001))</v>
      </c>
    </row>
    <row r="397" spans="1:11" ht="29">
      <c r="A397" s="11" t="s">
        <v>2340</v>
      </c>
      <c r="B397" s="11" t="s">
        <v>2341</v>
      </c>
      <c r="C397" s="11" t="s">
        <v>12388</v>
      </c>
      <c r="D397" s="60">
        <v>396</v>
      </c>
      <c r="E397" s="11" t="str">
        <f t="shared" si="18"/>
        <v>E3_5_4_5</v>
      </c>
      <c r="F397" s="11" t="s">
        <v>14040</v>
      </c>
      <c r="G397" s="11" t="s">
        <v>14041</v>
      </c>
      <c r="H397" s="11" t="s">
        <v>14042</v>
      </c>
      <c r="I397" s="11" t="s">
        <v>14043</v>
      </c>
      <c r="J397" s="61" t="str">
        <f t="shared" si="19"/>
        <v>(${Variables:E3_5_4_5_kcat} * E3_5_4_5 * C00881 * C00001)/(${Variables:E3_5_4_5_km} + (E3_5_4_5 * C00881 * C00001))</v>
      </c>
      <c r="K397" s="54" t="str">
        <f t="shared" si="20"/>
        <v>r396: C00881 + C00001 -&gt; C00526 + C00014 | (${Variables:E3_5_4_5_kcat} * E3_5_4_5 * C00881 * C00001)/(${Variables:E3_5_4_5_km} + (E3_5_4_5 * C00881 * C00001))</v>
      </c>
    </row>
    <row r="398" spans="1:11" ht="29">
      <c r="A398" s="11" t="s">
        <v>2340</v>
      </c>
      <c r="B398" s="11" t="s">
        <v>2341</v>
      </c>
      <c r="C398" s="11" t="s">
        <v>12388</v>
      </c>
      <c r="D398" s="60">
        <v>397</v>
      </c>
      <c r="E398" s="11" t="str">
        <f t="shared" si="18"/>
        <v>E3_5_4_5</v>
      </c>
      <c r="F398" s="11" t="s">
        <v>14044</v>
      </c>
      <c r="G398" s="11" t="s">
        <v>14045</v>
      </c>
      <c r="H398" s="11" t="s">
        <v>14046</v>
      </c>
      <c r="I398" s="11" t="s">
        <v>14047</v>
      </c>
      <c r="J398" s="61" t="str">
        <f t="shared" si="19"/>
        <v>(${Variables:E3_5_4_5_kcat} * E3_5_4_5 * C16635 * C00001)/(${Variables:E3_5_4_5_km} + (E3_5_4_5 * C16635 * C00001))</v>
      </c>
      <c r="K398" s="54" t="str">
        <f t="shared" si="20"/>
        <v>r397: C16635 + C00001 -&gt; C12739 + C00014 | (${Variables:E3_5_4_5_kcat} * E3_5_4_5 * C16635 * C00001)/(${Variables:E3_5_4_5_km} + (E3_5_4_5 * C16635 * C00001))</v>
      </c>
    </row>
    <row r="399" spans="1:11" ht="29">
      <c r="A399" s="11" t="s">
        <v>2371</v>
      </c>
      <c r="B399" s="11" t="s">
        <v>2372</v>
      </c>
      <c r="C399" s="11" t="s">
        <v>12389</v>
      </c>
      <c r="D399" s="60">
        <v>398</v>
      </c>
      <c r="E399" s="11" t="str">
        <f t="shared" si="18"/>
        <v>E4_2_3_1</v>
      </c>
      <c r="F399" s="11" t="s">
        <v>14048</v>
      </c>
      <c r="G399" s="11" t="s">
        <v>14049</v>
      </c>
      <c r="H399" s="11" t="s">
        <v>14050</v>
      </c>
      <c r="I399" s="11" t="s">
        <v>14051</v>
      </c>
      <c r="J399" s="61" t="str">
        <f t="shared" si="19"/>
        <v>(${Variables:E4_2_3_1_kcat} * E4_2_3_1 * C01102 * C00001)/(${Variables:E4_2_3_1_km} + (E4_2_3_1 * C01102 * C00001))</v>
      </c>
      <c r="K399" s="54" t="str">
        <f t="shared" si="20"/>
        <v>r398: C01102 + C00001 -&gt; C00188 + C00009 | (${Variables:E4_2_3_1_kcat} * E4_2_3_1 * C01102 * C00001)/(${Variables:E4_2_3_1_km} + (E4_2_3_1 * C01102 * C00001))</v>
      </c>
    </row>
    <row r="400" spans="1:11" ht="29">
      <c r="A400" s="11" t="s">
        <v>2371</v>
      </c>
      <c r="B400" s="11" t="s">
        <v>2372</v>
      </c>
      <c r="C400" s="11" t="s">
        <v>12389</v>
      </c>
      <c r="D400" s="60">
        <v>399</v>
      </c>
      <c r="E400" s="11" t="str">
        <f t="shared" si="18"/>
        <v>E4_2_3_1</v>
      </c>
      <c r="F400" s="11" t="s">
        <v>14052</v>
      </c>
      <c r="G400" s="11" t="s">
        <v>14053</v>
      </c>
      <c r="H400" s="11" t="s">
        <v>14054</v>
      </c>
      <c r="I400" s="11" t="s">
        <v>14055</v>
      </c>
      <c r="J400" s="61" t="str">
        <f t="shared" si="19"/>
        <v>(${Variables:E4_2_3_1_kcat} * E4_2_3_1 * C06055 * C00001)/(${Variables:E4_2_3_1_km} + (E4_2_3_1 * C06055 * C00001))</v>
      </c>
      <c r="K400" s="54" t="str">
        <f t="shared" si="20"/>
        <v>r399: C06055 + C00001 -&gt; C06056 + C00009 | (${Variables:E4_2_3_1_kcat} * E4_2_3_1 * C06055 * C00001)/(${Variables:E4_2_3_1_km} + (E4_2_3_1 * C06055 * C00001))</v>
      </c>
    </row>
    <row r="401" spans="1:11" ht="29">
      <c r="A401" s="11" t="s">
        <v>2396</v>
      </c>
      <c r="B401" s="11" t="s">
        <v>2397</v>
      </c>
      <c r="C401" s="11" t="s">
        <v>12564</v>
      </c>
      <c r="D401" s="60">
        <v>400</v>
      </c>
      <c r="E401" s="11" t="str">
        <f t="shared" si="18"/>
        <v>E2_4_2_29</v>
      </c>
      <c r="F401" s="11" t="s">
        <v>14056</v>
      </c>
      <c r="G401" s="11" t="s">
        <v>14057</v>
      </c>
      <c r="H401" s="11" t="s">
        <v>14058</v>
      </c>
      <c r="I401" s="11" t="s">
        <v>14059</v>
      </c>
      <c r="J401" s="61" t="str">
        <f t="shared" si="19"/>
        <v>(${Variables:E2_4_2_29_kcat} * E2_4_2_29 * C01977 * C16675)/(${Variables:E2_4_2_29_km} + (E2_4_2_29 * C01977 * C16675))</v>
      </c>
      <c r="K401" s="54" t="str">
        <f t="shared" si="20"/>
        <v>r400: C01977 + C16675 -&gt; C20446 + C00242 | (${Variables:E2_4_2_29_kcat} * E2_4_2_29 * C01977 * C16675)/(${Variables:E2_4_2_29_km} + (E2_4_2_29 * C01977 * C16675))</v>
      </c>
    </row>
    <row r="402" spans="1:11" ht="29">
      <c r="A402" s="11" t="s">
        <v>2404</v>
      </c>
      <c r="B402" s="11" t="s">
        <v>2405</v>
      </c>
      <c r="C402" s="11" t="s">
        <v>12384</v>
      </c>
      <c r="D402" s="60">
        <v>401</v>
      </c>
      <c r="E402" s="11" t="str">
        <f t="shared" si="18"/>
        <v>E3_5_1_25</v>
      </c>
      <c r="F402" s="11" t="s">
        <v>14060</v>
      </c>
      <c r="G402" s="11" t="s">
        <v>14061</v>
      </c>
      <c r="H402" s="11" t="s">
        <v>14062</v>
      </c>
      <c r="I402" s="11" t="s">
        <v>14063</v>
      </c>
      <c r="J402" s="61" t="str">
        <f t="shared" si="19"/>
        <v>(${Variables:E3_5_1_25_kcat} * E3_5_1_25 * C00357 * C00001)/(${Variables:E3_5_1_25_km} + (E3_5_1_25 * C00357 * C00001))</v>
      </c>
      <c r="K402" s="54" t="str">
        <f t="shared" si="20"/>
        <v>r401: C00357 + C00001 -&gt; C00352 + C00033 | (${Variables:E3_5_1_25_kcat} * E3_5_1_25 * C00357 * C00001)/(${Variables:E3_5_1_25_km} + (E3_5_1_25 * C00357 * C00001))</v>
      </c>
    </row>
    <row r="403" spans="1:11" ht="29">
      <c r="A403" s="11" t="s">
        <v>2407</v>
      </c>
      <c r="B403" s="11" t="s">
        <v>2408</v>
      </c>
      <c r="C403" s="11" t="s">
        <v>12565</v>
      </c>
      <c r="D403" s="60">
        <v>402</v>
      </c>
      <c r="E403" s="11" t="str">
        <f t="shared" si="18"/>
        <v>E1_1_1_2</v>
      </c>
      <c r="F403" s="11" t="s">
        <v>14064</v>
      </c>
      <c r="G403" s="11" t="s">
        <v>14065</v>
      </c>
      <c r="H403" s="11" t="s">
        <v>14066</v>
      </c>
      <c r="I403" s="11" t="s">
        <v>14067</v>
      </c>
      <c r="J403" s="61" t="str">
        <f t="shared" si="19"/>
        <v>(${Variables:E1_1_1_2_kcat} * E1_1_1_2 * C00069 * C00006)/(${Variables:E1_1_1_2_km} + (E1_1_1_2 * C00069 * C00006))</v>
      </c>
      <c r="K403" s="54" t="str">
        <f t="shared" si="20"/>
        <v>r402: C00069 + C00006 -&gt; C00071 + C00005 + C00080 | (${Variables:E1_1_1_2_kcat} * E1_1_1_2 * C00069 * C00006)/(${Variables:E1_1_1_2_km} + (E1_1_1_2 * C00069 * C00006))</v>
      </c>
    </row>
    <row r="404" spans="1:11" ht="29">
      <c r="A404" s="11" t="s">
        <v>2407</v>
      </c>
      <c r="B404" s="11" t="s">
        <v>2408</v>
      </c>
      <c r="C404" s="11" t="s">
        <v>12565</v>
      </c>
      <c r="D404" s="60">
        <v>403</v>
      </c>
      <c r="E404" s="11" t="str">
        <f t="shared" si="18"/>
        <v>E1_1_1_2</v>
      </c>
      <c r="F404" s="11" t="s">
        <v>14068</v>
      </c>
      <c r="G404" s="11" t="s">
        <v>14069</v>
      </c>
      <c r="H404" s="11" t="s">
        <v>14066</v>
      </c>
      <c r="I404" s="11" t="s">
        <v>14067</v>
      </c>
      <c r="J404" s="61" t="str">
        <f t="shared" si="19"/>
        <v>(${Variables:E1_1_1_2_kcat} * E1_1_1_2 * C00026 * C00006)/(${Variables:E1_1_1_2_km} + (E1_1_1_2 * C00026 * C00006))</v>
      </c>
      <c r="K404" s="54" t="str">
        <f t="shared" si="20"/>
        <v>r403: C00026 + C00006 -&gt; C00071 + C00005 + C00080 | (${Variables:E1_1_1_2_kcat} * E1_1_1_2 * C00026 * C00006)/(${Variables:E1_1_1_2_km} + (E1_1_1_2 * C00026 * C00006))</v>
      </c>
    </row>
    <row r="405" spans="1:11" ht="29">
      <c r="A405" s="11" t="s">
        <v>2407</v>
      </c>
      <c r="B405" s="11" t="s">
        <v>2408</v>
      </c>
      <c r="C405" s="11" t="s">
        <v>12565</v>
      </c>
      <c r="D405" s="60">
        <v>404</v>
      </c>
      <c r="E405" s="11" t="str">
        <f t="shared" si="18"/>
        <v>E1_1_1_2</v>
      </c>
      <c r="F405" s="11" t="s">
        <v>14070</v>
      </c>
      <c r="G405" s="11" t="s">
        <v>14071</v>
      </c>
      <c r="H405" s="11" t="s">
        <v>14072</v>
      </c>
      <c r="I405" s="11" t="s">
        <v>14073</v>
      </c>
      <c r="J405" s="61" t="str">
        <f t="shared" si="19"/>
        <v>(${Variables:E1_1_1_2_kcat} * E1_1_1_2 * C00469 * C00006)/(${Variables:E1_1_1_2_km} + (E1_1_1_2 * C00469 * C00006))</v>
      </c>
      <c r="K405" s="54" t="str">
        <f t="shared" si="20"/>
        <v>r404: C00469 + C00006 -&gt; C00084 + C00005 + C00080 | (${Variables:E1_1_1_2_kcat} * E1_1_1_2 * C00469 * C00006)/(${Variables:E1_1_1_2_km} + (E1_1_1_2 * C00469 * C00006))</v>
      </c>
    </row>
    <row r="406" spans="1:11" ht="29">
      <c r="A406" s="11" t="s">
        <v>2407</v>
      </c>
      <c r="B406" s="11" t="s">
        <v>2408</v>
      </c>
      <c r="C406" s="11" t="s">
        <v>12565</v>
      </c>
      <c r="D406" s="60">
        <v>405</v>
      </c>
      <c r="E406" s="11" t="str">
        <f t="shared" si="18"/>
        <v>E1_1_1_2</v>
      </c>
      <c r="F406" s="11" t="s">
        <v>14074</v>
      </c>
      <c r="G406" s="11" t="s">
        <v>14075</v>
      </c>
      <c r="H406" s="11" t="s">
        <v>14076</v>
      </c>
      <c r="I406" s="11" t="s">
        <v>14077</v>
      </c>
      <c r="J406" s="61" t="str">
        <f t="shared" si="19"/>
        <v>(${Variables:E1_1_1_2_kcat} * E1_1_1_2 * C00116 * C00006)/(${Variables:E1_1_1_2_km} + (E1_1_1_2 * C00116 * C00006))</v>
      </c>
      <c r="K406" s="54" t="str">
        <f t="shared" si="20"/>
        <v>r405: C00116 + C00006 -&gt; C00577 + C00005 + C00080 | (${Variables:E1_1_1_2_kcat} * E1_1_1_2 * C00116 * C00006)/(${Variables:E1_1_1_2_km} + (E1_1_1_2 * C00116 * C00006))</v>
      </c>
    </row>
    <row r="407" spans="1:11" ht="29">
      <c r="A407" s="11" t="s">
        <v>2407</v>
      </c>
      <c r="B407" s="11" t="s">
        <v>2408</v>
      </c>
      <c r="C407" s="11" t="s">
        <v>12565</v>
      </c>
      <c r="D407" s="60">
        <v>406</v>
      </c>
      <c r="E407" s="11" t="str">
        <f t="shared" si="18"/>
        <v>E1_1_1_2</v>
      </c>
      <c r="F407" s="11" t="s">
        <v>14078</v>
      </c>
      <c r="G407" s="11" t="s">
        <v>14079</v>
      </c>
      <c r="H407" s="11" t="s">
        <v>14080</v>
      </c>
      <c r="I407" s="11" t="s">
        <v>14081</v>
      </c>
      <c r="J407" s="61" t="str">
        <f t="shared" si="19"/>
        <v>(${Variables:E1_1_1_2_kcat} * E1_1_1_2 * C06103 * C00006)/(${Variables:E1_1_1_2_km} + (E1_1_1_2 * C06103 * C00006))</v>
      </c>
      <c r="K407" s="54" t="str">
        <f t="shared" si="20"/>
        <v>r406: C06103 + C00006 -&gt; C06102 + C00005 + C00080 | (${Variables:E1_1_1_2_kcat} * E1_1_1_2 * C06103 * C00006)/(${Variables:E1_1_1_2_km} + (E1_1_1_2 * C06103 * C00006))</v>
      </c>
    </row>
    <row r="408" spans="1:11" ht="29">
      <c r="A408" s="11" t="s">
        <v>2407</v>
      </c>
      <c r="B408" s="11" t="s">
        <v>2408</v>
      </c>
      <c r="C408" s="11" t="s">
        <v>12565</v>
      </c>
      <c r="D408" s="60">
        <v>407</v>
      </c>
      <c r="E408" s="11" t="str">
        <f t="shared" si="18"/>
        <v>E1_1_1_2</v>
      </c>
      <c r="F408" s="11" t="s">
        <v>14082</v>
      </c>
      <c r="G408" s="11" t="s">
        <v>14083</v>
      </c>
      <c r="H408" s="11" t="s">
        <v>14084</v>
      </c>
      <c r="I408" s="11" t="s">
        <v>14085</v>
      </c>
      <c r="J408" s="61" t="str">
        <f t="shared" si="19"/>
        <v>(${Variables:E1_1_1_2_kcat} * E1_1_1_2 * C00800 * C00006)/(${Variables:E1_1_1_2_km} + (E1_1_1_2 * C00800 * C00006))</v>
      </c>
      <c r="K408" s="54" t="str">
        <f t="shared" si="20"/>
        <v>r407: C00800 + C00006 -&gt; C00191 + C00005 + C00080 | (${Variables:E1_1_1_2_kcat} * E1_1_1_2 * C00800 * C00006)/(${Variables:E1_1_1_2_km} + (E1_1_1_2 * C00800 * C00006))</v>
      </c>
    </row>
    <row r="409" spans="1:11" ht="29">
      <c r="A409" s="11" t="s">
        <v>2407</v>
      </c>
      <c r="B409" s="11" t="s">
        <v>2408</v>
      </c>
      <c r="C409" s="11" t="s">
        <v>12565</v>
      </c>
      <c r="D409" s="60">
        <v>408</v>
      </c>
      <c r="E409" s="11" t="str">
        <f t="shared" si="18"/>
        <v>E1_1_1_2</v>
      </c>
      <c r="F409" s="11" t="s">
        <v>14086</v>
      </c>
      <c r="G409" s="11" t="s">
        <v>14087</v>
      </c>
      <c r="H409" s="11" t="s">
        <v>14088</v>
      </c>
      <c r="I409" s="11" t="s">
        <v>14089</v>
      </c>
      <c r="J409" s="61" t="str">
        <f t="shared" si="19"/>
        <v>(${Variables:E1_1_1_2_kcat} * E1_1_1_2 * C00418 * C00006)/(${Variables:E1_1_1_2_km} + (E1_1_1_2 * C00418 * C00006))</v>
      </c>
      <c r="K409" s="54" t="str">
        <f t="shared" si="20"/>
        <v>r408: C00418 + C00006 -&gt; C00772 + C00005 + C00080 | (${Variables:E1_1_1_2_kcat} * E1_1_1_2 * C00418 * C00006)/(${Variables:E1_1_1_2_km} + (E1_1_1_2 * C00418 * C00006))</v>
      </c>
    </row>
    <row r="410" spans="1:11" ht="29">
      <c r="A410" s="11" t="s">
        <v>2443</v>
      </c>
      <c r="B410" s="11" t="s">
        <v>2444</v>
      </c>
      <c r="C410" s="11" t="s">
        <v>12433</v>
      </c>
      <c r="D410" s="60">
        <v>409</v>
      </c>
      <c r="E410" s="11" t="str">
        <f t="shared" si="18"/>
        <v>E2_7_2_1</v>
      </c>
      <c r="F410" s="11" t="s">
        <v>14090</v>
      </c>
      <c r="G410" s="11" t="s">
        <v>14091</v>
      </c>
      <c r="H410" s="11" t="s">
        <v>14092</v>
      </c>
      <c r="I410" s="11" t="s">
        <v>14093</v>
      </c>
      <c r="J410" s="61" t="str">
        <f t="shared" si="19"/>
        <v>(${Variables:E2_7_2_1_kcat} * E2_7_2_1 * C00002 * C00033)/(${Variables:E2_7_2_1_km} + (E2_7_2_1 * C00002 * C00033))</v>
      </c>
      <c r="K410" s="54" t="str">
        <f t="shared" si="20"/>
        <v>r409: C00002 + C00033 -&gt; C00008 + C00277 | (${Variables:E2_7_2_1_kcat} * E2_7_2_1 * C00002 * C00033)/(${Variables:E2_7_2_1_km} + (E2_7_2_1 * C00002 * C00033))</v>
      </c>
    </row>
    <row r="411" spans="1:11" ht="29">
      <c r="A411" s="11" t="s">
        <v>2443</v>
      </c>
      <c r="B411" s="11" t="s">
        <v>2444</v>
      </c>
      <c r="C411" s="11" t="s">
        <v>12433</v>
      </c>
      <c r="D411" s="60">
        <v>410</v>
      </c>
      <c r="E411" s="11" t="str">
        <f t="shared" si="18"/>
        <v>E2_7_2_1</v>
      </c>
      <c r="F411" s="11" t="s">
        <v>14094</v>
      </c>
      <c r="G411" s="11" t="s">
        <v>14095</v>
      </c>
      <c r="H411" s="11" t="s">
        <v>14096</v>
      </c>
      <c r="I411" s="11" t="s">
        <v>14097</v>
      </c>
      <c r="J411" s="61" t="str">
        <f t="shared" si="19"/>
        <v>(${Variables:E2_7_2_1_kcat} * E2_7_2_1 * C00002 * C00163)/(${Variables:E2_7_2_1_km} + (E2_7_2_1 * C00002 * C00163))</v>
      </c>
      <c r="K411" s="54" t="str">
        <f t="shared" si="20"/>
        <v>r410: C00002 + C00163 -&gt; C00008 + C02876 | (${Variables:E2_7_2_1_kcat} * E2_7_2_1 * C00002 * C00163)/(${Variables:E2_7_2_1_km} + (E2_7_2_1 * C00002 * C00163))</v>
      </c>
    </row>
    <row r="412" spans="1:11" ht="29">
      <c r="A412" s="11" t="s">
        <v>2472</v>
      </c>
      <c r="B412" s="11" t="s">
        <v>2473</v>
      </c>
      <c r="C412" s="11" t="s">
        <v>12435</v>
      </c>
      <c r="D412" s="60">
        <v>411</v>
      </c>
      <c r="E412" s="11" t="str">
        <f t="shared" si="18"/>
        <v>E4_1_1_85</v>
      </c>
      <c r="F412" s="11" t="s">
        <v>14098</v>
      </c>
      <c r="G412" s="11" t="s">
        <v>14099</v>
      </c>
      <c r="H412" s="11" t="s">
        <v>14100</v>
      </c>
      <c r="I412" s="11" t="s">
        <v>14101</v>
      </c>
      <c r="J412" s="61" t="str">
        <f t="shared" si="19"/>
        <v>(${Variables:E4_1_1_85_kcat} * E4_1_1_85 * C14899 * C00080)/(${Variables:E4_1_1_85_km} + (E4_1_1_85 * C14899 * C00080))</v>
      </c>
      <c r="K412" s="54" t="str">
        <f t="shared" si="20"/>
        <v>r411: C14899 + C00080 -&gt; C03291 + C00011 | (${Variables:E4_1_1_85_kcat} * E4_1_1_85 * C14899 * C00080)/(${Variables:E4_1_1_85_km} + (E4_1_1_85 * C14899 * C00080))</v>
      </c>
    </row>
    <row r="413" spans="1:11" ht="29">
      <c r="A413" s="11" t="s">
        <v>2476</v>
      </c>
      <c r="B413" s="11" t="s">
        <v>2477</v>
      </c>
      <c r="C413" s="11" t="s">
        <v>12436</v>
      </c>
      <c r="D413" s="60">
        <v>412</v>
      </c>
      <c r="E413" s="11" t="str">
        <f t="shared" si="18"/>
        <v>E5_1_3_22</v>
      </c>
      <c r="F413" s="11" t="s">
        <v>8646</v>
      </c>
      <c r="G413" s="11" t="s">
        <v>8646</v>
      </c>
      <c r="H413" s="11" t="s">
        <v>8647</v>
      </c>
      <c r="I413" s="11" t="s">
        <v>8647</v>
      </c>
      <c r="J413" s="61" t="str">
        <f t="shared" si="19"/>
        <v>(${Variables:E5_1_3_22_kcat} * E5_1_3_22 * C01101)/(${Variables:E5_1_3_22_km} + (E5_1_3_22 * C01101))</v>
      </c>
      <c r="K413" s="54" t="str">
        <f t="shared" si="20"/>
        <v>r412: C01101 -&gt; C03291 | (${Variables:E5_1_3_22_kcat} * E5_1_3_22 * C01101)/(${Variables:E5_1_3_22_km} + (E5_1_3_22 * C01101))</v>
      </c>
    </row>
    <row r="414" spans="1:11" ht="29">
      <c r="A414" s="11" t="s">
        <v>2480</v>
      </c>
      <c r="B414" s="11" t="s">
        <v>2481</v>
      </c>
      <c r="C414" s="11" t="s">
        <v>12437</v>
      </c>
      <c r="D414" s="60">
        <v>413</v>
      </c>
      <c r="E414" s="11" t="str">
        <f t="shared" si="18"/>
        <v>E5_1_3_4</v>
      </c>
      <c r="F414" s="11" t="s">
        <v>8646</v>
      </c>
      <c r="G414" s="11" t="s">
        <v>8646</v>
      </c>
      <c r="H414" s="11" t="s">
        <v>8651</v>
      </c>
      <c r="I414" s="11" t="s">
        <v>8651</v>
      </c>
      <c r="J414" s="61" t="str">
        <f t="shared" si="19"/>
        <v>(${Variables:E5_1_3_4_kcat} * E5_1_3_4 * C01101)/(${Variables:E5_1_3_4_km} + (E5_1_3_4 * C01101))</v>
      </c>
      <c r="K414" s="54" t="str">
        <f t="shared" si="20"/>
        <v>r413: C01101 -&gt; C00231 | (${Variables:E5_1_3_4_kcat} * E5_1_3_4 * C01101)/(${Variables:E5_1_3_4_km} + (E5_1_3_4 * C01101))</v>
      </c>
    </row>
    <row r="415" spans="1:11" ht="43.5">
      <c r="A415" s="11" t="s">
        <v>2533</v>
      </c>
      <c r="B415" s="11" t="s">
        <v>2534</v>
      </c>
      <c r="C415" s="11" t="s">
        <v>12566</v>
      </c>
      <c r="D415" s="60">
        <v>414</v>
      </c>
      <c r="E415" s="11" t="str">
        <f t="shared" si="18"/>
        <v>E2_4_2_19</v>
      </c>
      <c r="F415" s="11" t="s">
        <v>14102</v>
      </c>
      <c r="G415" s="11" t="s">
        <v>14103</v>
      </c>
      <c r="H415" s="11" t="s">
        <v>14104</v>
      </c>
      <c r="I415" s="11" t="s">
        <v>14105</v>
      </c>
      <c r="J415" s="61" t="str">
        <f t="shared" si="19"/>
        <v>(${Variables:E2_4_2_19_kcat} * E2_4_2_19 * C01185 * C00013 * C00011)/(${Variables:E2_4_2_19_km} + (E2_4_2_19 * C01185 * C00013 * C00011))</v>
      </c>
      <c r="K415" s="54" t="str">
        <f t="shared" si="20"/>
        <v>r414: C01185 + C00013 + C00011 -&gt; C03722 + C00119 | (${Variables:E2_4_2_19_kcat} * E2_4_2_19 * C01185 * C00013 * C00011)/(${Variables:E2_4_2_19_km} + (E2_4_2_19 * C01185 * C00013 * C00011))</v>
      </c>
    </row>
    <row r="416" spans="1:11" ht="43.5">
      <c r="A416" s="11" t="s">
        <v>2543</v>
      </c>
      <c r="B416" s="11" t="s">
        <v>2544</v>
      </c>
      <c r="C416" s="11" t="s">
        <v>12567</v>
      </c>
      <c r="D416" s="60">
        <v>415</v>
      </c>
      <c r="E416" s="11" t="str">
        <f t="shared" si="18"/>
        <v>E1_2_1_12</v>
      </c>
      <c r="F416" s="11" t="s">
        <v>14106</v>
      </c>
      <c r="G416" s="11" t="s">
        <v>14107</v>
      </c>
      <c r="H416" s="11" t="s">
        <v>14108</v>
      </c>
      <c r="I416" s="11" t="s">
        <v>14109</v>
      </c>
      <c r="J416" s="61" t="str">
        <f t="shared" si="19"/>
        <v>(${Variables:E1_2_1_12_kcat} * E1_2_1_12 * C00118 * C00009 * C00003)/(${Variables:E1_2_1_12_km} + (E1_2_1_12 * C00118 * C00009 * C00003))</v>
      </c>
      <c r="K416" s="54" t="str">
        <f t="shared" si="20"/>
        <v>r415: C00118 + C00009 + C00003 -&gt; C00236 + C00004 + C00080 | (${Variables:E1_2_1_12_kcat} * E1_2_1_12 * C00118 * C00009 * C00003)/(${Variables:E1_2_1_12_km} + (E1_2_1_12 * C00118 * C00009 * C00003))</v>
      </c>
    </row>
    <row r="417" spans="1:11" ht="29">
      <c r="A417" s="11" t="s">
        <v>2603</v>
      </c>
      <c r="B417" s="11" t="s">
        <v>2604</v>
      </c>
      <c r="C417" s="11" t="s">
        <v>12569</v>
      </c>
      <c r="D417" s="60">
        <v>416</v>
      </c>
      <c r="E417" s="11" t="str">
        <f t="shared" si="18"/>
        <v>E3_5_1_1</v>
      </c>
      <c r="F417" s="11" t="s">
        <v>14110</v>
      </c>
      <c r="G417" s="11" t="s">
        <v>14111</v>
      </c>
      <c r="H417" s="11" t="s">
        <v>14112</v>
      </c>
      <c r="I417" s="11" t="s">
        <v>14113</v>
      </c>
      <c r="J417" s="61" t="str">
        <f t="shared" si="19"/>
        <v>(${Variables:E3_5_1_1_kcat} * E3_5_1_1 * C00152 * C00001)/(${Variables:E3_5_1_1_km} + (E3_5_1_1 * C00152 * C00001))</v>
      </c>
      <c r="K417" s="54" t="str">
        <f t="shared" si="20"/>
        <v>r416: C00152 + C00001 -&gt; C00049 + C00014 | (${Variables:E3_5_1_1_kcat} * E3_5_1_1 * C00152 * C00001)/(${Variables:E3_5_1_1_km} + (E3_5_1_1 * C00152 * C00001))</v>
      </c>
    </row>
    <row r="418" spans="1:11" ht="29">
      <c r="A418" s="11" t="s">
        <v>2603</v>
      </c>
      <c r="B418" s="11" t="s">
        <v>2604</v>
      </c>
      <c r="C418" s="11" t="s">
        <v>12569</v>
      </c>
      <c r="D418" s="60">
        <v>417</v>
      </c>
      <c r="E418" s="11" t="str">
        <f t="shared" si="18"/>
        <v>E3_5_1_1</v>
      </c>
      <c r="F418" s="11" t="s">
        <v>14114</v>
      </c>
      <c r="G418" s="11" t="s">
        <v>14115</v>
      </c>
      <c r="H418" s="11" t="s">
        <v>14116</v>
      </c>
      <c r="I418" s="11" t="s">
        <v>14117</v>
      </c>
      <c r="J418" s="61" t="str">
        <f t="shared" si="19"/>
        <v>(${Variables:E3_5_1_1_kcat} * E3_5_1_1 * C00241 * C00001)/(${Variables:E3_5_1_1_km} + (E3_5_1_1 * C00241 * C00001))</v>
      </c>
      <c r="K418" s="54" t="str">
        <f t="shared" si="20"/>
        <v>r417: C00241 + C00001 -&gt; C00060 + C00014 | (${Variables:E3_5_1_1_kcat} * E3_5_1_1 * C00241 * C00001)/(${Variables:E3_5_1_1_km} + (E3_5_1_1 * C00241 * C00001))</v>
      </c>
    </row>
    <row r="419" spans="1:11" ht="29">
      <c r="A419" s="11" t="s">
        <v>2615</v>
      </c>
      <c r="B419" s="11" t="s">
        <v>2616</v>
      </c>
      <c r="C419" s="11" t="s">
        <v>12570</v>
      </c>
      <c r="D419" s="60">
        <v>418</v>
      </c>
      <c r="E419" s="11" t="str">
        <f t="shared" si="18"/>
        <v>E2_6_1_2</v>
      </c>
      <c r="F419" s="11" t="s">
        <v>14118</v>
      </c>
      <c r="G419" s="11" t="s">
        <v>14119</v>
      </c>
      <c r="H419" s="11" t="s">
        <v>14120</v>
      </c>
      <c r="I419" s="11" t="s">
        <v>14121</v>
      </c>
      <c r="J419" s="61" t="str">
        <f t="shared" si="19"/>
        <v>(${Variables:E2_6_1_2_kcat} * E2_6_1_2 * C00041 * C00026)/(${Variables:E2_6_1_2_km} + (E2_6_1_2 * C00041 * C00026))</v>
      </c>
      <c r="K419" s="54" t="str">
        <f t="shared" si="20"/>
        <v>r418: C00041 + C00026 -&gt; C00022 + C00025 | (${Variables:E2_6_1_2_kcat} * E2_6_1_2 * C00041 * C00026)/(${Variables:E2_6_1_2_km} + (E2_6_1_2 * C00041 * C00026))</v>
      </c>
    </row>
    <row r="420" spans="1:11" ht="29">
      <c r="A420" s="11" t="s">
        <v>2646</v>
      </c>
      <c r="B420" s="11" t="s">
        <v>2647</v>
      </c>
      <c r="C420" s="11" t="s">
        <v>12571</v>
      </c>
      <c r="D420" s="60">
        <v>419</v>
      </c>
      <c r="E420" s="11" t="str">
        <f t="shared" si="18"/>
        <v>E2_1_1_182</v>
      </c>
      <c r="F420" s="11" t="s">
        <v>14122</v>
      </c>
      <c r="G420" s="11" t="s">
        <v>14123</v>
      </c>
      <c r="H420" s="11" t="s">
        <v>14124</v>
      </c>
      <c r="I420" s="11" t="s">
        <v>14125</v>
      </c>
      <c r="J420" s="61" t="str">
        <f t="shared" si="19"/>
        <v>(${Variables:E2_1_1_182_kcat} * E2_1_1_182 * C00019 * C20648)/(${Variables:E2_1_1_182_km} + (E2_1_1_182 * C00019 * C20648))</v>
      </c>
      <c r="K420" s="54" t="str">
        <f t="shared" si="20"/>
        <v>r419: C00019 + C20648 -&gt; C00021 + C20796 | (${Variables:E2_1_1_182_kcat} * E2_1_1_182 * C00019 * C20648)/(${Variables:E2_1_1_182_km} + (E2_1_1_182 * C00019 * C20648))</v>
      </c>
    </row>
    <row r="421" spans="1:11" ht="29">
      <c r="A421" s="11" t="s">
        <v>2659</v>
      </c>
      <c r="B421" s="11" t="s">
        <v>2660</v>
      </c>
      <c r="C421" s="11" t="s">
        <v>12451</v>
      </c>
      <c r="D421" s="60">
        <v>420</v>
      </c>
      <c r="E421" s="11" t="str">
        <f t="shared" si="18"/>
        <v>E5_1_3_1</v>
      </c>
      <c r="F421" s="11" t="s">
        <v>8688</v>
      </c>
      <c r="G421" s="11" t="s">
        <v>8688</v>
      </c>
      <c r="H421" s="11" t="s">
        <v>8651</v>
      </c>
      <c r="I421" s="11" t="s">
        <v>8651</v>
      </c>
      <c r="J421" s="61" t="str">
        <f t="shared" si="19"/>
        <v>(${Variables:E5_1_3_1_kcat} * E5_1_3_1 * C00199)/(${Variables:E5_1_3_1_km} + (E5_1_3_1 * C00199))</v>
      </c>
      <c r="K421" s="54" t="str">
        <f t="shared" si="20"/>
        <v>r420: C00199 -&gt; C00231 | (${Variables:E5_1_3_1_kcat} * E5_1_3_1 * C00199)/(${Variables:E5_1_3_1_km} + (E5_1_3_1 * C00199))</v>
      </c>
    </row>
    <row r="422" spans="1:11" ht="29">
      <c r="A422" s="11" t="s">
        <v>2663</v>
      </c>
      <c r="B422" s="11" t="s">
        <v>2664</v>
      </c>
      <c r="C422" s="11" t="s">
        <v>12452</v>
      </c>
      <c r="D422" s="60">
        <v>421</v>
      </c>
      <c r="E422" s="11" t="str">
        <f t="shared" si="18"/>
        <v>E2_7_6_2</v>
      </c>
      <c r="F422" s="11" t="s">
        <v>14126</v>
      </c>
      <c r="G422" s="11" t="s">
        <v>14127</v>
      </c>
      <c r="H422" s="11" t="s">
        <v>14128</v>
      </c>
      <c r="I422" s="11" t="s">
        <v>14129</v>
      </c>
      <c r="J422" s="61" t="str">
        <f t="shared" si="19"/>
        <v>(${Variables:E2_7_6_2_kcat} * E2_7_6_2 * C00002 * C00378)/(${Variables:E2_7_6_2_km} + (E2_7_6_2 * C00002 * C00378))</v>
      </c>
      <c r="K422" s="54" t="str">
        <f t="shared" si="20"/>
        <v>r421: C00002 + C00378 -&gt; C00020 + C00068 | (${Variables:E2_7_6_2_kcat} * E2_7_6_2 * C00002 * C00378)/(${Variables:E2_7_6_2_km} + (E2_7_6_2 * C00002 * C00378))</v>
      </c>
    </row>
    <row r="423" spans="1:11" ht="29">
      <c r="A423" s="11" t="s">
        <v>2674</v>
      </c>
      <c r="B423" s="11" t="s">
        <v>2675</v>
      </c>
      <c r="C423" s="11" t="s">
        <v>12441</v>
      </c>
      <c r="D423" s="60">
        <v>422</v>
      </c>
      <c r="E423" s="11" t="str">
        <f t="shared" si="18"/>
        <v>E4_1_1_20</v>
      </c>
      <c r="F423" s="11" t="s">
        <v>8697</v>
      </c>
      <c r="G423" s="11" t="s">
        <v>8697</v>
      </c>
      <c r="H423" s="11" t="s">
        <v>14130</v>
      </c>
      <c r="I423" s="11" t="s">
        <v>14131</v>
      </c>
      <c r="J423" s="61" t="str">
        <f t="shared" si="19"/>
        <v>(${Variables:E4_1_1_20_kcat} * E4_1_1_20 * C00680)/(${Variables:E4_1_1_20_km} + (E4_1_1_20 * C00680))</v>
      </c>
      <c r="K423" s="54" t="str">
        <f t="shared" si="20"/>
        <v>r422: C00680 -&gt; C00047 + C00011 | (${Variables:E4_1_1_20_kcat} * E4_1_1_20 * C00680)/(${Variables:E4_1_1_20_km} + (E4_1_1_20 * C00680))</v>
      </c>
    </row>
    <row r="424" spans="1:11" ht="29">
      <c r="A424" s="11" t="s">
        <v>2686</v>
      </c>
      <c r="B424" s="11" t="s">
        <v>2687</v>
      </c>
      <c r="C424" s="11" t="s">
        <v>12573</v>
      </c>
      <c r="D424" s="60">
        <v>423</v>
      </c>
      <c r="E424" s="11" t="str">
        <f t="shared" si="18"/>
        <v>E3_6_1_7</v>
      </c>
      <c r="F424" s="11" t="s">
        <v>14132</v>
      </c>
      <c r="G424" s="11" t="s">
        <v>14133</v>
      </c>
      <c r="H424" s="11" t="s">
        <v>14134</v>
      </c>
      <c r="I424" s="11" t="s">
        <v>14135</v>
      </c>
      <c r="J424" s="61" t="str">
        <f t="shared" si="19"/>
        <v>(${Variables:E3_6_1_7_kcat} * E3_6_1_7 * C02133 * C00001)/(${Variables:E3_6_1_7_km} + (E3_6_1_7 * C02133 * C00001))</v>
      </c>
      <c r="K424" s="54" t="str">
        <f t="shared" si="20"/>
        <v>r423: C02133 + C00001 -&gt; C00060 + C00009 | (${Variables:E3_6_1_7_kcat} * E3_6_1_7 * C02133 * C00001)/(${Variables:E3_6_1_7_km} + (E3_6_1_7 * C02133 * C00001))</v>
      </c>
    </row>
    <row r="425" spans="1:11" ht="29">
      <c r="A425" s="11" t="s">
        <v>2686</v>
      </c>
      <c r="B425" s="11" t="s">
        <v>2687</v>
      </c>
      <c r="C425" s="11" t="s">
        <v>12573</v>
      </c>
      <c r="D425" s="60">
        <v>424</v>
      </c>
      <c r="E425" s="11" t="str">
        <f t="shared" si="18"/>
        <v>E3_6_1_7</v>
      </c>
      <c r="F425" s="11" t="s">
        <v>14136</v>
      </c>
      <c r="G425" s="11" t="s">
        <v>14137</v>
      </c>
      <c r="H425" s="11" t="s">
        <v>14138</v>
      </c>
      <c r="I425" s="11" t="s">
        <v>14139</v>
      </c>
      <c r="J425" s="61" t="str">
        <f t="shared" si="19"/>
        <v>(${Variables:E3_6_1_7_kcat} * E3_6_1_7 * C00277 * C00001)/(${Variables:E3_6_1_7_km} + (E3_6_1_7 * C00277 * C00001))</v>
      </c>
      <c r="K425" s="54" t="str">
        <f t="shared" si="20"/>
        <v>r424: C00277 + C00001 -&gt; C00033 + C00009 | (${Variables:E3_6_1_7_kcat} * E3_6_1_7 * C00277 * C00001)/(${Variables:E3_6_1_7_km} + (E3_6_1_7 * C00277 * C00001))</v>
      </c>
    </row>
    <row r="426" spans="1:11" ht="29">
      <c r="A426" s="11" t="s">
        <v>2686</v>
      </c>
      <c r="B426" s="11" t="s">
        <v>2687</v>
      </c>
      <c r="C426" s="11" t="s">
        <v>12573</v>
      </c>
      <c r="D426" s="60">
        <v>425</v>
      </c>
      <c r="E426" s="11" t="str">
        <f t="shared" si="18"/>
        <v>E3_6_1_7</v>
      </c>
      <c r="F426" s="11" t="s">
        <v>14140</v>
      </c>
      <c r="G426" s="11" t="s">
        <v>14141</v>
      </c>
      <c r="H426" s="11" t="s">
        <v>14142</v>
      </c>
      <c r="I426" s="11" t="s">
        <v>14143</v>
      </c>
      <c r="J426" s="61" t="str">
        <f t="shared" si="19"/>
        <v>(${Variables:E3_6_1_7_kcat} * E3_6_1_7 * C06206 * C00001)/(${Variables:E3_6_1_7_km} + (E3_6_1_7 * C06206 * C00001))</v>
      </c>
      <c r="K426" s="54" t="str">
        <f t="shared" si="20"/>
        <v>r425: C06206 + C00001 -&gt; C00180 + C00009 | (${Variables:E3_6_1_7_kcat} * E3_6_1_7 * C06206 * C00001)/(${Variables:E3_6_1_7_km} + (E3_6_1_7 * C06206 * C00001))</v>
      </c>
    </row>
    <row r="427" spans="1:11" ht="29">
      <c r="A427" s="11" t="s">
        <v>2686</v>
      </c>
      <c r="B427" s="11" t="s">
        <v>2687</v>
      </c>
      <c r="C427" s="11" t="s">
        <v>12573</v>
      </c>
      <c r="D427" s="60">
        <v>426</v>
      </c>
      <c r="E427" s="11" t="str">
        <f t="shared" si="18"/>
        <v>E3_6_1_7</v>
      </c>
      <c r="F427" s="11" t="s">
        <v>14144</v>
      </c>
      <c r="G427" s="11" t="s">
        <v>14145</v>
      </c>
      <c r="H427" s="11" t="s">
        <v>14146</v>
      </c>
      <c r="I427" s="11" t="s">
        <v>14147</v>
      </c>
      <c r="J427" s="61" t="str">
        <f t="shared" si="19"/>
        <v>(${Variables:E3_6_1_7_kcat} * E3_6_1_7 * C00236 * C00001)/(${Variables:E3_6_1_7_km} + (E3_6_1_7 * C00236 * C00001))</v>
      </c>
      <c r="K427" s="54" t="str">
        <f t="shared" si="20"/>
        <v>r426: C00236 + C00001 -&gt; C00197 + C00009 | (${Variables:E3_6_1_7_kcat} * E3_6_1_7 * C00236 * C00001)/(${Variables:E3_6_1_7_km} + (E3_6_1_7 * C00236 * C00001))</v>
      </c>
    </row>
    <row r="428" spans="1:11" ht="43.5">
      <c r="A428" s="11" t="s">
        <v>2696</v>
      </c>
      <c r="B428" s="11" t="s">
        <v>2697</v>
      </c>
      <c r="C428" s="11" t="s">
        <v>12392</v>
      </c>
      <c r="D428" s="60">
        <v>427</v>
      </c>
      <c r="E428" s="11" t="str">
        <f t="shared" si="18"/>
        <v>E6_3_1_1</v>
      </c>
      <c r="F428" s="11" t="s">
        <v>14148</v>
      </c>
      <c r="G428" s="11" t="s">
        <v>14149</v>
      </c>
      <c r="H428" s="11" t="s">
        <v>14150</v>
      </c>
      <c r="I428" s="11" t="s">
        <v>14151</v>
      </c>
      <c r="J428" s="61" t="str">
        <f t="shared" si="19"/>
        <v>(${Variables:E6_3_1_1_kcat} * E6_3_1_1 * C00002 * C00049 * C00014)/(${Variables:E6_3_1_1_km} + (E6_3_1_1 * C00002 * C00049 * C00014))</v>
      </c>
      <c r="K428" s="54" t="str">
        <f t="shared" si="20"/>
        <v>r427: C00002 + C00049 + C00014 -&gt; C00020 + C00013 + C00152 | (${Variables:E6_3_1_1_kcat} * E6_3_1_1 * C00002 * C00049 * C00014)/(${Variables:E6_3_1_1_km} + (E6_3_1_1 * C00002 * C00049 * C00014))</v>
      </c>
    </row>
    <row r="429" spans="1:11" ht="29">
      <c r="A429" s="11" t="s">
        <v>2710</v>
      </c>
      <c r="B429" s="11" t="s">
        <v>2711</v>
      </c>
      <c r="C429" s="11" t="s">
        <v>12394</v>
      </c>
      <c r="D429" s="60">
        <v>428</v>
      </c>
      <c r="E429" s="11" t="str">
        <f t="shared" si="18"/>
        <v>E2_5_1_7</v>
      </c>
      <c r="F429" s="11" t="s">
        <v>14152</v>
      </c>
      <c r="G429" s="11" t="s">
        <v>14153</v>
      </c>
      <c r="H429" s="11" t="s">
        <v>14154</v>
      </c>
      <c r="I429" s="11" t="s">
        <v>14155</v>
      </c>
      <c r="J429" s="61" t="str">
        <f t="shared" si="19"/>
        <v>(${Variables:E2_5_1_7_kcat} * E2_5_1_7 * C00074 * C00043)/(${Variables:E2_5_1_7_km} + (E2_5_1_7 * C00074 * C00043))</v>
      </c>
      <c r="K429" s="54" t="str">
        <f t="shared" si="20"/>
        <v>r428: C00074 + C00043 -&gt; C04631 + C00009 | (${Variables:E2_5_1_7_kcat} * E2_5_1_7 * C00074 * C00043)/(${Variables:E2_5_1_7_km} + (E2_5_1_7 * C00074 * C00043))</v>
      </c>
    </row>
    <row r="430" spans="1:11" ht="29">
      <c r="A430" s="11" t="s">
        <v>2736</v>
      </c>
      <c r="B430" s="11" t="s">
        <v>2737</v>
      </c>
      <c r="C430" s="11" t="s">
        <v>12395</v>
      </c>
      <c r="D430" s="60">
        <v>429</v>
      </c>
      <c r="E430" s="11" t="str">
        <f t="shared" si="18"/>
        <v>E2_7_4_6</v>
      </c>
      <c r="F430" s="11" t="s">
        <v>14156</v>
      </c>
      <c r="G430" s="11" t="s">
        <v>14157</v>
      </c>
      <c r="H430" s="11" t="s">
        <v>14158</v>
      </c>
      <c r="I430" s="11" t="s">
        <v>14159</v>
      </c>
      <c r="J430" s="61" t="str">
        <f t="shared" si="19"/>
        <v>(${Variables:E2_7_4_6_kcat} * E2_7_4_6 * C00002 * C00454)/(${Variables:E2_7_4_6_km} + (E2_7_4_6 * C00002 * C00454))</v>
      </c>
      <c r="K430" s="54" t="str">
        <f t="shared" si="20"/>
        <v>r429: C00002 + C00454 -&gt; C00008 + C00201 | (${Variables:E2_7_4_6_kcat} * E2_7_4_6 * C00002 * C00454)/(${Variables:E2_7_4_6_km} + (E2_7_4_6 * C00002 * C00454))</v>
      </c>
    </row>
    <row r="431" spans="1:11" ht="29">
      <c r="A431" s="11" t="s">
        <v>2736</v>
      </c>
      <c r="B431" s="11" t="s">
        <v>2737</v>
      </c>
      <c r="C431" s="11" t="s">
        <v>12395</v>
      </c>
      <c r="D431" s="60">
        <v>430</v>
      </c>
      <c r="E431" s="11" t="str">
        <f t="shared" si="18"/>
        <v>E2_7_4_6</v>
      </c>
      <c r="F431" s="11" t="s">
        <v>14160</v>
      </c>
      <c r="G431" s="11" t="s">
        <v>14161</v>
      </c>
      <c r="H431" s="11" t="s">
        <v>14162</v>
      </c>
      <c r="I431" s="11" t="s">
        <v>14163</v>
      </c>
      <c r="J431" s="61" t="str">
        <f t="shared" si="19"/>
        <v>(${Variables:E2_7_4_6_kcat} * E2_7_4_6 * C00002 * C00008)/(${Variables:E2_7_4_6_km} + (E2_7_4_6 * C00002 * C00008))</v>
      </c>
      <c r="K431" s="54" t="str">
        <f t="shared" si="20"/>
        <v>r430: C00002 + C00008 -&gt; C00008 + C00002 | (${Variables:E2_7_4_6_kcat} * E2_7_4_6 * C00002 * C00008)/(${Variables:E2_7_4_6_km} + (E2_7_4_6 * C00002 * C00008))</v>
      </c>
    </row>
    <row r="432" spans="1:11" ht="29">
      <c r="A432" s="11" t="s">
        <v>2736</v>
      </c>
      <c r="B432" s="11" t="s">
        <v>2737</v>
      </c>
      <c r="C432" s="11" t="s">
        <v>12395</v>
      </c>
      <c r="D432" s="60">
        <v>431</v>
      </c>
      <c r="E432" s="11" t="str">
        <f t="shared" si="18"/>
        <v>E2_7_4_6</v>
      </c>
      <c r="F432" s="11" t="s">
        <v>14164</v>
      </c>
      <c r="G432" s="11" t="s">
        <v>14165</v>
      </c>
      <c r="H432" s="11" t="s">
        <v>14166</v>
      </c>
      <c r="I432" s="11" t="s">
        <v>14167</v>
      </c>
      <c r="J432" s="61" t="str">
        <f t="shared" si="19"/>
        <v>(${Variables:E2_7_4_6_kcat} * E2_7_4_6 * C11038 * C00002)/(${Variables:E2_7_4_6_km} + (E2_7_4_6 * C11038 * C00002))</v>
      </c>
      <c r="K432" s="54" t="str">
        <f t="shared" si="20"/>
        <v>r431: C11038 + C00002 -&gt; C11039 + C00008 | (${Variables:E2_7_4_6_kcat} * E2_7_4_6 * C11038 * C00002)/(${Variables:E2_7_4_6_km} + (E2_7_4_6 * C11038 * C00002))</v>
      </c>
    </row>
    <row r="433" spans="1:11" ht="29">
      <c r="A433" s="11" t="s">
        <v>2736</v>
      </c>
      <c r="B433" s="11" t="s">
        <v>2737</v>
      </c>
      <c r="C433" s="11" t="s">
        <v>12395</v>
      </c>
      <c r="D433" s="60">
        <v>432</v>
      </c>
      <c r="E433" s="11" t="str">
        <f t="shared" si="18"/>
        <v>E2_7_4_6</v>
      </c>
      <c r="F433" s="11" t="s">
        <v>14168</v>
      </c>
      <c r="G433" s="11" t="s">
        <v>14169</v>
      </c>
      <c r="H433" s="11" t="s">
        <v>14170</v>
      </c>
      <c r="I433" s="11" t="s">
        <v>14171</v>
      </c>
      <c r="J433" s="61" t="str">
        <f t="shared" si="19"/>
        <v>(${Variables:E2_7_4_6_kcat} * E2_7_4_6 * C00002 * C00015)/(${Variables:E2_7_4_6_km} + (E2_7_4_6 * C00002 * C00015))</v>
      </c>
      <c r="K433" s="54" t="str">
        <f t="shared" si="20"/>
        <v>r432: C00002 + C00015 -&gt; C00008 + C00075 | (${Variables:E2_7_4_6_kcat} * E2_7_4_6 * C00002 * C00015)/(${Variables:E2_7_4_6_km} + (E2_7_4_6 * C00002 * C00015))</v>
      </c>
    </row>
    <row r="434" spans="1:11" ht="29">
      <c r="A434" s="11" t="s">
        <v>2736</v>
      </c>
      <c r="B434" s="11" t="s">
        <v>2737</v>
      </c>
      <c r="C434" s="11" t="s">
        <v>12395</v>
      </c>
      <c r="D434" s="60">
        <v>433</v>
      </c>
      <c r="E434" s="11" t="str">
        <f t="shared" si="18"/>
        <v>E2_7_4_6</v>
      </c>
      <c r="F434" s="11" t="s">
        <v>14172</v>
      </c>
      <c r="G434" s="11" t="s">
        <v>14173</v>
      </c>
      <c r="H434" s="11" t="s">
        <v>14174</v>
      </c>
      <c r="I434" s="11" t="s">
        <v>14175</v>
      </c>
      <c r="J434" s="61" t="str">
        <f t="shared" si="19"/>
        <v>(${Variables:E2_7_4_6_kcat} * E2_7_4_6 * C00002 * C00035)/(${Variables:E2_7_4_6_km} + (E2_7_4_6 * C00002 * C00035))</v>
      </c>
      <c r="K434" s="54" t="str">
        <f t="shared" si="20"/>
        <v>r433: C00002 + C00035 -&gt; C00008 + C00044 | (${Variables:E2_7_4_6_kcat} * E2_7_4_6 * C00002 * C00035)/(${Variables:E2_7_4_6_km} + (E2_7_4_6 * C00002 * C00035))</v>
      </c>
    </row>
    <row r="435" spans="1:11" ht="29">
      <c r="A435" s="11" t="s">
        <v>2736</v>
      </c>
      <c r="B435" s="11" t="s">
        <v>2737</v>
      </c>
      <c r="C435" s="11" t="s">
        <v>12395</v>
      </c>
      <c r="D435" s="60">
        <v>434</v>
      </c>
      <c r="E435" s="11" t="str">
        <f t="shared" si="18"/>
        <v>E2_7_4_6</v>
      </c>
      <c r="F435" s="11" t="s">
        <v>14176</v>
      </c>
      <c r="G435" s="11" t="s">
        <v>14177</v>
      </c>
      <c r="H435" s="11" t="s">
        <v>14178</v>
      </c>
      <c r="I435" s="11" t="s">
        <v>14179</v>
      </c>
      <c r="J435" s="61" t="str">
        <f t="shared" si="19"/>
        <v>(${Variables:E2_7_4_6_kcat} * E2_7_4_6 * C00002 * C00112)/(${Variables:E2_7_4_6_km} + (E2_7_4_6 * C00002 * C00112))</v>
      </c>
      <c r="K435" s="54" t="str">
        <f t="shared" si="20"/>
        <v>r434: C00002 + C00112 -&gt; C00008 + C00063 | (${Variables:E2_7_4_6_kcat} * E2_7_4_6 * C00002 * C00112)/(${Variables:E2_7_4_6_km} + (E2_7_4_6 * C00002 * C00112))</v>
      </c>
    </row>
    <row r="436" spans="1:11" ht="29">
      <c r="A436" s="11" t="s">
        <v>2736</v>
      </c>
      <c r="B436" s="11" t="s">
        <v>2737</v>
      </c>
      <c r="C436" s="11" t="s">
        <v>12395</v>
      </c>
      <c r="D436" s="60">
        <v>435</v>
      </c>
      <c r="E436" s="11" t="str">
        <f t="shared" si="18"/>
        <v>E2_7_4_6</v>
      </c>
      <c r="F436" s="11" t="s">
        <v>14180</v>
      </c>
      <c r="G436" s="11" t="s">
        <v>14181</v>
      </c>
      <c r="H436" s="11" t="s">
        <v>14182</v>
      </c>
      <c r="I436" s="11" t="s">
        <v>14183</v>
      </c>
      <c r="J436" s="61" t="str">
        <f t="shared" si="19"/>
        <v>(${Variables:E2_7_4_6_kcat} * E2_7_4_6 * C00002 * C00104)/(${Variables:E2_7_4_6_km} + (E2_7_4_6 * C00002 * C00104))</v>
      </c>
      <c r="K436" s="54" t="str">
        <f t="shared" si="20"/>
        <v>r435: C00002 + C00104 -&gt; C00008 + C00081 | (${Variables:E2_7_4_6_kcat} * E2_7_4_6 * C00002 * C00104)/(${Variables:E2_7_4_6_km} + (E2_7_4_6 * C00002 * C00104))</v>
      </c>
    </row>
    <row r="437" spans="1:11" ht="29">
      <c r="A437" s="11" t="s">
        <v>2736</v>
      </c>
      <c r="B437" s="11" t="s">
        <v>2737</v>
      </c>
      <c r="C437" s="11" t="s">
        <v>12395</v>
      </c>
      <c r="D437" s="60">
        <v>436</v>
      </c>
      <c r="E437" s="11" t="str">
        <f t="shared" si="18"/>
        <v>E2_7_4_6</v>
      </c>
      <c r="F437" s="11" t="s">
        <v>14184</v>
      </c>
      <c r="G437" s="11" t="s">
        <v>14185</v>
      </c>
      <c r="H437" s="11" t="s">
        <v>14186</v>
      </c>
      <c r="I437" s="11" t="s">
        <v>14187</v>
      </c>
      <c r="J437" s="61" t="str">
        <f t="shared" si="19"/>
        <v>(${Variables:E2_7_4_6_kcat} * E2_7_4_6 * C00002 * C00206)/(${Variables:E2_7_4_6_km} + (E2_7_4_6 * C00002 * C00206))</v>
      </c>
      <c r="K437" s="54" t="str">
        <f t="shared" si="20"/>
        <v>r436: C00002 + C00206 -&gt; C00008 + C00131 | (${Variables:E2_7_4_6_kcat} * E2_7_4_6 * C00002 * C00206)/(${Variables:E2_7_4_6_km} + (E2_7_4_6 * C00002 * C00206))</v>
      </c>
    </row>
    <row r="438" spans="1:11" ht="29">
      <c r="A438" s="11" t="s">
        <v>2736</v>
      </c>
      <c r="B438" s="11" t="s">
        <v>2737</v>
      </c>
      <c r="C438" s="11" t="s">
        <v>12395</v>
      </c>
      <c r="D438" s="60">
        <v>437</v>
      </c>
      <c r="E438" s="11" t="str">
        <f t="shared" si="18"/>
        <v>E2_7_4_6</v>
      </c>
      <c r="F438" s="11" t="s">
        <v>14188</v>
      </c>
      <c r="G438" s="11" t="s">
        <v>14189</v>
      </c>
      <c r="H438" s="11" t="s">
        <v>14190</v>
      </c>
      <c r="I438" s="11" t="s">
        <v>14191</v>
      </c>
      <c r="J438" s="61" t="str">
        <f t="shared" si="19"/>
        <v>(${Variables:E2_7_4_6_kcat} * E2_7_4_6 * C00002 * C00361)/(${Variables:E2_7_4_6_km} + (E2_7_4_6 * C00002 * C00361))</v>
      </c>
      <c r="K438" s="54" t="str">
        <f t="shared" si="20"/>
        <v>r437: C00002 + C00361 -&gt; C00008 + C00286 | (${Variables:E2_7_4_6_kcat} * E2_7_4_6 * C00002 * C00361)/(${Variables:E2_7_4_6_km} + (E2_7_4_6 * C00002 * C00361))</v>
      </c>
    </row>
    <row r="439" spans="1:11" ht="29">
      <c r="A439" s="11" t="s">
        <v>2736</v>
      </c>
      <c r="B439" s="11" t="s">
        <v>2737</v>
      </c>
      <c r="C439" s="11" t="s">
        <v>12395</v>
      </c>
      <c r="D439" s="60">
        <v>438</v>
      </c>
      <c r="E439" s="11" t="str">
        <f t="shared" si="18"/>
        <v>E2_7_4_6</v>
      </c>
      <c r="F439" s="11" t="s">
        <v>14192</v>
      </c>
      <c r="G439" s="11" t="s">
        <v>14193</v>
      </c>
      <c r="H439" s="11" t="s">
        <v>14194</v>
      </c>
      <c r="I439" s="11" t="s">
        <v>14195</v>
      </c>
      <c r="J439" s="61" t="str">
        <f t="shared" si="19"/>
        <v>(${Variables:E2_7_4_6_kcat} * E2_7_4_6 * C00002 * C00363)/(${Variables:E2_7_4_6_km} + (E2_7_4_6 * C00002 * C00363))</v>
      </c>
      <c r="K439" s="54" t="str">
        <f t="shared" si="20"/>
        <v>r438: C00002 + C00363 -&gt; C00008 + C00459 | (${Variables:E2_7_4_6_kcat} * E2_7_4_6 * C00002 * C00363)/(${Variables:E2_7_4_6_km} + (E2_7_4_6 * C00002 * C00363))</v>
      </c>
    </row>
    <row r="440" spans="1:11" ht="29">
      <c r="A440" s="11" t="s">
        <v>2736</v>
      </c>
      <c r="B440" s="11" t="s">
        <v>2737</v>
      </c>
      <c r="C440" s="11" t="s">
        <v>12395</v>
      </c>
      <c r="D440" s="60">
        <v>439</v>
      </c>
      <c r="E440" s="11" t="str">
        <f t="shared" si="18"/>
        <v>E2_7_4_6</v>
      </c>
      <c r="F440" s="11" t="s">
        <v>14196</v>
      </c>
      <c r="G440" s="11" t="s">
        <v>14197</v>
      </c>
      <c r="H440" s="11" t="s">
        <v>14198</v>
      </c>
      <c r="I440" s="11" t="s">
        <v>14199</v>
      </c>
      <c r="J440" s="61" t="str">
        <f t="shared" si="19"/>
        <v>(${Variables:E2_7_4_6_kcat} * E2_7_4_6 * C00002 * C00705)/(${Variables:E2_7_4_6_km} + (E2_7_4_6 * C00002 * C00705))</v>
      </c>
      <c r="K440" s="54" t="str">
        <f t="shared" si="20"/>
        <v>r439: C00002 + C00705 -&gt; C00008 + C00458 | (${Variables:E2_7_4_6_kcat} * E2_7_4_6 * C00002 * C00705)/(${Variables:E2_7_4_6_km} + (E2_7_4_6 * C00002 * C00705))</v>
      </c>
    </row>
    <row r="441" spans="1:11" ht="29">
      <c r="A441" s="11" t="s">
        <v>2736</v>
      </c>
      <c r="B441" s="11" t="s">
        <v>2737</v>
      </c>
      <c r="C441" s="11" t="s">
        <v>12395</v>
      </c>
      <c r="D441" s="60">
        <v>440</v>
      </c>
      <c r="E441" s="11" t="str">
        <f t="shared" si="18"/>
        <v>E2_7_4_6</v>
      </c>
      <c r="F441" s="11" t="s">
        <v>14200</v>
      </c>
      <c r="G441" s="11" t="s">
        <v>14201</v>
      </c>
      <c r="H441" s="11" t="s">
        <v>14202</v>
      </c>
      <c r="I441" s="11" t="s">
        <v>14203</v>
      </c>
      <c r="J441" s="61" t="str">
        <f t="shared" si="19"/>
        <v>(${Variables:E2_7_4_6_kcat} * E2_7_4_6 * C00002 * C01346)/(${Variables:E2_7_4_6_km} + (E2_7_4_6 * C00002 * C01346))</v>
      </c>
      <c r="K441" s="54" t="str">
        <f t="shared" si="20"/>
        <v>r440: C00002 + C01346 -&gt; C00008 + C00460 | (${Variables:E2_7_4_6_kcat} * E2_7_4_6 * C00002 * C01346)/(${Variables:E2_7_4_6_km} + (E2_7_4_6 * C00002 * C01346))</v>
      </c>
    </row>
    <row r="442" spans="1:11" ht="29">
      <c r="A442" s="11" t="s">
        <v>2736</v>
      </c>
      <c r="B442" s="11" t="s">
        <v>2737</v>
      </c>
      <c r="C442" s="11" t="s">
        <v>12395</v>
      </c>
      <c r="D442" s="60">
        <v>441</v>
      </c>
      <c r="E442" s="11" t="str">
        <f t="shared" si="18"/>
        <v>E2_7_4_6</v>
      </c>
      <c r="F442" s="11" t="s">
        <v>14204</v>
      </c>
      <c r="G442" s="11" t="s">
        <v>14205</v>
      </c>
      <c r="H442" s="11" t="s">
        <v>14206</v>
      </c>
      <c r="I442" s="11" t="s">
        <v>14207</v>
      </c>
      <c r="J442" s="61" t="str">
        <f t="shared" si="19"/>
        <v>(${Variables:E2_7_4_6_kcat} * E2_7_4_6 * C00002 * C01344)/(${Variables:E2_7_4_6_km} + (E2_7_4_6 * C00002 * C01344))</v>
      </c>
      <c r="K442" s="54" t="str">
        <f t="shared" si="20"/>
        <v>r441: C00002 + C01344 -&gt; C00008 + C01345 | (${Variables:E2_7_4_6_kcat} * E2_7_4_6 * C00002 * C01344)/(${Variables:E2_7_4_6_km} + (E2_7_4_6 * C00002 * C01344))</v>
      </c>
    </row>
    <row r="443" spans="1:11" ht="29">
      <c r="A443" s="11" t="s">
        <v>2736</v>
      </c>
      <c r="B443" s="11" t="s">
        <v>2737</v>
      </c>
      <c r="C443" s="11" t="s">
        <v>12395</v>
      </c>
      <c r="D443" s="60">
        <v>442</v>
      </c>
      <c r="E443" s="11" t="str">
        <f t="shared" si="18"/>
        <v>E2_7_4_6</v>
      </c>
      <c r="F443" s="11" t="s">
        <v>14208</v>
      </c>
      <c r="G443" s="11" t="s">
        <v>14209</v>
      </c>
      <c r="H443" s="11" t="s">
        <v>14210</v>
      </c>
      <c r="I443" s="11" t="s">
        <v>14211</v>
      </c>
      <c r="J443" s="61" t="str">
        <f t="shared" si="19"/>
        <v>(${Variables:E2_7_4_6_kcat} * E2_7_4_6 * C22442 * C00002)/(${Variables:E2_7_4_6_km} + (E2_7_4_6 * C22442 * C00002))</v>
      </c>
      <c r="K443" s="54" t="str">
        <f t="shared" si="20"/>
        <v>r442: C22442 + C00002 -&gt; C22443 + C00008 | (${Variables:E2_7_4_6_kcat} * E2_7_4_6 * C22442 * C00002)/(${Variables:E2_7_4_6_km} + (E2_7_4_6 * C22442 * C00002))</v>
      </c>
    </row>
    <row r="444" spans="1:11" ht="29">
      <c r="A444" s="11" t="s">
        <v>2736</v>
      </c>
      <c r="B444" s="11" t="s">
        <v>2737</v>
      </c>
      <c r="C444" s="11" t="s">
        <v>12395</v>
      </c>
      <c r="D444" s="60">
        <v>443</v>
      </c>
      <c r="E444" s="11" t="str">
        <f t="shared" si="18"/>
        <v>E2_7_4_6</v>
      </c>
      <c r="F444" s="11" t="s">
        <v>14212</v>
      </c>
      <c r="G444" s="11" t="s">
        <v>14213</v>
      </c>
      <c r="H444" s="11" t="s">
        <v>14214</v>
      </c>
      <c r="I444" s="11" t="s">
        <v>14215</v>
      </c>
      <c r="J444" s="61" t="str">
        <f t="shared" si="19"/>
        <v>(${Variables:E2_7_4_6_kcat} * E2_7_4_6 * C00002 * C21748)/(${Variables:E2_7_4_6_km} + (E2_7_4_6 * C00002 * C21748))</v>
      </c>
      <c r="K444" s="54" t="str">
        <f t="shared" si="20"/>
        <v>r443: C00002 + C21748 -&gt; C00008 + C21749 | (${Variables:E2_7_4_6_kcat} * E2_7_4_6 * C00002 * C21748)/(${Variables:E2_7_4_6_km} + (E2_7_4_6 * C00002 * C21748))</v>
      </c>
    </row>
    <row r="445" spans="1:11" ht="29">
      <c r="A445" s="11" t="s">
        <v>2736</v>
      </c>
      <c r="B445" s="11" t="s">
        <v>2737</v>
      </c>
      <c r="C445" s="11" t="s">
        <v>12395</v>
      </c>
      <c r="D445" s="60">
        <v>444</v>
      </c>
      <c r="E445" s="11" t="str">
        <f t="shared" si="18"/>
        <v>E2_7_4_6</v>
      </c>
      <c r="F445" s="11" t="s">
        <v>14216</v>
      </c>
      <c r="G445" s="11" t="s">
        <v>14217</v>
      </c>
      <c r="H445" s="11" t="s">
        <v>14218</v>
      </c>
      <c r="I445" s="11" t="s">
        <v>14219</v>
      </c>
      <c r="J445" s="61" t="str">
        <f t="shared" si="19"/>
        <v>(${Variables:E2_7_4_6_kcat} * E2_7_4_6 * C00002 * C21750)/(${Variables:E2_7_4_6_km} + (E2_7_4_6 * C00002 * C21750))</v>
      </c>
      <c r="K445" s="54" t="str">
        <f t="shared" si="20"/>
        <v>r444: C00002 + C21750 -&gt; C00008 + C21751 | (${Variables:E2_7_4_6_kcat} * E2_7_4_6 * C00002 * C21750)/(${Variables:E2_7_4_6_km} + (E2_7_4_6 * C00002 * C21750))</v>
      </c>
    </row>
    <row r="446" spans="1:11" ht="29">
      <c r="A446" s="11" t="s">
        <v>2821</v>
      </c>
      <c r="B446" s="11" t="s">
        <v>2822</v>
      </c>
      <c r="C446" s="11" t="s">
        <v>12490</v>
      </c>
      <c r="D446" s="60">
        <v>445</v>
      </c>
      <c r="E446" s="11" t="str">
        <f t="shared" si="18"/>
        <v>E2_7_7_27</v>
      </c>
      <c r="F446" s="11" t="s">
        <v>14220</v>
      </c>
      <c r="G446" s="11" t="s">
        <v>14221</v>
      </c>
      <c r="H446" s="11" t="s">
        <v>14222</v>
      </c>
      <c r="I446" s="11" t="s">
        <v>14223</v>
      </c>
      <c r="J446" s="61" t="str">
        <f t="shared" si="19"/>
        <v>(${Variables:E2_7_7_27_kcat} * E2_7_7_27 * C00002 * C00103)/(${Variables:E2_7_7_27_km} + (E2_7_7_27 * C00002 * C00103))</v>
      </c>
      <c r="K446" s="54" t="str">
        <f t="shared" si="20"/>
        <v>r445: C00002 + C00103 -&gt; C00013 + C00498 | (${Variables:E2_7_7_27_kcat} * E2_7_7_27 * C00002 * C00103)/(${Variables:E2_7_7_27_km} + (E2_7_7_27 * C00002 * C00103))</v>
      </c>
    </row>
    <row r="447" spans="1:11" ht="43.5">
      <c r="A447" s="11" t="s">
        <v>2855</v>
      </c>
      <c r="B447" s="11" t="s">
        <v>2856</v>
      </c>
      <c r="C447" s="11" t="s">
        <v>12574</v>
      </c>
      <c r="D447" s="60">
        <v>446</v>
      </c>
      <c r="E447" s="11" t="str">
        <f t="shared" si="18"/>
        <v>E6_1_1_20</v>
      </c>
      <c r="F447" s="11" t="s">
        <v>14224</v>
      </c>
      <c r="G447" s="11" t="s">
        <v>14225</v>
      </c>
      <c r="H447" s="11" t="s">
        <v>14226</v>
      </c>
      <c r="I447" s="11" t="s">
        <v>14227</v>
      </c>
      <c r="J447" s="61" t="str">
        <f t="shared" si="19"/>
        <v>(${Variables:E6_1_1_20_kcat} * E6_1_1_20 * C00002 * C00079 * C01648)/(${Variables:E6_1_1_20_km} + (E6_1_1_20 * C00002 * C00079 * C01648))</v>
      </c>
      <c r="K447" s="54" t="str">
        <f t="shared" si="20"/>
        <v>r446: C00002 + C00079 + C01648 -&gt; C00020 + C00013 + C03511 | (${Variables:E6_1_1_20_kcat} * E6_1_1_20 * C00002 * C00079 * C01648)/(${Variables:E6_1_1_20_km} + (E6_1_1_20 * C00002 * C00079 * C01648))</v>
      </c>
    </row>
    <row r="448" spans="1:11" ht="43.5">
      <c r="A448" s="11" t="s">
        <v>2911</v>
      </c>
      <c r="B448" s="11" t="s">
        <v>2912</v>
      </c>
      <c r="C448" s="11" t="s">
        <v>12576</v>
      </c>
      <c r="D448" s="60">
        <v>447</v>
      </c>
      <c r="E448" s="11" t="str">
        <f t="shared" si="18"/>
        <v>E6_3_4_15</v>
      </c>
      <c r="F448" s="11" t="s">
        <v>14228</v>
      </c>
      <c r="G448" s="11" t="s">
        <v>14229</v>
      </c>
      <c r="H448" s="11" t="s">
        <v>14230</v>
      </c>
      <c r="I448" s="11" t="s">
        <v>14231</v>
      </c>
      <c r="J448" s="61" t="str">
        <f t="shared" si="19"/>
        <v>(${Variables:E6_3_4_15_kcat} * E6_3_4_15 * C00002 * C00120 * C04735)/(${Variables:E6_3_4_15_km} + (E6_3_4_15 * C00002 * C00120 * C04735))</v>
      </c>
      <c r="K448" s="54" t="str">
        <f t="shared" si="20"/>
        <v>r447: C00002 + C00120 + C04735 -&gt; C00020 + C00013 + C04681 | (${Variables:E6_3_4_15_kcat} * E6_3_4_15 * C00002 * C00120 * C04735)/(${Variables:E6_3_4_15_km} + (E6_3_4_15 * C00002 * C00120 * C04735))</v>
      </c>
    </row>
    <row r="449" spans="1:11" ht="29">
      <c r="A449" s="11" t="s">
        <v>2911</v>
      </c>
      <c r="B449" s="11" t="s">
        <v>2912</v>
      </c>
      <c r="C449" s="11" t="s">
        <v>12576</v>
      </c>
      <c r="D449" s="60">
        <v>448</v>
      </c>
      <c r="E449" s="11" t="str">
        <f t="shared" si="18"/>
        <v>E6_3_4_15</v>
      </c>
      <c r="F449" s="11" t="s">
        <v>14232</v>
      </c>
      <c r="G449" s="11" t="s">
        <v>14233</v>
      </c>
      <c r="H449" s="11" t="s">
        <v>14234</v>
      </c>
      <c r="I449" s="11" t="s">
        <v>14235</v>
      </c>
      <c r="J449" s="61" t="str">
        <f t="shared" si="19"/>
        <v>(${Variables:E6_3_4_15_kcat} * E6_3_4_15 * C00002 * C00120)/(${Variables:E6_3_4_15_km} + (E6_3_4_15 * C00002 * C00120))</v>
      </c>
      <c r="K449" s="54" t="str">
        <f t="shared" si="20"/>
        <v>r448: C00002 + C00120 -&gt; C00013 + C05921 | (${Variables:E6_3_4_15_kcat} * E6_3_4_15 * C00002 * C00120)/(${Variables:E6_3_4_15_km} + (E6_3_4_15 * C00002 * C00120))</v>
      </c>
    </row>
    <row r="450" spans="1:11" ht="29">
      <c r="A450" s="11" t="s">
        <v>2911</v>
      </c>
      <c r="B450" s="11" t="s">
        <v>2912</v>
      </c>
      <c r="C450" s="11" t="s">
        <v>12576</v>
      </c>
      <c r="D450" s="60">
        <v>449</v>
      </c>
      <c r="E450" s="11" t="str">
        <f t="shared" si="18"/>
        <v>E6_3_4_15</v>
      </c>
      <c r="F450" s="11" t="s">
        <v>14236</v>
      </c>
      <c r="G450" s="11" t="s">
        <v>14237</v>
      </c>
      <c r="H450" s="11" t="s">
        <v>14238</v>
      </c>
      <c r="I450" s="11" t="s">
        <v>14239</v>
      </c>
      <c r="J450" s="61" t="str">
        <f t="shared" si="19"/>
        <v>(${Variables:E6_3_4_15_kcat} * E6_3_4_15 * C05921 * C06249)/(${Variables:E6_3_4_15_km} + (E6_3_4_15 * C05921 * C06249))</v>
      </c>
      <c r="K450" s="54" t="str">
        <f t="shared" si="20"/>
        <v>r449: C05921 + C06249 -&gt; C00020 + C06250 | (${Variables:E6_3_4_15_kcat} * E6_3_4_15 * C05921 * C06249)/(${Variables:E6_3_4_15_km} + (E6_3_4_15 * C05921 * C06249))</v>
      </c>
    </row>
    <row r="451" spans="1:11" ht="29">
      <c r="A451" s="11" t="s">
        <v>2933</v>
      </c>
      <c r="B451" s="11" t="s">
        <v>2934</v>
      </c>
      <c r="C451" s="11" t="s">
        <v>12577</v>
      </c>
      <c r="D451" s="60">
        <v>450</v>
      </c>
      <c r="E451" s="11" t="str">
        <f t="shared" ref="E451:E514" si="21">CONCATENATE("E",C451)</f>
        <v>E2_4_1_7</v>
      </c>
      <c r="F451" s="11" t="s">
        <v>14240</v>
      </c>
      <c r="G451" s="11" t="s">
        <v>14241</v>
      </c>
      <c r="H451" s="11" t="s">
        <v>14242</v>
      </c>
      <c r="I451" s="11" t="s">
        <v>14243</v>
      </c>
      <c r="J451" s="61" t="str">
        <f t="shared" ref="J451:J514" si="22">CONCATENATE("(${Variables:",E451,"_kcat","} * ",E451," * ",G451,")","/(${Variables:",E451,"_km","} + (",E451," * ",G451,"))")</f>
        <v>(${Variables:E2_4_1_7_kcat} * E2_4_1_7 * C00089 * C00009)/(${Variables:E2_4_1_7_km} + (E2_4_1_7 * C00089 * C00009))</v>
      </c>
      <c r="K451" s="54" t="str">
        <f t="shared" ref="K451:K514" si="23">CONCATENATE("r",D451,": ",F451," -&gt; ",H451," | ",J451)</f>
        <v>r450: C00089 + C00009 -&gt; C00095 + C00103 | (${Variables:E2_4_1_7_kcat} * E2_4_1_7 * C00089 * C00009)/(${Variables:E2_4_1_7_km} + (E2_4_1_7 * C00089 * C00009))</v>
      </c>
    </row>
    <row r="452" spans="1:11" ht="29">
      <c r="A452" s="11" t="s">
        <v>2933</v>
      </c>
      <c r="B452" s="11" t="s">
        <v>2934</v>
      </c>
      <c r="C452" s="11" t="s">
        <v>12577</v>
      </c>
      <c r="D452" s="60">
        <v>451</v>
      </c>
      <c r="E452" s="11" t="str">
        <f t="shared" si="21"/>
        <v>E2_4_1_7</v>
      </c>
      <c r="F452" s="11" t="s">
        <v>14244</v>
      </c>
      <c r="G452" s="11" t="s">
        <v>14245</v>
      </c>
      <c r="H452" s="11" t="s">
        <v>14242</v>
      </c>
      <c r="I452" s="11" t="s">
        <v>14243</v>
      </c>
      <c r="J452" s="61" t="str">
        <f t="shared" si="22"/>
        <v>(${Variables:E2_4_1_7_kcat} * E2_4_1_7 * G00370 * C00009)/(${Variables:E2_4_1_7_km} + (E2_4_1_7 * G00370 * C00009))</v>
      </c>
      <c r="K452" s="54" t="str">
        <f t="shared" si="23"/>
        <v>r451: G00370 + C00009 -&gt; C00095 + C00103 | (${Variables:E2_4_1_7_kcat} * E2_4_1_7 * G00370 * C00009)/(${Variables:E2_4_1_7_km} + (E2_4_1_7 * G00370 * C00009))</v>
      </c>
    </row>
    <row r="453" spans="1:11" ht="29">
      <c r="A453" s="11" t="s">
        <v>2980</v>
      </c>
      <c r="B453" s="11" t="s">
        <v>2981</v>
      </c>
      <c r="C453" s="11" t="s">
        <v>12578</v>
      </c>
      <c r="D453" s="60">
        <v>452</v>
      </c>
      <c r="E453" s="11" t="str">
        <f t="shared" si="21"/>
        <v>E3_2_1_93</v>
      </c>
      <c r="F453" s="11" t="s">
        <v>14246</v>
      </c>
      <c r="G453" s="11" t="s">
        <v>14247</v>
      </c>
      <c r="H453" s="11" t="s">
        <v>13166</v>
      </c>
      <c r="I453" s="11" t="s">
        <v>13167</v>
      </c>
      <c r="J453" s="61" t="str">
        <f t="shared" si="22"/>
        <v>(${Variables:E3_2_1_93_kcat} * E3_2_1_93 * C00001 * C00689)/(${Variables:E3_2_1_93_km} + (E3_2_1_93 * C00001 * C00689))</v>
      </c>
      <c r="K453" s="54" t="str">
        <f t="shared" si="23"/>
        <v>r452: C00001 + C00689 -&gt; C00031 + C00092 | (${Variables:E3_2_1_93_kcat} * E3_2_1_93 * C00001 * C00689)/(${Variables:E3_2_1_93_km} + (E3_2_1_93 * C00001 * C00689))</v>
      </c>
    </row>
    <row r="454" spans="1:11" ht="29">
      <c r="A454" s="11" t="s">
        <v>2980</v>
      </c>
      <c r="B454" s="11" t="s">
        <v>2981</v>
      </c>
      <c r="C454" s="11" t="s">
        <v>12578</v>
      </c>
      <c r="D454" s="60">
        <v>453</v>
      </c>
      <c r="E454" s="11" t="str">
        <f t="shared" si="21"/>
        <v>E3_2_1_93</v>
      </c>
      <c r="F454" s="11" t="s">
        <v>14248</v>
      </c>
      <c r="G454" s="11" t="s">
        <v>14249</v>
      </c>
      <c r="H454" s="11" t="s">
        <v>13166</v>
      </c>
      <c r="I454" s="11" t="s">
        <v>13167</v>
      </c>
      <c r="J454" s="61" t="str">
        <f t="shared" si="22"/>
        <v>(${Variables:E3_2_1_93_kcat} * E3_2_1_93 * C00001 * G09795)/(${Variables:E3_2_1_93_km} + (E3_2_1_93 * C00001 * G09795))</v>
      </c>
      <c r="K454" s="54" t="str">
        <f t="shared" si="23"/>
        <v>r453: C00001 + G09795 -&gt; C00031 + C00092 | (${Variables:E3_2_1_93_kcat} * E3_2_1_93 * C00001 * G09795)/(${Variables:E3_2_1_93_km} + (E3_2_1_93 * C00001 * G09795))</v>
      </c>
    </row>
    <row r="455" spans="1:11" ht="29">
      <c r="A455" s="11" t="s">
        <v>2987</v>
      </c>
      <c r="B455" s="11" t="s">
        <v>2988</v>
      </c>
      <c r="C455" s="11" t="s">
        <v>12579</v>
      </c>
      <c r="D455" s="60">
        <v>454</v>
      </c>
      <c r="E455" s="11" t="str">
        <f t="shared" si="21"/>
        <v>E5_1_1_3</v>
      </c>
      <c r="F455" s="11" t="s">
        <v>8818</v>
      </c>
      <c r="G455" s="11" t="s">
        <v>8818</v>
      </c>
      <c r="H455" s="11" t="s">
        <v>8819</v>
      </c>
      <c r="I455" s="11" t="s">
        <v>8819</v>
      </c>
      <c r="J455" s="61" t="str">
        <f t="shared" si="22"/>
        <v>(${Variables:E5_1_1_3_kcat} * E5_1_1_3 * C00025)/(${Variables:E5_1_1_3_km} + (E5_1_1_3 * C00025))</v>
      </c>
      <c r="K455" s="54" t="str">
        <f t="shared" si="23"/>
        <v>r454: C00025 -&gt; C00217 | (${Variables:E5_1_1_3_kcat} * E5_1_1_3 * C00025)/(${Variables:E5_1_1_3_km} + (E5_1_1_3 * C00025))</v>
      </c>
    </row>
    <row r="456" spans="1:11" ht="29">
      <c r="A456" s="11" t="s">
        <v>3071</v>
      </c>
      <c r="B456" s="11" t="s">
        <v>3072</v>
      </c>
      <c r="C456" s="11" t="s">
        <v>12581</v>
      </c>
      <c r="D456" s="60">
        <v>455</v>
      </c>
      <c r="E456" s="11" t="str">
        <f t="shared" si="21"/>
        <v>E1_1_1_90</v>
      </c>
      <c r="F456" s="11" t="s">
        <v>14250</v>
      </c>
      <c r="G456" s="11" t="s">
        <v>14251</v>
      </c>
      <c r="H456" s="11" t="s">
        <v>14252</v>
      </c>
      <c r="I456" s="11" t="s">
        <v>14253</v>
      </c>
      <c r="J456" s="61" t="str">
        <f t="shared" si="22"/>
        <v>(${Variables:E1_1_1_90_kcat} * E1_1_1_90 * C03485 * C00003)/(${Variables:E1_1_1_90_km} + (E1_1_1_90 * C03485 * C00003))</v>
      </c>
      <c r="K456" s="54" t="str">
        <f t="shared" si="23"/>
        <v>r455: C03485 + C00003 -&gt; C00193 + C00004 + C00080 | (${Variables:E1_1_1_90_kcat} * E1_1_1_90 * C03485 * C00003)/(${Variables:E1_1_1_90_km} + (E1_1_1_90 * C03485 * C00003))</v>
      </c>
    </row>
    <row r="457" spans="1:11" ht="29">
      <c r="A457" s="11" t="s">
        <v>3071</v>
      </c>
      <c r="B457" s="11" t="s">
        <v>3072</v>
      </c>
      <c r="C457" s="11" t="s">
        <v>12581</v>
      </c>
      <c r="D457" s="60">
        <v>456</v>
      </c>
      <c r="E457" s="11" t="str">
        <f t="shared" si="21"/>
        <v>E1_1_1_90</v>
      </c>
      <c r="F457" s="11" t="s">
        <v>14254</v>
      </c>
      <c r="G457" s="11" t="s">
        <v>14255</v>
      </c>
      <c r="H457" s="11" t="s">
        <v>14256</v>
      </c>
      <c r="I457" s="11" t="s">
        <v>14257</v>
      </c>
      <c r="J457" s="61" t="str">
        <f t="shared" si="22"/>
        <v>(${Variables:E1_1_1_90_kcat} * E1_1_1_90 * C00556 * C00003)/(${Variables:E1_1_1_90_km} + (E1_1_1_90 * C00556 * C00003))</v>
      </c>
      <c r="K457" s="54" t="str">
        <f t="shared" si="23"/>
        <v>r456: C00556 + C00003 -&gt; C00261 + C00004 + C00080 | (${Variables:E1_1_1_90_kcat} * E1_1_1_90 * C00556 * C00003)/(${Variables:E1_1_1_90_km} + (E1_1_1_90 * C00556 * C00003))</v>
      </c>
    </row>
    <row r="458" spans="1:11" ht="29">
      <c r="A458" s="11" t="s">
        <v>3071</v>
      </c>
      <c r="B458" s="11" t="s">
        <v>3072</v>
      </c>
      <c r="C458" s="11" t="s">
        <v>12581</v>
      </c>
      <c r="D458" s="60">
        <v>457</v>
      </c>
      <c r="E458" s="11" t="str">
        <f t="shared" si="21"/>
        <v>E1_1_1_90</v>
      </c>
      <c r="F458" s="11" t="s">
        <v>14258</v>
      </c>
      <c r="G458" s="11" t="s">
        <v>14259</v>
      </c>
      <c r="H458" s="11" t="s">
        <v>14260</v>
      </c>
      <c r="I458" s="11" t="s">
        <v>14261</v>
      </c>
      <c r="J458" s="61" t="str">
        <f t="shared" si="22"/>
        <v>(${Variables:E1_1_1_90_kcat} * E1_1_1_90 * C05853 * C00003)/(${Variables:E1_1_1_90_km} + (E1_1_1_90 * C05853 * C00003))</v>
      </c>
      <c r="K458" s="54" t="str">
        <f t="shared" si="23"/>
        <v>r457: C05853 + C00003 -&gt; C00601 + C00004 + C00080 | (${Variables:E1_1_1_90_kcat} * E1_1_1_90 * C05853 * C00003)/(${Variables:E1_1_1_90_km} + (E1_1_1_90 * C05853 * C00003))</v>
      </c>
    </row>
    <row r="459" spans="1:11" ht="29">
      <c r="A459" s="11" t="s">
        <v>3071</v>
      </c>
      <c r="B459" s="11" t="s">
        <v>3072</v>
      </c>
      <c r="C459" s="11" t="s">
        <v>12581</v>
      </c>
      <c r="D459" s="60">
        <v>458</v>
      </c>
      <c r="E459" s="11" t="str">
        <f t="shared" si="21"/>
        <v>E1_1_1_90</v>
      </c>
      <c r="F459" s="11" t="s">
        <v>14262</v>
      </c>
      <c r="G459" s="11" t="s">
        <v>14263</v>
      </c>
      <c r="H459" s="11" t="s">
        <v>14264</v>
      </c>
      <c r="I459" s="11" t="s">
        <v>14265</v>
      </c>
      <c r="J459" s="61" t="str">
        <f t="shared" si="22"/>
        <v>(${Variables:E1_1_1_90_kcat} * E1_1_1_90 * C06044 * C00003)/(${Variables:E1_1_1_90_km} + (E1_1_1_90 * C06044 * C00003))</v>
      </c>
      <c r="K459" s="54" t="str">
        <f t="shared" si="23"/>
        <v>r458: C06044 + C00003 -&gt; C03765 + C00004 + C00080 | (${Variables:E1_1_1_90_kcat} * E1_1_1_90 * C06044 * C00003)/(${Variables:E1_1_1_90_km} + (E1_1_1_90 * C06044 * C00003))</v>
      </c>
    </row>
    <row r="460" spans="1:11" ht="29">
      <c r="A460" s="11" t="s">
        <v>3071</v>
      </c>
      <c r="B460" s="11" t="s">
        <v>3072</v>
      </c>
      <c r="C460" s="11" t="s">
        <v>12581</v>
      </c>
      <c r="D460" s="60">
        <v>459</v>
      </c>
      <c r="E460" s="11" t="str">
        <f t="shared" si="21"/>
        <v>E1_1_1_90</v>
      </c>
      <c r="F460" s="11" t="s">
        <v>14266</v>
      </c>
      <c r="G460" s="11" t="s">
        <v>14267</v>
      </c>
      <c r="H460" s="11" t="s">
        <v>14268</v>
      </c>
      <c r="I460" s="11" t="s">
        <v>14269</v>
      </c>
      <c r="J460" s="61" t="str">
        <f t="shared" si="22"/>
        <v>(${Variables:E1_1_1_90_kcat} * E1_1_1_90 * C06757 * C00003)/(${Variables:E1_1_1_90_km} + (E1_1_1_90 * C06757 * C00003))</v>
      </c>
      <c r="K460" s="54" t="str">
        <f t="shared" si="23"/>
        <v>r459: C06757 + C00003 -&gt; C06758 + C00004 + C00080 | (${Variables:E1_1_1_90_kcat} * E1_1_1_90 * C06757 * C00003)/(${Variables:E1_1_1_90_km} + (E1_1_1_90 * C06757 * C00003))</v>
      </c>
    </row>
    <row r="461" spans="1:11" ht="29">
      <c r="A461" s="11" t="s">
        <v>3071</v>
      </c>
      <c r="B461" s="11" t="s">
        <v>3072</v>
      </c>
      <c r="C461" s="11" t="s">
        <v>12581</v>
      </c>
      <c r="D461" s="60">
        <v>460</v>
      </c>
      <c r="E461" s="11" t="str">
        <f t="shared" si="21"/>
        <v>E1_1_1_90</v>
      </c>
      <c r="F461" s="11" t="s">
        <v>14270</v>
      </c>
      <c r="G461" s="11" t="s">
        <v>14271</v>
      </c>
      <c r="H461" s="11" t="s">
        <v>14272</v>
      </c>
      <c r="I461" s="11" t="s">
        <v>14273</v>
      </c>
      <c r="J461" s="61" t="str">
        <f t="shared" si="22"/>
        <v>(${Variables:E1_1_1_90_kcat} * E1_1_1_90 * C07216 * C00003)/(${Variables:E1_1_1_90_km} + (E1_1_1_90 * C07216 * C00003))</v>
      </c>
      <c r="K461" s="54" t="str">
        <f t="shared" si="23"/>
        <v>r460: C07216 + C00003 -&gt; C07209 + C00004 + C00080 | (${Variables:E1_1_1_90_kcat} * E1_1_1_90 * C07216 * C00003)/(${Variables:E1_1_1_90_km} + (E1_1_1_90 * C07216 * C00003))</v>
      </c>
    </row>
    <row r="462" spans="1:11" ht="29">
      <c r="A462" s="11" t="s">
        <v>3071</v>
      </c>
      <c r="B462" s="11" t="s">
        <v>3072</v>
      </c>
      <c r="C462" s="11" t="s">
        <v>12581</v>
      </c>
      <c r="D462" s="60">
        <v>461</v>
      </c>
      <c r="E462" s="11" t="str">
        <f t="shared" si="21"/>
        <v>E1_1_1_90</v>
      </c>
      <c r="F462" s="11" t="s">
        <v>14274</v>
      </c>
      <c r="G462" s="11" t="s">
        <v>14275</v>
      </c>
      <c r="H462" s="11" t="s">
        <v>14276</v>
      </c>
      <c r="I462" s="11" t="s">
        <v>14277</v>
      </c>
      <c r="J462" s="61" t="str">
        <f t="shared" si="22"/>
        <v>(${Variables:E1_1_1_90_kcat} * E1_1_1_90 * C07213 * C00003)/(${Variables:E1_1_1_90_km} + (E1_1_1_90 * C07213 * C00003))</v>
      </c>
      <c r="K462" s="54" t="str">
        <f t="shared" si="23"/>
        <v>r461: C07213 + C00003 -&gt; C07214 + C00004 + C00080 | (${Variables:E1_1_1_90_kcat} * E1_1_1_90 * C07213 * C00003)/(${Variables:E1_1_1_90_km} + (E1_1_1_90 * C07213 * C00003))</v>
      </c>
    </row>
    <row r="463" spans="1:11" ht="29">
      <c r="A463" s="11" t="s">
        <v>3079</v>
      </c>
      <c r="B463" s="11" t="s">
        <v>3080</v>
      </c>
      <c r="C463" s="11" t="s">
        <v>12438</v>
      </c>
      <c r="D463" s="60">
        <v>462</v>
      </c>
      <c r="E463" s="11" t="str">
        <f t="shared" si="21"/>
        <v>E2_7_1_6</v>
      </c>
      <c r="F463" s="11" t="s">
        <v>14278</v>
      </c>
      <c r="G463" s="11" t="s">
        <v>14279</v>
      </c>
      <c r="H463" s="11" t="s">
        <v>14280</v>
      </c>
      <c r="I463" s="11" t="s">
        <v>14281</v>
      </c>
      <c r="J463" s="61" t="str">
        <f t="shared" si="22"/>
        <v>(${Variables:E2_7_1_6_kcat} * E2_7_1_6 * C00002 * C00984)/(${Variables:E2_7_1_6_km} + (E2_7_1_6 * C00002 * C00984))</v>
      </c>
      <c r="K463" s="54" t="str">
        <f t="shared" si="23"/>
        <v>r462: C00002 + C00984 -&gt; C00008 + C00446 | (${Variables:E2_7_1_6_kcat} * E2_7_1_6 * C00002 * C00984)/(${Variables:E2_7_1_6_km} + (E2_7_1_6 * C00002 * C00984))</v>
      </c>
    </row>
    <row r="464" spans="1:11" ht="29">
      <c r="A464" s="11" t="s">
        <v>3083</v>
      </c>
      <c r="B464" s="11" t="s">
        <v>3084</v>
      </c>
      <c r="C464" s="11" t="s">
        <v>12439</v>
      </c>
      <c r="D464" s="60">
        <v>463</v>
      </c>
      <c r="E464" s="11" t="str">
        <f t="shared" si="21"/>
        <v>E2_7_7_10</v>
      </c>
      <c r="F464" s="11" t="s">
        <v>14282</v>
      </c>
      <c r="G464" s="11" t="s">
        <v>14283</v>
      </c>
      <c r="H464" s="11" t="s">
        <v>14284</v>
      </c>
      <c r="I464" s="11" t="s">
        <v>14285</v>
      </c>
      <c r="J464" s="61" t="str">
        <f t="shared" si="22"/>
        <v>(${Variables:E2_7_7_10_kcat} * E2_7_7_10 * C00075 * C00446)/(${Variables:E2_7_7_10_km} + (E2_7_7_10 * C00075 * C00446))</v>
      </c>
      <c r="K464" s="54" t="str">
        <f t="shared" si="23"/>
        <v>r463: C00075 + C00446 -&gt; C00013 + C00052 | (${Variables:E2_7_7_10_kcat} * E2_7_7_10 * C00075 * C00446)/(${Variables:E2_7_7_10_km} + (E2_7_7_10 * C00075 * C00446))</v>
      </c>
    </row>
    <row r="465" spans="1:11" ht="29">
      <c r="A465" s="11" t="s">
        <v>3091</v>
      </c>
      <c r="B465" s="11" t="s">
        <v>3092</v>
      </c>
      <c r="C465" s="11" t="s">
        <v>12440</v>
      </c>
      <c r="D465" s="60">
        <v>464</v>
      </c>
      <c r="E465" s="11" t="str">
        <f t="shared" si="21"/>
        <v>E2_1_1_72</v>
      </c>
      <c r="F465" s="11" t="s">
        <v>14286</v>
      </c>
      <c r="G465" s="11" t="s">
        <v>14287</v>
      </c>
      <c r="H465" s="11" t="s">
        <v>14288</v>
      </c>
      <c r="I465" s="11" t="s">
        <v>14289</v>
      </c>
      <c r="J465" s="61" t="str">
        <f t="shared" si="22"/>
        <v>(${Variables:E2_1_1_72_kcat} * E2_1_1_72 * C00019 * C00821)/(${Variables:E2_1_1_72_km} + (E2_1_1_72 * C00019 * C00821))</v>
      </c>
      <c r="K465" s="54" t="str">
        <f t="shared" si="23"/>
        <v>r464: C00019 + C00821 -&gt; C00021 + C03391 | (${Variables:E2_1_1_72_kcat} * E2_1_1_72 * C00019 * C00821)/(${Variables:E2_1_1_72_km} + (E2_1_1_72 * C00019 * C00821))</v>
      </c>
    </row>
    <row r="466" spans="1:11" ht="29">
      <c r="A466" s="11" t="s">
        <v>3139</v>
      </c>
      <c r="B466" s="11" t="s">
        <v>3140</v>
      </c>
      <c r="C466" s="11" t="s">
        <v>12585</v>
      </c>
      <c r="D466" s="60">
        <v>465</v>
      </c>
      <c r="E466" s="11" t="str">
        <f t="shared" si="21"/>
        <v>E2_6_1_87</v>
      </c>
      <c r="F466" s="11" t="s">
        <v>14290</v>
      </c>
      <c r="G466" s="11" t="s">
        <v>14291</v>
      </c>
      <c r="H466" s="11" t="s">
        <v>14292</v>
      </c>
      <c r="I466" s="11" t="s">
        <v>14293</v>
      </c>
      <c r="J466" s="61" t="str">
        <f t="shared" si="22"/>
        <v>(${Variables:E2_6_1_87_kcat} * E2_6_1_87 * C16155 * C00025)/(${Variables:E2_6_1_87_km} + (E2_6_1_87 * C16155 * C00025))</v>
      </c>
      <c r="K466" s="54" t="str">
        <f t="shared" si="23"/>
        <v>r465: C16155 + C00025 -&gt; C16153 + C00026 | (${Variables:E2_6_1_87_kcat} * E2_6_1_87 * C16155 * C00025)/(${Variables:E2_6_1_87_km} + (E2_6_1_87 * C16155 * C00025))</v>
      </c>
    </row>
    <row r="467" spans="1:11" ht="29">
      <c r="A467" s="11" t="s">
        <v>3170</v>
      </c>
      <c r="B467" s="11" t="s">
        <v>3171</v>
      </c>
      <c r="C467" s="11" t="s">
        <v>12404</v>
      </c>
      <c r="D467" s="60">
        <v>466</v>
      </c>
      <c r="E467" s="11" t="str">
        <f t="shared" si="21"/>
        <v>E4_1_3_27</v>
      </c>
      <c r="F467" s="11" t="s">
        <v>14294</v>
      </c>
      <c r="G467" s="11" t="s">
        <v>14295</v>
      </c>
      <c r="H467" s="11" t="s">
        <v>14296</v>
      </c>
      <c r="I467" s="11" t="s">
        <v>14297</v>
      </c>
      <c r="J467" s="61" t="str">
        <f t="shared" si="22"/>
        <v>(${Variables:E4_1_3_27_kcat} * E4_1_3_27 * C00251 * C00064)/(${Variables:E4_1_3_27_km} + (E4_1_3_27 * C00251 * C00064))</v>
      </c>
      <c r="K467" s="54" t="str">
        <f t="shared" si="23"/>
        <v>r466: C00251 + C00064 -&gt; C00108 + C00022 + C00025 | (${Variables:E4_1_3_27_kcat} * E4_1_3_27 * C00251 * C00064)/(${Variables:E4_1_3_27_km} + (E4_1_3_27 * C00251 * C00064))</v>
      </c>
    </row>
    <row r="468" spans="1:11" ht="29">
      <c r="A468" s="11" t="s">
        <v>3170</v>
      </c>
      <c r="B468" s="11" t="s">
        <v>3171</v>
      </c>
      <c r="C468" s="11" t="s">
        <v>12404</v>
      </c>
      <c r="D468" s="60">
        <v>467</v>
      </c>
      <c r="E468" s="11" t="str">
        <f t="shared" si="21"/>
        <v>E4_1_3_27</v>
      </c>
      <c r="F468" s="11" t="s">
        <v>14298</v>
      </c>
      <c r="G468" s="11" t="s">
        <v>14299</v>
      </c>
      <c r="H468" s="11" t="s">
        <v>14300</v>
      </c>
      <c r="I468" s="11" t="s">
        <v>14301</v>
      </c>
      <c r="J468" s="61" t="str">
        <f t="shared" si="22"/>
        <v>(${Variables:E4_1_3_27_kcat} * E4_1_3_27 * C00251 * C00014)/(${Variables:E4_1_3_27_km} + (E4_1_3_27 * C00251 * C00014))</v>
      </c>
      <c r="K468" s="54" t="str">
        <f t="shared" si="23"/>
        <v>r467: C00251 + C00014 -&gt; C00108 + C00022 + C00001 | (${Variables:E4_1_3_27_kcat} * E4_1_3_27 * C00251 * C00014)/(${Variables:E4_1_3_27_km} + (E4_1_3_27 * C00251 * C00014))</v>
      </c>
    </row>
    <row r="469" spans="1:11" ht="29">
      <c r="A469" s="11" t="s">
        <v>3178</v>
      </c>
      <c r="B469" s="11" t="s">
        <v>3179</v>
      </c>
      <c r="C469" s="11" t="s">
        <v>12586</v>
      </c>
      <c r="D469" s="60">
        <v>468</v>
      </c>
      <c r="E469" s="11" t="str">
        <f t="shared" si="21"/>
        <v>E2_4_2_18</v>
      </c>
      <c r="F469" s="11" t="s">
        <v>14302</v>
      </c>
      <c r="G469" s="11" t="s">
        <v>14303</v>
      </c>
      <c r="H469" s="11" t="s">
        <v>14304</v>
      </c>
      <c r="I469" s="11" t="s">
        <v>14305</v>
      </c>
      <c r="J469" s="61" t="str">
        <f t="shared" si="22"/>
        <v>(${Variables:E2_4_2_18_kcat} * E2_4_2_18 * C04302 * C00013)/(${Variables:E2_4_2_18_km} + (E2_4_2_18 * C04302 * C00013))</v>
      </c>
      <c r="K469" s="54" t="str">
        <f t="shared" si="23"/>
        <v>r468: C04302 + C00013 -&gt; C00108 + C00119 | (${Variables:E2_4_2_18_kcat} * E2_4_2_18 * C04302 * C00013)/(${Variables:E2_4_2_18_km} + (E2_4_2_18 * C04302 * C00013))</v>
      </c>
    </row>
    <row r="470" spans="1:11" ht="29">
      <c r="A470" s="11" t="s">
        <v>3182</v>
      </c>
      <c r="B470" s="11" t="s">
        <v>3183</v>
      </c>
      <c r="C470" s="11" t="s">
        <v>12405</v>
      </c>
      <c r="D470" s="60">
        <v>469</v>
      </c>
      <c r="E470" s="11" t="str">
        <f t="shared" si="21"/>
        <v>E4_1_1_48</v>
      </c>
      <c r="F470" s="11" t="s">
        <v>8897</v>
      </c>
      <c r="G470" s="11" t="s">
        <v>8897</v>
      </c>
      <c r="H470" s="11" t="s">
        <v>14306</v>
      </c>
      <c r="I470" s="11" t="s">
        <v>14307</v>
      </c>
      <c r="J470" s="61" t="str">
        <f t="shared" si="22"/>
        <v>(${Variables:E4_1_1_48_kcat} * E4_1_1_48 * C01302)/(${Variables:E4_1_1_48_km} + (E4_1_1_48 * C01302))</v>
      </c>
      <c r="K470" s="54" t="str">
        <f t="shared" si="23"/>
        <v>r469: C01302 -&gt; C03506 + C00011 + C00001 | (${Variables:E4_1_1_48_kcat} * E4_1_1_48 * C01302)/(${Variables:E4_1_1_48_km} + (E4_1_1_48 * C01302))</v>
      </c>
    </row>
    <row r="471" spans="1:11" ht="29">
      <c r="A471" s="11" t="s">
        <v>3186</v>
      </c>
      <c r="B471" s="11" t="s">
        <v>3187</v>
      </c>
      <c r="C471" s="11" t="s">
        <v>12406</v>
      </c>
      <c r="D471" s="60">
        <v>470</v>
      </c>
      <c r="E471" s="11" t="str">
        <f t="shared" si="21"/>
        <v>E5_3_1_24</v>
      </c>
      <c r="F471" s="11" t="s">
        <v>8902</v>
      </c>
      <c r="G471" s="11" t="s">
        <v>8902</v>
      </c>
      <c r="H471" s="11" t="s">
        <v>8897</v>
      </c>
      <c r="I471" s="11" t="s">
        <v>8897</v>
      </c>
      <c r="J471" s="61" t="str">
        <f t="shared" si="22"/>
        <v>(${Variables:E5_3_1_24_kcat} * E5_3_1_24 * C04302)/(${Variables:E5_3_1_24_km} + (E5_3_1_24 * C04302))</v>
      </c>
      <c r="K471" s="54" t="str">
        <f t="shared" si="23"/>
        <v>r470: C04302 -&gt; C01302 | (${Variables:E5_3_1_24_kcat} * E5_3_1_24 * C04302)/(${Variables:E5_3_1_24_km} + (E5_3_1_24 * C04302))</v>
      </c>
    </row>
    <row r="472" spans="1:11" ht="29">
      <c r="A472" s="11" t="s">
        <v>3190</v>
      </c>
      <c r="B472" s="11" t="s">
        <v>3191</v>
      </c>
      <c r="C472" s="11" t="s">
        <v>12407</v>
      </c>
      <c r="D472" s="60">
        <v>471</v>
      </c>
      <c r="E472" s="11" t="str">
        <f t="shared" si="21"/>
        <v>E4_2_1_20</v>
      </c>
      <c r="F472" s="11" t="s">
        <v>14308</v>
      </c>
      <c r="G472" s="11" t="s">
        <v>14309</v>
      </c>
      <c r="H472" s="11" t="s">
        <v>14310</v>
      </c>
      <c r="I472" s="11" t="s">
        <v>14311</v>
      </c>
      <c r="J472" s="61" t="str">
        <f t="shared" si="22"/>
        <v>(${Variables:E4_2_1_20_kcat} * E4_2_1_20 * C00065 * C00463)/(${Variables:E4_2_1_20_km} + (E4_2_1_20 * C00065 * C00463))</v>
      </c>
      <c r="K472" s="54" t="str">
        <f t="shared" si="23"/>
        <v>r471: C00065 + C00463 -&gt; C00078 + C00001 | (${Variables:E4_2_1_20_kcat} * E4_2_1_20 * C00065 * C00463)/(${Variables:E4_2_1_20_km} + (E4_2_1_20 * C00065 * C00463))</v>
      </c>
    </row>
    <row r="473" spans="1:11" ht="29">
      <c r="A473" s="11" t="s">
        <v>3190</v>
      </c>
      <c r="B473" s="11" t="s">
        <v>3191</v>
      </c>
      <c r="C473" s="11" t="s">
        <v>12407</v>
      </c>
      <c r="D473" s="60">
        <v>472</v>
      </c>
      <c r="E473" s="11" t="str">
        <f t="shared" si="21"/>
        <v>E4_2_1_20</v>
      </c>
      <c r="F473" s="11" t="s">
        <v>8909</v>
      </c>
      <c r="G473" s="11" t="s">
        <v>8909</v>
      </c>
      <c r="H473" s="11" t="s">
        <v>14312</v>
      </c>
      <c r="I473" s="11" t="s">
        <v>14313</v>
      </c>
      <c r="J473" s="61" t="str">
        <f t="shared" si="22"/>
        <v>(${Variables:E4_2_1_20_kcat} * E4_2_1_20 * C03506)/(${Variables:E4_2_1_20_km} + (E4_2_1_20 * C03506))</v>
      </c>
      <c r="K473" s="54" t="str">
        <f t="shared" si="23"/>
        <v>r472: C03506 -&gt; C00463 + C00118 | (${Variables:E4_2_1_20_kcat} * E4_2_1_20 * C03506)/(${Variables:E4_2_1_20_km} + (E4_2_1_20 * C03506))</v>
      </c>
    </row>
    <row r="474" spans="1:11" ht="29">
      <c r="A474" s="11" t="s">
        <v>3190</v>
      </c>
      <c r="B474" s="11" t="s">
        <v>3191</v>
      </c>
      <c r="C474" s="11" t="s">
        <v>12407</v>
      </c>
      <c r="D474" s="60">
        <v>473</v>
      </c>
      <c r="E474" s="11" t="str">
        <f t="shared" si="21"/>
        <v>E4_2_1_20</v>
      </c>
      <c r="F474" s="11" t="s">
        <v>14314</v>
      </c>
      <c r="G474" s="11" t="s">
        <v>14315</v>
      </c>
      <c r="H474" s="11" t="s">
        <v>14316</v>
      </c>
      <c r="I474" s="11" t="s">
        <v>14317</v>
      </c>
      <c r="J474" s="61" t="str">
        <f t="shared" si="22"/>
        <v>(${Variables:E4_2_1_20_kcat} * E4_2_1_20 * C00065 * C03506)/(${Variables:E4_2_1_20_km} + (E4_2_1_20 * C00065 * C03506))</v>
      </c>
      <c r="K474" s="54" t="str">
        <f t="shared" si="23"/>
        <v>r473: C00065 + C03506 -&gt; C00078 + C00118 + C00001 | (${Variables:E4_2_1_20_kcat} * E4_2_1_20 * C00065 * C03506)/(${Variables:E4_2_1_20_km} + (E4_2_1_20 * C00065 * C03506))</v>
      </c>
    </row>
    <row r="475" spans="1:11" ht="29">
      <c r="A475" s="11" t="s">
        <v>3207</v>
      </c>
      <c r="B475" s="11" t="s">
        <v>3208</v>
      </c>
      <c r="C475" s="11" t="s">
        <v>12386</v>
      </c>
      <c r="D475" s="60">
        <v>474</v>
      </c>
      <c r="E475" s="11" t="str">
        <f t="shared" si="21"/>
        <v>E2_3_1_57</v>
      </c>
      <c r="F475" s="11" t="s">
        <v>14318</v>
      </c>
      <c r="G475" s="11" t="s">
        <v>14319</v>
      </c>
      <c r="H475" s="11" t="s">
        <v>14320</v>
      </c>
      <c r="I475" s="11" t="s">
        <v>14321</v>
      </c>
      <c r="J475" s="61" t="str">
        <f t="shared" si="22"/>
        <v>(${Variables:E2_3_1_57_kcat} * E2_3_1_57 * C00024 * C03687)/(${Variables:E2_3_1_57_km} + (E2_3_1_57 * C00024 * C03687))</v>
      </c>
      <c r="K475" s="54" t="str">
        <f t="shared" si="23"/>
        <v>r474: C00024 + C03687 -&gt; C00010 + C02297 | (${Variables:E2_3_1_57_kcat} * E2_3_1_57 * C00024 * C03687)/(${Variables:E2_3_1_57_km} + (E2_3_1_57 * C00024 * C03687))</v>
      </c>
    </row>
    <row r="476" spans="1:11" ht="29">
      <c r="A476" s="11" t="s">
        <v>3207</v>
      </c>
      <c r="B476" s="11" t="s">
        <v>3208</v>
      </c>
      <c r="C476" s="11" t="s">
        <v>12386</v>
      </c>
      <c r="D476" s="60">
        <v>475</v>
      </c>
      <c r="E476" s="11" t="str">
        <f t="shared" si="21"/>
        <v>E2_3_1_57</v>
      </c>
      <c r="F476" s="11" t="s">
        <v>14322</v>
      </c>
      <c r="G476" s="11" t="s">
        <v>14323</v>
      </c>
      <c r="H476" s="11" t="s">
        <v>14324</v>
      </c>
      <c r="I476" s="11" t="s">
        <v>14325</v>
      </c>
      <c r="J476" s="61" t="str">
        <f t="shared" si="22"/>
        <v>(${Variables:E2_3_1_57_kcat} * E2_3_1_57 * C00024 * C00134)/(${Variables:E2_3_1_57_km} + (E2_3_1_57 * C00024 * C00134))</v>
      </c>
      <c r="K476" s="54" t="str">
        <f t="shared" si="23"/>
        <v>r475: C00024 + C00134 -&gt; C00010 + C02714 | (${Variables:E2_3_1_57_kcat} * E2_3_1_57 * C00024 * C00134)/(${Variables:E2_3_1_57_km} + (E2_3_1_57 * C00024 * C00134))</v>
      </c>
    </row>
    <row r="477" spans="1:11" ht="29">
      <c r="A477" s="11" t="s">
        <v>3222</v>
      </c>
      <c r="B477" s="11" t="s">
        <v>3223</v>
      </c>
      <c r="C477" s="11" t="s">
        <v>12587</v>
      </c>
      <c r="D477" s="60">
        <v>476</v>
      </c>
      <c r="E477" s="11" t="str">
        <f t="shared" si="21"/>
        <v>E3_2_1_39</v>
      </c>
      <c r="F477" s="11" t="s">
        <v>14326</v>
      </c>
      <c r="G477" s="11" t="s">
        <v>14327</v>
      </c>
      <c r="H477" s="11" t="s">
        <v>14328</v>
      </c>
      <c r="I477" s="11" t="s">
        <v>14329</v>
      </c>
      <c r="J477" s="61" t="str">
        <f t="shared" si="22"/>
        <v>(${Variables:E3_2_1_39_kcat} * E3_2_1_39 * C00965 * C00001)/(${Variables:E3_2_1_39_km} + (E3_2_1_39 * C00965 * C00001))</v>
      </c>
      <c r="K477" s="54" t="str">
        <f t="shared" si="23"/>
        <v>r476: C00965 + C00001 -&gt; C00031 + C00965 | (${Variables:E3_2_1_39_kcat} * E3_2_1_39 * C00965 * C00001)/(${Variables:E3_2_1_39_km} + (E3_2_1_39 * C00965 * C00001))</v>
      </c>
    </row>
    <row r="478" spans="1:11" ht="29">
      <c r="A478" s="11" t="s">
        <v>3222</v>
      </c>
      <c r="B478" s="11" t="s">
        <v>3223</v>
      </c>
      <c r="C478" s="11" t="s">
        <v>12587</v>
      </c>
      <c r="D478" s="60">
        <v>477</v>
      </c>
      <c r="E478" s="11" t="str">
        <f t="shared" si="21"/>
        <v>E3_2_1_39</v>
      </c>
      <c r="F478" s="11" t="s">
        <v>14330</v>
      </c>
      <c r="G478" s="11" t="s">
        <v>14331</v>
      </c>
      <c r="H478" s="11" t="s">
        <v>14332</v>
      </c>
      <c r="I478" s="11" t="s">
        <v>14333</v>
      </c>
      <c r="J478" s="61" t="str">
        <f t="shared" si="22"/>
        <v>(${Variables:E3_2_1_39_kcat} * E3_2_1_39 * G10477 * C00001)/(${Variables:E3_2_1_39_km} + (E3_2_1_39 * G10477 * C00001))</v>
      </c>
      <c r="K478" s="54" t="str">
        <f t="shared" si="23"/>
        <v>r477: G10477 + C00001 -&gt; C00031 + G10477 | (${Variables:E3_2_1_39_kcat} * E3_2_1_39 * G10477 * C00001)/(${Variables:E3_2_1_39_km} + (E3_2_1_39 * G10477 * C00001))</v>
      </c>
    </row>
    <row r="479" spans="1:11" ht="29">
      <c r="A479" s="11" t="s">
        <v>3237</v>
      </c>
      <c r="B479" s="11" t="s">
        <v>3238</v>
      </c>
      <c r="C479" s="11" t="s">
        <v>12588</v>
      </c>
      <c r="D479" s="60">
        <v>478</v>
      </c>
      <c r="E479" s="11" t="str">
        <f t="shared" si="21"/>
        <v>E3_1_6_1</v>
      </c>
      <c r="F479" s="11" t="s">
        <v>14334</v>
      </c>
      <c r="G479" s="11" t="s">
        <v>14335</v>
      </c>
      <c r="H479" s="11" t="s">
        <v>14336</v>
      </c>
      <c r="I479" s="11" t="s">
        <v>14337</v>
      </c>
      <c r="J479" s="61" t="str">
        <f t="shared" si="22"/>
        <v>(${Variables:E3_1_6_1_kcat} * E3_1_6_1 * C00850 * C00001)/(${Variables:E3_1_6_1_km} + (E3_1_6_1 * C00850 * C00001))</v>
      </c>
      <c r="K479" s="54" t="str">
        <f t="shared" si="23"/>
        <v>r478: C00850 + C00001 -&gt; C15584 + C00059 | (${Variables:E3_1_6_1_kcat} * E3_1_6_1 * C00850 * C00001)/(${Variables:E3_1_6_1_km} + (E3_1_6_1 * C00850 * C00001))</v>
      </c>
    </row>
    <row r="480" spans="1:11" ht="29">
      <c r="A480" s="11" t="s">
        <v>3237</v>
      </c>
      <c r="B480" s="11" t="s">
        <v>3238</v>
      </c>
      <c r="C480" s="11" t="s">
        <v>12588</v>
      </c>
      <c r="D480" s="60">
        <v>479</v>
      </c>
      <c r="E480" s="11" t="str">
        <f t="shared" si="21"/>
        <v>E3_1_6_1</v>
      </c>
      <c r="F480" s="11" t="s">
        <v>14338</v>
      </c>
      <c r="G480" s="11" t="s">
        <v>14339</v>
      </c>
      <c r="H480" s="11" t="s">
        <v>14340</v>
      </c>
      <c r="I480" s="11" t="s">
        <v>14341</v>
      </c>
      <c r="J480" s="61" t="str">
        <f t="shared" si="22"/>
        <v>(${Variables:E3_1_6_1_kcat} * E3_1_6_1 * C02538 * C00001)/(${Variables:E3_1_6_1_km} + (E3_1_6_1 * C02538 * C00001))</v>
      </c>
      <c r="K480" s="54" t="str">
        <f t="shared" si="23"/>
        <v>r479: C02538 + C00001 -&gt; C00059 + C00468 | (${Variables:E3_1_6_1_kcat} * E3_1_6_1 * C02538 * C00001)/(${Variables:E3_1_6_1_km} + (E3_1_6_1 * C02538 * C00001))</v>
      </c>
    </row>
    <row r="481" spans="1:11" ht="29">
      <c r="A481" s="11" t="s">
        <v>3241</v>
      </c>
      <c r="B481" s="11" t="s">
        <v>3242</v>
      </c>
      <c r="C481" s="11" t="s">
        <v>12589</v>
      </c>
      <c r="D481" s="60">
        <v>480</v>
      </c>
      <c r="E481" s="11" t="str">
        <f t="shared" si="21"/>
        <v>E2_7_11_1</v>
      </c>
      <c r="F481" s="11" t="s">
        <v>14342</v>
      </c>
      <c r="G481" s="11" t="s">
        <v>14343</v>
      </c>
      <c r="H481" s="11" t="s">
        <v>14344</v>
      </c>
      <c r="I481" s="11" t="s">
        <v>14345</v>
      </c>
      <c r="J481" s="61" t="str">
        <f t="shared" si="22"/>
        <v>(${Variables:E2_7_11_1_kcat} * E2_7_11_1 * C00002 * C00017)/(${Variables:E2_7_11_1_km} + (E2_7_11_1 * C00002 * C00017))</v>
      </c>
      <c r="K481" s="54" t="str">
        <f t="shared" si="23"/>
        <v>r480: C00002 + C00017 -&gt; C00008 + C00562 | (${Variables:E2_7_11_1_kcat} * E2_7_11_1 * C00002 * C00017)/(${Variables:E2_7_11_1_km} + (E2_7_11_1 * C00002 * C00017))</v>
      </c>
    </row>
    <row r="482" spans="1:11" ht="29">
      <c r="A482" s="11" t="s">
        <v>3241</v>
      </c>
      <c r="B482" s="11" t="s">
        <v>3242</v>
      </c>
      <c r="C482" s="11" t="s">
        <v>12589</v>
      </c>
      <c r="D482" s="60">
        <v>481</v>
      </c>
      <c r="E482" s="11" t="str">
        <f t="shared" si="21"/>
        <v>E2_7_11_1</v>
      </c>
      <c r="F482" s="11" t="s">
        <v>14346</v>
      </c>
      <c r="G482" s="11" t="s">
        <v>14347</v>
      </c>
      <c r="H482" s="11" t="s">
        <v>14348</v>
      </c>
      <c r="I482" s="11" t="s">
        <v>14349</v>
      </c>
      <c r="J482" s="61" t="str">
        <f t="shared" si="22"/>
        <v>(${Variables:E2_7_11_1_kcat} * E2_7_11_1 * C00002 * C01609)/(${Variables:E2_7_11_1_km} + (E2_7_11_1 * C00002 * C01609))</v>
      </c>
      <c r="K482" s="54" t="str">
        <f t="shared" si="23"/>
        <v>r481: C00002 + C01609 -&gt; C00008 + C02729 | (${Variables:E2_7_11_1_kcat} * E2_7_11_1 * C00002 * C01609)/(${Variables:E2_7_11_1_km} + (E2_7_11_1 * C00002 * C01609))</v>
      </c>
    </row>
    <row r="483" spans="1:11" ht="29">
      <c r="A483" s="11" t="s">
        <v>3278</v>
      </c>
      <c r="B483" s="11" t="s">
        <v>3279</v>
      </c>
      <c r="C483" s="11" t="s">
        <v>12590</v>
      </c>
      <c r="D483" s="60">
        <v>482</v>
      </c>
      <c r="E483" s="11" t="str">
        <f t="shared" si="21"/>
        <v>E3_2_1_26</v>
      </c>
      <c r="F483" s="11" t="s">
        <v>14350</v>
      </c>
      <c r="G483" s="11" t="s">
        <v>14351</v>
      </c>
      <c r="H483" s="11" t="s">
        <v>14352</v>
      </c>
      <c r="I483" s="11" t="s">
        <v>14353</v>
      </c>
      <c r="J483" s="61" t="str">
        <f t="shared" si="22"/>
        <v>(${Variables:E3_2_1_26_kcat} * E3_2_1_26 * C00089 * C00001)/(${Variables:E3_2_1_26_km} + (E3_2_1_26 * C00089 * C00001))</v>
      </c>
      <c r="K483" s="54" t="str">
        <f t="shared" si="23"/>
        <v>r482: C00089 + C00001 -&gt; C00095 + C00031 | (${Variables:E3_2_1_26_kcat} * E3_2_1_26 * C00089 * C00001)/(${Variables:E3_2_1_26_km} + (E3_2_1_26 * C00089 * C00001))</v>
      </c>
    </row>
    <row r="484" spans="1:11" ht="29">
      <c r="A484" s="11" t="s">
        <v>3278</v>
      </c>
      <c r="B484" s="11" t="s">
        <v>3279</v>
      </c>
      <c r="C484" s="11" t="s">
        <v>12590</v>
      </c>
      <c r="D484" s="60">
        <v>483</v>
      </c>
      <c r="E484" s="11" t="str">
        <f t="shared" si="21"/>
        <v>E3_2_1_26</v>
      </c>
      <c r="F484" s="11" t="s">
        <v>14350</v>
      </c>
      <c r="G484" s="11" t="s">
        <v>14351</v>
      </c>
      <c r="H484" s="11" t="s">
        <v>14354</v>
      </c>
      <c r="I484" s="11" t="s">
        <v>14355</v>
      </c>
      <c r="J484" s="61" t="str">
        <f t="shared" si="22"/>
        <v>(${Variables:E3_2_1_26_kcat} * E3_2_1_26 * C00089 * C00001)/(${Variables:E3_2_1_26_km} + (E3_2_1_26 * C00089 * C00001))</v>
      </c>
      <c r="K484" s="54" t="str">
        <f t="shared" si="23"/>
        <v>r483: C00089 + C00001 -&gt; C02336 + C00267 | (${Variables:E3_2_1_26_kcat} * E3_2_1_26 * C00089 * C00001)/(${Variables:E3_2_1_26_km} + (E3_2_1_26 * C00089 * C00001))</v>
      </c>
    </row>
    <row r="485" spans="1:11" ht="29">
      <c r="A485" s="11" t="s">
        <v>3278</v>
      </c>
      <c r="B485" s="11" t="s">
        <v>3279</v>
      </c>
      <c r="C485" s="11" t="s">
        <v>12590</v>
      </c>
      <c r="D485" s="60">
        <v>484</v>
      </c>
      <c r="E485" s="11" t="str">
        <f t="shared" si="21"/>
        <v>E3_2_1_26</v>
      </c>
      <c r="F485" s="11" t="s">
        <v>13836</v>
      </c>
      <c r="G485" s="11" t="s">
        <v>13837</v>
      </c>
      <c r="H485" s="11" t="s">
        <v>14356</v>
      </c>
      <c r="I485" s="11" t="s">
        <v>14357</v>
      </c>
      <c r="J485" s="61" t="str">
        <f t="shared" si="22"/>
        <v>(${Variables:E3_2_1_26_kcat} * E3_2_1_26 * C00492 * C00001)/(${Variables:E3_2_1_26_km} + (E3_2_1_26 * C00492 * C00001))</v>
      </c>
      <c r="K485" s="54" t="str">
        <f t="shared" si="23"/>
        <v>r484: C00492 + C00001 -&gt; C05402 + C00095 | (${Variables:E3_2_1_26_kcat} * E3_2_1_26 * C00492 * C00001)/(${Variables:E3_2_1_26_km} + (E3_2_1_26 * C00492 * C00001))</v>
      </c>
    </row>
    <row r="486" spans="1:11" ht="29">
      <c r="A486" s="11" t="s">
        <v>3278</v>
      </c>
      <c r="B486" s="11" t="s">
        <v>3279</v>
      </c>
      <c r="C486" s="11" t="s">
        <v>12590</v>
      </c>
      <c r="D486" s="60">
        <v>485</v>
      </c>
      <c r="E486" s="11" t="str">
        <f t="shared" si="21"/>
        <v>E3_2_1_26</v>
      </c>
      <c r="F486" s="11" t="s">
        <v>13860</v>
      </c>
      <c r="G486" s="11" t="s">
        <v>13861</v>
      </c>
      <c r="H486" s="11" t="s">
        <v>14358</v>
      </c>
      <c r="I486" s="11" t="s">
        <v>14359</v>
      </c>
      <c r="J486" s="61" t="str">
        <f t="shared" si="22"/>
        <v>(${Variables:E3_2_1_26_kcat} * E3_2_1_26 * C01613 * C00001)/(${Variables:E3_2_1_26_km} + (E3_2_1_26 * C01613 * C00001))</v>
      </c>
      <c r="K486" s="54" t="str">
        <f t="shared" si="23"/>
        <v>r485: C01613 + C00001 -&gt; C05404 + C00095 | (${Variables:E3_2_1_26_kcat} * E3_2_1_26 * C01613 * C00001)/(${Variables:E3_2_1_26_km} + (E3_2_1_26 * C01613 * C00001))</v>
      </c>
    </row>
    <row r="487" spans="1:11" ht="29">
      <c r="A487" s="11" t="s">
        <v>3278</v>
      </c>
      <c r="B487" s="11" t="s">
        <v>3279</v>
      </c>
      <c r="C487" s="11" t="s">
        <v>12590</v>
      </c>
      <c r="D487" s="60">
        <v>486</v>
      </c>
      <c r="E487" s="11" t="str">
        <f t="shared" si="21"/>
        <v>E3_2_1_26</v>
      </c>
      <c r="F487" s="11" t="s">
        <v>14360</v>
      </c>
      <c r="G487" s="11" t="s">
        <v>14361</v>
      </c>
      <c r="H487" s="11" t="s">
        <v>14362</v>
      </c>
      <c r="I487" s="11" t="s">
        <v>14363</v>
      </c>
      <c r="J487" s="61" t="str">
        <f t="shared" si="22"/>
        <v>(${Variables:E3_2_1_26_kcat} * E3_2_1_26 * C16688 * C00001)/(${Variables:E3_2_1_26_km} + (E3_2_1_26 * C16688 * C00001))</v>
      </c>
      <c r="K487" s="54" t="str">
        <f t="shared" si="23"/>
        <v>r486: C16688 + C00001 -&gt; C00095 + C00092 | (${Variables:E3_2_1_26_kcat} * E3_2_1_26 * C16688 * C00001)/(${Variables:E3_2_1_26_km} + (E3_2_1_26 * C16688 * C00001))</v>
      </c>
    </row>
    <row r="488" spans="1:11" ht="29">
      <c r="A488" s="11" t="s">
        <v>3278</v>
      </c>
      <c r="B488" s="11" t="s">
        <v>3279</v>
      </c>
      <c r="C488" s="11" t="s">
        <v>12590</v>
      </c>
      <c r="D488" s="60">
        <v>487</v>
      </c>
      <c r="E488" s="11" t="str">
        <f t="shared" si="21"/>
        <v>E3_2_1_26</v>
      </c>
      <c r="F488" s="11" t="s">
        <v>14364</v>
      </c>
      <c r="G488" s="11" t="s">
        <v>14365</v>
      </c>
      <c r="H488" s="11" t="s">
        <v>14352</v>
      </c>
      <c r="I488" s="11" t="s">
        <v>14353</v>
      </c>
      <c r="J488" s="61" t="str">
        <f t="shared" si="22"/>
        <v>(${Variables:E3_2_1_26_kcat} * E3_2_1_26 * G00370 * C00001)/(${Variables:E3_2_1_26_km} + (E3_2_1_26 * G00370 * C00001))</v>
      </c>
      <c r="K488" s="54" t="str">
        <f t="shared" si="23"/>
        <v>r487: G00370 + C00001 -&gt; C00095 + C00031 | (${Variables:E3_2_1_26_kcat} * E3_2_1_26 * G00370 * C00001)/(${Variables:E3_2_1_26_km} + (E3_2_1_26 * G00370 * C00001))</v>
      </c>
    </row>
    <row r="489" spans="1:11" ht="29">
      <c r="A489" s="11" t="s">
        <v>3278</v>
      </c>
      <c r="B489" s="11" t="s">
        <v>3279</v>
      </c>
      <c r="C489" s="11" t="s">
        <v>12590</v>
      </c>
      <c r="D489" s="60">
        <v>488</v>
      </c>
      <c r="E489" s="11" t="str">
        <f t="shared" si="21"/>
        <v>E3_2_1_26</v>
      </c>
      <c r="F489" s="11" t="s">
        <v>14364</v>
      </c>
      <c r="G489" s="11" t="s">
        <v>14365</v>
      </c>
      <c r="H489" s="11" t="s">
        <v>14354</v>
      </c>
      <c r="I489" s="11" t="s">
        <v>14355</v>
      </c>
      <c r="J489" s="61" t="str">
        <f t="shared" si="22"/>
        <v>(${Variables:E3_2_1_26_kcat} * E3_2_1_26 * G00370 * C00001)/(${Variables:E3_2_1_26_km} + (E3_2_1_26 * G00370 * C00001))</v>
      </c>
      <c r="K489" s="54" t="str">
        <f t="shared" si="23"/>
        <v>r488: G00370 + C00001 -&gt; C02336 + C00267 | (${Variables:E3_2_1_26_kcat} * E3_2_1_26 * G00370 * C00001)/(${Variables:E3_2_1_26_km} + (E3_2_1_26 * G00370 * C00001))</v>
      </c>
    </row>
    <row r="490" spans="1:11" ht="29">
      <c r="A490" s="11" t="s">
        <v>3278</v>
      </c>
      <c r="B490" s="11" t="s">
        <v>3279</v>
      </c>
      <c r="C490" s="11" t="s">
        <v>12590</v>
      </c>
      <c r="D490" s="60">
        <v>489</v>
      </c>
      <c r="E490" s="11" t="str">
        <f t="shared" si="21"/>
        <v>E3_2_1_26</v>
      </c>
      <c r="F490" s="11" t="s">
        <v>13880</v>
      </c>
      <c r="G490" s="11" t="s">
        <v>13881</v>
      </c>
      <c r="H490" s="11" t="s">
        <v>14366</v>
      </c>
      <c r="I490" s="11" t="s">
        <v>14367</v>
      </c>
      <c r="J490" s="61" t="str">
        <f t="shared" si="22"/>
        <v>(${Variables:E3_2_1_26_kcat} * E3_2_1_26 * G00249 * C00001)/(${Variables:E3_2_1_26_km} + (E3_2_1_26 * G00249 * C00001))</v>
      </c>
      <c r="K490" s="54" t="str">
        <f t="shared" si="23"/>
        <v>r489: G00249 + C00001 -&gt; G01275 + C00095 | (${Variables:E3_2_1_26_kcat} * E3_2_1_26 * G00249 * C00001)/(${Variables:E3_2_1_26_km} + (E3_2_1_26 * G00249 * C00001))</v>
      </c>
    </row>
    <row r="491" spans="1:11" ht="29">
      <c r="A491" s="11" t="s">
        <v>3278</v>
      </c>
      <c r="B491" s="11" t="s">
        <v>3279</v>
      </c>
      <c r="C491" s="11" t="s">
        <v>12590</v>
      </c>
      <c r="D491" s="60">
        <v>490</v>
      </c>
      <c r="E491" s="11" t="str">
        <f t="shared" si="21"/>
        <v>E3_2_1_26</v>
      </c>
      <c r="F491" s="11" t="s">
        <v>13898</v>
      </c>
      <c r="G491" s="11" t="s">
        <v>13899</v>
      </c>
      <c r="H491" s="11" t="s">
        <v>14368</v>
      </c>
      <c r="I491" s="11" t="s">
        <v>14369</v>
      </c>
      <c r="J491" s="61" t="str">
        <f t="shared" si="22"/>
        <v>(${Variables:E3_2_1_26_kcat} * E3_2_1_26 * G00278 * C00001)/(${Variables:E3_2_1_26_km} + (E3_2_1_26 * G00278 * C00001))</v>
      </c>
      <c r="K491" s="54" t="str">
        <f t="shared" si="23"/>
        <v>r490: G00278 + C00001 -&gt; G00501 + C00095 | (${Variables:E3_2_1_26_kcat} * E3_2_1_26 * G00278 * C00001)/(${Variables:E3_2_1_26_km} + (E3_2_1_26 * G00278 * C00001))</v>
      </c>
    </row>
    <row r="492" spans="1:11" ht="29">
      <c r="A492" s="11" t="s">
        <v>3278</v>
      </c>
      <c r="B492" s="11" t="s">
        <v>3279</v>
      </c>
      <c r="C492" s="11" t="s">
        <v>12590</v>
      </c>
      <c r="D492" s="60">
        <v>491</v>
      </c>
      <c r="E492" s="11" t="str">
        <f t="shared" si="21"/>
        <v>E3_2_1_26</v>
      </c>
      <c r="F492" s="11" t="s">
        <v>14370</v>
      </c>
      <c r="G492" s="11" t="s">
        <v>14371</v>
      </c>
      <c r="H492" s="11" t="s">
        <v>14372</v>
      </c>
      <c r="I492" s="11" t="s">
        <v>14373</v>
      </c>
      <c r="J492" s="61" t="str">
        <f t="shared" si="22"/>
        <v>(${Variables:E3_2_1_26_kcat} * E3_2_1_26 * G10508 * C00001)/(${Variables:E3_2_1_26_km} + (E3_2_1_26 * G10508 * C00001))</v>
      </c>
      <c r="K492" s="54" t="str">
        <f t="shared" si="23"/>
        <v>r491: G10508 + C00001 -&gt; C02336 + C00668 | (${Variables:E3_2_1_26_kcat} * E3_2_1_26 * G10508 * C00001)/(${Variables:E3_2_1_26_km} + (E3_2_1_26 * G10508 * C00001))</v>
      </c>
    </row>
    <row r="493" spans="1:11" ht="29">
      <c r="A493" s="11" t="s">
        <v>3349</v>
      </c>
      <c r="B493" s="11" t="s">
        <v>3350</v>
      </c>
      <c r="C493" s="11" t="s">
        <v>12594</v>
      </c>
      <c r="D493" s="60">
        <v>492</v>
      </c>
      <c r="E493" s="11" t="str">
        <f t="shared" si="21"/>
        <v>E1_7_1_13</v>
      </c>
      <c r="F493" s="11" t="s">
        <v>14374</v>
      </c>
      <c r="G493" s="11" t="s">
        <v>14375</v>
      </c>
      <c r="H493" s="11" t="s">
        <v>14376</v>
      </c>
      <c r="I493" s="11" t="s">
        <v>14377</v>
      </c>
      <c r="J493" s="61" t="str">
        <f t="shared" si="22"/>
        <v>(${Variables:E1_7_1_13_kcat} * E1_7_1_13 * C16675 * C00006)/(${Variables:E1_7_1_13_km} + (E1_7_1_13 * C16675 * C00006))</v>
      </c>
      <c r="K493" s="54" t="str">
        <f t="shared" si="23"/>
        <v>r492: C16675 + C00006 -&gt; C15996 + C00005 + C00080 | (${Variables:E1_7_1_13_kcat} * E1_7_1_13 * C16675 * C00006)/(${Variables:E1_7_1_13_km} + (E1_7_1_13 * C16675 * C00006))</v>
      </c>
    </row>
    <row r="494" spans="1:11" ht="29">
      <c r="A494" s="11" t="s">
        <v>3353</v>
      </c>
      <c r="B494" s="11" t="s">
        <v>3354</v>
      </c>
      <c r="C494" s="11" t="s">
        <v>12595</v>
      </c>
      <c r="D494" s="60">
        <v>493</v>
      </c>
      <c r="E494" s="11" t="str">
        <f t="shared" si="21"/>
        <v>E1_8_1_9</v>
      </c>
      <c r="F494" s="11" t="s">
        <v>14378</v>
      </c>
      <c r="G494" s="11" t="s">
        <v>14379</v>
      </c>
      <c r="H494" s="11" t="s">
        <v>14380</v>
      </c>
      <c r="I494" s="11" t="s">
        <v>14381</v>
      </c>
      <c r="J494" s="61" t="str">
        <f t="shared" si="22"/>
        <v>(${Variables:E1_8_1_9_kcat} * E1_8_1_9 * C00342 * C00006)/(${Variables:E1_8_1_9_km} + (E1_8_1_9 * C00342 * C00006))</v>
      </c>
      <c r="K494" s="54" t="str">
        <f t="shared" si="23"/>
        <v>r493: C00342 + C00006 -&gt; C00343 + C00005 + C00080 | (${Variables:E1_8_1_9_kcat} * E1_8_1_9 * C00342 * C00006)/(${Variables:E1_8_1_9_km} + (E1_8_1_9 * C00342 * C00006))</v>
      </c>
    </row>
    <row r="495" spans="1:11" ht="43.5">
      <c r="A495" s="11" t="s">
        <v>3353</v>
      </c>
      <c r="B495" s="11" t="s">
        <v>3354</v>
      </c>
      <c r="C495" s="11" t="s">
        <v>12595</v>
      </c>
      <c r="D495" s="60">
        <v>494</v>
      </c>
      <c r="E495" s="11" t="str">
        <f t="shared" si="21"/>
        <v>E1_8_1_9</v>
      </c>
      <c r="F495" s="11" t="s">
        <v>14382</v>
      </c>
      <c r="G495" s="11" t="s">
        <v>14383</v>
      </c>
      <c r="H495" s="11" t="s">
        <v>14384</v>
      </c>
      <c r="I495" s="11" t="s">
        <v>14385</v>
      </c>
      <c r="J495" s="61" t="str">
        <f t="shared" si="22"/>
        <v>(${Variables:E1_8_1_9_kcat} * E1_8_1_9 * C00097 * C00051 * C00006)/(${Variables:E1_8_1_9_km} + (E1_8_1_9 * C00097 * C00051 * C00006))</v>
      </c>
      <c r="K495" s="54" t="str">
        <f t="shared" si="23"/>
        <v>r494: C00097 + C00051 + C00006 -&gt; C05526 + C00005 | (${Variables:E1_8_1_9_kcat} * E1_8_1_9 * C00097 * C00051 * C00006)/(${Variables:E1_8_1_9_km} + (E1_8_1_9 * C00097 * C00051 * C00006))</v>
      </c>
    </row>
    <row r="496" spans="1:11" ht="43.5">
      <c r="A496" s="11" t="s">
        <v>3353</v>
      </c>
      <c r="B496" s="11" t="s">
        <v>3354</v>
      </c>
      <c r="C496" s="11" t="s">
        <v>12595</v>
      </c>
      <c r="D496" s="60">
        <v>495</v>
      </c>
      <c r="E496" s="11" t="str">
        <f t="shared" si="21"/>
        <v>E1_8_1_9</v>
      </c>
      <c r="F496" s="11" t="s">
        <v>14386</v>
      </c>
      <c r="G496" s="11" t="s">
        <v>14387</v>
      </c>
      <c r="H496" s="11" t="s">
        <v>14388</v>
      </c>
      <c r="I496" s="11" t="s">
        <v>14389</v>
      </c>
      <c r="J496" s="61" t="str">
        <f t="shared" si="22"/>
        <v>(${Variables:E1_8_1_9_kcat} * E1_8_1_9 * C01528 * C00006 * C00001)/(${Variables:E1_8_1_9_km} + (E1_8_1_9 * C01528 * C00006 * C00001))</v>
      </c>
      <c r="K496" s="54" t="str">
        <f t="shared" si="23"/>
        <v>r495: C01528 + C00006 + C00001 -&gt; C05684 + C00005 + C00080 | (${Variables:E1_8_1_9_kcat} * E1_8_1_9 * C01528 * C00006 * C00001)/(${Variables:E1_8_1_9_km} + (E1_8_1_9 * C01528 * C00006 * C00001))</v>
      </c>
    </row>
    <row r="497" spans="1:11" ht="43.5">
      <c r="A497" s="11" t="s">
        <v>3353</v>
      </c>
      <c r="B497" s="11" t="s">
        <v>3354</v>
      </c>
      <c r="C497" s="11" t="s">
        <v>12595</v>
      </c>
      <c r="D497" s="60">
        <v>496</v>
      </c>
      <c r="E497" s="11" t="str">
        <f t="shared" si="21"/>
        <v>E1_8_1_9</v>
      </c>
      <c r="F497" s="11" t="s">
        <v>14390</v>
      </c>
      <c r="G497" s="11" t="s">
        <v>14391</v>
      </c>
      <c r="H497" s="11" t="s">
        <v>14392</v>
      </c>
      <c r="I497" s="11" t="s">
        <v>14393</v>
      </c>
      <c r="J497" s="61" t="str">
        <f t="shared" si="22"/>
        <v>(${Variables:E1_8_1_9_kcat} * E1_8_1_9 * C00005 * C00080 * C18902)/(${Variables:E1_8_1_9_km} + (E1_8_1_9 * C00005 * C00080 * C18902))</v>
      </c>
      <c r="K497" s="54" t="str">
        <f t="shared" si="23"/>
        <v>r496: C00005 + C00080 + C18902 -&gt; C00006 + C00001 + C05703 | (${Variables:E1_8_1_9_kcat} * E1_8_1_9 * C00005 * C00080 * C18902)/(${Variables:E1_8_1_9_km} + (E1_8_1_9 * C00005 * C00080 * C18902))</v>
      </c>
    </row>
    <row r="498" spans="1:11" ht="29">
      <c r="A498" s="11" t="s">
        <v>3428</v>
      </c>
      <c r="B498" s="11" t="s">
        <v>3429</v>
      </c>
      <c r="C498" s="11" t="s">
        <v>12597</v>
      </c>
      <c r="D498" s="60">
        <v>497</v>
      </c>
      <c r="E498" s="11" t="str">
        <f t="shared" si="21"/>
        <v>E2_4_1_52</v>
      </c>
      <c r="F498" s="11" t="s">
        <v>14394</v>
      </c>
      <c r="G498" s="11" t="s">
        <v>14395</v>
      </c>
      <c r="H498" s="11" t="s">
        <v>14396</v>
      </c>
      <c r="I498" s="11" t="s">
        <v>14397</v>
      </c>
      <c r="J498" s="61" t="str">
        <f t="shared" si="22"/>
        <v>(${Variables:E2_4_1_52_kcat} * E2_4_1_52 * C00029 * C22411)/(${Variables:E2_4_1_52_km} + (E2_4_1_52 * C00029 * C22411))</v>
      </c>
      <c r="K498" s="54" t="str">
        <f t="shared" si="23"/>
        <v>r497: C00029 + C22411 -&gt; C00015 + C22412 | (${Variables:E2_4_1_52_kcat} * E2_4_1_52 * C00029 * C22411)/(${Variables:E2_4_1_52_km} + (E2_4_1_52 * C00029 * C22411))</v>
      </c>
    </row>
    <row r="499" spans="1:11" ht="29">
      <c r="A499" s="11" t="s">
        <v>3463</v>
      </c>
      <c r="B499" s="11" t="s">
        <v>3464</v>
      </c>
      <c r="C499" s="11" t="s">
        <v>12527</v>
      </c>
      <c r="D499" s="60">
        <v>498</v>
      </c>
      <c r="E499" s="11" t="str">
        <f t="shared" si="21"/>
        <v>E2_7_7_18</v>
      </c>
      <c r="F499" s="11" t="s">
        <v>14398</v>
      </c>
      <c r="G499" s="11" t="s">
        <v>14399</v>
      </c>
      <c r="H499" s="11" t="s">
        <v>14400</v>
      </c>
      <c r="I499" s="11" t="s">
        <v>14401</v>
      </c>
      <c r="J499" s="61" t="str">
        <f t="shared" si="22"/>
        <v>(${Variables:E2_7_7_18_kcat} * E2_7_7_18 * C00002 * C01185)/(${Variables:E2_7_7_18_km} + (E2_7_7_18 * C00002 * C01185))</v>
      </c>
      <c r="K499" s="54" t="str">
        <f t="shared" si="23"/>
        <v>r498: C00002 + C01185 -&gt; C00013 + C00857 | (${Variables:E2_7_7_18_kcat} * E2_7_7_18 * C00002 * C01185)/(${Variables:E2_7_7_18_km} + (E2_7_7_18 * C00002 * C01185))</v>
      </c>
    </row>
    <row r="500" spans="1:11" ht="29">
      <c r="A500" s="11" t="s">
        <v>3463</v>
      </c>
      <c r="B500" s="11" t="s">
        <v>3464</v>
      </c>
      <c r="C500" s="11" t="s">
        <v>12527</v>
      </c>
      <c r="D500" s="60">
        <v>499</v>
      </c>
      <c r="E500" s="11" t="str">
        <f t="shared" si="21"/>
        <v>E2_7_7_18</v>
      </c>
      <c r="F500" s="11" t="s">
        <v>14402</v>
      </c>
      <c r="G500" s="11" t="s">
        <v>14403</v>
      </c>
      <c r="H500" s="11" t="s">
        <v>14404</v>
      </c>
      <c r="I500" s="11" t="s">
        <v>14405</v>
      </c>
      <c r="J500" s="61" t="str">
        <f t="shared" si="22"/>
        <v>(${Variables:E2_7_7_18_kcat} * E2_7_7_18 * C00002 * C00455)/(${Variables:E2_7_7_18_km} + (E2_7_7_18 * C00002 * C00455))</v>
      </c>
      <c r="K500" s="54" t="str">
        <f t="shared" si="23"/>
        <v>r499: C00002 + C00455 -&gt; C00013 + C00003 | (${Variables:E2_7_7_18_kcat} * E2_7_7_18 * C00002 * C00455)/(${Variables:E2_7_7_18_km} + (E2_7_7_18 * C00002 * C00455))</v>
      </c>
    </row>
    <row r="501" spans="1:11" ht="29">
      <c r="A501" s="11" t="s">
        <v>3477</v>
      </c>
      <c r="B501" s="11" t="s">
        <v>3478</v>
      </c>
      <c r="C501" s="11" t="s">
        <v>12598</v>
      </c>
      <c r="D501" s="60">
        <v>500</v>
      </c>
      <c r="E501" s="11" t="str">
        <f t="shared" si="21"/>
        <v>E2_1_1_156</v>
      </c>
      <c r="F501" s="11" t="s">
        <v>14406</v>
      </c>
      <c r="G501" s="11" t="s">
        <v>14407</v>
      </c>
      <c r="H501" s="11" t="s">
        <v>14408</v>
      </c>
      <c r="I501" s="11" t="s">
        <v>14409</v>
      </c>
      <c r="J501" s="61" t="str">
        <f t="shared" si="22"/>
        <v>(${Variables:E2_1_1_156_kcat} * E2_1_1_156 * C00019 * C00037)/(${Variables:E2_1_1_156_km} + (E2_1_1_156 * C00019 * C00037))</v>
      </c>
      <c r="K501" s="54" t="str">
        <f t="shared" si="23"/>
        <v>r500: C00019 + C00037 -&gt; C00021 + C00213 | (${Variables:E2_1_1_156_kcat} * E2_1_1_156 * C00019 * C00037)/(${Variables:E2_1_1_156_km} + (E2_1_1_156 * C00019 * C00037))</v>
      </c>
    </row>
    <row r="502" spans="1:11" ht="29">
      <c r="A502" s="11" t="s">
        <v>3477</v>
      </c>
      <c r="B502" s="11" t="s">
        <v>3478</v>
      </c>
      <c r="C502" s="11" t="s">
        <v>12598</v>
      </c>
      <c r="D502" s="60">
        <v>501</v>
      </c>
      <c r="E502" s="11" t="str">
        <f t="shared" si="21"/>
        <v>E2_1_1_156</v>
      </c>
      <c r="F502" s="11" t="s">
        <v>14410</v>
      </c>
      <c r="G502" s="11" t="s">
        <v>14411</v>
      </c>
      <c r="H502" s="11" t="s">
        <v>14412</v>
      </c>
      <c r="I502" s="11" t="s">
        <v>14413</v>
      </c>
      <c r="J502" s="61" t="str">
        <f t="shared" si="22"/>
        <v>(${Variables:E2_1_1_156_kcat} * E2_1_1_156 * C00019 * C00213)/(${Variables:E2_1_1_156_km} + (E2_1_1_156 * C00019 * C00213))</v>
      </c>
      <c r="K502" s="54" t="str">
        <f t="shared" si="23"/>
        <v>r501: C00019 + C00213 -&gt; C00021 + C01026 | (${Variables:E2_1_1_156_kcat} * E2_1_1_156 * C00019 * C00213)/(${Variables:E2_1_1_156_km} + (E2_1_1_156 * C00019 * C00213))</v>
      </c>
    </row>
    <row r="503" spans="1:11" ht="29">
      <c r="A503" s="11" t="s">
        <v>3477</v>
      </c>
      <c r="B503" s="11" t="s">
        <v>3478</v>
      </c>
      <c r="C503" s="11" t="s">
        <v>12598</v>
      </c>
      <c r="D503" s="60">
        <v>502</v>
      </c>
      <c r="E503" s="11" t="str">
        <f t="shared" si="21"/>
        <v>E2_1_1_156</v>
      </c>
      <c r="F503" s="11" t="s">
        <v>14406</v>
      </c>
      <c r="G503" s="11" t="s">
        <v>14407</v>
      </c>
      <c r="H503" s="11" t="s">
        <v>14412</v>
      </c>
      <c r="I503" s="11" t="s">
        <v>14413</v>
      </c>
      <c r="J503" s="61" t="str">
        <f t="shared" si="22"/>
        <v>(${Variables:E2_1_1_156_kcat} * E2_1_1_156 * C00019 * C00037)/(${Variables:E2_1_1_156_km} + (E2_1_1_156 * C00019 * C00037))</v>
      </c>
      <c r="K503" s="54" t="str">
        <f t="shared" si="23"/>
        <v>r502: C00019 + C00037 -&gt; C00021 + C01026 | (${Variables:E2_1_1_156_kcat} * E2_1_1_156 * C00019 * C00037)/(${Variables:E2_1_1_156_km} + (E2_1_1_156 * C00019 * C00037))</v>
      </c>
    </row>
    <row r="504" spans="1:11" ht="29">
      <c r="A504" s="11" t="s">
        <v>3488</v>
      </c>
      <c r="B504" s="11" t="s">
        <v>3489</v>
      </c>
      <c r="C504" s="11" t="s">
        <v>12599</v>
      </c>
      <c r="D504" s="60">
        <v>503</v>
      </c>
      <c r="E504" s="11" t="str">
        <f t="shared" si="21"/>
        <v>E2_7_4_8</v>
      </c>
      <c r="F504" s="11" t="s">
        <v>14414</v>
      </c>
      <c r="G504" s="11" t="s">
        <v>14415</v>
      </c>
      <c r="H504" s="11" t="s">
        <v>14416</v>
      </c>
      <c r="I504" s="11" t="s">
        <v>14417</v>
      </c>
      <c r="J504" s="61" t="str">
        <f t="shared" si="22"/>
        <v>(${Variables:E2_7_4_8_kcat} * E2_7_4_8 * C00002 * C00144)/(${Variables:E2_7_4_8_km} + (E2_7_4_8 * C00002 * C00144))</v>
      </c>
      <c r="K504" s="54" t="str">
        <f t="shared" si="23"/>
        <v>r503: C00002 + C00144 -&gt; C00008 + C00035 | (${Variables:E2_7_4_8_kcat} * E2_7_4_8 * C00002 * C00144)/(${Variables:E2_7_4_8_km} + (E2_7_4_8 * C00002 * C00144))</v>
      </c>
    </row>
    <row r="505" spans="1:11" ht="29">
      <c r="A505" s="11" t="s">
        <v>3488</v>
      </c>
      <c r="B505" s="11" t="s">
        <v>3489</v>
      </c>
      <c r="C505" s="11" t="s">
        <v>12599</v>
      </c>
      <c r="D505" s="60">
        <v>504</v>
      </c>
      <c r="E505" s="11" t="str">
        <f t="shared" si="21"/>
        <v>E2_7_4_8</v>
      </c>
      <c r="F505" s="11" t="s">
        <v>14418</v>
      </c>
      <c r="G505" s="11" t="s">
        <v>14419</v>
      </c>
      <c r="H505" s="11" t="s">
        <v>14420</v>
      </c>
      <c r="I505" s="11" t="s">
        <v>14421</v>
      </c>
      <c r="J505" s="61" t="str">
        <f t="shared" si="22"/>
        <v>(${Variables:E2_7_4_8_kcat} * E2_7_4_8 * C00002 * C00362)/(${Variables:E2_7_4_8_km} + (E2_7_4_8 * C00002 * C00362))</v>
      </c>
      <c r="K505" s="54" t="str">
        <f t="shared" si="23"/>
        <v>r504: C00002 + C00362 -&gt; C00008 + C00361 | (${Variables:E2_7_4_8_kcat} * E2_7_4_8 * C00002 * C00362)/(${Variables:E2_7_4_8_km} + (E2_7_4_8 * C00002 * C00362))</v>
      </c>
    </row>
    <row r="506" spans="1:11" ht="29">
      <c r="A506" s="11" t="s">
        <v>3488</v>
      </c>
      <c r="B506" s="11" t="s">
        <v>3489</v>
      </c>
      <c r="C506" s="11" t="s">
        <v>12599</v>
      </c>
      <c r="D506" s="60">
        <v>505</v>
      </c>
      <c r="E506" s="11" t="str">
        <f t="shared" si="21"/>
        <v>E2_7_4_8</v>
      </c>
      <c r="F506" s="11" t="s">
        <v>14422</v>
      </c>
      <c r="G506" s="11" t="s">
        <v>14423</v>
      </c>
      <c r="H506" s="11" t="s">
        <v>14424</v>
      </c>
      <c r="I506" s="11" t="s">
        <v>14425</v>
      </c>
      <c r="J506" s="61" t="str">
        <f t="shared" si="22"/>
        <v>(${Variables:E2_7_4_8_kcat} * E2_7_4_8 * C22441 * C00002)/(${Variables:E2_7_4_8_km} + (E2_7_4_8 * C22441 * C00002))</v>
      </c>
      <c r="K506" s="54" t="str">
        <f t="shared" si="23"/>
        <v>r505: C22441 + C00002 -&gt; C22442 + C00008 | (${Variables:E2_7_4_8_kcat} * E2_7_4_8 * C22441 * C00002)/(${Variables:E2_7_4_8_km} + (E2_7_4_8 * C22441 * C00002))</v>
      </c>
    </row>
    <row r="507" spans="1:11" ht="29">
      <c r="A507" s="11" t="s">
        <v>3500</v>
      </c>
      <c r="B507" s="11" t="s">
        <v>3501</v>
      </c>
      <c r="C507" s="11" t="s">
        <v>12600</v>
      </c>
      <c r="D507" s="60">
        <v>506</v>
      </c>
      <c r="E507" s="11" t="str">
        <f t="shared" si="21"/>
        <v>E2_1_2_9</v>
      </c>
      <c r="F507" s="11" t="s">
        <v>14426</v>
      </c>
      <c r="G507" s="11" t="s">
        <v>14427</v>
      </c>
      <c r="H507" s="11" t="s">
        <v>14428</v>
      </c>
      <c r="I507" s="11" t="s">
        <v>14429</v>
      </c>
      <c r="J507" s="61" t="str">
        <f t="shared" si="22"/>
        <v>(${Variables:E2_1_2_9_kcat} * E2_1_2_9 * C02430 * C00234)/(${Variables:E2_1_2_9_km} + (E2_1_2_9 * C02430 * C00234))</v>
      </c>
      <c r="K507" s="54" t="str">
        <f t="shared" si="23"/>
        <v>r506: C02430 + C00234 -&gt; C00101 + C03294 | (${Variables:E2_1_2_9_kcat} * E2_1_2_9 * C02430 * C00234)/(${Variables:E2_1_2_9_km} + (E2_1_2_9 * C02430 * C00234))</v>
      </c>
    </row>
    <row r="508" spans="1:11" ht="29">
      <c r="A508" s="11" t="s">
        <v>3507</v>
      </c>
      <c r="B508" s="11" t="s">
        <v>3508</v>
      </c>
      <c r="C508" s="11" t="s">
        <v>12602</v>
      </c>
      <c r="D508" s="60">
        <v>507</v>
      </c>
      <c r="E508" s="11" t="str">
        <f t="shared" si="21"/>
        <v>E3_1_3_16</v>
      </c>
      <c r="F508" s="11" t="s">
        <v>14430</v>
      </c>
      <c r="G508" s="11" t="s">
        <v>14431</v>
      </c>
      <c r="H508" s="11" t="s">
        <v>14432</v>
      </c>
      <c r="I508" s="11" t="s">
        <v>14433</v>
      </c>
      <c r="J508" s="61" t="str">
        <f t="shared" si="22"/>
        <v>(${Variables:E3_1_3_16_kcat} * E3_1_3_16 * C00562 * C00001)/(${Variables:E3_1_3_16_km} + (E3_1_3_16 * C00562 * C00001))</v>
      </c>
      <c r="K508" s="54" t="str">
        <f t="shared" si="23"/>
        <v>r507: C00562 + C00001 -&gt; C00017 + C00009 | (${Variables:E3_1_3_16_kcat} * E3_1_3_16 * C00562 * C00001)/(${Variables:E3_1_3_16_km} + (E3_1_3_16 * C00562 * C00001))</v>
      </c>
    </row>
    <row r="509" spans="1:11" ht="29">
      <c r="A509" s="11" t="s">
        <v>3525</v>
      </c>
      <c r="B509" s="11" t="s">
        <v>3526</v>
      </c>
      <c r="C509" s="11" t="s">
        <v>12603</v>
      </c>
      <c r="D509" s="60">
        <v>508</v>
      </c>
      <c r="E509" s="11" t="str">
        <f t="shared" si="21"/>
        <v>E2_3_3_10</v>
      </c>
      <c r="F509" s="11" t="s">
        <v>14434</v>
      </c>
      <c r="G509" s="11" t="s">
        <v>14435</v>
      </c>
      <c r="H509" s="11" t="s">
        <v>14436</v>
      </c>
      <c r="I509" s="11" t="s">
        <v>14437</v>
      </c>
      <c r="J509" s="61" t="str">
        <f t="shared" si="22"/>
        <v>(${Variables:E2_3_3_10_kcat} * E2_3_3_10 * C00356 * C00010)/(${Variables:E2_3_3_10_km} + (E2_3_3_10 * C00356 * C00010))</v>
      </c>
      <c r="K509" s="54" t="str">
        <f t="shared" si="23"/>
        <v>r508: C00356 + C00010 -&gt; C00024 + C00001 + C00332 | (${Variables:E2_3_3_10_kcat} * E2_3_3_10 * C00356 * C00010)/(${Variables:E2_3_3_10_km} + (E2_3_3_10 * C00356 * C00010))</v>
      </c>
    </row>
    <row r="510" spans="1:11" ht="43.5">
      <c r="A510" s="11" t="s">
        <v>3529</v>
      </c>
      <c r="B510" s="11" t="s">
        <v>3530</v>
      </c>
      <c r="C510" s="11" t="s">
        <v>12604</v>
      </c>
      <c r="D510" s="60">
        <v>509</v>
      </c>
      <c r="E510" s="11" t="str">
        <f t="shared" si="21"/>
        <v>E1_1_1_88</v>
      </c>
      <c r="F510" s="11" t="s">
        <v>14438</v>
      </c>
      <c r="G510" s="11" t="s">
        <v>14439</v>
      </c>
      <c r="H510" s="11" t="s">
        <v>14440</v>
      </c>
      <c r="I510" s="11" t="s">
        <v>14441</v>
      </c>
      <c r="J510" s="61" t="str">
        <f t="shared" si="22"/>
        <v>(${Variables:E1_1_1_88_kcat} * E1_1_1_88 * C00418 * C00010 * C00003)/(${Variables:E1_1_1_88_km} + (E1_1_1_88 * C00418 * C00010 * C00003))</v>
      </c>
      <c r="K510" s="54" t="str">
        <f t="shared" si="23"/>
        <v>r509: C00418 + C00010 + C00003 -&gt; C00356 + C00004 + C00080 | (${Variables:E1_1_1_88_kcat} * E1_1_1_88 * C00418 * C00010 * C00003)/(${Variables:E1_1_1_88_km} + (E1_1_1_88 * C00418 * C00010 * C00003))</v>
      </c>
    </row>
    <row r="511" spans="1:11" ht="29">
      <c r="A511" s="11" t="s">
        <v>3544</v>
      </c>
      <c r="B511" s="11" t="s">
        <v>3545</v>
      </c>
      <c r="C511" s="11" t="s">
        <v>12484</v>
      </c>
      <c r="D511" s="60">
        <v>510</v>
      </c>
      <c r="E511" s="11" t="str">
        <f t="shared" si="21"/>
        <v>E2_7_1_4</v>
      </c>
      <c r="F511" s="11" t="s">
        <v>14442</v>
      </c>
      <c r="G511" s="11" t="s">
        <v>14443</v>
      </c>
      <c r="H511" s="11" t="s">
        <v>14444</v>
      </c>
      <c r="I511" s="11" t="s">
        <v>14445</v>
      </c>
      <c r="J511" s="61" t="str">
        <f t="shared" si="22"/>
        <v>(${Variables:E2_7_1_4_kcat} * E2_7_1_4 * C00002 * C00095)/(${Variables:E2_7_1_4_km} + (E2_7_1_4 * C00002 * C00095))</v>
      </c>
      <c r="K511" s="54" t="str">
        <f t="shared" si="23"/>
        <v>r510: C00002 + C00095 -&gt; C00008 + C00085 | (${Variables:E2_7_1_4_kcat} * E2_7_1_4 * C00002 * C00095)/(${Variables:E2_7_1_4_km} + (E2_7_1_4 * C00002 * C00095))</v>
      </c>
    </row>
    <row r="512" spans="1:11" ht="29">
      <c r="A512" s="11" t="s">
        <v>3544</v>
      </c>
      <c r="B512" s="11" t="s">
        <v>3545</v>
      </c>
      <c r="C512" s="11" t="s">
        <v>12484</v>
      </c>
      <c r="D512" s="60">
        <v>511</v>
      </c>
      <c r="E512" s="11" t="str">
        <f t="shared" si="21"/>
        <v>E2_7_1_4</v>
      </c>
      <c r="F512" s="11" t="s">
        <v>14442</v>
      </c>
      <c r="G512" s="11" t="s">
        <v>14443</v>
      </c>
      <c r="H512" s="11" t="s">
        <v>14446</v>
      </c>
      <c r="I512" s="11" t="s">
        <v>14447</v>
      </c>
      <c r="J512" s="61" t="str">
        <f t="shared" si="22"/>
        <v>(${Variables:E2_7_1_4_kcat} * E2_7_1_4 * C00002 * C00095)/(${Variables:E2_7_1_4_km} + (E2_7_1_4 * C00002 * C00095))</v>
      </c>
      <c r="K512" s="54" t="str">
        <f t="shared" si="23"/>
        <v>r511: C00002 + C00095 -&gt; C00008 + C05345 | (${Variables:E2_7_1_4_kcat} * E2_7_1_4 * C00002 * C00095)/(${Variables:E2_7_1_4_km} + (E2_7_1_4 * C00002 * C00095))</v>
      </c>
    </row>
    <row r="513" spans="1:11" ht="29">
      <c r="A513" s="11" t="s">
        <v>3544</v>
      </c>
      <c r="B513" s="11" t="s">
        <v>3545</v>
      </c>
      <c r="C513" s="11" t="s">
        <v>12484</v>
      </c>
      <c r="D513" s="60">
        <v>512</v>
      </c>
      <c r="E513" s="11" t="str">
        <f t="shared" si="21"/>
        <v>E2_7_1_4</v>
      </c>
      <c r="F513" s="11" t="s">
        <v>14448</v>
      </c>
      <c r="G513" s="11" t="s">
        <v>14449</v>
      </c>
      <c r="H513" s="11" t="s">
        <v>14446</v>
      </c>
      <c r="I513" s="11" t="s">
        <v>14447</v>
      </c>
      <c r="J513" s="61" t="str">
        <f t="shared" si="22"/>
        <v>(${Variables:E2_7_1_4_kcat} * E2_7_1_4 * C00002 * C02336)/(${Variables:E2_7_1_4_km} + (E2_7_1_4 * C00002 * C02336))</v>
      </c>
      <c r="K513" s="54" t="str">
        <f t="shared" si="23"/>
        <v>r512: C00002 + C02336 -&gt; C00008 + C05345 | (${Variables:E2_7_1_4_kcat} * E2_7_1_4 * C00002 * C02336)/(${Variables:E2_7_1_4_km} + (E2_7_1_4 * C00002 * C02336))</v>
      </c>
    </row>
    <row r="514" spans="1:11" ht="29">
      <c r="A514" s="11" t="s">
        <v>3580</v>
      </c>
      <c r="B514" s="11" t="s">
        <v>3581</v>
      </c>
      <c r="C514" s="11" t="s">
        <v>12485</v>
      </c>
      <c r="D514" s="60">
        <v>513</v>
      </c>
      <c r="E514" s="11" t="str">
        <f t="shared" si="21"/>
        <v>E1_5_1_39</v>
      </c>
      <c r="F514" s="11" t="s">
        <v>14450</v>
      </c>
      <c r="G514" s="11" t="s">
        <v>14451</v>
      </c>
      <c r="H514" s="11" t="s">
        <v>14452</v>
      </c>
      <c r="I514" s="11" t="s">
        <v>14453</v>
      </c>
      <c r="J514" s="61" t="str">
        <f t="shared" si="22"/>
        <v>(${Variables:E1_5_1_39_kcat} * E1_5_1_39 * C01847 * C00003)/(${Variables:E1_5_1_39_km} + (E1_5_1_39 * C01847 * C00003))</v>
      </c>
      <c r="K514" s="54" t="str">
        <f t="shared" si="23"/>
        <v>r513: C01847 + C00003 -&gt; C00061 + C00004 + C00080 | (${Variables:E1_5_1_39_kcat} * E1_5_1_39 * C01847 * C00003)/(${Variables:E1_5_1_39_km} + (E1_5_1_39 * C01847 * C00003))</v>
      </c>
    </row>
    <row r="515" spans="1:11" ht="29">
      <c r="A515" s="11" t="s">
        <v>3580</v>
      </c>
      <c r="B515" s="11" t="s">
        <v>3581</v>
      </c>
      <c r="C515" s="11" t="s">
        <v>12485</v>
      </c>
      <c r="D515" s="60">
        <v>514</v>
      </c>
      <c r="E515" s="11" t="str">
        <f t="shared" ref="E515:E578" si="24">CONCATENATE("E",C515)</f>
        <v>E1_5_1_39</v>
      </c>
      <c r="F515" s="11" t="s">
        <v>14454</v>
      </c>
      <c r="G515" s="11" t="s">
        <v>14455</v>
      </c>
      <c r="H515" s="11" t="s">
        <v>14456</v>
      </c>
      <c r="I515" s="11" t="s">
        <v>14457</v>
      </c>
      <c r="J515" s="61" t="str">
        <f t="shared" ref="J515:J578" si="25">CONCATENATE("(${Variables:",E515,"_kcat","} * ",E515," * ",G515,")","/(${Variables:",E515,"_km","} + (",E515," * ",G515,"))")</f>
        <v>(${Variables:E1_5_1_39_kcat} * E1_5_1_39 * C01847 * C00006)/(${Variables:E1_5_1_39_km} + (E1_5_1_39 * C01847 * C00006))</v>
      </c>
      <c r="K515" s="54" t="str">
        <f t="shared" ref="K515:K578" si="26">CONCATENATE("r",D515,": ",F515," -&gt; ",H515," | ",J515)</f>
        <v>r514: C01847 + C00006 -&gt; C00061 + C00005 + C00080 | (${Variables:E1_5_1_39_kcat} * E1_5_1_39 * C01847 * C00006)/(${Variables:E1_5_1_39_km} + (E1_5_1_39 * C01847 * C00006))</v>
      </c>
    </row>
    <row r="516" spans="1:11" ht="43.5">
      <c r="A516" s="11" t="s">
        <v>3609</v>
      </c>
      <c r="B516" s="11" t="s">
        <v>3610</v>
      </c>
      <c r="C516" s="11" t="s">
        <v>12390</v>
      </c>
      <c r="D516" s="60">
        <v>515</v>
      </c>
      <c r="E516" s="11" t="str">
        <f t="shared" si="24"/>
        <v>E2_5_1_54</v>
      </c>
      <c r="F516" s="11" t="s">
        <v>14458</v>
      </c>
      <c r="G516" s="11" t="s">
        <v>14459</v>
      </c>
      <c r="H516" s="11" t="s">
        <v>14460</v>
      </c>
      <c r="I516" s="11" t="s">
        <v>14461</v>
      </c>
      <c r="J516" s="61" t="str">
        <f t="shared" si="25"/>
        <v>(${Variables:E2_5_1_54_kcat} * E2_5_1_54 * C00074 * C00279 * C00001)/(${Variables:E2_5_1_54_km} + (E2_5_1_54 * C00074 * C00279 * C00001))</v>
      </c>
      <c r="K516" s="54" t="str">
        <f t="shared" si="26"/>
        <v>r515: C00074 + C00279 + C00001 -&gt; C04691 + C00009 | (${Variables:E2_5_1_54_kcat} * E2_5_1_54 * C00074 * C00279 * C00001)/(${Variables:E2_5_1_54_km} + (E2_5_1_54 * C00074 * C00279 * C00001))</v>
      </c>
    </row>
    <row r="517" spans="1:11" ht="29">
      <c r="A517" s="11" t="s">
        <v>3617</v>
      </c>
      <c r="B517" s="11" t="s">
        <v>3618</v>
      </c>
      <c r="C517" s="11" t="s">
        <v>12605</v>
      </c>
      <c r="D517" s="60">
        <v>516</v>
      </c>
      <c r="E517" s="11" t="str">
        <f t="shared" si="24"/>
        <v>E2_7_8_7</v>
      </c>
      <c r="F517" s="11" t="s">
        <v>14462</v>
      </c>
      <c r="G517" s="11" t="s">
        <v>14463</v>
      </c>
      <c r="H517" s="11" t="s">
        <v>14464</v>
      </c>
      <c r="I517" s="11" t="s">
        <v>14465</v>
      </c>
      <c r="J517" s="61" t="str">
        <f t="shared" si="25"/>
        <v>(${Variables:E2_7_8_7_kcat} * E2_7_8_7 * C00010 * C03688)/(${Variables:E2_7_8_7_km} + (E2_7_8_7 * C00010 * C03688))</v>
      </c>
      <c r="K517" s="54" t="str">
        <f t="shared" si="26"/>
        <v>r516: C00010 + C03688 -&gt; C00054 + C00229 | (${Variables:E2_7_8_7_kcat} * E2_7_8_7 * C00010 * C03688)/(${Variables:E2_7_8_7_km} + (E2_7_8_7 * C00010 * C03688))</v>
      </c>
    </row>
    <row r="518" spans="1:11" ht="29">
      <c r="A518" s="11" t="s">
        <v>3621</v>
      </c>
      <c r="B518" s="11" t="s">
        <v>3622</v>
      </c>
      <c r="C518" s="11" t="s">
        <v>12606</v>
      </c>
      <c r="D518" s="60">
        <v>517</v>
      </c>
      <c r="E518" s="11" t="str">
        <f t="shared" si="24"/>
        <v>E5_1_1_1</v>
      </c>
      <c r="F518" s="11" t="s">
        <v>9087</v>
      </c>
      <c r="G518" s="11" t="s">
        <v>9087</v>
      </c>
      <c r="H518" s="11" t="s">
        <v>9088</v>
      </c>
      <c r="I518" s="11" t="s">
        <v>9088</v>
      </c>
      <c r="J518" s="61" t="str">
        <f t="shared" si="25"/>
        <v>(${Variables:E5_1_1_1_kcat} * E5_1_1_1 * C00041)/(${Variables:E5_1_1_1_km} + (E5_1_1_1 * C00041))</v>
      </c>
      <c r="K518" s="54" t="str">
        <f t="shared" si="26"/>
        <v>r517: C00041 -&gt; C00133 | (${Variables:E5_1_1_1_kcat} * E5_1_1_1 * C00041)/(${Variables:E5_1_1_1_km} + (E5_1_1_1 * C00041))</v>
      </c>
    </row>
    <row r="519" spans="1:11" ht="29">
      <c r="A519" s="11" t="s">
        <v>3629</v>
      </c>
      <c r="B519" s="11" t="s">
        <v>3630</v>
      </c>
      <c r="C519" s="11" t="s">
        <v>12607</v>
      </c>
      <c r="D519" s="60">
        <v>518</v>
      </c>
      <c r="E519" s="11" t="str">
        <f t="shared" si="24"/>
        <v>E3_1_1_41</v>
      </c>
      <c r="F519" s="11" t="s">
        <v>14466</v>
      </c>
      <c r="G519" s="11" t="s">
        <v>14467</v>
      </c>
      <c r="H519" s="11" t="s">
        <v>14468</v>
      </c>
      <c r="I519" s="11" t="s">
        <v>14469</v>
      </c>
      <c r="J519" s="61" t="str">
        <f t="shared" si="25"/>
        <v>(${Variables:E3_1_1_41_kcat} * E3_1_1_41 * C00916 * C00001)/(${Variables:E3_1_1_41_km} + (E3_1_1_41 * C00916 * C00001))</v>
      </c>
      <c r="K519" s="54" t="str">
        <f t="shared" si="26"/>
        <v>r518: C00916 + C00001 -&gt; C03112 + C00033 | (${Variables:E3_1_1_41_kcat} * E3_1_1_41 * C00916 * C00001)/(${Variables:E3_1_1_41_km} + (E3_1_1_41 * C00916 * C00001))</v>
      </c>
    </row>
    <row r="520" spans="1:11" ht="29">
      <c r="A520" s="11" t="s">
        <v>3635</v>
      </c>
      <c r="B520" s="11" t="s">
        <v>3636</v>
      </c>
      <c r="C520" s="11" t="s">
        <v>12608</v>
      </c>
      <c r="D520" s="60">
        <v>519</v>
      </c>
      <c r="E520" s="11" t="str">
        <f t="shared" si="24"/>
        <v>E3_2_1_18</v>
      </c>
      <c r="F520" s="11" t="s">
        <v>14470</v>
      </c>
      <c r="G520" s="11" t="s">
        <v>14471</v>
      </c>
      <c r="H520" s="11" t="s">
        <v>14472</v>
      </c>
      <c r="I520" s="11" t="s">
        <v>14473</v>
      </c>
      <c r="J520" s="61" t="str">
        <f t="shared" si="25"/>
        <v>(${Variables:E3_2_1_18_kcat} * E3_2_1_18 * C01290 * C00270)/(${Variables:E3_2_1_18_km} + (E3_2_1_18 * C01290 * C00270))</v>
      </c>
      <c r="K520" s="54" t="str">
        <f t="shared" si="26"/>
        <v>r519: C01290 + C00270 -&gt; C04370 + C00001 | (${Variables:E3_2_1_18_kcat} * E3_2_1_18 * C01290 * C00270)/(${Variables:E3_2_1_18_km} + (E3_2_1_18 * C01290 * C00270))</v>
      </c>
    </row>
    <row r="521" spans="1:11" ht="29">
      <c r="A521" s="11" t="s">
        <v>3635</v>
      </c>
      <c r="B521" s="11" t="s">
        <v>3636</v>
      </c>
      <c r="C521" s="11" t="s">
        <v>12608</v>
      </c>
      <c r="D521" s="60">
        <v>520</v>
      </c>
      <c r="E521" s="11" t="str">
        <f t="shared" si="24"/>
        <v>E3_2_1_18</v>
      </c>
      <c r="F521" s="11" t="s">
        <v>14474</v>
      </c>
      <c r="G521" s="11" t="s">
        <v>14475</v>
      </c>
      <c r="H521" s="11" t="s">
        <v>14476</v>
      </c>
      <c r="I521" s="11" t="s">
        <v>14477</v>
      </c>
      <c r="J521" s="61" t="str">
        <f t="shared" si="25"/>
        <v>(${Variables:E3_2_1_18_kcat} * E3_2_1_18 * C02686 * C00270)/(${Variables:E3_2_1_18_km} + (E3_2_1_18 * C02686 * C00270))</v>
      </c>
      <c r="K521" s="54" t="str">
        <f t="shared" si="26"/>
        <v>r520: C02686 + C00270 -&gt; C06128 + C00001 | (${Variables:E3_2_1_18_kcat} * E3_2_1_18 * C02686 * C00270)/(${Variables:E3_2_1_18_km} + (E3_2_1_18 * C02686 * C00270))</v>
      </c>
    </row>
    <row r="522" spans="1:11" ht="29">
      <c r="A522" s="11" t="s">
        <v>3635</v>
      </c>
      <c r="B522" s="11" t="s">
        <v>3636</v>
      </c>
      <c r="C522" s="11" t="s">
        <v>12608</v>
      </c>
      <c r="D522" s="60">
        <v>521</v>
      </c>
      <c r="E522" s="11" t="str">
        <f t="shared" si="24"/>
        <v>E3_2_1_18</v>
      </c>
      <c r="F522" s="11" t="s">
        <v>12775</v>
      </c>
      <c r="G522" s="11" t="s">
        <v>12776</v>
      </c>
      <c r="H522" s="11" t="s">
        <v>14478</v>
      </c>
      <c r="I522" s="11" t="s">
        <v>14479</v>
      </c>
      <c r="J522" s="61" t="str">
        <f t="shared" si="25"/>
        <v>(${Variables:E3_2_1_18_kcat} * E3_2_1_18 * C04884 * C00001)/(${Variables:E3_2_1_18_km} + (E3_2_1_18 * C04884 * C00001))</v>
      </c>
      <c r="K522" s="54" t="str">
        <f t="shared" si="26"/>
        <v>r521: C04884 + C00001 -&gt; C06135 + C00270 | (${Variables:E3_2_1_18_kcat} * E3_2_1_18 * C04884 * C00001)/(${Variables:E3_2_1_18_km} + (E3_2_1_18 * C04884 * C00001))</v>
      </c>
    </row>
    <row r="523" spans="1:11" ht="29">
      <c r="A523" s="11" t="s">
        <v>3635</v>
      </c>
      <c r="B523" s="11" t="s">
        <v>3636</v>
      </c>
      <c r="C523" s="11" t="s">
        <v>12608</v>
      </c>
      <c r="D523" s="60">
        <v>522</v>
      </c>
      <c r="E523" s="11" t="str">
        <f t="shared" si="24"/>
        <v>E3_2_1_18</v>
      </c>
      <c r="F523" s="11" t="s">
        <v>14480</v>
      </c>
      <c r="G523" s="11" t="s">
        <v>14481</v>
      </c>
      <c r="H523" s="11" t="s">
        <v>14482</v>
      </c>
      <c r="I523" s="11" t="s">
        <v>14483</v>
      </c>
      <c r="J523" s="61" t="str">
        <f t="shared" si="25"/>
        <v>(${Variables:E3_2_1_18_kcat} * E3_2_1_18 * C04911 * C00270)/(${Variables:E3_2_1_18_km} + (E3_2_1_18 * C04911 * C00270))</v>
      </c>
      <c r="K523" s="54" t="str">
        <f t="shared" si="26"/>
        <v>r522: C04911 + C00270 -&gt; C04927 + C00001 | (${Variables:E3_2_1_18_kcat} * E3_2_1_18 * C04911 * C00270)/(${Variables:E3_2_1_18_km} + (E3_2_1_18 * C04911 * C00270))</v>
      </c>
    </row>
    <row r="524" spans="1:11" ht="29">
      <c r="A524" s="11" t="s">
        <v>3635</v>
      </c>
      <c r="B524" s="11" t="s">
        <v>3636</v>
      </c>
      <c r="C524" s="11" t="s">
        <v>12608</v>
      </c>
      <c r="D524" s="60">
        <v>523</v>
      </c>
      <c r="E524" s="11" t="str">
        <f t="shared" si="24"/>
        <v>E3_2_1_18</v>
      </c>
      <c r="F524" s="11" t="s">
        <v>14484</v>
      </c>
      <c r="G524" s="11" t="s">
        <v>14485</v>
      </c>
      <c r="H524" s="11" t="s">
        <v>14486</v>
      </c>
      <c r="I524" s="11" t="s">
        <v>14487</v>
      </c>
      <c r="J524" s="61" t="str">
        <f t="shared" si="25"/>
        <v>(${Variables:E3_2_1_18_kcat} * E3_2_1_18 * C06140 * C00270)/(${Variables:E3_2_1_18_km} + (E3_2_1_18 * C06140 * C00270))</v>
      </c>
      <c r="K524" s="54" t="str">
        <f t="shared" si="26"/>
        <v>r523: C06140 + C00270 -&gt; C06139 + C00001 | (${Variables:E3_2_1_18_kcat} * E3_2_1_18 * C06140 * C00270)/(${Variables:E3_2_1_18_km} + (E3_2_1_18 * C06140 * C00270))</v>
      </c>
    </row>
    <row r="525" spans="1:11" ht="29">
      <c r="A525" s="11" t="s">
        <v>3635</v>
      </c>
      <c r="B525" s="11" t="s">
        <v>3636</v>
      </c>
      <c r="C525" s="11" t="s">
        <v>12608</v>
      </c>
      <c r="D525" s="60">
        <v>524</v>
      </c>
      <c r="E525" s="11" t="str">
        <f t="shared" si="24"/>
        <v>E3_2_1_18</v>
      </c>
      <c r="F525" s="11" t="s">
        <v>14488</v>
      </c>
      <c r="G525" s="11" t="s">
        <v>14489</v>
      </c>
      <c r="H525" s="11" t="s">
        <v>14490</v>
      </c>
      <c r="I525" s="11" t="s">
        <v>14491</v>
      </c>
      <c r="J525" s="61" t="str">
        <f t="shared" si="25"/>
        <v>(${Variables:E3_2_1_18_kcat} * E3_2_1_18 * C06140 * C00001)/(${Variables:E3_2_1_18_km} + (E3_2_1_18 * C06140 * C00001))</v>
      </c>
      <c r="K525" s="54" t="str">
        <f t="shared" si="26"/>
        <v>r524: C06140 + C00001 -&gt; C06141 + C00270 | (${Variables:E3_2_1_18_kcat} * E3_2_1_18 * C06140 * C00001)/(${Variables:E3_2_1_18_km} + (E3_2_1_18 * C06140 * C00001))</v>
      </c>
    </row>
    <row r="526" spans="1:11" ht="29">
      <c r="A526" s="11" t="s">
        <v>3635</v>
      </c>
      <c r="B526" s="11" t="s">
        <v>3636</v>
      </c>
      <c r="C526" s="11" t="s">
        <v>12608</v>
      </c>
      <c r="D526" s="60">
        <v>525</v>
      </c>
      <c r="E526" s="11" t="str">
        <f t="shared" si="24"/>
        <v>E3_2_1_18</v>
      </c>
      <c r="F526" s="11" t="s">
        <v>14492</v>
      </c>
      <c r="G526" s="11" t="s">
        <v>14493</v>
      </c>
      <c r="H526" s="11" t="s">
        <v>14494</v>
      </c>
      <c r="I526" s="11" t="s">
        <v>14495</v>
      </c>
      <c r="J526" s="61" t="str">
        <f t="shared" si="25"/>
        <v>(${Variables:E3_2_1_18_kcat} * E3_2_1_18 * G00116 * C00270)/(${Variables:E3_2_1_18_km} + (E3_2_1_18 * G00116 * C00270))</v>
      </c>
      <c r="K526" s="54" t="str">
        <f t="shared" si="26"/>
        <v>r525: G00116 + C00270 -&gt; G00117 + C00001 | (${Variables:E3_2_1_18_kcat} * E3_2_1_18 * G00116 * C00270)/(${Variables:E3_2_1_18_km} + (E3_2_1_18 * G00116 * C00270))</v>
      </c>
    </row>
    <row r="527" spans="1:11" ht="29">
      <c r="A527" s="11" t="s">
        <v>3635</v>
      </c>
      <c r="B527" s="11" t="s">
        <v>3636</v>
      </c>
      <c r="C527" s="11" t="s">
        <v>12608</v>
      </c>
      <c r="D527" s="60">
        <v>526</v>
      </c>
      <c r="E527" s="11" t="str">
        <f t="shared" si="24"/>
        <v>E3_2_1_18</v>
      </c>
      <c r="F527" s="11" t="s">
        <v>14496</v>
      </c>
      <c r="G527" s="11" t="s">
        <v>14497</v>
      </c>
      <c r="H527" s="11" t="s">
        <v>14498</v>
      </c>
      <c r="I527" s="11" t="s">
        <v>14499</v>
      </c>
      <c r="J527" s="61" t="str">
        <f t="shared" si="25"/>
        <v>(${Variables:E3_2_1_18_kcat} * E3_2_1_18 * G00116 * C00001)/(${Variables:E3_2_1_18_km} + (E3_2_1_18 * G00116 * C00001))</v>
      </c>
      <c r="K527" s="54" t="str">
        <f t="shared" si="26"/>
        <v>r526: G00116 + C00001 -&gt; G00115 + C00270 | (${Variables:E3_2_1_18_kcat} * E3_2_1_18 * G00116 * C00001)/(${Variables:E3_2_1_18_km} + (E3_2_1_18 * G00116 * C00001))</v>
      </c>
    </row>
    <row r="528" spans="1:11" ht="29">
      <c r="A528" s="11" t="s">
        <v>3635</v>
      </c>
      <c r="B528" s="11" t="s">
        <v>3636</v>
      </c>
      <c r="C528" s="11" t="s">
        <v>12608</v>
      </c>
      <c r="D528" s="60">
        <v>527</v>
      </c>
      <c r="E528" s="11" t="str">
        <f t="shared" si="24"/>
        <v>E3_2_1_18</v>
      </c>
      <c r="F528" s="11" t="s">
        <v>14500</v>
      </c>
      <c r="G528" s="11" t="s">
        <v>14501</v>
      </c>
      <c r="H528" s="11" t="s">
        <v>14502</v>
      </c>
      <c r="I528" s="11" t="s">
        <v>14503</v>
      </c>
      <c r="J528" s="61" t="str">
        <f t="shared" si="25"/>
        <v>(${Variables:E3_2_1_18_kcat} * E3_2_1_18 * G00092 * C00270)/(${Variables:E3_2_1_18_km} + (E3_2_1_18 * G00092 * C00270))</v>
      </c>
      <c r="K528" s="54" t="str">
        <f t="shared" si="26"/>
        <v>r527: G00092 + C00270 -&gt; G00108 + C00001 | (${Variables:E3_2_1_18_kcat} * E3_2_1_18 * G00092 * C00270)/(${Variables:E3_2_1_18_km} + (E3_2_1_18 * G00092 * C00270))</v>
      </c>
    </row>
    <row r="529" spans="1:11" ht="29">
      <c r="A529" s="11" t="s">
        <v>3635</v>
      </c>
      <c r="B529" s="11" t="s">
        <v>3636</v>
      </c>
      <c r="C529" s="11" t="s">
        <v>12608</v>
      </c>
      <c r="D529" s="60">
        <v>528</v>
      </c>
      <c r="E529" s="11" t="str">
        <f t="shared" si="24"/>
        <v>E3_2_1_18</v>
      </c>
      <c r="F529" s="11" t="s">
        <v>12787</v>
      </c>
      <c r="G529" s="11" t="s">
        <v>12788</v>
      </c>
      <c r="H529" s="11" t="s">
        <v>14504</v>
      </c>
      <c r="I529" s="11" t="s">
        <v>14505</v>
      </c>
      <c r="J529" s="61" t="str">
        <f t="shared" si="25"/>
        <v>(${Variables:E3_2_1_18_kcat} * E3_2_1_18 * G00109 * C00001)/(${Variables:E3_2_1_18_km} + (E3_2_1_18 * G00109 * C00001))</v>
      </c>
      <c r="K529" s="54" t="str">
        <f t="shared" si="26"/>
        <v>r528: G00109 + C00001 -&gt; G00123 + C00270 | (${Variables:E3_2_1_18_kcat} * E3_2_1_18 * G00109 * C00001)/(${Variables:E3_2_1_18_km} + (E3_2_1_18 * G00109 * C00001))</v>
      </c>
    </row>
    <row r="530" spans="1:11" ht="29">
      <c r="A530" s="11" t="s">
        <v>3635</v>
      </c>
      <c r="B530" s="11" t="s">
        <v>3636</v>
      </c>
      <c r="C530" s="11" t="s">
        <v>12608</v>
      </c>
      <c r="D530" s="60">
        <v>529</v>
      </c>
      <c r="E530" s="11" t="str">
        <f t="shared" si="24"/>
        <v>E3_2_1_18</v>
      </c>
      <c r="F530" s="11" t="s">
        <v>14506</v>
      </c>
      <c r="G530" s="11" t="s">
        <v>14507</v>
      </c>
      <c r="H530" s="11" t="s">
        <v>14508</v>
      </c>
      <c r="I530" s="11" t="s">
        <v>14509</v>
      </c>
      <c r="J530" s="61" t="str">
        <f t="shared" si="25"/>
        <v>(${Variables:E3_2_1_18_kcat} * E3_2_1_18 * G11121 * C00270)/(${Variables:E3_2_1_18_km} + (E3_2_1_18 * G11121 * C00270))</v>
      </c>
      <c r="K530" s="54" t="str">
        <f t="shared" si="26"/>
        <v>r529: G11121 + C00270 -&gt; G00317 + C00001 | (${Variables:E3_2_1_18_kcat} * E3_2_1_18 * G11121 * C00270)/(${Variables:E3_2_1_18_km} + (E3_2_1_18 * G11121 * C00270))</v>
      </c>
    </row>
    <row r="531" spans="1:11" ht="29">
      <c r="A531" s="11" t="s">
        <v>3635</v>
      </c>
      <c r="B531" s="11" t="s">
        <v>3636</v>
      </c>
      <c r="C531" s="11" t="s">
        <v>12608</v>
      </c>
      <c r="D531" s="60">
        <v>530</v>
      </c>
      <c r="E531" s="11" t="str">
        <f t="shared" si="24"/>
        <v>E3_2_1_18</v>
      </c>
      <c r="F531" s="11" t="s">
        <v>14510</v>
      </c>
      <c r="G531" s="11" t="s">
        <v>14511</v>
      </c>
      <c r="H531" s="11" t="s">
        <v>14512</v>
      </c>
      <c r="I531" s="11" t="s">
        <v>14513</v>
      </c>
      <c r="J531" s="61" t="str">
        <f t="shared" si="25"/>
        <v>(${Variables:E3_2_1_18_kcat} * E3_2_1_18 * G00110 * C00270)/(${Variables:E3_2_1_18_km} + (E3_2_1_18 * G00110 * C00270))</v>
      </c>
      <c r="K531" s="54" t="str">
        <f t="shared" si="26"/>
        <v>r530: G00110 + C00270 -&gt; G00111 + C00001 | (${Variables:E3_2_1_18_kcat} * E3_2_1_18 * G00110 * C00270)/(${Variables:E3_2_1_18_km} + (E3_2_1_18 * G00110 * C00270))</v>
      </c>
    </row>
    <row r="532" spans="1:11" ht="43.5">
      <c r="A532" s="11" t="s">
        <v>3660</v>
      </c>
      <c r="B532" s="11" t="s">
        <v>3661</v>
      </c>
      <c r="C532" s="11" t="s">
        <v>12483</v>
      </c>
      <c r="D532" s="60">
        <v>531</v>
      </c>
      <c r="E532" s="11" t="str">
        <f t="shared" si="24"/>
        <v>E1_1_1_292</v>
      </c>
      <c r="F532" s="11" t="s">
        <v>14514</v>
      </c>
      <c r="G532" s="11" t="s">
        <v>14515</v>
      </c>
      <c r="H532" s="11" t="s">
        <v>14516</v>
      </c>
      <c r="I532" s="11" t="s">
        <v>14517</v>
      </c>
      <c r="J532" s="61" t="str">
        <f t="shared" si="25"/>
        <v>(${Variables:E1_1_1_292_kcat} * E1_1_1_292 * C16538 * C00006)/(${Variables:E1_1_1_292_km} + (E1_1_1_292 * C16538 * C00006))</v>
      </c>
      <c r="K532" s="54" t="str">
        <f t="shared" si="26"/>
        <v>r531: C16538 + C00006 -&gt; C06485 + C00005 + C00080 | (${Variables:E1_1_1_292_kcat} * E1_1_1_292 * C16538 * C00006)/(${Variables:E1_1_1_292_km} + (E1_1_1_292 * C16538 * C00006))</v>
      </c>
    </row>
    <row r="533" spans="1:11" ht="29">
      <c r="A533" s="11" t="s">
        <v>3664</v>
      </c>
      <c r="B533" s="11" t="s">
        <v>3665</v>
      </c>
      <c r="C533" s="11" t="s">
        <v>12445</v>
      </c>
      <c r="D533" s="60">
        <v>532</v>
      </c>
      <c r="E533" s="11" t="str">
        <f t="shared" si="24"/>
        <v>E5_1_3_9</v>
      </c>
      <c r="F533" s="11" t="s">
        <v>9138</v>
      </c>
      <c r="G533" s="11" t="s">
        <v>9138</v>
      </c>
      <c r="H533" s="11" t="s">
        <v>9139</v>
      </c>
      <c r="I533" s="11" t="s">
        <v>9139</v>
      </c>
      <c r="J533" s="61" t="str">
        <f t="shared" si="25"/>
        <v>(${Variables:E5_1_3_9_kcat} * E5_1_3_9 * C00686)/(${Variables:E5_1_3_9_km} + (E5_1_3_9 * C00686))</v>
      </c>
      <c r="K533" s="54" t="str">
        <f t="shared" si="26"/>
        <v>r532: C00686 -&gt; C04136 | (${Variables:E5_1_3_9_kcat} * E5_1_3_9 * C00686)/(${Variables:E5_1_3_9_km} + (E5_1_3_9 * C00686))</v>
      </c>
    </row>
    <row r="534" spans="1:11" ht="29">
      <c r="A534" s="11" t="s">
        <v>3664</v>
      </c>
      <c r="B534" s="11" t="s">
        <v>3665</v>
      </c>
      <c r="C534" s="11" t="s">
        <v>12445</v>
      </c>
      <c r="D534" s="60">
        <v>533</v>
      </c>
      <c r="E534" s="11" t="str">
        <f t="shared" si="24"/>
        <v>E5_1_3_9</v>
      </c>
      <c r="F534" s="11" t="s">
        <v>9141</v>
      </c>
      <c r="G534" s="11" t="s">
        <v>9141</v>
      </c>
      <c r="H534" s="11" t="s">
        <v>9142</v>
      </c>
      <c r="I534" s="11" t="s">
        <v>9142</v>
      </c>
      <c r="J534" s="61" t="str">
        <f t="shared" si="25"/>
        <v>(${Variables:E5_1_3_9_kcat} * E5_1_3_9 * C00357)/(${Variables:E5_1_3_9_km} + (E5_1_3_9 * C00357))</v>
      </c>
      <c r="K534" s="54" t="str">
        <f t="shared" si="26"/>
        <v>r533: C00357 -&gt; C04257 | (${Variables:E5_1_3_9_kcat} * E5_1_3_9 * C00357)/(${Variables:E5_1_3_9_km} + (E5_1_3_9 * C00357))</v>
      </c>
    </row>
    <row r="535" spans="1:11" ht="29">
      <c r="A535" s="11" t="s">
        <v>3690</v>
      </c>
      <c r="B535" s="11" t="s">
        <v>3691</v>
      </c>
      <c r="C535" s="11" t="s">
        <v>12446</v>
      </c>
      <c r="D535" s="60">
        <v>534</v>
      </c>
      <c r="E535" s="11" t="str">
        <f t="shared" si="24"/>
        <v>E4_1_3_3</v>
      </c>
      <c r="F535" s="11" t="s">
        <v>9146</v>
      </c>
      <c r="G535" s="11" t="s">
        <v>9146</v>
      </c>
      <c r="H535" s="11" t="s">
        <v>14518</v>
      </c>
      <c r="I535" s="11" t="s">
        <v>14519</v>
      </c>
      <c r="J535" s="61" t="str">
        <f t="shared" si="25"/>
        <v>(${Variables:E4_1_3_3_kcat} * E4_1_3_3 * C22382)/(${Variables:E4_1_3_3_km} + (E4_1_3_3 * C22382))</v>
      </c>
      <c r="K535" s="54" t="str">
        <f t="shared" si="26"/>
        <v>r534: C22382 -&gt; C00645 + C00022 | (${Variables:E4_1_3_3_kcat} * E4_1_3_3 * C22382)/(${Variables:E4_1_3_3_km} + (E4_1_3_3 * C22382))</v>
      </c>
    </row>
    <row r="536" spans="1:11" ht="29">
      <c r="A536" s="11" t="s">
        <v>3690</v>
      </c>
      <c r="B536" s="11" t="s">
        <v>3691</v>
      </c>
      <c r="C536" s="11" t="s">
        <v>12446</v>
      </c>
      <c r="D536" s="60">
        <v>535</v>
      </c>
      <c r="E536" s="11" t="str">
        <f t="shared" si="24"/>
        <v>E4_1_3_3</v>
      </c>
      <c r="F536" s="11" t="s">
        <v>9149</v>
      </c>
      <c r="G536" s="11" t="s">
        <v>9149</v>
      </c>
      <c r="H536" s="11" t="s">
        <v>14518</v>
      </c>
      <c r="I536" s="11" t="s">
        <v>14519</v>
      </c>
      <c r="J536" s="61" t="str">
        <f t="shared" si="25"/>
        <v>(${Variables:E4_1_3_3_kcat} * E4_1_3_3 * C00270)/(${Variables:E4_1_3_3_km} + (E4_1_3_3 * C00270))</v>
      </c>
      <c r="K536" s="54" t="str">
        <f t="shared" si="26"/>
        <v>r535: C00270 -&gt; C00645 + C00022 | (${Variables:E4_1_3_3_kcat} * E4_1_3_3 * C00270)/(${Variables:E4_1_3_3_km} + (E4_1_3_3 * C00270))</v>
      </c>
    </row>
    <row r="537" spans="1:11" ht="29">
      <c r="A537" s="11" t="s">
        <v>3712</v>
      </c>
      <c r="B537" s="11" t="s">
        <v>3713</v>
      </c>
      <c r="C537" s="11" t="s">
        <v>12610</v>
      </c>
      <c r="D537" s="60">
        <v>536</v>
      </c>
      <c r="E537" s="11" t="str">
        <f t="shared" si="24"/>
        <v>E6_3_2_4</v>
      </c>
      <c r="F537" s="11" t="s">
        <v>14520</v>
      </c>
      <c r="G537" s="11" t="s">
        <v>14521</v>
      </c>
      <c r="H537" s="11" t="s">
        <v>14522</v>
      </c>
      <c r="I537" s="11" t="s">
        <v>14523</v>
      </c>
      <c r="J537" s="61" t="str">
        <f t="shared" si="25"/>
        <v>(${Variables:E6_3_2_4_kcat} * E6_3_2_4 * C00002 * C00133)/(${Variables:E6_3_2_4_km} + (E6_3_2_4 * C00002 * C00133))</v>
      </c>
      <c r="K537" s="54" t="str">
        <f t="shared" si="26"/>
        <v>r536: C00002 + C00133 -&gt; C00008 + C00009 + C00993 | (${Variables:E6_3_2_4_kcat} * E6_3_2_4 * C00002 * C00133)/(${Variables:E6_3_2_4_km} + (E6_3_2_4 * C00002 * C00133))</v>
      </c>
    </row>
    <row r="538" spans="1:11" ht="43.5">
      <c r="A538" s="11" t="s">
        <v>3716</v>
      </c>
      <c r="B538" s="11" t="s">
        <v>3717</v>
      </c>
      <c r="C538" s="11" t="s">
        <v>12611</v>
      </c>
      <c r="D538" s="60">
        <v>537</v>
      </c>
      <c r="E538" s="11" t="str">
        <f t="shared" si="24"/>
        <v>E6_3_2_10</v>
      </c>
      <c r="F538" s="11" t="s">
        <v>14524</v>
      </c>
      <c r="G538" s="11" t="s">
        <v>14525</v>
      </c>
      <c r="H538" s="11" t="s">
        <v>14526</v>
      </c>
      <c r="I538" s="11" t="s">
        <v>14527</v>
      </c>
      <c r="J538" s="61" t="str">
        <f t="shared" si="25"/>
        <v>(${Variables:E6_3_2_10_kcat} * E6_3_2_10 * C00002 * C05892 * C00993)/(${Variables:E6_3_2_10_km} + (E6_3_2_10 * C00002 * C05892 * C00993))</v>
      </c>
      <c r="K538" s="54" t="str">
        <f t="shared" si="26"/>
        <v>r537: C00002 + C05892 + C00993 -&gt; C00008 + C00009 + C04702 | (${Variables:E6_3_2_10_kcat} * E6_3_2_10 * C00002 * C05892 * C00993)/(${Variables:E6_3_2_10_km} + (E6_3_2_10 * C00002 * C05892 * C00993))</v>
      </c>
    </row>
    <row r="539" spans="1:11" ht="43.5">
      <c r="A539" s="11" t="s">
        <v>3716</v>
      </c>
      <c r="B539" s="11" t="s">
        <v>3717</v>
      </c>
      <c r="C539" s="11" t="s">
        <v>12611</v>
      </c>
      <c r="D539" s="60">
        <v>538</v>
      </c>
      <c r="E539" s="11" t="str">
        <f t="shared" si="24"/>
        <v>E6_3_2_10</v>
      </c>
      <c r="F539" s="11" t="s">
        <v>14528</v>
      </c>
      <c r="G539" s="11" t="s">
        <v>14529</v>
      </c>
      <c r="H539" s="11" t="s">
        <v>14530</v>
      </c>
      <c r="I539" s="11" t="s">
        <v>14531</v>
      </c>
      <c r="J539" s="61" t="str">
        <f t="shared" si="25"/>
        <v>(${Variables:E6_3_2_10_kcat} * E6_3_2_10 * C00002 * C04887 * C00993)/(${Variables:E6_3_2_10_km} + (E6_3_2_10 * C00002 * C04887 * C00993))</v>
      </c>
      <c r="K539" s="54" t="str">
        <f t="shared" si="26"/>
        <v>r538: C00002 + C04887 + C00993 -&gt; C00008 + C00009 + C04882 | (${Variables:E6_3_2_10_kcat} * E6_3_2_10 * C00002 * C04887 * C00993)/(${Variables:E6_3_2_10_km} + (E6_3_2_10 * C00002 * C04887 * C00993))</v>
      </c>
    </row>
    <row r="540" spans="1:11" ht="43.5">
      <c r="A540" s="11" t="s">
        <v>3746</v>
      </c>
      <c r="B540" s="11" t="s">
        <v>3747</v>
      </c>
      <c r="C540" s="11" t="s">
        <v>12612</v>
      </c>
      <c r="D540" s="60">
        <v>539</v>
      </c>
      <c r="E540" s="11" t="str">
        <f t="shared" si="24"/>
        <v>E6_1_1_5</v>
      </c>
      <c r="F540" s="11" t="s">
        <v>14532</v>
      </c>
      <c r="G540" s="11" t="s">
        <v>14533</v>
      </c>
      <c r="H540" s="11" t="s">
        <v>14534</v>
      </c>
      <c r="I540" s="11" t="s">
        <v>14535</v>
      </c>
      <c r="J540" s="61" t="str">
        <f t="shared" si="25"/>
        <v>(${Variables:E6_1_1_5_kcat} * E6_1_1_5 * C00002 * C00407 * C01644)/(${Variables:E6_1_1_5_km} + (E6_1_1_5 * C00002 * C00407 * C01644))</v>
      </c>
      <c r="K540" s="54" t="str">
        <f t="shared" si="26"/>
        <v>r539: C00002 + C00407 + C01644 -&gt; C00020 + C00013 + C03127 | (${Variables:E6_1_1_5_kcat} * E6_1_1_5 * C00002 * C00407 * C01644)/(${Variables:E6_1_1_5_km} + (E6_1_1_5 * C00002 * C00407 * C01644))</v>
      </c>
    </row>
    <row r="541" spans="1:11" ht="29">
      <c r="A541" s="11" t="s">
        <v>3786</v>
      </c>
      <c r="B541" s="11" t="s">
        <v>3787</v>
      </c>
      <c r="C541" s="11" t="s">
        <v>12613</v>
      </c>
      <c r="D541" s="60">
        <v>540</v>
      </c>
      <c r="E541" s="11" t="str">
        <f t="shared" si="24"/>
        <v>E2_7_6_5</v>
      </c>
      <c r="F541" s="11" t="s">
        <v>14536</v>
      </c>
      <c r="G541" s="11" t="s">
        <v>14537</v>
      </c>
      <c r="H541" s="11" t="s">
        <v>14538</v>
      </c>
      <c r="I541" s="11" t="s">
        <v>14539</v>
      </c>
      <c r="J541" s="61" t="str">
        <f t="shared" si="25"/>
        <v>(${Variables:E2_7_6_5_kcat} * E2_7_6_5 * C00002 * C00044)/(${Variables:E2_7_6_5_km} + (E2_7_6_5 * C00002 * C00044))</v>
      </c>
      <c r="K541" s="54" t="str">
        <f t="shared" si="26"/>
        <v>r540: C00002 + C00044 -&gt; C00020 + C04494 | (${Variables:E2_7_6_5_kcat} * E2_7_6_5 * C00002 * C00044)/(${Variables:E2_7_6_5_km} + (E2_7_6_5 * C00002 * C00044))</v>
      </c>
    </row>
    <row r="542" spans="1:11" ht="43.5">
      <c r="A542" s="11" t="s">
        <v>3823</v>
      </c>
      <c r="B542" s="11" t="s">
        <v>3824</v>
      </c>
      <c r="C542" s="11" t="s">
        <v>12614</v>
      </c>
      <c r="D542" s="60">
        <v>541</v>
      </c>
      <c r="E542" s="11" t="str">
        <f t="shared" si="24"/>
        <v>E6_1_1_3</v>
      </c>
      <c r="F542" s="11" t="s">
        <v>14540</v>
      </c>
      <c r="G542" s="11" t="s">
        <v>14541</v>
      </c>
      <c r="H542" s="11" t="s">
        <v>14542</v>
      </c>
      <c r="I542" s="11" t="s">
        <v>14543</v>
      </c>
      <c r="J542" s="61" t="str">
        <f t="shared" si="25"/>
        <v>(${Variables:E6_1_1_3_kcat} * E6_1_1_3 * C00002 * C00188 * C01651)/(${Variables:E6_1_1_3_km} + (E6_1_1_3 * C00002 * C00188 * C01651))</v>
      </c>
      <c r="K542" s="54" t="str">
        <f t="shared" si="26"/>
        <v>r541: C00002 + C00188 + C01651 -&gt; C00020 + C00013 + C02992 | (${Variables:E6_1_1_3_kcat} * E6_1_1_3 * C00002 * C00188 * C01651)/(${Variables:E6_1_1_3_km} + (E6_1_1_3 * C00002 * C00188 * C01651))</v>
      </c>
    </row>
    <row r="543" spans="1:11" ht="43.5">
      <c r="A543" s="11" t="s">
        <v>3855</v>
      </c>
      <c r="B543" s="11" t="s">
        <v>3856</v>
      </c>
      <c r="C543" s="11" t="s">
        <v>12617</v>
      </c>
      <c r="D543" s="60">
        <v>542</v>
      </c>
      <c r="E543" s="11" t="str">
        <f t="shared" si="24"/>
        <v>E1_4_3_19</v>
      </c>
      <c r="F543" s="11" t="s">
        <v>14544</v>
      </c>
      <c r="G543" s="11" t="s">
        <v>14545</v>
      </c>
      <c r="H543" s="11" t="s">
        <v>14546</v>
      </c>
      <c r="I543" s="11" t="s">
        <v>14547</v>
      </c>
      <c r="J543" s="61" t="str">
        <f t="shared" si="25"/>
        <v>(${Variables:E1_4_3_19_kcat} * E1_4_3_19 * C00037 * C00001 * C00007)/(${Variables:E1_4_3_19_km} + (E1_4_3_19 * C00037 * C00001 * C00007))</v>
      </c>
      <c r="K543" s="54" t="str">
        <f t="shared" si="26"/>
        <v>r542: C00037 + C00001 + C00007 -&gt; C00048 + C00014 + C00027 | (${Variables:E1_4_3_19_kcat} * E1_4_3_19 * C00037 * C00001 * C00007)/(${Variables:E1_4_3_19_km} + (E1_4_3_19 * C00037 * C00001 * C00007))</v>
      </c>
    </row>
    <row r="544" spans="1:11" ht="29">
      <c r="A544" s="11" t="s">
        <v>3855</v>
      </c>
      <c r="B544" s="11" t="s">
        <v>3856</v>
      </c>
      <c r="C544" s="11" t="s">
        <v>12617</v>
      </c>
      <c r="D544" s="60">
        <v>543</v>
      </c>
      <c r="E544" s="11" t="str">
        <f t="shared" si="24"/>
        <v>E1_4_3_19</v>
      </c>
      <c r="F544" s="11" t="s">
        <v>14548</v>
      </c>
      <c r="G544" s="11" t="s">
        <v>14549</v>
      </c>
      <c r="H544" s="11" t="s">
        <v>14550</v>
      </c>
      <c r="I544" s="11" t="s">
        <v>14551</v>
      </c>
      <c r="J544" s="61" t="str">
        <f t="shared" si="25"/>
        <v>(${Variables:E1_4_3_19_kcat} * E1_4_3_19 * C00037 * C00007)/(${Variables:E1_4_3_19_km} + (E1_4_3_19 * C00037 * C00007))</v>
      </c>
      <c r="K544" s="54" t="str">
        <f t="shared" si="26"/>
        <v>r543: C00037 + C00007 -&gt; C15809 + C00027 | (${Variables:E1_4_3_19_kcat} * E1_4_3_19 * C00037 * C00007)/(${Variables:E1_4_3_19_km} + (E1_4_3_19 * C00037 * C00007))</v>
      </c>
    </row>
    <row r="545" spans="1:11" ht="29">
      <c r="A545" s="11" t="s">
        <v>3855</v>
      </c>
      <c r="B545" s="11" t="s">
        <v>3856</v>
      </c>
      <c r="C545" s="11" t="s">
        <v>12617</v>
      </c>
      <c r="D545" s="60">
        <v>544</v>
      </c>
      <c r="E545" s="11" t="str">
        <f t="shared" si="24"/>
        <v>E1_4_3_19</v>
      </c>
      <c r="F545" s="11" t="s">
        <v>14552</v>
      </c>
      <c r="G545" s="11" t="s">
        <v>14553</v>
      </c>
      <c r="H545" s="11" t="s">
        <v>14554</v>
      </c>
      <c r="I545" s="11" t="s">
        <v>14555</v>
      </c>
      <c r="J545" s="61" t="str">
        <f t="shared" si="25"/>
        <v>(${Variables:E1_4_3_19_kcat} * E1_4_3_19 * C15809 * C00001)/(${Variables:E1_4_3_19_km} + (E1_4_3_19 * C15809 * C00001))</v>
      </c>
      <c r="K545" s="54" t="str">
        <f t="shared" si="26"/>
        <v>r544: C15809 + C00001 -&gt; C00048 + C00014 | (${Variables:E1_4_3_19_kcat} * E1_4_3_19 * C15809 * C00001)/(${Variables:E1_4_3_19_km} + (E1_4_3_19 * C15809 * C00001))</v>
      </c>
    </row>
    <row r="546" spans="1:11" ht="43.5">
      <c r="A546" s="11" t="s">
        <v>3855</v>
      </c>
      <c r="B546" s="11" t="s">
        <v>3856</v>
      </c>
      <c r="C546" s="11" t="s">
        <v>12617</v>
      </c>
      <c r="D546" s="60">
        <v>545</v>
      </c>
      <c r="E546" s="11" t="str">
        <f t="shared" si="24"/>
        <v>E1_4_3_19</v>
      </c>
      <c r="F546" s="11" t="s">
        <v>14556</v>
      </c>
      <c r="G546" s="11" t="s">
        <v>14557</v>
      </c>
      <c r="H546" s="11" t="s">
        <v>14558</v>
      </c>
      <c r="I546" s="11" t="s">
        <v>14559</v>
      </c>
      <c r="J546" s="61" t="str">
        <f t="shared" si="25"/>
        <v>(${Variables:E1_4_3_19_kcat} * E1_4_3_19 * C00133 * C00001 * C00007)/(${Variables:E1_4_3_19_km} + (E1_4_3_19 * C00133 * C00001 * C00007))</v>
      </c>
      <c r="K546" s="54" t="str">
        <f t="shared" si="26"/>
        <v>r545: C00133 + C00001 + C00007 -&gt; C00022 + C00014 + C00027 | (${Variables:E1_4_3_19_kcat} * E1_4_3_19 * C00133 * C00001 * C00007)/(${Variables:E1_4_3_19_km} + (E1_4_3_19 * C00133 * C00001 * C00007))</v>
      </c>
    </row>
    <row r="547" spans="1:11" ht="43.5">
      <c r="A547" s="11" t="s">
        <v>3855</v>
      </c>
      <c r="B547" s="11" t="s">
        <v>3856</v>
      </c>
      <c r="C547" s="11" t="s">
        <v>12617</v>
      </c>
      <c r="D547" s="60">
        <v>546</v>
      </c>
      <c r="E547" s="11" t="str">
        <f t="shared" si="24"/>
        <v>E1_4_3_19</v>
      </c>
      <c r="F547" s="11" t="s">
        <v>14560</v>
      </c>
      <c r="G547" s="11" t="s">
        <v>14561</v>
      </c>
      <c r="H547" s="11" t="s">
        <v>14562</v>
      </c>
      <c r="I547" s="11" t="s">
        <v>14563</v>
      </c>
      <c r="J547" s="61" t="str">
        <f t="shared" si="25"/>
        <v>(${Variables:E1_4_3_19_kcat} * E1_4_3_19 * C00213 * C00001 * C00007)/(${Variables:E1_4_3_19_km} + (E1_4_3_19 * C00213 * C00001 * C00007))</v>
      </c>
      <c r="K547" s="54" t="str">
        <f t="shared" si="26"/>
        <v>r546: C00213 + C00001 + C00007 -&gt; C00048 + C00218 + C00027 | (${Variables:E1_4_3_19_kcat} * E1_4_3_19 * C00213 * C00001 * C00007)/(${Variables:E1_4_3_19_km} + (E1_4_3_19 * C00213 * C00001 * C00007))</v>
      </c>
    </row>
    <row r="548" spans="1:11" ht="43.5">
      <c r="A548" s="11" t="s">
        <v>3855</v>
      </c>
      <c r="B548" s="11" t="s">
        <v>3856</v>
      </c>
      <c r="C548" s="11" t="s">
        <v>12617</v>
      </c>
      <c r="D548" s="60">
        <v>547</v>
      </c>
      <c r="E548" s="11" t="str">
        <f t="shared" si="24"/>
        <v>E1_4_3_19</v>
      </c>
      <c r="F548" s="11" t="s">
        <v>14564</v>
      </c>
      <c r="G548" s="11" t="s">
        <v>14565</v>
      </c>
      <c r="H548" s="11" t="s">
        <v>14566</v>
      </c>
      <c r="I548" s="11" t="s">
        <v>14567</v>
      </c>
      <c r="J548" s="61" t="str">
        <f t="shared" si="25"/>
        <v>(${Variables:E1_4_3_19_kcat} * E1_4_3_19 * C11735 * C00001 * C00007)/(${Variables:E1_4_3_19_km} + (E1_4_3_19 * C11735 * C00001 * C00007))</v>
      </c>
      <c r="K548" s="54" t="str">
        <f t="shared" si="26"/>
        <v>r547: C11735 + C00001 + C00007 -&gt; C00048 + C00797 + C00027 | (${Variables:E1_4_3_19_kcat} * E1_4_3_19 * C11735 * C00001 * C00007)/(${Variables:E1_4_3_19_km} + (E1_4_3_19 * C11735 * C00001 * C00007))</v>
      </c>
    </row>
    <row r="549" spans="1:11" ht="29">
      <c r="A549" s="11" t="s">
        <v>3873</v>
      </c>
      <c r="B549" s="11" t="s">
        <v>3874</v>
      </c>
      <c r="C549" s="11" t="s">
        <v>12618</v>
      </c>
      <c r="D549" s="60">
        <v>548</v>
      </c>
      <c r="E549" s="11" t="str">
        <f t="shared" si="24"/>
        <v>E2_7_4_14</v>
      </c>
      <c r="F549" s="11" t="s">
        <v>14568</v>
      </c>
      <c r="G549" s="11" t="s">
        <v>14569</v>
      </c>
      <c r="H549" s="11" t="s">
        <v>14570</v>
      </c>
      <c r="I549" s="11" t="s">
        <v>14571</v>
      </c>
      <c r="J549" s="61" t="str">
        <f t="shared" si="25"/>
        <v>(${Variables:E2_7_4_14_kcat} * E2_7_4_14 * C00002 * C00105)/(${Variables:E2_7_4_14_km} + (E2_7_4_14 * C00002 * C00105))</v>
      </c>
      <c r="K549" s="54" t="str">
        <f t="shared" si="26"/>
        <v>r548: C00002 + C00105 -&gt; C00008 + C00015 | (${Variables:E2_7_4_14_kcat} * E2_7_4_14 * C00002 * C00105)/(${Variables:E2_7_4_14_km} + (E2_7_4_14 * C00002 * C00105))</v>
      </c>
    </row>
    <row r="550" spans="1:11" ht="29">
      <c r="A550" s="11" t="s">
        <v>3873</v>
      </c>
      <c r="B550" s="11" t="s">
        <v>3874</v>
      </c>
      <c r="C550" s="11" t="s">
        <v>12618</v>
      </c>
      <c r="D550" s="60">
        <v>549</v>
      </c>
      <c r="E550" s="11" t="str">
        <f t="shared" si="24"/>
        <v>E2_7_4_14</v>
      </c>
      <c r="F550" s="11" t="s">
        <v>14572</v>
      </c>
      <c r="G550" s="11" t="s">
        <v>14573</v>
      </c>
      <c r="H550" s="11" t="s">
        <v>14574</v>
      </c>
      <c r="I550" s="11" t="s">
        <v>14575</v>
      </c>
      <c r="J550" s="61" t="str">
        <f t="shared" si="25"/>
        <v>(${Variables:E2_7_4_14_kcat} * E2_7_4_14 * C00002 * C00055)/(${Variables:E2_7_4_14_km} + (E2_7_4_14 * C00002 * C00055))</v>
      </c>
      <c r="K550" s="54" t="str">
        <f t="shared" si="26"/>
        <v>r549: C00002 + C00055 -&gt; C00008 + C00112 | (${Variables:E2_7_4_14_kcat} * E2_7_4_14 * C00002 * C00055)/(${Variables:E2_7_4_14_km} + (E2_7_4_14 * C00002 * C00055))</v>
      </c>
    </row>
    <row r="551" spans="1:11" ht="29">
      <c r="A551" s="11" t="s">
        <v>3873</v>
      </c>
      <c r="B551" s="11" t="s">
        <v>3874</v>
      </c>
      <c r="C551" s="11" t="s">
        <v>12618</v>
      </c>
      <c r="D551" s="60">
        <v>550</v>
      </c>
      <c r="E551" s="11" t="str">
        <f t="shared" si="24"/>
        <v>E2_7_4_14</v>
      </c>
      <c r="F551" s="11" t="s">
        <v>14576</v>
      </c>
      <c r="G551" s="11" t="s">
        <v>14577</v>
      </c>
      <c r="H551" s="11" t="s">
        <v>14578</v>
      </c>
      <c r="I551" s="11" t="s">
        <v>14579</v>
      </c>
      <c r="J551" s="61" t="str">
        <f t="shared" si="25"/>
        <v>(${Variables:E2_7_4_14_kcat} * E2_7_4_14 * C00002 * C00239)/(${Variables:E2_7_4_14_km} + (E2_7_4_14 * C00002 * C00239))</v>
      </c>
      <c r="K551" s="54" t="str">
        <f t="shared" si="26"/>
        <v>r550: C00002 + C00239 -&gt; C00008 + C00705 | (${Variables:E2_7_4_14_kcat} * E2_7_4_14 * C00002 * C00239)/(${Variables:E2_7_4_14_km} + (E2_7_4_14 * C00002 * C00239))</v>
      </c>
    </row>
    <row r="552" spans="1:11" ht="29">
      <c r="A552" s="11" t="s">
        <v>3873</v>
      </c>
      <c r="B552" s="11" t="s">
        <v>3874</v>
      </c>
      <c r="C552" s="11" t="s">
        <v>12618</v>
      </c>
      <c r="D552" s="60">
        <v>551</v>
      </c>
      <c r="E552" s="11" t="str">
        <f t="shared" si="24"/>
        <v>E2_7_4_14</v>
      </c>
      <c r="F552" s="11" t="s">
        <v>14580</v>
      </c>
      <c r="G552" s="11" t="s">
        <v>14581</v>
      </c>
      <c r="H552" s="11" t="s">
        <v>14582</v>
      </c>
      <c r="I552" s="11" t="s">
        <v>14583</v>
      </c>
      <c r="J552" s="61" t="str">
        <f t="shared" si="25"/>
        <v>(${Variables:E2_7_4_14_kcat} * E2_7_4_14 * C00002 * C16634)/(${Variables:E2_7_4_14_km} + (E2_7_4_14 * C00002 * C16634))</v>
      </c>
      <c r="K552" s="54" t="str">
        <f t="shared" si="26"/>
        <v>r551: C00002 + C16634 -&gt; C00008 + C21748 | (${Variables:E2_7_4_14_kcat} * E2_7_4_14 * C00002 * C16634)/(${Variables:E2_7_4_14_km} + (E2_7_4_14 * C00002 * C16634))</v>
      </c>
    </row>
    <row r="553" spans="1:11" ht="29">
      <c r="A553" s="11" t="s">
        <v>3873</v>
      </c>
      <c r="B553" s="11" t="s">
        <v>3874</v>
      </c>
      <c r="C553" s="11" t="s">
        <v>12618</v>
      </c>
      <c r="D553" s="60">
        <v>552</v>
      </c>
      <c r="E553" s="11" t="str">
        <f t="shared" si="24"/>
        <v>E2_7_4_14</v>
      </c>
      <c r="F553" s="11" t="s">
        <v>14584</v>
      </c>
      <c r="G553" s="11" t="s">
        <v>14585</v>
      </c>
      <c r="H553" s="11" t="s">
        <v>14586</v>
      </c>
      <c r="I553" s="11" t="s">
        <v>14587</v>
      </c>
      <c r="J553" s="61" t="str">
        <f t="shared" si="25"/>
        <v>(${Variables:E2_7_4_14_kcat} * E2_7_4_14 * C00002 * C04242)/(${Variables:E2_7_4_14_km} + (E2_7_4_14 * C00002 * C04242))</v>
      </c>
      <c r="K553" s="54" t="str">
        <f t="shared" si="26"/>
        <v>r552: C00002 + C04242 -&gt; C00008 + C21750 | (${Variables:E2_7_4_14_kcat} * E2_7_4_14 * C00002 * C04242)/(${Variables:E2_7_4_14_km} + (E2_7_4_14 * C00002 * C04242))</v>
      </c>
    </row>
    <row r="554" spans="1:11" ht="29">
      <c r="A554" s="11" t="s">
        <v>3885</v>
      </c>
      <c r="B554" s="11" t="s">
        <v>3886</v>
      </c>
      <c r="C554" s="11" t="s">
        <v>12523</v>
      </c>
      <c r="D554" s="60">
        <v>553</v>
      </c>
      <c r="E554" s="11" t="str">
        <f t="shared" si="24"/>
        <v>E5_4_99_12</v>
      </c>
      <c r="F554" s="11" t="s">
        <v>9226</v>
      </c>
      <c r="G554" s="11" t="s">
        <v>9226</v>
      </c>
      <c r="H554" s="11" t="s">
        <v>9227</v>
      </c>
      <c r="I554" s="11" t="s">
        <v>9227</v>
      </c>
      <c r="J554" s="61" t="str">
        <f t="shared" si="25"/>
        <v>(${Variables:E5_4_99_12_kcat} * E5_4_99_12 * C00868)/(${Variables:E5_4_99_12_km} + (E5_4_99_12 * C00868))</v>
      </c>
      <c r="K554" s="54" t="str">
        <f t="shared" si="26"/>
        <v>r553: C00868 -&gt; C02764 | (${Variables:E5_4_99_12_kcat} * E5_4_99_12 * C00868)/(${Variables:E5_4_99_12_km} + (E5_4_99_12 * C00868))</v>
      </c>
    </row>
    <row r="555" spans="1:11" ht="29">
      <c r="A555" s="11" t="s">
        <v>3889</v>
      </c>
      <c r="B555" s="11" t="s">
        <v>3890</v>
      </c>
      <c r="C555" s="11" t="s">
        <v>12524</v>
      </c>
      <c r="D555" s="60">
        <v>554</v>
      </c>
      <c r="E555" s="11" t="str">
        <f t="shared" si="24"/>
        <v>E2_7_4_7</v>
      </c>
      <c r="F555" s="11" t="s">
        <v>14588</v>
      </c>
      <c r="G555" s="11" t="s">
        <v>14589</v>
      </c>
      <c r="H555" s="11" t="s">
        <v>14590</v>
      </c>
      <c r="I555" s="11" t="s">
        <v>14591</v>
      </c>
      <c r="J555" s="61" t="str">
        <f t="shared" si="25"/>
        <v>(${Variables:E2_7_4_7_kcat} * E2_7_4_7 * C00002 * C04556)/(${Variables:E2_7_4_7_km} + (E2_7_4_7 * C00002 * C04556))</v>
      </c>
      <c r="K555" s="54" t="str">
        <f t="shared" si="26"/>
        <v>r554: C00002 + C04556 -&gt; C00008 + C04752 | (${Variables:E2_7_4_7_kcat} * E2_7_4_7 * C00002 * C04556)/(${Variables:E2_7_4_7_km} + (E2_7_4_7 * C00002 * C04556))</v>
      </c>
    </row>
    <row r="556" spans="1:11" ht="29">
      <c r="A556" s="11" t="s">
        <v>3889</v>
      </c>
      <c r="B556" s="11" t="s">
        <v>3890</v>
      </c>
      <c r="C556" s="11" t="s">
        <v>12522</v>
      </c>
      <c r="D556" s="60">
        <v>555</v>
      </c>
      <c r="E556" s="11" t="str">
        <f t="shared" si="24"/>
        <v>E2_7_1_35</v>
      </c>
      <c r="F556" s="11" t="s">
        <v>14592</v>
      </c>
      <c r="G556" s="11" t="s">
        <v>14593</v>
      </c>
      <c r="H556" s="11" t="s">
        <v>14594</v>
      </c>
      <c r="I556" s="11" t="s">
        <v>14595</v>
      </c>
      <c r="J556" s="61" t="str">
        <f t="shared" si="25"/>
        <v>(${Variables:E2_7_1_35_kcat} * E2_7_1_35 * C00002 * C00250)/(${Variables:E2_7_1_35_km} + (E2_7_1_35 * C00002 * C00250))</v>
      </c>
      <c r="K556" s="54" t="str">
        <f t="shared" si="26"/>
        <v>r555: C00002 + C00250 -&gt; C00008 + C00018 | (${Variables:E2_7_1_35_kcat} * E2_7_1_35 * C00002 * C00250)/(${Variables:E2_7_1_35_km} + (E2_7_1_35 * C00002 * C00250))</v>
      </c>
    </row>
    <row r="557" spans="1:11" ht="29">
      <c r="A557" s="11" t="s">
        <v>3889</v>
      </c>
      <c r="B557" s="11" t="s">
        <v>3890</v>
      </c>
      <c r="C557" s="11" t="s">
        <v>12522</v>
      </c>
      <c r="D557" s="60">
        <v>556</v>
      </c>
      <c r="E557" s="11" t="str">
        <f t="shared" si="24"/>
        <v>E2_7_1_35</v>
      </c>
      <c r="F557" s="11" t="s">
        <v>14596</v>
      </c>
      <c r="G557" s="11" t="s">
        <v>14597</v>
      </c>
      <c r="H557" s="11" t="s">
        <v>14598</v>
      </c>
      <c r="I557" s="11" t="s">
        <v>14599</v>
      </c>
      <c r="J557" s="61" t="str">
        <f t="shared" si="25"/>
        <v>(${Variables:E2_7_1_35_kcat} * E2_7_1_35 * C00002 * C00314)/(${Variables:E2_7_1_35_km} + (E2_7_1_35 * C00002 * C00314))</v>
      </c>
      <c r="K557" s="54" t="str">
        <f t="shared" si="26"/>
        <v>r556: C00002 + C00314 -&gt; C00008 + C00627 | (${Variables:E2_7_1_35_kcat} * E2_7_1_35 * C00002 * C00314)/(${Variables:E2_7_1_35_km} + (E2_7_1_35 * C00002 * C00314))</v>
      </c>
    </row>
    <row r="558" spans="1:11" ht="29">
      <c r="A558" s="11" t="s">
        <v>3889</v>
      </c>
      <c r="B558" s="11" t="s">
        <v>3890</v>
      </c>
      <c r="C558" s="11" t="s">
        <v>12522</v>
      </c>
      <c r="D558" s="60">
        <v>557</v>
      </c>
      <c r="E558" s="11" t="str">
        <f t="shared" si="24"/>
        <v>E2_7_1_35</v>
      </c>
      <c r="F558" s="11" t="s">
        <v>14600</v>
      </c>
      <c r="G558" s="11" t="s">
        <v>14601</v>
      </c>
      <c r="H558" s="11" t="s">
        <v>14602</v>
      </c>
      <c r="I558" s="11" t="s">
        <v>14603</v>
      </c>
      <c r="J558" s="61" t="str">
        <f t="shared" si="25"/>
        <v>(${Variables:E2_7_1_35_kcat} * E2_7_1_35 * C00002 * C00534)/(${Variables:E2_7_1_35_km} + (E2_7_1_35 * C00002 * C00534))</v>
      </c>
      <c r="K558" s="54" t="str">
        <f t="shared" si="26"/>
        <v>r557: C00002 + C00534 -&gt; C00008 + C00647 | (${Variables:E2_7_1_35_kcat} * E2_7_1_35 * C00002 * C00534)/(${Variables:E2_7_1_35_km} + (E2_7_1_35 * C00002 * C00534))</v>
      </c>
    </row>
    <row r="559" spans="1:11" ht="43.5">
      <c r="A559" s="11" t="s">
        <v>3905</v>
      </c>
      <c r="B559" s="11" t="s">
        <v>3906</v>
      </c>
      <c r="C559" s="11" t="s">
        <v>12621</v>
      </c>
      <c r="D559" s="60">
        <v>558</v>
      </c>
      <c r="E559" s="11" t="str">
        <f t="shared" si="24"/>
        <v>E6_3_5_10</v>
      </c>
      <c r="F559" s="11" t="s">
        <v>14604</v>
      </c>
      <c r="G559" s="11" t="s">
        <v>14605</v>
      </c>
      <c r="H559" s="11" t="s">
        <v>14606</v>
      </c>
      <c r="I559" s="11" t="s">
        <v>14607</v>
      </c>
      <c r="J559" s="61" t="str">
        <f t="shared" si="25"/>
        <v>(${Variables:E6_3_5_10_kcat} * E6_3_5_10 * C06506 * C00064 * C00002 * C00001)/(${Variables:E6_3_5_10_km} + (E6_3_5_10 * C06506 * C00064 * C00002 * C00001))</v>
      </c>
      <c r="K559" s="54" t="str">
        <f t="shared" si="26"/>
        <v>r558: C06506 + C00064 + C00002 + C00001 -&gt; C06507 + C00025 + C00009 + C00008 | (${Variables:E6_3_5_10_kcat} * E6_3_5_10 * C06506 * C00064 * C00002 * C00001)/(${Variables:E6_3_5_10_km} + (E6_3_5_10 * C06506 * C00064 * C00002 * C00001))</v>
      </c>
    </row>
    <row r="560" spans="1:11" ht="43.5">
      <c r="A560" s="11" t="s">
        <v>3912</v>
      </c>
      <c r="B560" s="11" t="s">
        <v>3913</v>
      </c>
      <c r="C560" s="11" t="s">
        <v>12622</v>
      </c>
      <c r="D560" s="60">
        <v>559</v>
      </c>
      <c r="E560" s="11" t="str">
        <f t="shared" si="24"/>
        <v>E1_16_1_1</v>
      </c>
      <c r="F560" s="11" t="s">
        <v>14608</v>
      </c>
      <c r="G560" s="11" t="s">
        <v>14609</v>
      </c>
      <c r="H560" s="11" t="s">
        <v>14610</v>
      </c>
      <c r="I560" s="11" t="s">
        <v>14611</v>
      </c>
      <c r="J560" s="61" t="str">
        <f t="shared" si="25"/>
        <v>(${Variables:E1_16_1_1_kcat} * E1_16_1_1 * C01319 * C00006 * C00080)/(${Variables:E1_16_1_1_km} + (E1_16_1_1 * C01319 * C00006 * C00080))</v>
      </c>
      <c r="K560" s="54" t="str">
        <f t="shared" si="26"/>
        <v>r559: C01319 + C00006 + C00080 -&gt; C00703 + C00005 | (${Variables:E1_16_1_1_kcat} * E1_16_1_1 * C01319 * C00006 * C00080)/(${Variables:E1_16_1_1_km} + (E1_16_1_1 * C01319 * C00006 * C00080))</v>
      </c>
    </row>
    <row r="561" spans="1:11" ht="29">
      <c r="A561" s="11" t="s">
        <v>3912</v>
      </c>
      <c r="B561" s="11" t="s">
        <v>3913</v>
      </c>
      <c r="C561" s="11" t="s">
        <v>12623</v>
      </c>
      <c r="D561" s="60">
        <v>560</v>
      </c>
      <c r="E561" s="11" t="str">
        <f t="shared" si="24"/>
        <v>E1_8_1_4</v>
      </c>
      <c r="F561" s="11" t="s">
        <v>14612</v>
      </c>
      <c r="G561" s="11" t="s">
        <v>14613</v>
      </c>
      <c r="H561" s="11" t="s">
        <v>14614</v>
      </c>
      <c r="I561" s="11" t="s">
        <v>14615</v>
      </c>
      <c r="J561" s="61" t="str">
        <f t="shared" si="25"/>
        <v>(${Variables:E1_8_1_4_kcat} * E1_8_1_4 * C16832 * C00003)/(${Variables:E1_8_1_4_km} + (E1_8_1_4 * C16832 * C00003))</v>
      </c>
      <c r="K561" s="54" t="str">
        <f t="shared" si="26"/>
        <v>r560: C16832 + C00003 -&gt; C16237 + C00004 + C00080 | (${Variables:E1_8_1_4_kcat} * E1_8_1_4 * C16832 * C00003)/(${Variables:E1_8_1_4_km} + (E1_8_1_4 * C16832 * C00003))</v>
      </c>
    </row>
    <row r="562" spans="1:11" ht="29">
      <c r="A562" s="11" t="s">
        <v>3912</v>
      </c>
      <c r="B562" s="11" t="s">
        <v>3913</v>
      </c>
      <c r="C562" s="11" t="s">
        <v>12623</v>
      </c>
      <c r="D562" s="60">
        <v>561</v>
      </c>
      <c r="E562" s="11" t="str">
        <f t="shared" si="24"/>
        <v>E1_8_1_4</v>
      </c>
      <c r="F562" s="11" t="s">
        <v>14616</v>
      </c>
      <c r="G562" s="11" t="s">
        <v>14617</v>
      </c>
      <c r="H562" s="11" t="s">
        <v>14618</v>
      </c>
      <c r="I562" s="11" t="s">
        <v>14619</v>
      </c>
      <c r="J562" s="61" t="str">
        <f t="shared" si="25"/>
        <v>(${Variables:E1_8_1_4_kcat} * E1_8_1_4 * C02972 * C00003)/(${Variables:E1_8_1_4_km} + (E1_8_1_4 * C02972 * C00003))</v>
      </c>
      <c r="K562" s="54" t="str">
        <f t="shared" si="26"/>
        <v>r561: C02972 + C00003 -&gt; C02051 + C00004 + C00080 | (${Variables:E1_8_1_4_kcat} * E1_8_1_4 * C02972 * C00003)/(${Variables:E1_8_1_4_km} + (E1_8_1_4 * C02972 * C00003))</v>
      </c>
    </row>
    <row r="563" spans="1:11" ht="29">
      <c r="A563" s="11" t="s">
        <v>3912</v>
      </c>
      <c r="B563" s="11" t="s">
        <v>3913</v>
      </c>
      <c r="C563" s="11" t="s">
        <v>12623</v>
      </c>
      <c r="D563" s="60">
        <v>562</v>
      </c>
      <c r="E563" s="11" t="str">
        <f t="shared" si="24"/>
        <v>E1_8_1_4</v>
      </c>
      <c r="F563" s="11" t="s">
        <v>14620</v>
      </c>
      <c r="G563" s="11" t="s">
        <v>14621</v>
      </c>
      <c r="H563" s="11" t="s">
        <v>14622</v>
      </c>
      <c r="I563" s="11" t="s">
        <v>14623</v>
      </c>
      <c r="J563" s="61" t="str">
        <f t="shared" si="25"/>
        <v>(${Variables:E1_8_1_4_kcat} * E1_8_1_4 * C15973 * C00003)/(${Variables:E1_8_1_4_km} + (E1_8_1_4 * C15973 * C00003))</v>
      </c>
      <c r="K563" s="54" t="str">
        <f t="shared" si="26"/>
        <v>r562: C15973 + C00003 -&gt; C15972 + C00004 + C00080 | (${Variables:E1_8_1_4_kcat} * E1_8_1_4 * C15973 * C00003)/(${Variables:E1_8_1_4_km} + (E1_8_1_4 * C15973 * C00003))</v>
      </c>
    </row>
    <row r="564" spans="1:11" ht="29">
      <c r="A564" s="11" t="s">
        <v>3912</v>
      </c>
      <c r="B564" s="11" t="s">
        <v>3913</v>
      </c>
      <c r="C564" s="11" t="s">
        <v>12623</v>
      </c>
      <c r="D564" s="60">
        <v>563</v>
      </c>
      <c r="E564" s="11" t="str">
        <f t="shared" si="24"/>
        <v>E1_8_1_4</v>
      </c>
      <c r="F564" s="11" t="s">
        <v>14624</v>
      </c>
      <c r="G564" s="11" t="s">
        <v>14625</v>
      </c>
      <c r="H564" s="11" t="s">
        <v>14626</v>
      </c>
      <c r="I564" s="11" t="s">
        <v>14627</v>
      </c>
      <c r="J564" s="61" t="str">
        <f t="shared" si="25"/>
        <v>(${Variables:E1_8_1_4_kcat} * E1_8_1_4 * C00579 * C00003)/(${Variables:E1_8_1_4_km} + (E1_8_1_4 * C00579 * C00003))</v>
      </c>
      <c r="K564" s="54" t="str">
        <f t="shared" si="26"/>
        <v>r563: C00579 + C00003 -&gt; C00248 + C00004 + C00080 | (${Variables:E1_8_1_4_kcat} * E1_8_1_4 * C00579 * C00003)/(${Variables:E1_8_1_4_km} + (E1_8_1_4 * C00579 * C00003))</v>
      </c>
    </row>
    <row r="565" spans="1:11" ht="29">
      <c r="A565" s="11" t="s">
        <v>3941</v>
      </c>
      <c r="B565" s="11" t="s">
        <v>3942</v>
      </c>
      <c r="C565" s="11" t="s">
        <v>12625</v>
      </c>
      <c r="D565" s="60">
        <v>564</v>
      </c>
      <c r="E565" s="11" t="str">
        <f t="shared" si="24"/>
        <v>E2_4_2_7</v>
      </c>
      <c r="F565" s="11" t="s">
        <v>14628</v>
      </c>
      <c r="G565" s="11" t="s">
        <v>14629</v>
      </c>
      <c r="H565" s="11" t="s">
        <v>14630</v>
      </c>
      <c r="I565" s="11" t="s">
        <v>14631</v>
      </c>
      <c r="J565" s="61" t="str">
        <f t="shared" si="25"/>
        <v>(${Variables:E2_4_2_7_kcat} * E2_4_2_7 * C00020 * C00013)/(${Variables:E2_4_2_7_km} + (E2_4_2_7 * C00020 * C00013))</v>
      </c>
      <c r="K565" s="54" t="str">
        <f t="shared" si="26"/>
        <v>r564: C00020 + C00013 -&gt; C00147 + C00119 | (${Variables:E2_4_2_7_kcat} * E2_4_2_7 * C00020 * C00013)/(${Variables:E2_4_2_7_km} + (E2_4_2_7 * C00020 * C00013))</v>
      </c>
    </row>
    <row r="566" spans="1:11" ht="29">
      <c r="A566" s="11" t="s">
        <v>3941</v>
      </c>
      <c r="B566" s="11" t="s">
        <v>3942</v>
      </c>
      <c r="C566" s="11" t="s">
        <v>12625</v>
      </c>
      <c r="D566" s="60">
        <v>565</v>
      </c>
      <c r="E566" s="11" t="str">
        <f t="shared" si="24"/>
        <v>E2_4_2_7</v>
      </c>
      <c r="F566" s="11" t="s">
        <v>14632</v>
      </c>
      <c r="G566" s="11" t="s">
        <v>14633</v>
      </c>
      <c r="H566" s="11" t="s">
        <v>14634</v>
      </c>
      <c r="I566" s="11" t="s">
        <v>14635</v>
      </c>
      <c r="J566" s="61" t="str">
        <f t="shared" si="25"/>
        <v>(${Variables:E2_4_2_7_kcat} * E2_4_2_7 * C04677 * C00013)/(${Variables:E2_4_2_7_km} + (E2_4_2_7 * C04677 * C00013))</v>
      </c>
      <c r="K566" s="54" t="str">
        <f t="shared" si="26"/>
        <v>r565: C04677 + C00013 -&gt; C04051 + C00119 | (${Variables:E2_4_2_7_kcat} * E2_4_2_7 * C04677 * C00013)/(${Variables:E2_4_2_7_km} + (E2_4_2_7 * C04677 * C00013))</v>
      </c>
    </row>
    <row r="567" spans="1:11" ht="29">
      <c r="A567" s="11" t="s">
        <v>3945</v>
      </c>
      <c r="B567" s="11" t="s">
        <v>3946</v>
      </c>
      <c r="C567" s="11" t="s">
        <v>12626</v>
      </c>
      <c r="D567" s="60">
        <v>566</v>
      </c>
      <c r="E567" s="11" t="str">
        <f t="shared" si="24"/>
        <v>E2_3_1_46</v>
      </c>
      <c r="F567" s="11" t="s">
        <v>14636</v>
      </c>
      <c r="G567" s="11" t="s">
        <v>14637</v>
      </c>
      <c r="H567" s="11" t="s">
        <v>14638</v>
      </c>
      <c r="I567" s="11" t="s">
        <v>14639</v>
      </c>
      <c r="J567" s="61" t="str">
        <f t="shared" si="25"/>
        <v>(${Variables:E2_3_1_46_kcat} * E2_3_1_46 * C00091 * C00263)/(${Variables:E2_3_1_46_km} + (E2_3_1_46 * C00091 * C00263))</v>
      </c>
      <c r="K567" s="54" t="str">
        <f t="shared" si="26"/>
        <v>r566: C00091 + C00263 -&gt; C00010 + C01118 | (${Variables:E2_3_1_46_kcat} * E2_3_1_46 * C00091 * C00263)/(${Variables:E2_3_1_46_km} + (E2_3_1_46 * C00091 * C00263))</v>
      </c>
    </row>
    <row r="568" spans="1:11" ht="29">
      <c r="A568" s="11" t="s">
        <v>3952</v>
      </c>
      <c r="B568" s="11" t="s">
        <v>3953</v>
      </c>
      <c r="C568" s="11" t="s">
        <v>12627</v>
      </c>
      <c r="D568" s="60">
        <v>567</v>
      </c>
      <c r="E568" s="11" t="str">
        <f t="shared" si="24"/>
        <v>E5_3_1_1</v>
      </c>
      <c r="F568" s="11" t="s">
        <v>9291</v>
      </c>
      <c r="G568" s="11" t="s">
        <v>9291</v>
      </c>
      <c r="H568" s="11" t="s">
        <v>9292</v>
      </c>
      <c r="I568" s="11" t="s">
        <v>9292</v>
      </c>
      <c r="J568" s="61" t="str">
        <f t="shared" si="25"/>
        <v>(${Variables:E5_3_1_1_kcat} * E5_3_1_1 * C00118)/(${Variables:E5_3_1_1_km} + (E5_3_1_1 * C00118))</v>
      </c>
      <c r="K568" s="54" t="str">
        <f t="shared" si="26"/>
        <v>r567: C00118 -&gt; C00111 | (${Variables:E5_3_1_1_kcat} * E5_3_1_1 * C00118)/(${Variables:E5_3_1_1_km} + (E5_3_1_1 * C00118))</v>
      </c>
    </row>
    <row r="569" spans="1:11" ht="29">
      <c r="A569" s="11" t="s">
        <v>3964</v>
      </c>
      <c r="B569" s="11" t="s">
        <v>3965</v>
      </c>
      <c r="C569" s="11" t="s">
        <v>12629</v>
      </c>
      <c r="D569" s="60">
        <v>568</v>
      </c>
      <c r="E569" s="11" t="str">
        <f t="shared" si="24"/>
        <v>E1_5_1_3</v>
      </c>
      <c r="F569" s="11" t="s">
        <v>14640</v>
      </c>
      <c r="G569" s="11" t="s">
        <v>14641</v>
      </c>
      <c r="H569" s="11" t="s">
        <v>14642</v>
      </c>
      <c r="I569" s="11" t="s">
        <v>14643</v>
      </c>
      <c r="J569" s="61" t="str">
        <f t="shared" si="25"/>
        <v>(${Variables:E1_5_1_3_kcat} * E1_5_1_3 * C00101 * C00006)/(${Variables:E1_5_1_3_km} + (E1_5_1_3 * C00101 * C00006))</v>
      </c>
      <c r="K569" s="54" t="str">
        <f t="shared" si="26"/>
        <v>r568: C00101 + C00006 -&gt; C00415 + C00005 + C00080 | (${Variables:E1_5_1_3_kcat} * E1_5_1_3 * C00101 * C00006)/(${Variables:E1_5_1_3_km} + (E1_5_1_3 * C00101 * C00006))</v>
      </c>
    </row>
    <row r="570" spans="1:11" ht="29">
      <c r="A570" s="11" t="s">
        <v>3964</v>
      </c>
      <c r="B570" s="11" t="s">
        <v>3965</v>
      </c>
      <c r="C570" s="11" t="s">
        <v>12629</v>
      </c>
      <c r="D570" s="60">
        <v>569</v>
      </c>
      <c r="E570" s="11" t="str">
        <f t="shared" si="24"/>
        <v>E1_5_1_3</v>
      </c>
      <c r="F570" s="11" t="s">
        <v>14644</v>
      </c>
      <c r="G570" s="11" t="s">
        <v>14645</v>
      </c>
      <c r="H570" s="11" t="s">
        <v>14646</v>
      </c>
      <c r="I570" s="11" t="s">
        <v>14647</v>
      </c>
      <c r="J570" s="61" t="str">
        <f t="shared" si="25"/>
        <v>(${Variables:E1_5_1_3_kcat} * E1_5_1_3 * C00101 * C00003)/(${Variables:E1_5_1_3_km} + (E1_5_1_3 * C00101 * C00003))</v>
      </c>
      <c r="K570" s="54" t="str">
        <f t="shared" si="26"/>
        <v>r569: C00101 + C00003 -&gt; C00415 + C00004 + C00080 | (${Variables:E1_5_1_3_kcat} * E1_5_1_3 * C00101 * C00003)/(${Variables:E1_5_1_3_km} + (E1_5_1_3 * C00101 * C00003))</v>
      </c>
    </row>
    <row r="571" spans="1:11" ht="29">
      <c r="A571" s="11" t="s">
        <v>3964</v>
      </c>
      <c r="B571" s="11" t="s">
        <v>3965</v>
      </c>
      <c r="C571" s="11" t="s">
        <v>12629</v>
      </c>
      <c r="D571" s="60">
        <v>570</v>
      </c>
      <c r="E571" s="11" t="str">
        <f t="shared" si="24"/>
        <v>E1_5_1_3</v>
      </c>
      <c r="F571" s="11" t="s">
        <v>14644</v>
      </c>
      <c r="G571" s="11" t="s">
        <v>14645</v>
      </c>
      <c r="H571" s="11" t="s">
        <v>14648</v>
      </c>
      <c r="I571" s="11" t="s">
        <v>14649</v>
      </c>
      <c r="J571" s="61" t="str">
        <f t="shared" si="25"/>
        <v>(${Variables:E1_5_1_3_kcat} * E1_5_1_3 * C00101 * C00003)/(${Variables:E1_5_1_3_km} + (E1_5_1_3 * C00101 * C00003))</v>
      </c>
      <c r="K571" s="54" t="str">
        <f t="shared" si="26"/>
        <v>r570: C00101 + C00003 -&gt; C00504 + C00004 + C00080 | (${Variables:E1_5_1_3_kcat} * E1_5_1_3 * C00101 * C00003)/(${Variables:E1_5_1_3_km} + (E1_5_1_3 * C00101 * C00003))</v>
      </c>
    </row>
    <row r="572" spans="1:11" ht="29">
      <c r="A572" s="11" t="s">
        <v>3964</v>
      </c>
      <c r="B572" s="11" t="s">
        <v>3965</v>
      </c>
      <c r="C572" s="11" t="s">
        <v>12629</v>
      </c>
      <c r="D572" s="60">
        <v>571</v>
      </c>
      <c r="E572" s="11" t="str">
        <f t="shared" si="24"/>
        <v>E1_5_1_3</v>
      </c>
      <c r="F572" s="11" t="s">
        <v>14640</v>
      </c>
      <c r="G572" s="11" t="s">
        <v>14641</v>
      </c>
      <c r="H572" s="11" t="s">
        <v>14650</v>
      </c>
      <c r="I572" s="11" t="s">
        <v>14651</v>
      </c>
      <c r="J572" s="61" t="str">
        <f t="shared" si="25"/>
        <v>(${Variables:E1_5_1_3_kcat} * E1_5_1_3 * C00101 * C00006)/(${Variables:E1_5_1_3_km} + (E1_5_1_3 * C00101 * C00006))</v>
      </c>
      <c r="K572" s="54" t="str">
        <f t="shared" si="26"/>
        <v>r571: C00101 + C00006 -&gt; C00504 + C00005 + C00080 | (${Variables:E1_5_1_3_kcat} * E1_5_1_3 * C00101 * C00006)/(${Variables:E1_5_1_3_km} + (E1_5_1_3 * C00101 * C00006))</v>
      </c>
    </row>
    <row r="573" spans="1:11" ht="29">
      <c r="A573" s="11" t="s">
        <v>3964</v>
      </c>
      <c r="B573" s="11" t="s">
        <v>3965</v>
      </c>
      <c r="C573" s="11" t="s">
        <v>12629</v>
      </c>
      <c r="D573" s="60">
        <v>572</v>
      </c>
      <c r="E573" s="11" t="str">
        <f t="shared" si="24"/>
        <v>E1_5_1_3</v>
      </c>
      <c r="F573" s="11" t="s">
        <v>14652</v>
      </c>
      <c r="G573" s="11" t="s">
        <v>14653</v>
      </c>
      <c r="H573" s="11" t="s">
        <v>14648</v>
      </c>
      <c r="I573" s="11" t="s">
        <v>14649</v>
      </c>
      <c r="J573" s="61" t="str">
        <f t="shared" si="25"/>
        <v>(${Variables:E1_5_1_3_kcat} * E1_5_1_3 * C00415 * C00003)/(${Variables:E1_5_1_3_km} + (E1_5_1_3 * C00415 * C00003))</v>
      </c>
      <c r="K573" s="54" t="str">
        <f t="shared" si="26"/>
        <v>r572: C00415 + C00003 -&gt; C00504 + C00004 + C00080 | (${Variables:E1_5_1_3_kcat} * E1_5_1_3 * C00415 * C00003)/(${Variables:E1_5_1_3_km} + (E1_5_1_3 * C00415 * C00003))</v>
      </c>
    </row>
    <row r="574" spans="1:11" ht="29">
      <c r="A574" s="11" t="s">
        <v>3964</v>
      </c>
      <c r="B574" s="11" t="s">
        <v>3965</v>
      </c>
      <c r="C574" s="11" t="s">
        <v>12629</v>
      </c>
      <c r="D574" s="60">
        <v>573</v>
      </c>
      <c r="E574" s="11" t="str">
        <f t="shared" si="24"/>
        <v>E1_5_1_3</v>
      </c>
      <c r="F574" s="11" t="s">
        <v>14654</v>
      </c>
      <c r="G574" s="11" t="s">
        <v>14655</v>
      </c>
      <c r="H574" s="11" t="s">
        <v>14650</v>
      </c>
      <c r="I574" s="11" t="s">
        <v>14651</v>
      </c>
      <c r="J574" s="61" t="str">
        <f t="shared" si="25"/>
        <v>(${Variables:E1_5_1_3_kcat} * E1_5_1_3 * C00415 * C00006)/(${Variables:E1_5_1_3_km} + (E1_5_1_3 * C00415 * C00006))</v>
      </c>
      <c r="K574" s="54" t="str">
        <f t="shared" si="26"/>
        <v>r573: C00415 + C00006 -&gt; C00504 + C00005 + C00080 | (${Variables:E1_5_1_3_kcat} * E1_5_1_3 * C00415 * C00006)/(${Variables:E1_5_1_3_km} + (E1_5_1_3 * C00415 * C00006))</v>
      </c>
    </row>
    <row r="575" spans="1:11" ht="29">
      <c r="A575" s="11" t="s">
        <v>3964</v>
      </c>
      <c r="B575" s="11" t="s">
        <v>3965</v>
      </c>
      <c r="C575" s="11" t="s">
        <v>12629</v>
      </c>
      <c r="D575" s="60">
        <v>574</v>
      </c>
      <c r="E575" s="11" t="str">
        <f t="shared" si="24"/>
        <v>E1_5_1_3</v>
      </c>
      <c r="F575" s="11" t="s">
        <v>14656</v>
      </c>
      <c r="G575" s="11" t="s">
        <v>14657</v>
      </c>
      <c r="H575" s="11" t="s">
        <v>14658</v>
      </c>
      <c r="I575" s="11" t="s">
        <v>14659</v>
      </c>
      <c r="J575" s="61" t="str">
        <f t="shared" si="25"/>
        <v>(${Variables:E1_5_1_3_kcat} * E1_5_1_3 * C00272 * C00006)/(${Variables:E1_5_1_3_km} + (E1_5_1_3 * C00272 * C00006))</v>
      </c>
      <c r="K575" s="54" t="str">
        <f t="shared" si="26"/>
        <v>r574: C00272 + C00006 -&gt; C02953 + C00005 + C00080 | (${Variables:E1_5_1_3_kcat} * E1_5_1_3 * C00272 * C00006)/(${Variables:E1_5_1_3_km} + (E1_5_1_3 * C00272 * C00006))</v>
      </c>
    </row>
    <row r="576" spans="1:11" ht="43.5">
      <c r="A576" s="11" t="s">
        <v>3992</v>
      </c>
      <c r="B576" s="11" t="s">
        <v>3993</v>
      </c>
      <c r="C576" s="11" t="s">
        <v>12488</v>
      </c>
      <c r="D576" s="60">
        <v>575</v>
      </c>
      <c r="E576" s="11" t="str">
        <f t="shared" si="24"/>
        <v>E1_18_1_2</v>
      </c>
      <c r="F576" s="11" t="s">
        <v>14660</v>
      </c>
      <c r="G576" s="11" t="s">
        <v>14661</v>
      </c>
      <c r="H576" s="11" t="s">
        <v>14662</v>
      </c>
      <c r="I576" s="11" t="s">
        <v>14663</v>
      </c>
      <c r="J576" s="61" t="str">
        <f t="shared" si="25"/>
        <v>(${Variables:E1_18_1_2_kcat} * E1_18_1_2 * C00138 * C00006 * C00080)/(${Variables:E1_18_1_2_km} + (E1_18_1_2 * C00138 * C00006 * C00080))</v>
      </c>
      <c r="K576" s="54" t="str">
        <f t="shared" si="26"/>
        <v>r575: C00138 + C00006 + C00080 -&gt; C00139 + C00005 | (${Variables:E1_18_1_2_kcat} * E1_18_1_2 * C00138 * C00006 * C00080)/(${Variables:E1_18_1_2_km} + (E1_18_1_2 * C00138 * C00006 * C00080))</v>
      </c>
    </row>
    <row r="577" spans="1:11" ht="43.5">
      <c r="A577" s="11" t="s">
        <v>3992</v>
      </c>
      <c r="B577" s="11" t="s">
        <v>3993</v>
      </c>
      <c r="C577" s="11" t="s">
        <v>12488</v>
      </c>
      <c r="D577" s="60">
        <v>576</v>
      </c>
      <c r="E577" s="11" t="str">
        <f t="shared" si="24"/>
        <v>E1_18_1_2</v>
      </c>
      <c r="F577" s="11" t="s">
        <v>14664</v>
      </c>
      <c r="G577" s="11" t="s">
        <v>14665</v>
      </c>
      <c r="H577" s="11" t="s">
        <v>14666</v>
      </c>
      <c r="I577" s="11" t="s">
        <v>14667</v>
      </c>
      <c r="J577" s="61" t="str">
        <f t="shared" si="25"/>
        <v>(${Variables:E1_18_1_2_kcat} * E1_18_1_2 * C00662 * C00006 * C00080)/(${Variables:E1_18_1_2_km} + (E1_18_1_2 * C00662 * C00006 * C00080))</v>
      </c>
      <c r="K577" s="54" t="str">
        <f t="shared" si="26"/>
        <v>r576: C00662 + C00006 + C00080 -&gt; C00667 + C00005 | (${Variables:E1_18_1_2_kcat} * E1_18_1_2 * C00662 * C00006 * C00080)/(${Variables:E1_18_1_2_km} + (E1_18_1_2 * C00662 * C00006 * C00080))</v>
      </c>
    </row>
    <row r="578" spans="1:11" ht="29">
      <c r="A578" s="11" t="s">
        <v>4002</v>
      </c>
      <c r="B578" s="11" t="s">
        <v>4003</v>
      </c>
      <c r="C578" s="11" t="s">
        <v>12478</v>
      </c>
      <c r="D578" s="60">
        <v>577</v>
      </c>
      <c r="E578" s="11" t="str">
        <f t="shared" si="24"/>
        <v>E5_4_2_3</v>
      </c>
      <c r="F578" s="11" t="s">
        <v>9141</v>
      </c>
      <c r="G578" s="11" t="s">
        <v>9141</v>
      </c>
      <c r="H578" s="11" t="s">
        <v>9326</v>
      </c>
      <c r="I578" s="11" t="s">
        <v>9326</v>
      </c>
      <c r="J578" s="61" t="str">
        <f t="shared" si="25"/>
        <v>(${Variables:E5_4_2_3_kcat} * E5_4_2_3 * C00357)/(${Variables:E5_4_2_3_km} + (E5_4_2_3 * C00357))</v>
      </c>
      <c r="K578" s="54" t="str">
        <f t="shared" si="26"/>
        <v>r577: C00357 -&gt; C04501 | (${Variables:E5_4_2_3_kcat} * E5_4_2_3 * C00357)/(${Variables:E5_4_2_3_km} + (E5_4_2_3 * C00357))</v>
      </c>
    </row>
    <row r="579" spans="1:11" ht="29">
      <c r="A579" s="11" t="s">
        <v>4002</v>
      </c>
      <c r="B579" s="11" t="s">
        <v>4003</v>
      </c>
      <c r="C579" s="11" t="s">
        <v>12479</v>
      </c>
      <c r="D579" s="60">
        <v>578</v>
      </c>
      <c r="E579" s="11" t="str">
        <f t="shared" ref="E579:E642" si="27">CONCATENATE("E",C579)</f>
        <v>E5_4_2_10</v>
      </c>
      <c r="F579" s="11" t="s">
        <v>9330</v>
      </c>
      <c r="G579" s="11" t="s">
        <v>9330</v>
      </c>
      <c r="H579" s="11" t="s">
        <v>9331</v>
      </c>
      <c r="I579" s="11" t="s">
        <v>9331</v>
      </c>
      <c r="J579" s="61" t="str">
        <f t="shared" ref="J579:J642" si="28">CONCATENATE("(${Variables:",E579,"_kcat","} * ",E579," * ",G579,")","/(${Variables:",E579,"_km","} + (",E579," * ",G579,"))")</f>
        <v>(${Variables:E5_4_2_10_kcat} * E5_4_2_10 * C06156)/(${Variables:E5_4_2_10_km} + (E5_4_2_10 * C06156))</v>
      </c>
      <c r="K579" s="54" t="str">
        <f t="shared" ref="K579:K642" si="29">CONCATENATE("r",D579,": ",F579," -&gt; ",H579," | ",J579)</f>
        <v>r578: C06156 -&gt; C00352 | (${Variables:E5_4_2_10_kcat} * E5_4_2_10 * C06156)/(${Variables:E5_4_2_10_km} + (E5_4_2_10 * C06156))</v>
      </c>
    </row>
    <row r="580" spans="1:11" ht="43.5">
      <c r="A580" s="11" t="s">
        <v>4011</v>
      </c>
      <c r="B580" s="11" t="s">
        <v>4012</v>
      </c>
      <c r="C580" s="11" t="s">
        <v>12480</v>
      </c>
      <c r="D580" s="60">
        <v>579</v>
      </c>
      <c r="E580" s="11" t="str">
        <f t="shared" si="27"/>
        <v>E1_17_1_8</v>
      </c>
      <c r="F580" s="11" t="s">
        <v>14668</v>
      </c>
      <c r="G580" s="11" t="s">
        <v>14669</v>
      </c>
      <c r="H580" s="11" t="s">
        <v>14670</v>
      </c>
      <c r="I580" s="11" t="s">
        <v>14671</v>
      </c>
      <c r="J580" s="61" t="str">
        <f t="shared" si="28"/>
        <v>(${Variables:E1_17_1_8_kcat} * E1_17_1_8 * C03972 * C00003 * C00001)/(${Variables:E1_17_1_8_km} + (E1_17_1_8 * C03972 * C00003 * C00001))</v>
      </c>
      <c r="K580" s="54" t="str">
        <f t="shared" si="29"/>
        <v>r579: C03972 + C00003 + C00001 -&gt; C20258 + C00004 + C00080 | (${Variables:E1_17_1_8_kcat} * E1_17_1_8 * C03972 * C00003 * C00001)/(${Variables:E1_17_1_8_km} + (E1_17_1_8 * C03972 * C00003 * C00001))</v>
      </c>
    </row>
    <row r="581" spans="1:11" ht="43.5">
      <c r="A581" s="11" t="s">
        <v>4011</v>
      </c>
      <c r="B581" s="11" t="s">
        <v>4012</v>
      </c>
      <c r="C581" s="11" t="s">
        <v>12480</v>
      </c>
      <c r="D581" s="60">
        <v>580</v>
      </c>
      <c r="E581" s="11" t="str">
        <f t="shared" si="27"/>
        <v>E1_17_1_8</v>
      </c>
      <c r="F581" s="11" t="s">
        <v>14672</v>
      </c>
      <c r="G581" s="11" t="s">
        <v>14673</v>
      </c>
      <c r="H581" s="11" t="s">
        <v>14674</v>
      </c>
      <c r="I581" s="11" t="s">
        <v>14675</v>
      </c>
      <c r="J581" s="61" t="str">
        <f t="shared" si="28"/>
        <v>(${Variables:E1_17_1_8_kcat} * E1_17_1_8 * C03972 * C00006 * C00001)/(${Variables:E1_17_1_8_km} + (E1_17_1_8 * C03972 * C00006 * C00001))</v>
      </c>
      <c r="K581" s="54" t="str">
        <f t="shared" si="29"/>
        <v>r580: C03972 + C00006 + C00001 -&gt; C20258 + C00005 + C00080 | (${Variables:E1_17_1_8_kcat} * E1_17_1_8 * C03972 * C00006 * C00001)/(${Variables:E1_17_1_8_km} + (E1_17_1_8 * C03972 * C00006 * C00001))</v>
      </c>
    </row>
    <row r="582" spans="1:11" ht="43.5">
      <c r="A582" s="11" t="s">
        <v>4015</v>
      </c>
      <c r="B582" s="11" t="s">
        <v>4016</v>
      </c>
      <c r="C582" s="11" t="s">
        <v>12465</v>
      </c>
      <c r="D582" s="60">
        <v>581</v>
      </c>
      <c r="E582" s="11" t="str">
        <f t="shared" si="27"/>
        <v>E2_7_7_72</v>
      </c>
      <c r="F582" s="11" t="s">
        <v>14676</v>
      </c>
      <c r="G582" s="11" t="s">
        <v>14677</v>
      </c>
      <c r="H582" s="11" t="s">
        <v>14678</v>
      </c>
      <c r="I582" s="11" t="s">
        <v>14679</v>
      </c>
      <c r="J582" s="61" t="str">
        <f t="shared" si="28"/>
        <v>(${Variables:E2_7_7_72_kcat} * E2_7_7_72 * C02211 * C00063 * C00002)/(${Variables:E2_7_7_72_km} + (E2_7_7_72 * C02211 * C00063 * C00002))</v>
      </c>
      <c r="K582" s="54" t="str">
        <f t="shared" si="29"/>
        <v>r581: C02211 + C00063 + C00002 -&gt; C19085 + C00013 | (${Variables:E2_7_7_72_kcat} * E2_7_7_72 * C02211 * C00063 * C00002)/(${Variables:E2_7_7_72_km} + (E2_7_7_72 * C02211 * C00063 * C00002))</v>
      </c>
    </row>
    <row r="583" spans="1:11" ht="29">
      <c r="A583" s="11" t="s">
        <v>4015</v>
      </c>
      <c r="B583" s="11" t="s">
        <v>4016</v>
      </c>
      <c r="C583" s="11" t="s">
        <v>12465</v>
      </c>
      <c r="D583" s="60">
        <v>582</v>
      </c>
      <c r="E583" s="11" t="str">
        <f t="shared" si="27"/>
        <v>E2_7_7_72</v>
      </c>
      <c r="F583" s="11" t="s">
        <v>14680</v>
      </c>
      <c r="G583" s="11" t="s">
        <v>14681</v>
      </c>
      <c r="H583" s="11" t="s">
        <v>14682</v>
      </c>
      <c r="I583" s="11" t="s">
        <v>14683</v>
      </c>
      <c r="J583" s="61" t="str">
        <f t="shared" si="28"/>
        <v>(${Variables:E2_7_7_72_kcat} * E2_7_7_72 * C02211 * C00063)/(${Variables:E2_7_7_72_km} + (E2_7_7_72 * C02211 * C00063))</v>
      </c>
      <c r="K583" s="54" t="str">
        <f t="shared" si="29"/>
        <v>r582: C02211 + C00063 -&gt; C19078 + C00013 | (${Variables:E2_7_7_72_kcat} * E2_7_7_72 * C02211 * C00063)/(${Variables:E2_7_7_72_km} + (E2_7_7_72 * C02211 * C00063))</v>
      </c>
    </row>
    <row r="584" spans="1:11" ht="29">
      <c r="A584" s="11" t="s">
        <v>4015</v>
      </c>
      <c r="B584" s="11" t="s">
        <v>4016</v>
      </c>
      <c r="C584" s="11" t="s">
        <v>12465</v>
      </c>
      <c r="D584" s="60">
        <v>583</v>
      </c>
      <c r="E584" s="11" t="str">
        <f t="shared" si="27"/>
        <v>E2_7_7_72</v>
      </c>
      <c r="F584" s="11" t="s">
        <v>14684</v>
      </c>
      <c r="G584" s="11" t="s">
        <v>14685</v>
      </c>
      <c r="H584" s="11" t="s">
        <v>14686</v>
      </c>
      <c r="I584" s="11" t="s">
        <v>14687</v>
      </c>
      <c r="J584" s="61" t="str">
        <f t="shared" si="28"/>
        <v>(${Variables:E2_7_7_72_kcat} * E2_7_7_72 * C19078 * C00063)/(${Variables:E2_7_7_72_km} + (E2_7_7_72 * C19078 * C00063))</v>
      </c>
      <c r="K584" s="54" t="str">
        <f t="shared" si="29"/>
        <v>r583: C19078 + C00063 -&gt; C19080 + C00013 | (${Variables:E2_7_7_72_kcat} * E2_7_7_72 * C19078 * C00063)/(${Variables:E2_7_7_72_km} + (E2_7_7_72 * C19078 * C00063))</v>
      </c>
    </row>
    <row r="585" spans="1:11" ht="29">
      <c r="A585" s="11" t="s">
        <v>4015</v>
      </c>
      <c r="B585" s="11" t="s">
        <v>4016</v>
      </c>
      <c r="C585" s="11" t="s">
        <v>12465</v>
      </c>
      <c r="D585" s="60">
        <v>584</v>
      </c>
      <c r="E585" s="11" t="str">
        <f t="shared" si="27"/>
        <v>E2_7_7_72</v>
      </c>
      <c r="F585" s="11" t="s">
        <v>14688</v>
      </c>
      <c r="G585" s="11" t="s">
        <v>14689</v>
      </c>
      <c r="H585" s="11" t="s">
        <v>14678</v>
      </c>
      <c r="I585" s="11" t="s">
        <v>14679</v>
      </c>
      <c r="J585" s="61" t="str">
        <f t="shared" si="28"/>
        <v>(${Variables:E2_7_7_72_kcat} * E2_7_7_72 * C19080 * C00002)/(${Variables:E2_7_7_72_km} + (E2_7_7_72 * C19080 * C00002))</v>
      </c>
      <c r="K585" s="54" t="str">
        <f t="shared" si="29"/>
        <v>r584: C19080 + C00002 -&gt; C19085 + C00013 | (${Variables:E2_7_7_72_kcat} * E2_7_7_72 * C19080 * C00002)/(${Variables:E2_7_7_72_km} + (E2_7_7_72 * C19080 * C00002))</v>
      </c>
    </row>
    <row r="586" spans="1:11" ht="29">
      <c r="A586" s="11" t="s">
        <v>4034</v>
      </c>
      <c r="B586" s="11" t="s">
        <v>4035</v>
      </c>
      <c r="C586" s="11" t="s">
        <v>12467</v>
      </c>
      <c r="D586" s="60">
        <v>585</v>
      </c>
      <c r="E586" s="11" t="str">
        <f t="shared" si="27"/>
        <v>E3_5_1_31</v>
      </c>
      <c r="F586" s="11" t="s">
        <v>14690</v>
      </c>
      <c r="G586" s="11" t="s">
        <v>14691</v>
      </c>
      <c r="H586" s="11" t="s">
        <v>14692</v>
      </c>
      <c r="I586" s="11" t="s">
        <v>14693</v>
      </c>
      <c r="J586" s="61" t="str">
        <f t="shared" si="28"/>
        <v>(${Variables:E3_5_1_31_kcat} * E3_5_1_31 * C03145 * C00001)/(${Variables:E3_5_1_31_km} + (E3_5_1_31 * C03145 * C00001))</v>
      </c>
      <c r="K586" s="54" t="str">
        <f t="shared" si="29"/>
        <v>r585: C03145 + C00001 -&gt; C00058 + C00073 | (${Variables:E3_5_1_31_kcat} * E3_5_1_31 * C03145 * C00001)/(${Variables:E3_5_1_31_km} + (E3_5_1_31 * C03145 * C00001))</v>
      </c>
    </row>
    <row r="587" spans="1:11" ht="29">
      <c r="A587" s="11" t="s">
        <v>4034</v>
      </c>
      <c r="B587" s="11" t="s">
        <v>4035</v>
      </c>
      <c r="C587" s="11" t="s">
        <v>12468</v>
      </c>
      <c r="D587" s="60">
        <v>586</v>
      </c>
      <c r="E587" s="11" t="str">
        <f t="shared" si="27"/>
        <v>E3_5_1_88</v>
      </c>
      <c r="F587" s="11" t="s">
        <v>14694</v>
      </c>
      <c r="G587" s="11" t="s">
        <v>14695</v>
      </c>
      <c r="H587" s="11" t="s">
        <v>14696</v>
      </c>
      <c r="I587" s="11" t="s">
        <v>14697</v>
      </c>
      <c r="J587" s="61" t="str">
        <f t="shared" si="28"/>
        <v>(${Variables:E3_5_1_88_kcat} * E3_5_1_88 * C11439 * C00001)/(${Variables:E3_5_1_88_km} + (E3_5_1_88 * C11439 * C00001))</v>
      </c>
      <c r="K587" s="54" t="str">
        <f t="shared" si="29"/>
        <v>r586: C11439 + C00001 -&gt; C11440 + C00058 | (${Variables:E3_5_1_88_kcat} * E3_5_1_88 * C11439 * C00001)/(${Variables:E3_5_1_88_km} + (E3_5_1_88 * C11439 * C00001))</v>
      </c>
    </row>
    <row r="588" spans="1:11" ht="29">
      <c r="A588" s="11" t="s">
        <v>4054</v>
      </c>
      <c r="B588" s="11" t="s">
        <v>4055</v>
      </c>
      <c r="C588" s="11" t="s">
        <v>12469</v>
      </c>
      <c r="D588" s="60">
        <v>587</v>
      </c>
      <c r="E588" s="11" t="str">
        <f t="shared" si="27"/>
        <v>E4_4_1_5</v>
      </c>
      <c r="F588" s="11" t="s">
        <v>9368</v>
      </c>
      <c r="G588" s="11" t="s">
        <v>9368</v>
      </c>
      <c r="H588" s="11" t="s">
        <v>14698</v>
      </c>
      <c r="I588" s="11" t="s">
        <v>14699</v>
      </c>
      <c r="J588" s="61" t="str">
        <f t="shared" si="28"/>
        <v>(${Variables:E4_4_1_5_kcat} * E4_4_1_5 * C03451)/(${Variables:E4_4_1_5_km} + (E4_4_1_5 * C03451))</v>
      </c>
      <c r="K588" s="54" t="str">
        <f t="shared" si="29"/>
        <v>r587: C03451 -&gt; C00051 + C00546 | (${Variables:E4_4_1_5_kcat} * E4_4_1_5 * C03451)/(${Variables:E4_4_1_5_km} + (E4_4_1_5 * C03451))</v>
      </c>
    </row>
    <row r="589" spans="1:11" ht="43.5">
      <c r="A589" s="11" t="s">
        <v>4058</v>
      </c>
      <c r="B589" s="11" t="s">
        <v>4059</v>
      </c>
      <c r="C589" s="11" t="s">
        <v>12470</v>
      </c>
      <c r="D589" s="60">
        <v>588</v>
      </c>
      <c r="E589" s="11" t="str">
        <f t="shared" si="27"/>
        <v>E6_1_1_22</v>
      </c>
      <c r="F589" s="11" t="s">
        <v>14700</v>
      </c>
      <c r="G589" s="11" t="s">
        <v>14701</v>
      </c>
      <c r="H589" s="11" t="s">
        <v>14702</v>
      </c>
      <c r="I589" s="11" t="s">
        <v>14703</v>
      </c>
      <c r="J589" s="61" t="str">
        <f t="shared" si="28"/>
        <v>(${Variables:E6_1_1_22_kcat} * E6_1_1_22 * C00002 * C00152 * C01637)/(${Variables:E6_1_1_22_km} + (E6_1_1_22 * C00002 * C00152 * C01637))</v>
      </c>
      <c r="K589" s="54" t="str">
        <f t="shared" si="29"/>
        <v>r588: C00002 + C00152 + C01637 -&gt; C00020 + C00013 + C03402 | (${Variables:E6_1_1_22_kcat} * E6_1_1_22 * C00002 * C00152 * C01637)/(${Variables:E6_1_1_22_km} + (E6_1_1_22 * C00002 * C00152 * C01637))</v>
      </c>
    </row>
    <row r="590" spans="1:11" ht="29">
      <c r="A590" s="11" t="s">
        <v>4087</v>
      </c>
      <c r="B590" s="11" t="s">
        <v>4088</v>
      </c>
      <c r="C590" s="11" t="s">
        <v>12471</v>
      </c>
      <c r="D590" s="60">
        <v>589</v>
      </c>
      <c r="E590" s="11" t="str">
        <f t="shared" si="27"/>
        <v>E3_6_1_1</v>
      </c>
      <c r="F590" s="11" t="s">
        <v>14704</v>
      </c>
      <c r="G590" s="11" t="s">
        <v>14705</v>
      </c>
      <c r="H590" s="11" t="s">
        <v>9379</v>
      </c>
      <c r="I590" s="11" t="s">
        <v>9379</v>
      </c>
      <c r="J590" s="61" t="str">
        <f t="shared" si="28"/>
        <v>(${Variables:E3_6_1_1_kcat} * E3_6_1_1 * C00013 * C00001)/(${Variables:E3_6_1_1_km} + (E3_6_1_1 * C00013 * C00001))</v>
      </c>
      <c r="K590" s="54" t="str">
        <f t="shared" si="29"/>
        <v>r589: C00013 + C00001 -&gt; C00009 | (${Variables:E3_6_1_1_kcat} * E3_6_1_1 * C00013 * C00001)/(${Variables:E3_6_1_1_km} + (E3_6_1_1 * C00013 * C00001))</v>
      </c>
    </row>
    <row r="591" spans="1:11" ht="43.5">
      <c r="A591" s="11" t="s">
        <v>4091</v>
      </c>
      <c r="B591" s="11" t="s">
        <v>4092</v>
      </c>
      <c r="C591" s="11" t="s">
        <v>12472</v>
      </c>
      <c r="D591" s="60">
        <v>590</v>
      </c>
      <c r="E591" s="11" t="str">
        <f t="shared" si="27"/>
        <v>E6_3_2_13</v>
      </c>
      <c r="F591" s="11" t="s">
        <v>14706</v>
      </c>
      <c r="G591" s="11" t="s">
        <v>14707</v>
      </c>
      <c r="H591" s="11" t="s">
        <v>14708</v>
      </c>
      <c r="I591" s="11" t="s">
        <v>14709</v>
      </c>
      <c r="J591" s="61" t="str">
        <f t="shared" si="28"/>
        <v>(${Variables:E6_3_2_13_kcat} * E6_3_2_13 * C00002 * C00692 * C00680)/(${Variables:E6_3_2_13_km} + (E6_3_2_13 * C00002 * C00692 * C00680))</v>
      </c>
      <c r="K591" s="54" t="str">
        <f t="shared" si="29"/>
        <v>r590: C00002 + C00692 + C00680 -&gt; C00008 + C00009 + C04877 | (${Variables:E6_3_2_13_kcat} * E6_3_2_13 * C00002 * C00692 * C00680)/(${Variables:E6_3_2_13_km} + (E6_3_2_13 * C00002 * C00692 * C00680))</v>
      </c>
    </row>
    <row r="592" spans="1:11" ht="43.5">
      <c r="A592" s="11" t="s">
        <v>4102</v>
      </c>
      <c r="B592" s="11" t="s">
        <v>4103</v>
      </c>
      <c r="C592" s="11" t="s">
        <v>12473</v>
      </c>
      <c r="D592" s="60">
        <v>591</v>
      </c>
      <c r="E592" s="11" t="str">
        <f t="shared" si="27"/>
        <v>E6_3_2_7</v>
      </c>
      <c r="F592" s="11" t="s">
        <v>14710</v>
      </c>
      <c r="G592" s="11" t="s">
        <v>14711</v>
      </c>
      <c r="H592" s="11" t="s">
        <v>14712</v>
      </c>
      <c r="I592" s="11" t="s">
        <v>14713</v>
      </c>
      <c r="J592" s="61" t="str">
        <f t="shared" si="28"/>
        <v>(${Variables:E6_3_2_7_kcat} * E6_3_2_7 * C00002 * C00692 * C00047)/(${Variables:E6_3_2_7_km} + (E6_3_2_7 * C00002 * C00692 * C00047))</v>
      </c>
      <c r="K592" s="54" t="str">
        <f t="shared" si="29"/>
        <v>r591: C00002 + C00692 + C00047 -&gt; C00008 + C00009 + C05892 | (${Variables:E6_3_2_7_kcat} * E6_3_2_7 * C00002 * C00692 * C00047)/(${Variables:E6_3_2_7_km} + (E6_3_2_7 * C00002 * C00692 * C00047))</v>
      </c>
    </row>
    <row r="593" spans="1:11" ht="29">
      <c r="A593" s="11" t="s">
        <v>4124</v>
      </c>
      <c r="B593" s="11" t="s">
        <v>4125</v>
      </c>
      <c r="C593" s="11" t="s">
        <v>12475</v>
      </c>
      <c r="D593" s="60">
        <v>592</v>
      </c>
      <c r="E593" s="11" t="str">
        <f t="shared" si="27"/>
        <v>E2_5_1_48</v>
      </c>
      <c r="F593" s="11" t="s">
        <v>14714</v>
      </c>
      <c r="G593" s="11" t="s">
        <v>14715</v>
      </c>
      <c r="H593" s="11" t="s">
        <v>14716</v>
      </c>
      <c r="I593" s="11" t="s">
        <v>14717</v>
      </c>
      <c r="J593" s="61" t="str">
        <f t="shared" si="28"/>
        <v>(${Variables:E2_5_1_48_kcat} * E2_5_1_48 * C01118 * C00097)/(${Variables:E2_5_1_48_km} + (E2_5_1_48 * C01118 * C00097))</v>
      </c>
      <c r="K593" s="54" t="str">
        <f t="shared" si="29"/>
        <v>r592: C01118 + C00097 -&gt; C02291 + C00042 | (${Variables:E2_5_1_48_kcat} * E2_5_1_48 * C01118 * C00097)/(${Variables:E2_5_1_48_km} + (E2_5_1_48 * C01118 * C00097))</v>
      </c>
    </row>
    <row r="594" spans="1:11" ht="29">
      <c r="A594" s="11" t="s">
        <v>4124</v>
      </c>
      <c r="B594" s="11" t="s">
        <v>4125</v>
      </c>
      <c r="C594" s="11" t="s">
        <v>12475</v>
      </c>
      <c r="D594" s="60">
        <v>593</v>
      </c>
      <c r="E594" s="11" t="str">
        <f t="shared" si="27"/>
        <v>E2_5_1_48</v>
      </c>
      <c r="F594" s="11" t="s">
        <v>14718</v>
      </c>
      <c r="G594" s="11" t="s">
        <v>14719</v>
      </c>
      <c r="H594" s="11" t="s">
        <v>14720</v>
      </c>
      <c r="I594" s="11" t="s">
        <v>14721</v>
      </c>
      <c r="J594" s="61" t="str">
        <f t="shared" si="28"/>
        <v>(${Variables:E2_5_1_48_kcat} * E2_5_1_48 * C01118 * C00001)/(${Variables:E2_5_1_48_km} + (E2_5_1_48 * C01118 * C00001))</v>
      </c>
      <c r="K594" s="54" t="str">
        <f t="shared" si="29"/>
        <v>r593: C01118 + C00001 -&gt; C00109 + C00042 + C00014 | (${Variables:E2_5_1_48_kcat} * E2_5_1_48 * C01118 * C00001)/(${Variables:E2_5_1_48_km} + (E2_5_1_48 * C01118 * C00001))</v>
      </c>
    </row>
    <row r="595" spans="1:11" ht="29">
      <c r="A595" s="11" t="s">
        <v>4124</v>
      </c>
      <c r="B595" s="11" t="s">
        <v>4125</v>
      </c>
      <c r="C595" s="11" t="s">
        <v>12475</v>
      </c>
      <c r="D595" s="60">
        <v>594</v>
      </c>
      <c r="E595" s="11" t="str">
        <f t="shared" si="27"/>
        <v>E2_5_1_48</v>
      </c>
      <c r="F595" s="11" t="s">
        <v>14722</v>
      </c>
      <c r="G595" s="11" t="s">
        <v>14723</v>
      </c>
      <c r="H595" s="11" t="s">
        <v>14724</v>
      </c>
      <c r="I595" s="11" t="s">
        <v>14725</v>
      </c>
      <c r="J595" s="61" t="str">
        <f t="shared" si="28"/>
        <v>(${Variables:E2_5_1_48_kcat} * E2_5_1_48 * C01118 * C00283)/(${Variables:E2_5_1_48_km} + (E2_5_1_48 * C01118 * C00283))</v>
      </c>
      <c r="K595" s="54" t="str">
        <f t="shared" si="29"/>
        <v>r594: C01118 + C00283 -&gt; C00155 + C00042 | (${Variables:E2_5_1_48_kcat} * E2_5_1_48 * C01118 * C00283)/(${Variables:E2_5_1_48_km} + (E2_5_1_48 * C01118 * C00283))</v>
      </c>
    </row>
    <row r="596" spans="1:11" ht="29">
      <c r="A596" s="11" t="s">
        <v>4124</v>
      </c>
      <c r="B596" s="11" t="s">
        <v>4125</v>
      </c>
      <c r="C596" s="11" t="s">
        <v>12475</v>
      </c>
      <c r="D596" s="60">
        <v>595</v>
      </c>
      <c r="E596" s="11" t="str">
        <f t="shared" si="27"/>
        <v>E2_5_1_48</v>
      </c>
      <c r="F596" s="11" t="s">
        <v>14726</v>
      </c>
      <c r="G596" s="11" t="s">
        <v>14727</v>
      </c>
      <c r="H596" s="11" t="s">
        <v>14714</v>
      </c>
      <c r="I596" s="11" t="s">
        <v>14715</v>
      </c>
      <c r="J596" s="61" t="str">
        <f t="shared" si="28"/>
        <v>(${Variables:E2_5_1_48_kcat} * E2_5_1_48 * C00542 * C00042)/(${Variables:E2_5_1_48_km} + (E2_5_1_48 * C00542 * C00042))</v>
      </c>
      <c r="K596" s="54" t="str">
        <f t="shared" si="29"/>
        <v>r595: C00542 + C00042 -&gt; C01118 + C00097 | (${Variables:E2_5_1_48_kcat} * E2_5_1_48 * C00542 * C00042)/(${Variables:E2_5_1_48_km} + (E2_5_1_48 * C00542 * C00042))</v>
      </c>
    </row>
    <row r="597" spans="1:11" ht="29">
      <c r="A597" s="11" t="s">
        <v>4124</v>
      </c>
      <c r="B597" s="11" t="s">
        <v>4125</v>
      </c>
      <c r="C597" s="11" t="s">
        <v>12475</v>
      </c>
      <c r="D597" s="60">
        <v>596</v>
      </c>
      <c r="E597" s="11" t="str">
        <f t="shared" si="27"/>
        <v>E2_5_1_48</v>
      </c>
      <c r="F597" s="11" t="s">
        <v>14728</v>
      </c>
      <c r="G597" s="11" t="s">
        <v>14729</v>
      </c>
      <c r="H597" s="11" t="s">
        <v>14730</v>
      </c>
      <c r="I597" s="11" t="s">
        <v>14731</v>
      </c>
      <c r="J597" s="61" t="str">
        <f t="shared" si="28"/>
        <v>(${Variables:E2_5_1_48_kcat} * E2_5_1_48 * C01077 * C00097)/(${Variables:E2_5_1_48_km} + (E2_5_1_48 * C01077 * C00097))</v>
      </c>
      <c r="K597" s="54" t="str">
        <f t="shared" si="29"/>
        <v>r596: C01077 + C00097 -&gt; C02291 + C00033 | (${Variables:E2_5_1_48_kcat} * E2_5_1_48 * C01077 * C00097)/(${Variables:E2_5_1_48_km} + (E2_5_1_48 * C01077 * C00097))</v>
      </c>
    </row>
    <row r="598" spans="1:11" ht="29">
      <c r="A598" s="11" t="s">
        <v>4124</v>
      </c>
      <c r="B598" s="11" t="s">
        <v>4125</v>
      </c>
      <c r="C598" s="11" t="s">
        <v>12475</v>
      </c>
      <c r="D598" s="60">
        <v>597</v>
      </c>
      <c r="E598" s="11" t="str">
        <f t="shared" si="27"/>
        <v>E2_5_1_48</v>
      </c>
      <c r="F598" s="11" t="s">
        <v>14732</v>
      </c>
      <c r="G598" s="11" t="s">
        <v>14733</v>
      </c>
      <c r="H598" s="11" t="s">
        <v>14734</v>
      </c>
      <c r="I598" s="11" t="s">
        <v>14735</v>
      </c>
      <c r="J598" s="61" t="str">
        <f t="shared" si="28"/>
        <v>(${Variables:E2_5_1_48_kcat} * E2_5_1_48 * C05702 * C05688)/(${Variables:E2_5_1_48_km} + (E2_5_1_48 * C05702 * C05688))</v>
      </c>
      <c r="K598" s="54" t="str">
        <f t="shared" si="29"/>
        <v>r597: C05702 + C05688 -&gt; C05699 + C00009 | (${Variables:E2_5_1_48_kcat} * E2_5_1_48 * C05702 * C05688)/(${Variables:E2_5_1_48_km} + (E2_5_1_48 * C05702 * C05688))</v>
      </c>
    </row>
    <row r="599" spans="1:11" ht="29">
      <c r="A599" s="11" t="s">
        <v>4124</v>
      </c>
      <c r="B599" s="11" t="s">
        <v>4125</v>
      </c>
      <c r="C599" s="11" t="s">
        <v>12475</v>
      </c>
      <c r="D599" s="60">
        <v>598</v>
      </c>
      <c r="E599" s="11" t="str">
        <f t="shared" si="27"/>
        <v>E2_5_1_48</v>
      </c>
      <c r="F599" s="11" t="s">
        <v>14736</v>
      </c>
      <c r="G599" s="11" t="s">
        <v>14737</v>
      </c>
      <c r="H599" s="11" t="s">
        <v>14738</v>
      </c>
      <c r="I599" s="11" t="s">
        <v>14739</v>
      </c>
      <c r="J599" s="61" t="str">
        <f t="shared" si="28"/>
        <v>(${Variables:E2_5_1_48_kcat} * E2_5_1_48 * C01077 * C05688)/(${Variables:E2_5_1_48_km} + (E2_5_1_48 * C01077 * C05688))</v>
      </c>
      <c r="K599" s="54" t="str">
        <f t="shared" si="29"/>
        <v>r598: C01077 + C05688 -&gt; C05699 + C00033 | (${Variables:E2_5_1_48_kcat} * E2_5_1_48 * C01077 * C05688)/(${Variables:E2_5_1_48_km} + (E2_5_1_48 * C01077 * C05688))</v>
      </c>
    </row>
    <row r="600" spans="1:11" ht="29">
      <c r="A600" s="11" t="s">
        <v>4124</v>
      </c>
      <c r="B600" s="11" t="s">
        <v>4125</v>
      </c>
      <c r="C600" s="11" t="s">
        <v>12475</v>
      </c>
      <c r="D600" s="60">
        <v>599</v>
      </c>
      <c r="E600" s="11" t="str">
        <f t="shared" si="27"/>
        <v>E2_5_1_48</v>
      </c>
      <c r="F600" s="11" t="s">
        <v>14740</v>
      </c>
      <c r="G600" s="11" t="s">
        <v>14741</v>
      </c>
      <c r="H600" s="11" t="s">
        <v>14742</v>
      </c>
      <c r="I600" s="11" t="s">
        <v>14743</v>
      </c>
      <c r="J600" s="61" t="str">
        <f t="shared" si="28"/>
        <v>(${Variables:E2_5_1_48_kcat} * E2_5_1_48 * C01118 * C05688)/(${Variables:E2_5_1_48_km} + (E2_5_1_48 * C01118 * C05688))</v>
      </c>
      <c r="K600" s="54" t="str">
        <f t="shared" si="29"/>
        <v>r599: C01118 + C05688 -&gt; C05699 + C00042 | (${Variables:E2_5_1_48_kcat} * E2_5_1_48 * C01118 * C05688)/(${Variables:E2_5_1_48_km} + (E2_5_1_48 * C01118 * C05688))</v>
      </c>
    </row>
    <row r="601" spans="1:11" ht="43.5">
      <c r="A601" s="11" t="s">
        <v>4138</v>
      </c>
      <c r="B601" s="11" t="s">
        <v>4139</v>
      </c>
      <c r="C601" s="11" t="s">
        <v>12630</v>
      </c>
      <c r="D601" s="60">
        <v>600</v>
      </c>
      <c r="E601" s="11" t="str">
        <f t="shared" si="27"/>
        <v>E6_3_2_8</v>
      </c>
      <c r="F601" s="11" t="s">
        <v>14744</v>
      </c>
      <c r="G601" s="11" t="s">
        <v>14745</v>
      </c>
      <c r="H601" s="11" t="s">
        <v>14746</v>
      </c>
      <c r="I601" s="11" t="s">
        <v>14747</v>
      </c>
      <c r="J601" s="61" t="str">
        <f t="shared" si="28"/>
        <v>(${Variables:E6_3_2_8_kcat} * E6_3_2_8 * C00002 * C01050 * C00041)/(${Variables:E6_3_2_8_km} + (E6_3_2_8 * C00002 * C01050 * C00041))</v>
      </c>
      <c r="K601" s="54" t="str">
        <f t="shared" si="29"/>
        <v>r600: C00002 + C01050 + C00041 -&gt; C00008 + C00009 + C01212 | (${Variables:E6_3_2_8_kcat} * E6_3_2_8 * C00002 * C01050 * C00041)/(${Variables:E6_3_2_8_km} + (E6_3_2_8 * C00002 * C01050 * C00041))</v>
      </c>
    </row>
    <row r="602" spans="1:11" ht="29">
      <c r="A602" s="11" t="s">
        <v>4193</v>
      </c>
      <c r="B602" s="11" t="s">
        <v>4194</v>
      </c>
      <c r="C602" s="11" t="s">
        <v>12477</v>
      </c>
      <c r="D602" s="60">
        <v>601</v>
      </c>
      <c r="E602" s="11" t="str">
        <f t="shared" si="27"/>
        <v>E5_5_1_5</v>
      </c>
      <c r="F602" s="11" t="s">
        <v>9428</v>
      </c>
      <c r="G602" s="11" t="s">
        <v>9428</v>
      </c>
      <c r="H602" s="11" t="s">
        <v>9429</v>
      </c>
      <c r="I602" s="11" t="s">
        <v>9429</v>
      </c>
      <c r="J602" s="61" t="str">
        <f t="shared" si="28"/>
        <v>(${Variables:E5_5_1_5_kcat} * E5_5_1_5 * C04553)/(${Variables:E5_5_1_5_km} + (E5_5_1_5 * C04553))</v>
      </c>
      <c r="K602" s="54" t="str">
        <f t="shared" si="29"/>
        <v>r601: C04553 -&gt; C01163 | (${Variables:E5_5_1_5_kcat} * E5_5_1_5 * C04553)/(${Variables:E5_5_1_5_km} + (E5_5_1_5 * C04553))</v>
      </c>
    </row>
    <row r="603" spans="1:11" ht="29">
      <c r="A603" s="11" t="s">
        <v>4218</v>
      </c>
      <c r="B603" s="11" t="s">
        <v>4219</v>
      </c>
      <c r="C603" s="11" t="s">
        <v>12632</v>
      </c>
      <c r="D603" s="60">
        <v>602</v>
      </c>
      <c r="E603" s="11" t="str">
        <f t="shared" si="27"/>
        <v>E5_4_2_2</v>
      </c>
      <c r="F603" s="11" t="s">
        <v>9433</v>
      </c>
      <c r="G603" s="11" t="s">
        <v>9433</v>
      </c>
      <c r="H603" s="11" t="s">
        <v>8550</v>
      </c>
      <c r="I603" s="11" t="s">
        <v>8550</v>
      </c>
      <c r="J603" s="61" t="str">
        <f t="shared" si="28"/>
        <v>(${Variables:E5_4_2_2_kcat} * E5_4_2_2 * C00103)/(${Variables:E5_4_2_2_km} + (E5_4_2_2 * C00103))</v>
      </c>
      <c r="K603" s="54" t="str">
        <f t="shared" si="29"/>
        <v>r602: C00103 -&gt; C00092 | (${Variables:E5_4_2_2_kcat} * E5_4_2_2 * C00103)/(${Variables:E5_4_2_2_km} + (E5_4_2_2 * C00103))</v>
      </c>
    </row>
    <row r="604" spans="1:11" ht="29">
      <c r="A604" s="11" t="s">
        <v>4218</v>
      </c>
      <c r="B604" s="11" t="s">
        <v>4219</v>
      </c>
      <c r="C604" s="11" t="s">
        <v>12632</v>
      </c>
      <c r="D604" s="60">
        <v>603</v>
      </c>
      <c r="E604" s="11" t="str">
        <f t="shared" si="27"/>
        <v>E5_4_2_2</v>
      </c>
      <c r="F604" s="11" t="s">
        <v>9433</v>
      </c>
      <c r="G604" s="11" t="s">
        <v>9433</v>
      </c>
      <c r="H604" s="11" t="s">
        <v>8547</v>
      </c>
      <c r="I604" s="11" t="s">
        <v>8547</v>
      </c>
      <c r="J604" s="61" t="str">
        <f t="shared" si="28"/>
        <v>(${Variables:E5_4_2_2_kcat} * E5_4_2_2 * C00103)/(${Variables:E5_4_2_2_km} + (E5_4_2_2 * C00103))</v>
      </c>
      <c r="K604" s="54" t="str">
        <f t="shared" si="29"/>
        <v>r603: C00103 -&gt; C00668 | (${Variables:E5_4_2_2_kcat} * E5_4_2_2 * C00103)/(${Variables:E5_4_2_2_km} + (E5_4_2_2 * C00103))</v>
      </c>
    </row>
    <row r="605" spans="1:11" ht="29">
      <c r="A605" s="11" t="s">
        <v>4218</v>
      </c>
      <c r="B605" s="11" t="s">
        <v>4219</v>
      </c>
      <c r="C605" s="11" t="s">
        <v>12632</v>
      </c>
      <c r="D605" s="60">
        <v>604</v>
      </c>
      <c r="E605" s="11" t="str">
        <f t="shared" si="27"/>
        <v>E5_4_2_2</v>
      </c>
      <c r="F605" s="11" t="s">
        <v>9436</v>
      </c>
      <c r="G605" s="11" t="s">
        <v>9436</v>
      </c>
      <c r="H605" s="11" t="s">
        <v>9437</v>
      </c>
      <c r="I605" s="11" t="s">
        <v>9437</v>
      </c>
      <c r="J605" s="61" t="str">
        <f t="shared" si="28"/>
        <v>(${Variables:E5_4_2_2_kcat} * E5_4_2_2 * C00620)/(${Variables:E5_4_2_2_km} + (E5_4_2_2 * C00620))</v>
      </c>
      <c r="K605" s="54" t="str">
        <f t="shared" si="29"/>
        <v>r604: C00620 -&gt; C00117 | (${Variables:E5_4_2_2_kcat} * E5_4_2_2 * C00620)/(${Variables:E5_4_2_2_km} + (E5_4_2_2 * C00620))</v>
      </c>
    </row>
    <row r="606" spans="1:11" ht="29">
      <c r="A606" s="11" t="s">
        <v>4218</v>
      </c>
      <c r="B606" s="11" t="s">
        <v>4219</v>
      </c>
      <c r="C606" s="11" t="s">
        <v>12632</v>
      </c>
      <c r="D606" s="60">
        <v>605</v>
      </c>
      <c r="E606" s="11" t="str">
        <f t="shared" si="27"/>
        <v>E5_4_2_2</v>
      </c>
      <c r="F606" s="11" t="s">
        <v>9439</v>
      </c>
      <c r="G606" s="11" t="s">
        <v>9439</v>
      </c>
      <c r="H606" s="11" t="s">
        <v>9440</v>
      </c>
      <c r="I606" s="11" t="s">
        <v>9440</v>
      </c>
      <c r="J606" s="61" t="str">
        <f t="shared" si="28"/>
        <v>(${Variables:E5_4_2_2_kcat} * E5_4_2_2 * C01171)/(${Variables:E5_4_2_2_km} + (E5_4_2_2 * C01171))</v>
      </c>
      <c r="K606" s="54" t="str">
        <f t="shared" si="29"/>
        <v>r605: C01171 -&gt; C03735 | (${Variables:E5_4_2_2_kcat} * E5_4_2_2 * C01171)/(${Variables:E5_4_2_2_km} + (E5_4_2_2 * C01171))</v>
      </c>
    </row>
    <row r="607" spans="1:11" ht="29">
      <c r="A607" s="11" t="s">
        <v>4218</v>
      </c>
      <c r="B607" s="11" t="s">
        <v>4219</v>
      </c>
      <c r="C607" s="11" t="s">
        <v>12633</v>
      </c>
      <c r="D607" s="60">
        <v>606</v>
      </c>
      <c r="E607" s="11" t="str">
        <f t="shared" si="27"/>
        <v>E5_4_2_8</v>
      </c>
      <c r="F607" s="11" t="s">
        <v>9444</v>
      </c>
      <c r="G607" s="11" t="s">
        <v>9444</v>
      </c>
      <c r="H607" s="11" t="s">
        <v>9445</v>
      </c>
      <c r="I607" s="11" t="s">
        <v>9445</v>
      </c>
      <c r="J607" s="61" t="str">
        <f t="shared" si="28"/>
        <v>(${Variables:E5_4_2_8_kcat} * E5_4_2_8 * C00275)/(${Variables:E5_4_2_8_km} + (E5_4_2_8 * C00275))</v>
      </c>
      <c r="K607" s="54" t="str">
        <f t="shared" si="29"/>
        <v>r606: C00275 -&gt; C00636 | (${Variables:E5_4_2_8_kcat} * E5_4_2_8 * C00275)/(${Variables:E5_4_2_8_km} + (E5_4_2_8 * C00275))</v>
      </c>
    </row>
    <row r="608" spans="1:11" ht="43.5">
      <c r="A608" s="11" t="s">
        <v>4256</v>
      </c>
      <c r="B608" s="11" t="s">
        <v>4257</v>
      </c>
      <c r="C608" s="11" t="s">
        <v>12515</v>
      </c>
      <c r="D608" s="60">
        <v>607</v>
      </c>
      <c r="E608" s="11" t="str">
        <f t="shared" si="27"/>
        <v>E1_1_1_274</v>
      </c>
      <c r="F608" s="11" t="s">
        <v>14748</v>
      </c>
      <c r="G608" s="11" t="s">
        <v>14749</v>
      </c>
      <c r="H608" s="11" t="s">
        <v>14750</v>
      </c>
      <c r="I608" s="11" t="s">
        <v>14751</v>
      </c>
      <c r="J608" s="61" t="str">
        <f t="shared" si="28"/>
        <v>(${Variables:E1_1_1_274_kcat} * E1_1_1_274 * C06473 * C00006)/(${Variables:E1_1_1_274_km} + (E1_1_1_274 * C06473 * C00006))</v>
      </c>
      <c r="K608" s="54" t="str">
        <f t="shared" si="29"/>
        <v>r607: C06473 + C00006 -&gt; C02780 + C00005 + C00080 | (${Variables:E1_1_1_274_kcat} * E1_1_1_274 * C06473 * C00006)/(${Variables:E1_1_1_274_km} + (E1_1_1_274 * C06473 * C00006))</v>
      </c>
    </row>
    <row r="609" spans="1:11" ht="43.5">
      <c r="A609" s="11" t="s">
        <v>4256</v>
      </c>
      <c r="B609" s="11" t="s">
        <v>4257</v>
      </c>
      <c r="C609" s="11" t="s">
        <v>12515</v>
      </c>
      <c r="D609" s="60">
        <v>608</v>
      </c>
      <c r="E609" s="11" t="str">
        <f t="shared" si="27"/>
        <v>E1_1_1_274</v>
      </c>
      <c r="F609" s="11" t="s">
        <v>14752</v>
      </c>
      <c r="G609" s="11" t="s">
        <v>14753</v>
      </c>
      <c r="H609" s="11" t="s">
        <v>14750</v>
      </c>
      <c r="I609" s="11" t="s">
        <v>14751</v>
      </c>
      <c r="J609" s="61" t="str">
        <f t="shared" si="28"/>
        <v>(${Variables:E1_1_1_274_kcat} * E1_1_1_274 * C15673 * C00006)/(${Variables:E1_1_1_274_km} + (E1_1_1_274 * C15673 * C00006))</v>
      </c>
      <c r="K609" s="54" t="str">
        <f t="shared" si="29"/>
        <v>r608: C15673 + C00006 -&gt; C02780 + C00005 + C00080 | (${Variables:E1_1_1_274_kcat} * E1_1_1_274 * C15673 * C00006)/(${Variables:E1_1_1_274_km} + (E1_1_1_274 * C15673 * C00006))</v>
      </c>
    </row>
    <row r="610" spans="1:11" ht="43.5">
      <c r="A610" s="11" t="s">
        <v>4264</v>
      </c>
      <c r="B610" s="11" t="s">
        <v>4265</v>
      </c>
      <c r="C610" s="11" t="s">
        <v>12634</v>
      </c>
      <c r="D610" s="60">
        <v>609</v>
      </c>
      <c r="E610" s="11" t="str">
        <f t="shared" si="27"/>
        <v>E6_1_1_14</v>
      </c>
      <c r="F610" s="62" t="s">
        <v>15556</v>
      </c>
      <c r="G610" s="62" t="s">
        <v>15557</v>
      </c>
      <c r="H610" s="11" t="s">
        <v>14754</v>
      </c>
      <c r="I610" s="11" t="s">
        <v>14755</v>
      </c>
      <c r="J610" s="61" t="str">
        <f t="shared" si="28"/>
        <v>(${Variables:E6_1_1_14_kcat} * E6_1_1_14 * C00002 * C00376 * C01642)/(${Variables:E6_1_1_14_km} + (E6_1_1_14 * C00002 * C00376 * C01642))</v>
      </c>
      <c r="K610" s="54" t="str">
        <f t="shared" si="29"/>
        <v>r609: C00002 + C00376 + C01642 -&gt; C00020 + C00013 + C02412 | (${Variables:E6_1_1_14_kcat} * E6_1_1_14 * C00002 * C00376 * C01642)/(${Variables:E6_1_1_14_km} + (E6_1_1_14 * C00002 * C00376 * C01642))</v>
      </c>
    </row>
    <row r="611" spans="1:11" ht="43.5">
      <c r="A611" s="11" t="s">
        <v>4276</v>
      </c>
      <c r="B611" s="11" t="s">
        <v>4277</v>
      </c>
      <c r="C611" s="11" t="s">
        <v>12499</v>
      </c>
      <c r="D611" s="60">
        <v>610</v>
      </c>
      <c r="E611" s="11" t="str">
        <f t="shared" si="27"/>
        <v>E1_7_1_6</v>
      </c>
      <c r="F611" s="11" t="s">
        <v>14756</v>
      </c>
      <c r="G611" s="11" t="s">
        <v>14757</v>
      </c>
      <c r="H611" s="11" t="s">
        <v>14758</v>
      </c>
      <c r="I611" s="11" t="s">
        <v>14759</v>
      </c>
      <c r="J611" s="61" t="str">
        <f t="shared" si="28"/>
        <v>(${Variables:E1_7_1_6_kcat} * E1_7_1_6 * C04203 * C00292 * C00006)/(${Variables:E1_7_1_6_km} + (E1_7_1_6 * C04203 * C00292 * C00006))</v>
      </c>
      <c r="K611" s="54" t="str">
        <f t="shared" si="29"/>
        <v>r610: C04203 + C00292 + C00006 -&gt; C03764 + C00005 + C00080 | (${Variables:E1_7_1_6_kcat} * E1_7_1_6 * C04203 * C00292 * C00006)/(${Variables:E1_7_1_6_km} + (E1_7_1_6 * C04203 * C00292 * C00006))</v>
      </c>
    </row>
    <row r="612" spans="1:11" ht="29">
      <c r="A612" s="11" t="s">
        <v>4308</v>
      </c>
      <c r="B612" s="11" t="s">
        <v>4309</v>
      </c>
      <c r="C612" s="11" t="s">
        <v>12487</v>
      </c>
      <c r="D612" s="60">
        <v>611</v>
      </c>
      <c r="E612" s="11" t="str">
        <f t="shared" si="27"/>
        <v>E2_1_1_63</v>
      </c>
      <c r="F612" s="11" t="s">
        <v>14760</v>
      </c>
      <c r="G612" s="11" t="s">
        <v>14761</v>
      </c>
      <c r="H612" s="11" t="s">
        <v>14762</v>
      </c>
      <c r="I612" s="11" t="s">
        <v>14763</v>
      </c>
      <c r="J612" s="61" t="str">
        <f t="shared" si="28"/>
        <v>(${Variables:E2_1_1_63_kcat} * E2_1_1_63 * C04250 * C02743)/(${Variables:E2_1_1_63_km} + (E2_1_1_63 * C04250 * C02743))</v>
      </c>
      <c r="K612" s="54" t="str">
        <f t="shared" si="29"/>
        <v>r611: C04250 + C02743 -&gt; C03800 + C11475 | (${Variables:E2_1_1_63_kcat} * E2_1_1_63 * C04250 * C02743)/(${Variables:E2_1_1_63_km} + (E2_1_1_63 * C04250 * C02743))</v>
      </c>
    </row>
    <row r="613" spans="1:11" ht="29">
      <c r="A613" s="11" t="s">
        <v>4332</v>
      </c>
      <c r="B613" s="11" t="s">
        <v>4333</v>
      </c>
      <c r="C613" s="11" t="s">
        <v>12468</v>
      </c>
      <c r="D613" s="60">
        <v>612</v>
      </c>
      <c r="E613" s="11" t="str">
        <f t="shared" si="27"/>
        <v>E3_5_1_88</v>
      </c>
      <c r="F613" s="11" t="s">
        <v>14764</v>
      </c>
      <c r="G613" s="11" t="s">
        <v>14765</v>
      </c>
      <c r="H613" s="11" t="s">
        <v>14766</v>
      </c>
      <c r="I613" s="11" t="s">
        <v>14767</v>
      </c>
      <c r="J613" s="61" t="str">
        <f t="shared" si="28"/>
        <v>(${Variables:E3_5_1_88_kcat} * E3_5_1_88 * C04258 * C00001)/(${Variables:E3_5_1_88_km} + (E3_5_1_88 * C04258 * C00001))</v>
      </c>
      <c r="K613" s="54" t="str">
        <f t="shared" si="29"/>
        <v>r612: C04258 + C00001 -&gt; C00058 + C03617 | (${Variables:E3_5_1_88_kcat} * E3_5_1_88 * C04258 * C00001)/(${Variables:E3_5_1_88_km} + (E3_5_1_88 * C04258 * C00001))</v>
      </c>
    </row>
    <row r="614" spans="1:11" ht="29">
      <c r="A614" s="11" t="s">
        <v>4341</v>
      </c>
      <c r="B614" s="11" t="s">
        <v>4342</v>
      </c>
      <c r="C614" s="11" t="s">
        <v>12635</v>
      </c>
      <c r="D614" s="60">
        <v>613</v>
      </c>
      <c r="E614" s="11" t="str">
        <f t="shared" si="27"/>
        <v>E3_1_3_23</v>
      </c>
      <c r="F614" s="11" t="s">
        <v>14768</v>
      </c>
      <c r="G614" s="11" t="s">
        <v>14769</v>
      </c>
      <c r="H614" s="11" t="s">
        <v>14770</v>
      </c>
      <c r="I614" s="11" t="s">
        <v>14771</v>
      </c>
      <c r="J614" s="61" t="str">
        <f t="shared" si="28"/>
        <v>(${Variables:E3_1_3_23_kcat} * E3_1_3_23 * C00934 * C00001)/(${Variables:E3_1_3_23_km} + (E3_1_3_23 * C00934 * C00001))</v>
      </c>
      <c r="K614" s="54" t="str">
        <f t="shared" si="29"/>
        <v>r613: C00934 + C00001 -&gt; C11477 + C00009 | (${Variables:E3_1_3_23_kcat} * E3_1_3_23 * C00934 * C00001)/(${Variables:E3_1_3_23_km} + (E3_1_3_23 * C00934 * C00001))</v>
      </c>
    </row>
    <row r="615" spans="1:11" ht="43.5">
      <c r="A615" s="11" t="s">
        <v>4360</v>
      </c>
      <c r="B615" s="11" t="s">
        <v>4361</v>
      </c>
      <c r="C615" s="11" t="s">
        <v>12636</v>
      </c>
      <c r="D615" s="60">
        <v>614</v>
      </c>
      <c r="E615" s="11" t="str">
        <f t="shared" si="27"/>
        <v>E6_3_5_2</v>
      </c>
      <c r="F615" s="11" t="s">
        <v>14772</v>
      </c>
      <c r="G615" s="11" t="s">
        <v>14773</v>
      </c>
      <c r="H615" s="11" t="s">
        <v>14774</v>
      </c>
      <c r="I615" s="11" t="s">
        <v>14775</v>
      </c>
      <c r="J615" s="61" t="str">
        <f t="shared" si="28"/>
        <v>(${Variables:E6_3_5_2_kcat} * E6_3_5_2 * C00002 * C00655 * C00014)/(${Variables:E6_3_5_2_km} + (E6_3_5_2 * C00002 * C00655 * C00014))</v>
      </c>
      <c r="K615" s="54" t="str">
        <f t="shared" si="29"/>
        <v>r614: C00002 + C00655 + C00014 -&gt; C00020 + C00013 + C00144 | (${Variables:E6_3_5_2_kcat} * E6_3_5_2 * C00002 * C00655 * C00014)/(${Variables:E6_3_5_2_km} + (E6_3_5_2 * C00002 * C00655 * C00014))</v>
      </c>
    </row>
    <row r="616" spans="1:11" ht="43.5">
      <c r="A616" s="11" t="s">
        <v>4360</v>
      </c>
      <c r="B616" s="11" t="s">
        <v>4361</v>
      </c>
      <c r="C616" s="11" t="s">
        <v>12636</v>
      </c>
      <c r="D616" s="60">
        <v>615</v>
      </c>
      <c r="E616" s="11" t="str">
        <f t="shared" si="27"/>
        <v>E6_3_5_2</v>
      </c>
      <c r="F616" s="11" t="s">
        <v>14776</v>
      </c>
      <c r="G616" s="11" t="s">
        <v>14777</v>
      </c>
      <c r="H616" s="11" t="s">
        <v>14778</v>
      </c>
      <c r="I616" s="11" t="s">
        <v>14779</v>
      </c>
      <c r="J616" s="61" t="str">
        <f t="shared" si="28"/>
        <v>(${Variables:E6_3_5_2_kcat} * E6_3_5_2 * C00002 * C00655 * C00064 * C00001)/(${Variables:E6_3_5_2_km} + (E6_3_5_2 * C00002 * C00655 * C00064 * C00001))</v>
      </c>
      <c r="K616" s="54" t="str">
        <f t="shared" si="29"/>
        <v>r615: C00002 + C00655 + C00064 + C00001 -&gt; C00020 + C00013 + C00144 + C00025 | (${Variables:E6_3_5_2_kcat} * E6_3_5_2 * C00002 * C00655 * C00064 * C00001)/(${Variables:E6_3_5_2_km} + (E6_3_5_2 * C00002 * C00655 * C00064 * C00001))</v>
      </c>
    </row>
    <row r="617" spans="1:11" ht="43.5">
      <c r="A617" s="11" t="s">
        <v>4360</v>
      </c>
      <c r="B617" s="11" t="s">
        <v>4361</v>
      </c>
      <c r="C617" s="11" t="s">
        <v>12636</v>
      </c>
      <c r="D617" s="60">
        <v>616</v>
      </c>
      <c r="E617" s="11" t="str">
        <f t="shared" si="27"/>
        <v>E6_3_5_2</v>
      </c>
      <c r="F617" s="11" t="s">
        <v>14780</v>
      </c>
      <c r="G617" s="11" t="s">
        <v>14781</v>
      </c>
      <c r="H617" s="11" t="s">
        <v>14782</v>
      </c>
      <c r="I617" s="11" t="s">
        <v>14783</v>
      </c>
      <c r="J617" s="61" t="str">
        <f t="shared" si="28"/>
        <v>(${Variables:E6_3_5_2_kcat} * E6_3_5_2 * C16618 * C00002 * C00064 * C00001)/(${Variables:E6_3_5_2_km} + (E6_3_5_2 * C16618 * C00002 * C00064 * C00001))</v>
      </c>
      <c r="K617" s="54" t="str">
        <f t="shared" si="29"/>
        <v>r616: C16618 + C00002 + C00064 + C00001 -&gt; C16619 + C00020 + C00013 + C00025 | (${Variables:E6_3_5_2_kcat} * E6_3_5_2 * C16618 * C00002 * C00064 * C00001)/(${Variables:E6_3_5_2_km} + (E6_3_5_2 * C16618 * C00002 * C00064 * C00001))</v>
      </c>
    </row>
    <row r="618" spans="1:11" ht="43.5">
      <c r="A618" s="11" t="s">
        <v>4424</v>
      </c>
      <c r="B618" s="11" t="s">
        <v>4425</v>
      </c>
      <c r="C618" s="11" t="s">
        <v>12638</v>
      </c>
      <c r="D618" s="60">
        <v>617</v>
      </c>
      <c r="E618" s="11" t="str">
        <f t="shared" si="27"/>
        <v>E6_3_1_5</v>
      </c>
      <c r="F618" s="11" t="s">
        <v>14784</v>
      </c>
      <c r="G618" s="11" t="s">
        <v>14785</v>
      </c>
      <c r="H618" s="11" t="s">
        <v>14786</v>
      </c>
      <c r="I618" s="11" t="s">
        <v>14787</v>
      </c>
      <c r="J618" s="61" t="str">
        <f t="shared" si="28"/>
        <v>(${Variables:E6_3_1_5_kcat} * E6_3_1_5 * C00002 * C00857 * C00014)/(${Variables:E6_3_1_5_km} + (E6_3_1_5 * C00002 * C00857 * C00014))</v>
      </c>
      <c r="K618" s="54" t="str">
        <f t="shared" si="29"/>
        <v>r617: C00002 + C00857 + C00014 -&gt; C00020 + C00013 + C00003 | (${Variables:E6_3_1_5_kcat} * E6_3_1_5 * C00002 * C00857 * C00014)/(${Variables:E6_3_1_5_km} + (E6_3_1_5 * C00002 * C00857 * C00014))</v>
      </c>
    </row>
    <row r="619" spans="1:11" ht="29">
      <c r="A619" s="11" t="s">
        <v>4441</v>
      </c>
      <c r="B619" s="11" t="s">
        <v>4442</v>
      </c>
      <c r="C619" s="11" t="s">
        <v>12639</v>
      </c>
      <c r="D619" s="60">
        <v>618</v>
      </c>
      <c r="E619" s="11" t="str">
        <f t="shared" si="27"/>
        <v>E3_5_99_6</v>
      </c>
      <c r="F619" s="11" t="s">
        <v>14788</v>
      </c>
      <c r="G619" s="11" t="s">
        <v>14789</v>
      </c>
      <c r="H619" s="11" t="s">
        <v>14790</v>
      </c>
      <c r="I619" s="11" t="s">
        <v>14791</v>
      </c>
      <c r="J619" s="61" t="str">
        <f t="shared" si="28"/>
        <v>(${Variables:E3_5_99_6_kcat} * E3_5_99_6 * C00352 * C00001)/(${Variables:E3_5_99_6_km} + (E3_5_99_6 * C00352 * C00001))</v>
      </c>
      <c r="K619" s="54" t="str">
        <f t="shared" si="29"/>
        <v>r618: C00352 + C00001 -&gt; C00085 + C00014 | (${Variables:E3_5_99_6_kcat} * E3_5_99_6 * C00352 * C00001)/(${Variables:E3_5_99_6_km} + (E3_5_99_6 * C00352 * C00001))</v>
      </c>
    </row>
    <row r="620" spans="1:11" ht="29">
      <c r="A620" s="11" t="s">
        <v>4463</v>
      </c>
      <c r="B620" s="11" t="s">
        <v>4464</v>
      </c>
      <c r="C620" s="11" t="s">
        <v>12641</v>
      </c>
      <c r="D620" s="60">
        <v>619</v>
      </c>
      <c r="E620" s="11" t="str">
        <f t="shared" si="27"/>
        <v>E1_3_3_3</v>
      </c>
      <c r="F620" s="11" t="s">
        <v>14792</v>
      </c>
      <c r="G620" s="11" t="s">
        <v>14793</v>
      </c>
      <c r="H620" s="11" t="s">
        <v>14794</v>
      </c>
      <c r="I620" s="11" t="s">
        <v>14795</v>
      </c>
      <c r="J620" s="61" t="str">
        <f t="shared" si="28"/>
        <v>(${Variables:E1_3_3_3_kcat} * E1_3_3_3 * C03263 * C00007)/(${Variables:E1_3_3_3_km} + (E1_3_3_3 * C03263 * C00007))</v>
      </c>
      <c r="K620" s="54" t="str">
        <f t="shared" si="29"/>
        <v>r619: C03263 + C00007 -&gt; C01079 + C00011 + C00001 | (${Variables:E1_3_3_3_kcat} * E1_3_3_3 * C03263 * C00007)/(${Variables:E1_3_3_3_km} + (E1_3_3_3 * C03263 * C00007))</v>
      </c>
    </row>
    <row r="621" spans="1:11" ht="29">
      <c r="A621" s="11" t="s">
        <v>4466</v>
      </c>
      <c r="B621" s="11" t="s">
        <v>4467</v>
      </c>
      <c r="C621" s="11" t="s">
        <v>12642</v>
      </c>
      <c r="D621" s="60">
        <v>620</v>
      </c>
      <c r="E621" s="11" t="str">
        <f t="shared" si="27"/>
        <v>E3_1_2_14</v>
      </c>
      <c r="F621" s="11" t="s">
        <v>14796</v>
      </c>
      <c r="G621" s="11" t="s">
        <v>14797</v>
      </c>
      <c r="H621" s="11" t="s">
        <v>14798</v>
      </c>
      <c r="I621" s="11" t="s">
        <v>14799</v>
      </c>
      <c r="J621" s="61" t="str">
        <f t="shared" si="28"/>
        <v>(${Variables:E3_1_2_14_kcat} * E3_1_2_14 * C01203 * C00001)/(${Variables:E3_1_2_14_km} + (E3_1_2_14 * C01203 * C00001))</v>
      </c>
      <c r="K621" s="54" t="str">
        <f t="shared" si="29"/>
        <v>r620: C01203 + C00001 -&gt; C00229 + C00712 | (${Variables:E3_1_2_14_kcat} * E3_1_2_14 * C01203 * C00001)/(${Variables:E3_1_2_14_km} + (E3_1_2_14 * C01203 * C00001))</v>
      </c>
    </row>
    <row r="622" spans="1:11" ht="29">
      <c r="A622" s="11" t="s">
        <v>4466</v>
      </c>
      <c r="B622" s="11" t="s">
        <v>4467</v>
      </c>
      <c r="C622" s="11" t="s">
        <v>12642</v>
      </c>
      <c r="D622" s="60">
        <v>621</v>
      </c>
      <c r="E622" s="11" t="str">
        <f t="shared" si="27"/>
        <v>E3_1_2_14</v>
      </c>
      <c r="F622" s="11" t="s">
        <v>14800</v>
      </c>
      <c r="G622" s="11" t="s">
        <v>14801</v>
      </c>
      <c r="H622" s="11" t="s">
        <v>14802</v>
      </c>
      <c r="I622" s="11" t="s">
        <v>14803</v>
      </c>
      <c r="J622" s="61" t="str">
        <f t="shared" si="28"/>
        <v>(${Variables:E3_1_2_14_kcat} * E3_1_2_14 * C05764 * C00001)/(${Variables:E3_1_2_14_km} + (E3_1_2_14 * C05764 * C00001))</v>
      </c>
      <c r="K622" s="54" t="str">
        <f t="shared" si="29"/>
        <v>r621: C05764 + C00001 -&gt; C00229 + C00249 | (${Variables:E3_1_2_14_kcat} * E3_1_2_14 * C05764 * C00001)/(${Variables:E3_1_2_14_km} + (E3_1_2_14 * C05764 * C00001))</v>
      </c>
    </row>
    <row r="623" spans="1:11" ht="29">
      <c r="A623" s="11" t="s">
        <v>4466</v>
      </c>
      <c r="B623" s="11" t="s">
        <v>4467</v>
      </c>
      <c r="C623" s="11" t="s">
        <v>12642</v>
      </c>
      <c r="D623" s="60">
        <v>622</v>
      </c>
      <c r="E623" s="11" t="str">
        <f t="shared" si="27"/>
        <v>E3_1_2_14</v>
      </c>
      <c r="F623" s="11" t="s">
        <v>14804</v>
      </c>
      <c r="G623" s="11" t="s">
        <v>14805</v>
      </c>
      <c r="H623" s="11" t="s">
        <v>14806</v>
      </c>
      <c r="I623" s="11" t="s">
        <v>14807</v>
      </c>
      <c r="J623" s="61" t="str">
        <f t="shared" si="28"/>
        <v>(${Variables:E3_1_2_14_kcat} * E3_1_2_14 * C05223 * C00001)/(${Variables:E3_1_2_14_km} + (E3_1_2_14 * C05223 * C00001))</v>
      </c>
      <c r="K623" s="54" t="str">
        <f t="shared" si="29"/>
        <v>r622: C05223 + C00001 -&gt; C00229 + C02679 | (${Variables:E3_1_2_14_kcat} * E3_1_2_14 * C05223 * C00001)/(${Variables:E3_1_2_14_km} + (E3_1_2_14 * C05223 * C00001))</v>
      </c>
    </row>
    <row r="624" spans="1:11" ht="29">
      <c r="A624" s="11" t="s">
        <v>4466</v>
      </c>
      <c r="B624" s="11" t="s">
        <v>4467</v>
      </c>
      <c r="C624" s="11" t="s">
        <v>12642</v>
      </c>
      <c r="D624" s="60">
        <v>623</v>
      </c>
      <c r="E624" s="11" t="str">
        <f t="shared" si="27"/>
        <v>E3_1_2_14</v>
      </c>
      <c r="F624" s="11" t="s">
        <v>14808</v>
      </c>
      <c r="G624" s="11" t="s">
        <v>14809</v>
      </c>
      <c r="H624" s="11" t="s">
        <v>14810</v>
      </c>
      <c r="I624" s="11" t="s">
        <v>14811</v>
      </c>
      <c r="J624" s="61" t="str">
        <f t="shared" si="28"/>
        <v>(${Variables:E3_1_2_14_kcat} * E3_1_2_14 * C05761 * C00001)/(${Variables:E3_1_2_14_km} + (E3_1_2_14 * C05761 * C00001))</v>
      </c>
      <c r="K624" s="54" t="str">
        <f t="shared" si="29"/>
        <v>r623: C05761 + C00001 -&gt; C00229 + C06424 | (${Variables:E3_1_2_14_kcat} * E3_1_2_14 * C05761 * C00001)/(${Variables:E3_1_2_14_km} + (E3_1_2_14 * C05761 * C00001))</v>
      </c>
    </row>
    <row r="625" spans="1:11" ht="29">
      <c r="A625" s="11" t="s">
        <v>4466</v>
      </c>
      <c r="B625" s="11" t="s">
        <v>4467</v>
      </c>
      <c r="C625" s="11" t="s">
        <v>12642</v>
      </c>
      <c r="D625" s="60">
        <v>624</v>
      </c>
      <c r="E625" s="11" t="str">
        <f t="shared" si="27"/>
        <v>E3_1_2_14</v>
      </c>
      <c r="F625" s="11" t="s">
        <v>14812</v>
      </c>
      <c r="G625" s="11" t="s">
        <v>14813</v>
      </c>
      <c r="H625" s="11" t="s">
        <v>14814</v>
      </c>
      <c r="I625" s="11" t="s">
        <v>14815</v>
      </c>
      <c r="J625" s="61" t="str">
        <f t="shared" si="28"/>
        <v>(${Variables:E3_1_2_14_kcat} * E3_1_2_14 * C16520 * C00001)/(${Variables:E3_1_2_14_km} + (E3_1_2_14 * C16520 * C00001))</v>
      </c>
      <c r="K625" s="54" t="str">
        <f t="shared" si="29"/>
        <v>r624: C16520 + C00001 -&gt; C00229 + C08362 | (${Variables:E3_1_2_14_kcat} * E3_1_2_14 * C16520 * C00001)/(${Variables:E3_1_2_14_km} + (E3_1_2_14 * C16520 * C00001))</v>
      </c>
    </row>
    <row r="626" spans="1:11" ht="29">
      <c r="A626" s="11" t="s">
        <v>4466</v>
      </c>
      <c r="B626" s="11" t="s">
        <v>4467</v>
      </c>
      <c r="C626" s="11" t="s">
        <v>12642</v>
      </c>
      <c r="D626" s="60">
        <v>625</v>
      </c>
      <c r="E626" s="11" t="str">
        <f t="shared" si="27"/>
        <v>E3_1_2_14</v>
      </c>
      <c r="F626" s="11" t="s">
        <v>14816</v>
      </c>
      <c r="G626" s="11" t="s">
        <v>14817</v>
      </c>
      <c r="H626" s="11" t="s">
        <v>14818</v>
      </c>
      <c r="I626" s="11" t="s">
        <v>14819</v>
      </c>
      <c r="J626" s="61" t="str">
        <f t="shared" si="28"/>
        <v>(${Variables:E3_1_2_14_kcat} * E3_1_2_14 * C04088 * C00001)/(${Variables:E3_1_2_14_km} + (E3_1_2_14 * C04088 * C00001))</v>
      </c>
      <c r="K626" s="54" t="str">
        <f t="shared" si="29"/>
        <v>r625: C04088 + C00001 -&gt; C00229 + C01530 | (${Variables:E3_1_2_14_kcat} * E3_1_2_14 * C04088 * C00001)/(${Variables:E3_1_2_14_km} + (E3_1_2_14 * C04088 * C00001))</v>
      </c>
    </row>
    <row r="627" spans="1:11" ht="29">
      <c r="A627" s="11" t="s">
        <v>4466</v>
      </c>
      <c r="B627" s="11" t="s">
        <v>4467</v>
      </c>
      <c r="C627" s="11" t="s">
        <v>12642</v>
      </c>
      <c r="D627" s="60">
        <v>626</v>
      </c>
      <c r="E627" s="11" t="str">
        <f t="shared" si="27"/>
        <v>E3_1_2_14</v>
      </c>
      <c r="F627" s="11" t="s">
        <v>14820</v>
      </c>
      <c r="G627" s="11" t="s">
        <v>14821</v>
      </c>
      <c r="H627" s="11" t="s">
        <v>14822</v>
      </c>
      <c r="I627" s="11" t="s">
        <v>14823</v>
      </c>
      <c r="J627" s="61" t="str">
        <f t="shared" si="28"/>
        <v>(${Variables:E3_1_2_14_kcat} * E3_1_2_14 * C20683 * C00001)/(${Variables:E3_1_2_14_km} + (E3_1_2_14 * C20683 * C00001))</v>
      </c>
      <c r="K627" s="54" t="str">
        <f t="shared" si="29"/>
        <v>r626: C20683 + C00001 -&gt; C00229 + C00638 | (${Variables:E3_1_2_14_kcat} * E3_1_2_14 * C20683 * C00001)/(${Variables:E3_1_2_14_km} + (E3_1_2_14 * C20683 * C00001))</v>
      </c>
    </row>
    <row r="628" spans="1:11" ht="29">
      <c r="A628" s="11" t="s">
        <v>4481</v>
      </c>
      <c r="B628" s="11" t="s">
        <v>4482</v>
      </c>
      <c r="C628" s="11" t="s">
        <v>12643</v>
      </c>
      <c r="D628" s="60">
        <v>627</v>
      </c>
      <c r="E628" s="11" t="str">
        <f t="shared" si="27"/>
        <v>E3_1_3_25</v>
      </c>
      <c r="F628" s="11" t="s">
        <v>14824</v>
      </c>
      <c r="G628" s="11" t="s">
        <v>14825</v>
      </c>
      <c r="H628" s="11" t="s">
        <v>14826</v>
      </c>
      <c r="I628" s="11" t="s">
        <v>14827</v>
      </c>
      <c r="J628" s="61" t="str">
        <f t="shared" si="28"/>
        <v>(${Variables:E3_1_3_25_kcat} * E3_1_3_25 * C15585 * C00001)/(${Variables:E3_1_3_25_km} + (E3_1_3_25 * C15585 * C00001))</v>
      </c>
      <c r="K628" s="54" t="str">
        <f t="shared" si="29"/>
        <v>r627: C15585 + C00001 -&gt; C00137 + C00009 | (${Variables:E3_1_3_25_kcat} * E3_1_3_25 * C15585 * C00001)/(${Variables:E3_1_3_25_km} + (E3_1_3_25 * C15585 * C00001))</v>
      </c>
    </row>
    <row r="629" spans="1:11" ht="29">
      <c r="A629" s="11" t="s">
        <v>4481</v>
      </c>
      <c r="B629" s="11" t="s">
        <v>4482</v>
      </c>
      <c r="C629" s="11" t="s">
        <v>12643</v>
      </c>
      <c r="D629" s="60">
        <v>628</v>
      </c>
      <c r="E629" s="11" t="str">
        <f t="shared" si="27"/>
        <v>E3_1_3_25</v>
      </c>
      <c r="F629" s="11" t="s">
        <v>14828</v>
      </c>
      <c r="G629" s="11" t="s">
        <v>14829</v>
      </c>
      <c r="H629" s="11" t="s">
        <v>14826</v>
      </c>
      <c r="I629" s="11" t="s">
        <v>14827</v>
      </c>
      <c r="J629" s="61" t="str">
        <f t="shared" si="28"/>
        <v>(${Variables:E3_1_3_25_kcat} * E3_1_3_25 * C01177 * C00001)/(${Variables:E3_1_3_25_km} + (E3_1_3_25 * C01177 * C00001))</v>
      </c>
      <c r="K629" s="54" t="str">
        <f t="shared" si="29"/>
        <v>r628: C01177 + C00001 -&gt; C00137 + C00009 | (${Variables:E3_1_3_25_kcat} * E3_1_3_25 * C01177 * C00001)/(${Variables:E3_1_3_25_km} + (E3_1_3_25 * C01177 * C00001))</v>
      </c>
    </row>
    <row r="630" spans="1:11" ht="29">
      <c r="A630" s="11" t="s">
        <v>4481</v>
      </c>
      <c r="B630" s="11" t="s">
        <v>4482</v>
      </c>
      <c r="C630" s="11" t="s">
        <v>12643</v>
      </c>
      <c r="D630" s="60">
        <v>629</v>
      </c>
      <c r="E630" s="11" t="str">
        <f t="shared" si="27"/>
        <v>E3_1_3_25</v>
      </c>
      <c r="F630" s="11" t="s">
        <v>14830</v>
      </c>
      <c r="G630" s="11" t="s">
        <v>14831</v>
      </c>
      <c r="H630" s="11" t="s">
        <v>14826</v>
      </c>
      <c r="I630" s="11" t="s">
        <v>14827</v>
      </c>
      <c r="J630" s="61" t="str">
        <f t="shared" si="28"/>
        <v>(${Variables:E3_1_3_25_kcat} * E3_1_3_25 * C03546 * C00001)/(${Variables:E3_1_3_25_km} + (E3_1_3_25 * C03546 * C00001))</v>
      </c>
      <c r="K630" s="54" t="str">
        <f t="shared" si="29"/>
        <v>r629: C03546 + C00001 -&gt; C00137 + C00009 | (${Variables:E3_1_3_25_kcat} * E3_1_3_25 * C03546 * C00001)/(${Variables:E3_1_3_25_km} + (E3_1_3_25 * C03546 * C00001))</v>
      </c>
    </row>
    <row r="631" spans="1:11" ht="29">
      <c r="A631" s="11" t="s">
        <v>4481</v>
      </c>
      <c r="B631" s="11" t="s">
        <v>4482</v>
      </c>
      <c r="C631" s="11" t="s">
        <v>12643</v>
      </c>
      <c r="D631" s="60">
        <v>630</v>
      </c>
      <c r="E631" s="11" t="str">
        <f t="shared" si="27"/>
        <v>E3_1_3_25</v>
      </c>
      <c r="F631" s="11" t="s">
        <v>14832</v>
      </c>
      <c r="G631" s="11" t="s">
        <v>14833</v>
      </c>
      <c r="H631" s="11" t="s">
        <v>14826</v>
      </c>
      <c r="I631" s="11" t="s">
        <v>14827</v>
      </c>
      <c r="J631" s="61" t="str">
        <f t="shared" si="28"/>
        <v>(${Variables:E3_1_3_25_kcat} * E3_1_3_25 * C04006 * C00001)/(${Variables:E3_1_3_25_km} + (E3_1_3_25 * C04006 * C00001))</v>
      </c>
      <c r="K631" s="54" t="str">
        <f t="shared" si="29"/>
        <v>r630: C04006 + C00001 -&gt; C00137 + C00009 | (${Variables:E3_1_3_25_kcat} * E3_1_3_25 * C04006 * C00001)/(${Variables:E3_1_3_25_km} + (E3_1_3_25 * C04006 * C00001))</v>
      </c>
    </row>
    <row r="632" spans="1:11" ht="29">
      <c r="A632" s="11" t="s">
        <v>4518</v>
      </c>
      <c r="B632" s="11" t="s">
        <v>4519</v>
      </c>
      <c r="C632" s="11" t="s">
        <v>12645</v>
      </c>
      <c r="D632" s="60">
        <v>631</v>
      </c>
      <c r="E632" s="11" t="str">
        <f t="shared" si="27"/>
        <v>E4_1_1_5</v>
      </c>
      <c r="F632" s="11" t="s">
        <v>7246</v>
      </c>
      <c r="G632" s="11" t="s">
        <v>7246</v>
      </c>
      <c r="H632" s="11" t="s">
        <v>14834</v>
      </c>
      <c r="I632" s="11" t="s">
        <v>14835</v>
      </c>
      <c r="J632" s="61" t="str">
        <f t="shared" si="28"/>
        <v>(${Variables:E4_1_1_5_kcat} * E4_1_1_5 * C06010)/(${Variables:E4_1_1_5_km} + (E4_1_1_5 * C06010))</v>
      </c>
      <c r="K632" s="54" t="str">
        <f t="shared" si="29"/>
        <v>r631: C06010 -&gt; C00810 + C00011 | (${Variables:E4_1_1_5_kcat} * E4_1_1_5 * C06010)/(${Variables:E4_1_1_5_km} + (E4_1_1_5 * C06010))</v>
      </c>
    </row>
    <row r="633" spans="1:11" ht="29">
      <c r="A633" s="11" t="s">
        <v>4525</v>
      </c>
      <c r="B633" s="11" t="s">
        <v>4526</v>
      </c>
      <c r="C633" s="11" t="s">
        <v>12646</v>
      </c>
      <c r="D633" s="60">
        <v>632</v>
      </c>
      <c r="E633" s="11" t="str">
        <f t="shared" si="27"/>
        <v>E1_3_1_98</v>
      </c>
      <c r="F633" s="11" t="s">
        <v>14836</v>
      </c>
      <c r="G633" s="11" t="s">
        <v>14837</v>
      </c>
      <c r="H633" s="11" t="s">
        <v>14838</v>
      </c>
      <c r="I633" s="11" t="s">
        <v>14839</v>
      </c>
      <c r="J633" s="61" t="str">
        <f t="shared" si="28"/>
        <v>(${Variables:E1_3_1_98_kcat} * E1_3_1_98 * C01050 * C00006)/(${Variables:E1_3_1_98_km} + (E1_3_1_98 * C01050 * C00006))</v>
      </c>
      <c r="K633" s="54" t="str">
        <f t="shared" si="29"/>
        <v>r632: C01050 + C00006 -&gt; C04631 + C00005 + C00080 | (${Variables:E1_3_1_98_kcat} * E1_3_1_98 * C01050 * C00006)/(${Variables:E1_3_1_98_km} + (E1_3_1_98 * C01050 * C00006))</v>
      </c>
    </row>
    <row r="634" spans="1:11" ht="29">
      <c r="A634" s="11" t="s">
        <v>4525</v>
      </c>
      <c r="B634" s="11" t="s">
        <v>4526</v>
      </c>
      <c r="C634" s="11" t="s">
        <v>12646</v>
      </c>
      <c r="D634" s="60">
        <v>633</v>
      </c>
      <c r="E634" s="11" t="str">
        <f t="shared" si="27"/>
        <v>E1_3_1_98</v>
      </c>
      <c r="F634" s="11" t="s">
        <v>14840</v>
      </c>
      <c r="G634" s="11" t="s">
        <v>14841</v>
      </c>
      <c r="H634" s="11" t="s">
        <v>14842</v>
      </c>
      <c r="I634" s="11" t="s">
        <v>14843</v>
      </c>
      <c r="J634" s="61" t="str">
        <f t="shared" si="28"/>
        <v>(${Variables:E1_3_1_98_kcat} * E1_3_1_98 * C01050 * C00003)/(${Variables:E1_3_1_98_km} + (E1_3_1_98 * C01050 * C00003))</v>
      </c>
      <c r="K634" s="54" t="str">
        <f t="shared" si="29"/>
        <v>r633: C01050 + C00003 -&gt; C04631 + C00004 + C00080 | (${Variables:E1_3_1_98_kcat} * E1_3_1_98 * C01050 * C00003)/(${Variables:E1_3_1_98_km} + (E1_3_1_98 * C01050 * C00003))</v>
      </c>
    </row>
    <row r="635" spans="1:11" ht="43.5">
      <c r="A635" s="11" t="s">
        <v>4547</v>
      </c>
      <c r="B635" s="11" t="s">
        <v>4548</v>
      </c>
      <c r="C635" s="11" t="s">
        <v>12647</v>
      </c>
      <c r="D635" s="60">
        <v>634</v>
      </c>
      <c r="E635" s="11" t="str">
        <f t="shared" si="27"/>
        <v>E6_1_1_7</v>
      </c>
      <c r="F635" s="11" t="s">
        <v>14844</v>
      </c>
      <c r="G635" s="11" t="s">
        <v>14845</v>
      </c>
      <c r="H635" s="11" t="s">
        <v>14846</v>
      </c>
      <c r="I635" s="11" t="s">
        <v>14847</v>
      </c>
      <c r="J635" s="61" t="str">
        <f t="shared" si="28"/>
        <v>(${Variables:E6_1_1_7_kcat} * E6_1_1_7 * C00002 * C00041 * C01635)/(${Variables:E6_1_1_7_km} + (E6_1_1_7 * C00002 * C00041 * C01635))</v>
      </c>
      <c r="K635" s="54" t="str">
        <f t="shared" si="29"/>
        <v>r634: C00002 + C00041 + C01635 -&gt; C00020 + C00013 + C00886 | (${Variables:E6_1_1_7_kcat} * E6_1_1_7 * C00002 * C00041 * C01635)/(${Variables:E6_1_1_7_km} + (E6_1_1_7 * C00002 * C00041 * C01635))</v>
      </c>
    </row>
    <row r="636" spans="1:11" ht="29">
      <c r="A636" s="11" t="s">
        <v>4551</v>
      </c>
      <c r="B636" s="11" t="s">
        <v>4552</v>
      </c>
      <c r="C636" s="11" t="s">
        <v>12648</v>
      </c>
      <c r="D636" s="60">
        <v>635</v>
      </c>
      <c r="E636" s="11" t="str">
        <f t="shared" si="27"/>
        <v>E3_2_1_1</v>
      </c>
      <c r="F636" s="11" t="s">
        <v>14848</v>
      </c>
      <c r="G636" s="11" t="s">
        <v>14849</v>
      </c>
      <c r="H636" s="11" t="s">
        <v>14850</v>
      </c>
      <c r="I636" s="11" t="s">
        <v>14851</v>
      </c>
      <c r="J636" s="61" t="str">
        <f t="shared" si="28"/>
        <v>(${Variables:E3_2_1_1_kcat} * E3_2_1_1 * C00369 * C00001)/(${Variables:E3_2_1_1_km} + (E3_2_1_1 * C00369 * C00001))</v>
      </c>
      <c r="K636" s="54" t="str">
        <f t="shared" si="29"/>
        <v>r635: C00369 + C00001 -&gt; C00721 + C00369 | (${Variables:E3_2_1_1_kcat} * E3_2_1_1 * C00369 * C00001)/(${Variables:E3_2_1_1_km} + (E3_2_1_1 * C00369 * C00001))</v>
      </c>
    </row>
    <row r="637" spans="1:11" ht="29">
      <c r="A637" s="11" t="s">
        <v>4551</v>
      </c>
      <c r="B637" s="11" t="s">
        <v>4552</v>
      </c>
      <c r="C637" s="11" t="s">
        <v>12648</v>
      </c>
      <c r="D637" s="60">
        <v>636</v>
      </c>
      <c r="E637" s="11" t="str">
        <f t="shared" si="27"/>
        <v>E3_2_1_1</v>
      </c>
      <c r="F637" s="11" t="s">
        <v>9571</v>
      </c>
      <c r="G637" s="11" t="s">
        <v>9571</v>
      </c>
      <c r="H637" s="11" t="s">
        <v>14852</v>
      </c>
      <c r="I637" s="11" t="s">
        <v>14853</v>
      </c>
      <c r="J637" s="61" t="str">
        <f t="shared" si="28"/>
        <v>(${Variables:E3_2_1_1_kcat} * E3_2_1_1 * C00369)/(${Variables:E3_2_1_1_km} + (E3_2_1_1 * C00369))</v>
      </c>
      <c r="K637" s="54" t="str">
        <f t="shared" si="29"/>
        <v>r636: C00369 -&gt; C00721 + C00208 | (${Variables:E3_2_1_1_kcat} * E3_2_1_1 * C00369)/(${Variables:E3_2_1_1_km} + (E3_2_1_1 * C00369))</v>
      </c>
    </row>
    <row r="638" spans="1:11" ht="29">
      <c r="A638" s="11" t="s">
        <v>4551</v>
      </c>
      <c r="B638" s="11" t="s">
        <v>4552</v>
      </c>
      <c r="C638" s="11" t="s">
        <v>12648</v>
      </c>
      <c r="D638" s="60">
        <v>637</v>
      </c>
      <c r="E638" s="11" t="str">
        <f t="shared" si="27"/>
        <v>E3_2_1_1</v>
      </c>
      <c r="F638" s="11" t="s">
        <v>14854</v>
      </c>
      <c r="G638" s="11" t="s">
        <v>14855</v>
      </c>
      <c r="H638" s="11" t="s">
        <v>14856</v>
      </c>
      <c r="I638" s="11" t="s">
        <v>14857</v>
      </c>
      <c r="J638" s="61" t="str">
        <f t="shared" si="28"/>
        <v>(${Variables:E3_2_1_1_kcat} * E3_2_1_1 * G10545 * C00001)/(${Variables:E3_2_1_1_km} + (E3_2_1_1 * G10545 * C00001))</v>
      </c>
      <c r="K638" s="54" t="str">
        <f t="shared" si="29"/>
        <v>r637: G10545 + C00001 -&gt; G10545 + G10545 | (${Variables:E3_2_1_1_kcat} * E3_2_1_1 * G10545 * C00001)/(${Variables:E3_2_1_1_km} + (E3_2_1_1 * G10545 * C00001))</v>
      </c>
    </row>
    <row r="639" spans="1:11" ht="29">
      <c r="A639" s="11" t="s">
        <v>4551</v>
      </c>
      <c r="B639" s="11" t="s">
        <v>4552</v>
      </c>
      <c r="C639" s="11" t="s">
        <v>12648</v>
      </c>
      <c r="D639" s="60">
        <v>638</v>
      </c>
      <c r="E639" s="11" t="str">
        <f t="shared" si="27"/>
        <v>E3_2_1_1</v>
      </c>
      <c r="F639" s="11" t="s">
        <v>14858</v>
      </c>
      <c r="G639" s="11" t="s">
        <v>14859</v>
      </c>
      <c r="H639" s="11" t="s">
        <v>8496</v>
      </c>
      <c r="I639" s="11" t="s">
        <v>8496</v>
      </c>
      <c r="J639" s="61" t="str">
        <f t="shared" si="28"/>
        <v>(${Variables:E3_2_1_1_kcat} * E3_2_1_1 * C01935 * C00001)/(${Variables:E3_2_1_1_km} + (E3_2_1_1 * C01935 * C00001))</v>
      </c>
      <c r="K639" s="54" t="str">
        <f t="shared" si="29"/>
        <v>r638: C01935 + C00001 -&gt; C00208 | (${Variables:E3_2_1_1_kcat} * E3_2_1_1 * C01935 * C00001)/(${Variables:E3_2_1_1_km} + (E3_2_1_1 * C01935 * C00001))</v>
      </c>
    </row>
    <row r="640" spans="1:11" ht="29">
      <c r="A640" s="11" t="s">
        <v>4564</v>
      </c>
      <c r="B640" s="11" t="s">
        <v>4565</v>
      </c>
      <c r="C640" s="11" t="s">
        <v>12650</v>
      </c>
      <c r="D640" s="60">
        <v>639</v>
      </c>
      <c r="E640" s="11" t="str">
        <f t="shared" si="27"/>
        <v>E4_2_1_10</v>
      </c>
      <c r="F640" s="11" t="s">
        <v>9583</v>
      </c>
      <c r="G640" s="11" t="s">
        <v>9583</v>
      </c>
      <c r="H640" s="11" t="s">
        <v>14860</v>
      </c>
      <c r="I640" s="11" t="s">
        <v>14861</v>
      </c>
      <c r="J640" s="61" t="str">
        <f t="shared" si="28"/>
        <v>(${Variables:E4_2_1_10_kcat} * E4_2_1_10 * C00944)/(${Variables:E4_2_1_10_km} + (E4_2_1_10 * C00944))</v>
      </c>
      <c r="K640" s="54" t="str">
        <f t="shared" si="29"/>
        <v>r639: C00944 -&gt; C02637 + C00001 | (${Variables:E4_2_1_10_kcat} * E4_2_1_10 * C00944)/(${Variables:E4_2_1_10_km} + (E4_2_1_10 * C00944))</v>
      </c>
    </row>
    <row r="641" spans="1:11" ht="29">
      <c r="A641" s="11" t="s">
        <v>4568</v>
      </c>
      <c r="B641" s="11" t="s">
        <v>4569</v>
      </c>
      <c r="C641" s="11" t="s">
        <v>12651</v>
      </c>
      <c r="D641" s="60">
        <v>640</v>
      </c>
      <c r="E641" s="11" t="str">
        <f t="shared" si="27"/>
        <v>E1_1_1_25</v>
      </c>
      <c r="F641" s="11" t="s">
        <v>14862</v>
      </c>
      <c r="G641" s="11" t="s">
        <v>14863</v>
      </c>
      <c r="H641" s="11" t="s">
        <v>14864</v>
      </c>
      <c r="I641" s="11" t="s">
        <v>14865</v>
      </c>
      <c r="J641" s="61" t="str">
        <f t="shared" si="28"/>
        <v>(${Variables:E1_1_1_25_kcat} * E1_1_1_25 * C00493 * C00006)/(${Variables:E1_1_1_25_km} + (E1_1_1_25 * C00493 * C00006))</v>
      </c>
      <c r="K641" s="54" t="str">
        <f t="shared" si="29"/>
        <v>r640: C00493 + C00006 -&gt; C02637 + C00005 + C00080 | (${Variables:E1_1_1_25_kcat} * E1_1_1_25 * C00493 * C00006)/(${Variables:E1_1_1_25_km} + (E1_1_1_25 * C00493 * C00006))</v>
      </c>
    </row>
    <row r="642" spans="1:11" ht="29">
      <c r="A642" s="11" t="s">
        <v>4568</v>
      </c>
      <c r="B642" s="11" t="s">
        <v>4569</v>
      </c>
      <c r="C642" s="11" t="s">
        <v>12651</v>
      </c>
      <c r="D642" s="60">
        <v>641</v>
      </c>
      <c r="E642" s="11" t="str">
        <f t="shared" si="27"/>
        <v>E1_1_1_25</v>
      </c>
      <c r="F642" s="11" t="s">
        <v>14866</v>
      </c>
      <c r="G642" s="11" t="s">
        <v>14867</v>
      </c>
      <c r="H642" s="11" t="s">
        <v>14868</v>
      </c>
      <c r="I642" s="11" t="s">
        <v>14869</v>
      </c>
      <c r="J642" s="61" t="str">
        <f t="shared" si="28"/>
        <v>(${Variables:E1_1_1_25_kcat} * E1_1_1_25 * C02637 * C00006)/(${Variables:E1_1_1_25_km} + (E1_1_1_25 * C02637 * C00006))</v>
      </c>
      <c r="K642" s="54" t="str">
        <f t="shared" si="29"/>
        <v>r641: C02637 + C00006 -&gt; C22438 + C00005 + C00080 | (${Variables:E1_1_1_25_kcat} * E1_1_1_25 * C02637 * C00006)/(${Variables:E1_1_1_25_km} + (E1_1_1_25 * C02637 * C00006))</v>
      </c>
    </row>
    <row r="643" spans="1:11" ht="29">
      <c r="A643" s="11" t="s">
        <v>4571</v>
      </c>
      <c r="B643" s="11" t="s">
        <v>4572</v>
      </c>
      <c r="C643" s="11" t="s">
        <v>12652</v>
      </c>
      <c r="D643" s="60">
        <v>642</v>
      </c>
      <c r="E643" s="11" t="str">
        <f t="shared" ref="E643:E706" si="30">CONCATENATE("E",C643)</f>
        <v>E4_2_3_4</v>
      </c>
      <c r="F643" s="11" t="s">
        <v>9596</v>
      </c>
      <c r="G643" s="11" t="s">
        <v>9596</v>
      </c>
      <c r="H643" s="11" t="s">
        <v>14870</v>
      </c>
      <c r="I643" s="11" t="s">
        <v>14871</v>
      </c>
      <c r="J643" s="61" t="str">
        <f t="shared" ref="J643:J706" si="31">CONCATENATE("(${Variables:",E643,"_kcat","} * ",E643," * ",G643,")","/(${Variables:",E643,"_km","} + (",E643," * ",G643,"))")</f>
        <v>(${Variables:E4_2_3_4_kcat} * E4_2_3_4 * C04691)/(${Variables:E4_2_3_4_km} + (E4_2_3_4 * C04691))</v>
      </c>
      <c r="K643" s="54" t="str">
        <f t="shared" ref="K643:K706" si="32">CONCATENATE("r",D643,": ",F643," -&gt; ",H643," | ",J643)</f>
        <v>r642: C04691 -&gt; C00944 + C00009 | (${Variables:E4_2_3_4_kcat} * E4_2_3_4 * C04691)/(${Variables:E4_2_3_4_km} + (E4_2_3_4 * C04691))</v>
      </c>
    </row>
    <row r="644" spans="1:11" ht="29">
      <c r="A644" s="11" t="s">
        <v>4575</v>
      </c>
      <c r="B644" s="11" t="s">
        <v>4576</v>
      </c>
      <c r="C644" s="11" t="s">
        <v>12653</v>
      </c>
      <c r="D644" s="60">
        <v>643</v>
      </c>
      <c r="E644" s="11" t="str">
        <f t="shared" si="30"/>
        <v>E4_2_3_5</v>
      </c>
      <c r="F644" s="11" t="s">
        <v>9601</v>
      </c>
      <c r="G644" s="11" t="s">
        <v>9601</v>
      </c>
      <c r="H644" s="11" t="s">
        <v>14872</v>
      </c>
      <c r="I644" s="11" t="s">
        <v>14873</v>
      </c>
      <c r="J644" s="61" t="str">
        <f t="shared" si="31"/>
        <v>(${Variables:E4_2_3_5_kcat} * E4_2_3_5 * C01269)/(${Variables:E4_2_3_5_km} + (E4_2_3_5 * C01269))</v>
      </c>
      <c r="K644" s="54" t="str">
        <f t="shared" si="32"/>
        <v>r643: C01269 -&gt; C00251 + C00009 | (${Variables:E4_2_3_5_kcat} * E4_2_3_5 * C01269)/(${Variables:E4_2_3_5_km} + (E4_2_3_5 * C01269))</v>
      </c>
    </row>
    <row r="645" spans="1:11" ht="29">
      <c r="A645" s="11" t="s">
        <v>4579</v>
      </c>
      <c r="B645" s="11" t="s">
        <v>4580</v>
      </c>
      <c r="C645" s="11" t="s">
        <v>12654</v>
      </c>
      <c r="D645" s="60">
        <v>644</v>
      </c>
      <c r="E645" s="11" t="str">
        <f t="shared" si="30"/>
        <v>E1_3_1_12</v>
      </c>
      <c r="F645" s="11" t="s">
        <v>14874</v>
      </c>
      <c r="G645" s="11" t="s">
        <v>14875</v>
      </c>
      <c r="H645" s="11" t="s">
        <v>14876</v>
      </c>
      <c r="I645" s="11" t="s">
        <v>14877</v>
      </c>
      <c r="J645" s="61" t="str">
        <f t="shared" si="31"/>
        <v>(${Variables:E1_3_1_12_kcat} * E1_3_1_12 * C00254 * C00003)/(${Variables:E1_3_1_12_km} + (E1_3_1_12 * C00254 * C00003))</v>
      </c>
      <c r="K645" s="54" t="str">
        <f t="shared" si="32"/>
        <v>r644: C00254 + C00003 -&gt; C01179 + C00011 + C00004 + C00080 | (${Variables:E1_3_1_12_kcat} * E1_3_1_12 * C00254 * C00003)/(${Variables:E1_3_1_12_km} + (E1_3_1_12 * C00254 * C00003))</v>
      </c>
    </row>
    <row r="646" spans="1:11" ht="29">
      <c r="A646" s="11" t="s">
        <v>4579</v>
      </c>
      <c r="B646" s="11" t="s">
        <v>4580</v>
      </c>
      <c r="C646" s="11" t="s">
        <v>12655</v>
      </c>
      <c r="D646" s="60">
        <v>645</v>
      </c>
      <c r="E646" s="11" t="str">
        <f t="shared" si="30"/>
        <v>E1_3_1_43</v>
      </c>
      <c r="F646" s="11" t="s">
        <v>14878</v>
      </c>
      <c r="G646" s="11" t="s">
        <v>14879</v>
      </c>
      <c r="H646" s="11" t="s">
        <v>14880</v>
      </c>
      <c r="I646" s="11" t="s">
        <v>14881</v>
      </c>
      <c r="J646" s="61" t="str">
        <f t="shared" si="31"/>
        <v>(${Variables:E1_3_1_43_kcat} * E1_3_1_43 * C00826 * C00003)/(${Variables:E1_3_1_43_km} + (E1_3_1_43 * C00826 * C00003))</v>
      </c>
      <c r="K646" s="54" t="str">
        <f t="shared" si="32"/>
        <v>r645: C00826 + C00003 -&gt; C00082 + C00011 + C00004 + C00080 | (${Variables:E1_3_1_43_kcat} * E1_3_1_43 * C00826 * C00003)/(${Variables:E1_3_1_43_km} + (E1_3_1_43 * C00826 * C00003))</v>
      </c>
    </row>
    <row r="647" spans="1:11" ht="29">
      <c r="A647" s="11" t="s">
        <v>4586</v>
      </c>
      <c r="B647" s="11" t="s">
        <v>4587</v>
      </c>
      <c r="C647" s="11" t="s">
        <v>12656</v>
      </c>
      <c r="D647" s="60">
        <v>646</v>
      </c>
      <c r="E647" s="11" t="str">
        <f t="shared" si="30"/>
        <v>E2_5_1_19</v>
      </c>
      <c r="F647" s="11" t="s">
        <v>14882</v>
      </c>
      <c r="G647" s="11" t="s">
        <v>14883</v>
      </c>
      <c r="H647" s="11" t="s">
        <v>14884</v>
      </c>
      <c r="I647" s="11" t="s">
        <v>14885</v>
      </c>
      <c r="J647" s="61" t="str">
        <f t="shared" si="31"/>
        <v>(${Variables:E2_5_1_19_kcat} * E2_5_1_19 * C00074 * C03175)/(${Variables:E2_5_1_19_km} + (E2_5_1_19 * C00074 * C03175))</v>
      </c>
      <c r="K647" s="54" t="str">
        <f t="shared" si="32"/>
        <v>r646: C00074 + C03175 -&gt; C00009 + C01269 | (${Variables:E2_5_1_19_kcat} * E2_5_1_19 * C00074 * C03175)/(${Variables:E2_5_1_19_km} + (E2_5_1_19 * C00074 * C03175))</v>
      </c>
    </row>
    <row r="648" spans="1:11" ht="29">
      <c r="A648" s="11" t="s">
        <v>4590</v>
      </c>
      <c r="B648" s="11" t="s">
        <v>4591</v>
      </c>
      <c r="C648" s="11" t="s">
        <v>12447</v>
      </c>
      <c r="D648" s="60">
        <v>647</v>
      </c>
      <c r="E648" s="11" t="str">
        <f t="shared" si="30"/>
        <v>E2_7_1_71</v>
      </c>
      <c r="F648" s="11" t="s">
        <v>14886</v>
      </c>
      <c r="G648" s="11" t="s">
        <v>14887</v>
      </c>
      <c r="H648" s="11" t="s">
        <v>14888</v>
      </c>
      <c r="I648" s="11" t="s">
        <v>14889</v>
      </c>
      <c r="J648" s="61" t="str">
        <f t="shared" si="31"/>
        <v>(${Variables:E2_7_1_71_kcat} * E2_7_1_71 * C00002 * C00493)/(${Variables:E2_7_1_71_km} + (E2_7_1_71 * C00002 * C00493))</v>
      </c>
      <c r="K648" s="54" t="str">
        <f t="shared" si="32"/>
        <v>r647: C00002 + C00493 -&gt; C00008 + C03175 | (${Variables:E2_7_1_71_kcat} * E2_7_1_71 * C00002 * C00493)/(${Variables:E2_7_1_71_km} + (E2_7_1_71 * C00002 * C00493))</v>
      </c>
    </row>
    <row r="649" spans="1:11" ht="29">
      <c r="A649" s="11" t="s">
        <v>4594</v>
      </c>
      <c r="B649" s="11" t="s">
        <v>4595</v>
      </c>
      <c r="C649" s="11" t="s">
        <v>12448</v>
      </c>
      <c r="D649" s="60">
        <v>648</v>
      </c>
      <c r="E649" s="11" t="str">
        <f t="shared" si="30"/>
        <v>E4_2_1_51</v>
      </c>
      <c r="F649" s="11" t="s">
        <v>9626</v>
      </c>
      <c r="G649" s="11" t="s">
        <v>9626</v>
      </c>
      <c r="H649" s="11" t="s">
        <v>14890</v>
      </c>
      <c r="I649" s="11" t="s">
        <v>14891</v>
      </c>
      <c r="J649" s="61" t="str">
        <f t="shared" si="31"/>
        <v>(${Variables:E4_2_1_51_kcat} * E4_2_1_51 * C00254)/(${Variables:E4_2_1_51_km} + (E4_2_1_51 * C00254))</v>
      </c>
      <c r="K649" s="54" t="str">
        <f t="shared" si="32"/>
        <v>r648: C00254 -&gt; C00166 + C00001 + C00011 | (${Variables:E4_2_1_51_kcat} * E4_2_1_51 * C00254)/(${Variables:E4_2_1_51_km} + (E4_2_1_51 * C00254))</v>
      </c>
    </row>
    <row r="650" spans="1:11" ht="29">
      <c r="A650" s="11" t="s">
        <v>4594</v>
      </c>
      <c r="B650" s="11" t="s">
        <v>4595</v>
      </c>
      <c r="C650" s="11" t="s">
        <v>12448</v>
      </c>
      <c r="D650" s="60">
        <v>649</v>
      </c>
      <c r="E650" s="11" t="str">
        <f t="shared" si="30"/>
        <v>E4_2_1_51</v>
      </c>
      <c r="F650" s="11" t="s">
        <v>9629</v>
      </c>
      <c r="G650" s="11" t="s">
        <v>9629</v>
      </c>
      <c r="H650" s="11" t="s">
        <v>14892</v>
      </c>
      <c r="I650" s="11" t="s">
        <v>14893</v>
      </c>
      <c r="J650" s="61" t="str">
        <f t="shared" si="31"/>
        <v>(${Variables:E4_2_1_51_kcat} * E4_2_1_51 * C00826)/(${Variables:E4_2_1_51_km} + (E4_2_1_51 * C00826))</v>
      </c>
      <c r="K650" s="54" t="str">
        <f t="shared" si="32"/>
        <v>r649: C00826 -&gt; C00079 + C00001 + C00011 | (${Variables:E4_2_1_51_kcat} * E4_2_1_51 * C00826)/(${Variables:E4_2_1_51_km} + (E4_2_1_51 * C00826))</v>
      </c>
    </row>
    <row r="651" spans="1:11" ht="29">
      <c r="A651" s="11" t="s">
        <v>4608</v>
      </c>
      <c r="B651" s="11" t="s">
        <v>4609</v>
      </c>
      <c r="C651" s="11" t="s">
        <v>12596</v>
      </c>
      <c r="D651" s="60">
        <v>650</v>
      </c>
      <c r="E651" s="11" t="str">
        <f t="shared" si="30"/>
        <v>E2_4_1_212</v>
      </c>
      <c r="F651" s="11" t="s">
        <v>14894</v>
      </c>
      <c r="G651" s="11" t="s">
        <v>14895</v>
      </c>
      <c r="H651" s="11" t="s">
        <v>14896</v>
      </c>
      <c r="I651" s="11" t="s">
        <v>14897</v>
      </c>
      <c r="J651" s="61" t="str">
        <f t="shared" si="31"/>
        <v>(${Variables:E2_4_1_212_kcat} * E2_4_1_212 * C00043 * C00167)/(${Variables:E2_4_1_212_km} + (E2_4_1_212 * C00043 * C00167))</v>
      </c>
      <c r="K651" s="54" t="str">
        <f t="shared" si="32"/>
        <v>r650: C00043 + C00167 -&gt; C00518 + C00015 | (${Variables:E2_4_1_212_kcat} * E2_4_1_212 * C00043 * C00167)/(${Variables:E2_4_1_212_km} + (E2_4_1_212 * C00043 * C00167))</v>
      </c>
    </row>
    <row r="652" spans="1:11" ht="29">
      <c r="A652" s="11" t="s">
        <v>4608</v>
      </c>
      <c r="B652" s="11" t="s">
        <v>4609</v>
      </c>
      <c r="C652" s="11" t="s">
        <v>12596</v>
      </c>
      <c r="D652" s="60">
        <v>651</v>
      </c>
      <c r="E652" s="11" t="str">
        <f t="shared" si="30"/>
        <v>E2_4_1_212</v>
      </c>
      <c r="F652" s="11" t="s">
        <v>14898</v>
      </c>
      <c r="G652" s="11" t="s">
        <v>14899</v>
      </c>
      <c r="H652" s="11" t="s">
        <v>14900</v>
      </c>
      <c r="I652" s="11" t="s">
        <v>14901</v>
      </c>
      <c r="J652" s="61" t="str">
        <f t="shared" si="31"/>
        <v>(${Variables:E2_4_1_212_kcat} * E2_4_1_212 * G10610 * G10612)/(${Variables:E2_4_1_212_km} + (E2_4_1_212 * G10610 * G10612))</v>
      </c>
      <c r="K652" s="54" t="str">
        <f t="shared" si="32"/>
        <v>r651: G10610 + G10612 -&gt; G10505 + G10619 | (${Variables:E2_4_1_212_kcat} * E2_4_1_212 * G10610 * G10612)/(${Variables:E2_4_1_212_km} + (E2_4_1_212 * G10610 * G10612))</v>
      </c>
    </row>
    <row r="653" spans="1:11" ht="29">
      <c r="A653" s="11" t="s">
        <v>4623</v>
      </c>
      <c r="B653" s="11" t="s">
        <v>4624</v>
      </c>
      <c r="C653" s="11" t="s">
        <v>12449</v>
      </c>
      <c r="D653" s="60">
        <v>652</v>
      </c>
      <c r="E653" s="11" t="str">
        <f t="shared" si="30"/>
        <v>E2_7_1_39</v>
      </c>
      <c r="F653" s="11" t="s">
        <v>14902</v>
      </c>
      <c r="G653" s="11" t="s">
        <v>14903</v>
      </c>
      <c r="H653" s="11" t="s">
        <v>14904</v>
      </c>
      <c r="I653" s="11" t="s">
        <v>14905</v>
      </c>
      <c r="J653" s="61" t="str">
        <f t="shared" si="31"/>
        <v>(${Variables:E2_7_1_39_kcat} * E2_7_1_39 * C00002 * C00263)/(${Variables:E2_7_1_39_km} + (E2_7_1_39 * C00002 * C00263))</v>
      </c>
      <c r="K653" s="54" t="str">
        <f t="shared" si="32"/>
        <v>r652: C00002 + C00263 -&gt; C00008 + C01102 | (${Variables:E2_7_1_39_kcat} * E2_7_1_39 * C00002 * C00263)/(${Variables:E2_7_1_39_km} + (E2_7_1_39 * C00002 * C00263))</v>
      </c>
    </row>
    <row r="654" spans="1:11" ht="29">
      <c r="A654" s="11" t="s">
        <v>4638</v>
      </c>
      <c r="B654" s="11" t="s">
        <v>4639</v>
      </c>
      <c r="C654" s="11" t="s">
        <v>12530</v>
      </c>
      <c r="D654" s="60">
        <v>653</v>
      </c>
      <c r="E654" s="11" t="str">
        <f t="shared" si="30"/>
        <v>E3_5_4_28</v>
      </c>
      <c r="F654" s="11" t="s">
        <v>14906</v>
      </c>
      <c r="G654" s="11" t="s">
        <v>14907</v>
      </c>
      <c r="H654" s="11" t="s">
        <v>14908</v>
      </c>
      <c r="I654" s="11" t="s">
        <v>14909</v>
      </c>
      <c r="J654" s="61" t="str">
        <f t="shared" si="31"/>
        <v>(${Variables:E3_5_4_28_kcat} * E3_5_4_28 * C00021 * C00001)/(${Variables:E3_5_4_28_km} + (E3_5_4_28 * C00021 * C00001))</v>
      </c>
      <c r="K654" s="54" t="str">
        <f t="shared" si="32"/>
        <v>r653: C00021 + C00001 -&gt; C03431 + C00014 | (${Variables:E3_5_4_28_kcat} * E3_5_4_28 * C00021 * C00001)/(${Variables:E3_5_4_28_km} + (E3_5_4_28 * C00021 * C00001))</v>
      </c>
    </row>
    <row r="655" spans="1:11" ht="29">
      <c r="A655" s="11" t="s">
        <v>4658</v>
      </c>
      <c r="B655" s="11" t="s">
        <v>4659</v>
      </c>
      <c r="C655" s="11" t="s">
        <v>12531</v>
      </c>
      <c r="D655" s="60">
        <v>654</v>
      </c>
      <c r="E655" s="11" t="str">
        <f t="shared" si="30"/>
        <v>E2_1_1_37</v>
      </c>
      <c r="F655" s="11" t="s">
        <v>14910</v>
      </c>
      <c r="G655" s="11" t="s">
        <v>14911</v>
      </c>
      <c r="H655" s="11" t="s">
        <v>14912</v>
      </c>
      <c r="I655" s="11" t="s">
        <v>14913</v>
      </c>
      <c r="J655" s="61" t="str">
        <f t="shared" si="31"/>
        <v>(${Variables:E2_1_1_37_kcat} * E2_1_1_37 * C00019 * C00039)/(${Variables:E2_1_1_37_km} + (E2_1_1_37 * C00019 * C00039))</v>
      </c>
      <c r="K655" s="54" t="str">
        <f t="shared" si="32"/>
        <v>r654: C00019 + C00039 -&gt; C00021 + C02967 | (${Variables:E2_1_1_37_kcat} * E2_1_1_37 * C00019 * C00039)/(${Variables:E2_1_1_37_km} + (E2_1_1_37 * C00019 * C00039))</v>
      </c>
    </row>
    <row r="656" spans="1:11" ht="29">
      <c r="A656" s="11" t="s">
        <v>4658</v>
      </c>
      <c r="B656" s="11" t="s">
        <v>4659</v>
      </c>
      <c r="C656" s="11" t="s">
        <v>12531</v>
      </c>
      <c r="D656" s="60">
        <v>655</v>
      </c>
      <c r="E656" s="11" t="str">
        <f t="shared" si="30"/>
        <v>E2_1_1_37</v>
      </c>
      <c r="F656" s="11" t="s">
        <v>14914</v>
      </c>
      <c r="G656" s="11" t="s">
        <v>14915</v>
      </c>
      <c r="H656" s="11" t="s">
        <v>14912</v>
      </c>
      <c r="I656" s="11" t="s">
        <v>14913</v>
      </c>
      <c r="J656" s="61" t="str">
        <f t="shared" si="31"/>
        <v>(${Variables:E2_1_1_37_kcat} * E2_1_1_37 * C00019 * C00856)/(${Variables:E2_1_1_37_km} + (E2_1_1_37 * C00019 * C00856))</v>
      </c>
      <c r="K656" s="54" t="str">
        <f t="shared" si="32"/>
        <v>r655: C00019 + C00856 -&gt; C00021 + C02967 | (${Variables:E2_1_1_37_kcat} * E2_1_1_37 * C00019 * C00856)/(${Variables:E2_1_1_37_km} + (E2_1_1_37 * C00019 * C00856))</v>
      </c>
    </row>
    <row r="657" spans="1:11" ht="29">
      <c r="A657" s="11" t="s">
        <v>4691</v>
      </c>
      <c r="B657" s="11" t="s">
        <v>4692</v>
      </c>
      <c r="C657" s="11" t="s">
        <v>12532</v>
      </c>
      <c r="D657" s="60">
        <v>656</v>
      </c>
      <c r="E657" s="11" t="str">
        <f t="shared" si="30"/>
        <v>E5_1_3_24</v>
      </c>
      <c r="F657" s="11" t="s">
        <v>9657</v>
      </c>
      <c r="G657" s="11" t="s">
        <v>9657</v>
      </c>
      <c r="H657" s="11" t="s">
        <v>9658</v>
      </c>
      <c r="I657" s="11" t="s">
        <v>9658</v>
      </c>
      <c r="J657" s="61" t="str">
        <f t="shared" si="31"/>
        <v>(${Variables:E5_1_3_24_kcat} * E5_1_3_24 * C19909)/(${Variables:E5_1_3_24_km} + (E5_1_3_24 * C19909))</v>
      </c>
      <c r="K657" s="54" t="str">
        <f t="shared" si="32"/>
        <v>r656: C19909 -&gt; C19910 | (${Variables:E5_1_3_24_kcat} * E5_1_3_24 * C19909)/(${Variables:E5_1_3_24_km} + (E5_1_3_24 * C19909))</v>
      </c>
    </row>
    <row r="658" spans="1:11" ht="29">
      <c r="A658" s="11" t="s">
        <v>4691</v>
      </c>
      <c r="B658" s="11" t="s">
        <v>4692</v>
      </c>
      <c r="C658" s="11" t="s">
        <v>12532</v>
      </c>
      <c r="D658" s="60">
        <v>657</v>
      </c>
      <c r="E658" s="11" t="str">
        <f t="shared" si="30"/>
        <v>E5_1_3_24</v>
      </c>
      <c r="F658" s="11" t="s">
        <v>9657</v>
      </c>
      <c r="G658" s="11" t="s">
        <v>9657</v>
      </c>
      <c r="H658" s="11" t="s">
        <v>9146</v>
      </c>
      <c r="I658" s="11" t="s">
        <v>9146</v>
      </c>
      <c r="J658" s="61" t="str">
        <f t="shared" si="31"/>
        <v>(${Variables:E5_1_3_24_kcat} * E5_1_3_24 * C19909)/(${Variables:E5_1_3_24_km} + (E5_1_3_24 * C19909))</v>
      </c>
      <c r="K658" s="54" t="str">
        <f t="shared" si="32"/>
        <v>r657: C19909 -&gt; C22382 | (${Variables:E5_1_3_24_kcat} * E5_1_3_24 * C19909)/(${Variables:E5_1_3_24_km} + (E5_1_3_24 * C19909))</v>
      </c>
    </row>
    <row r="659" spans="1:11" ht="29">
      <c r="A659" s="11" t="s">
        <v>4691</v>
      </c>
      <c r="B659" s="11" t="s">
        <v>4692</v>
      </c>
      <c r="C659" s="11" t="s">
        <v>12532</v>
      </c>
      <c r="D659" s="60">
        <v>658</v>
      </c>
      <c r="E659" s="11" t="str">
        <f t="shared" si="30"/>
        <v>E5_1_3_24</v>
      </c>
      <c r="F659" s="11" t="s">
        <v>9146</v>
      </c>
      <c r="G659" s="11" t="s">
        <v>9146</v>
      </c>
      <c r="H659" s="11" t="s">
        <v>9658</v>
      </c>
      <c r="I659" s="11" t="s">
        <v>9658</v>
      </c>
      <c r="J659" s="61" t="str">
        <f t="shared" si="31"/>
        <v>(${Variables:E5_1_3_24_kcat} * E5_1_3_24 * C22382)/(${Variables:E5_1_3_24_km} + (E5_1_3_24 * C22382))</v>
      </c>
      <c r="K659" s="54" t="str">
        <f t="shared" si="32"/>
        <v>r658: C22382 -&gt; C19910 | (${Variables:E5_1_3_24_kcat} * E5_1_3_24 * C22382)/(${Variables:E5_1_3_24_km} + (E5_1_3_24 * C22382))</v>
      </c>
    </row>
    <row r="660" spans="1:11" ht="29">
      <c r="A660" s="11" t="s">
        <v>4711</v>
      </c>
      <c r="B660" s="11" t="s">
        <v>4712</v>
      </c>
      <c r="C660" s="11" t="s">
        <v>12657</v>
      </c>
      <c r="D660" s="60">
        <v>659</v>
      </c>
      <c r="E660" s="11" t="str">
        <f t="shared" si="30"/>
        <v>E3_1_3_27</v>
      </c>
      <c r="F660" s="11" t="s">
        <v>14916</v>
      </c>
      <c r="G660" s="11" t="s">
        <v>14917</v>
      </c>
      <c r="H660" s="11" t="s">
        <v>14918</v>
      </c>
      <c r="I660" s="11" t="s">
        <v>14919</v>
      </c>
      <c r="J660" s="61" t="str">
        <f t="shared" si="31"/>
        <v>(${Variables:E3_1_3_27_kcat} * E3_1_3_27 * C03892 * C00001)/(${Variables:E3_1_3_27_km} + (E3_1_3_27 * C03892 * C00001))</v>
      </c>
      <c r="K660" s="54" t="str">
        <f t="shared" si="32"/>
        <v>r659: C03892 + C00001 -&gt; C00344 + C00009 | (${Variables:E3_1_3_27_kcat} * E3_1_3_27 * C03892 * C00001)/(${Variables:E3_1_3_27_km} + (E3_1_3_27 * C03892 * C00001))</v>
      </c>
    </row>
    <row r="661" spans="1:11" ht="43.5">
      <c r="A661" s="11" t="s">
        <v>4737</v>
      </c>
      <c r="B661" s="11" t="s">
        <v>4738</v>
      </c>
      <c r="C661" s="11" t="s">
        <v>12658</v>
      </c>
      <c r="D661" s="60">
        <v>660</v>
      </c>
      <c r="E661" s="11" t="str">
        <f t="shared" si="30"/>
        <v>E1_4_1_4</v>
      </c>
      <c r="F661" s="11" t="s">
        <v>14920</v>
      </c>
      <c r="G661" s="11" t="s">
        <v>14921</v>
      </c>
      <c r="H661" s="11" t="s">
        <v>14922</v>
      </c>
      <c r="I661" s="11" t="s">
        <v>14923</v>
      </c>
      <c r="J661" s="61" t="str">
        <f t="shared" si="31"/>
        <v>(${Variables:E1_4_1_4_kcat} * E1_4_1_4 * C00025 * C00006 * C00001)/(${Variables:E1_4_1_4_km} + (E1_4_1_4 * C00025 * C00006 * C00001))</v>
      </c>
      <c r="K661" s="54" t="str">
        <f t="shared" si="32"/>
        <v>r660: C00025 + C00006 + C00001 -&gt; C00026 + C00014 + C00005 + C00080 | (${Variables:E1_4_1_4_kcat} * E1_4_1_4 * C00025 * C00006 * C00001)/(${Variables:E1_4_1_4_km} + (E1_4_1_4 * C00025 * C00006 * C00001))</v>
      </c>
    </row>
    <row r="662" spans="1:11" ht="43.5">
      <c r="A662" s="11" t="s">
        <v>4737</v>
      </c>
      <c r="B662" s="11" t="s">
        <v>4738</v>
      </c>
      <c r="C662" s="11" t="s">
        <v>12658</v>
      </c>
      <c r="D662" s="60">
        <v>661</v>
      </c>
      <c r="E662" s="11" t="str">
        <f t="shared" si="30"/>
        <v>E1_4_1_4</v>
      </c>
      <c r="F662" s="11" t="s">
        <v>14924</v>
      </c>
      <c r="G662" s="11" t="s">
        <v>14925</v>
      </c>
      <c r="H662" s="11" t="s">
        <v>14926</v>
      </c>
      <c r="I662" s="11" t="s">
        <v>14927</v>
      </c>
      <c r="J662" s="61" t="str">
        <f t="shared" si="31"/>
        <v>(${Variables:E1_4_1_4_kcat} * E1_4_1_4 * C05167 * C00001 * C00003)/(${Variables:E1_4_1_4_km} + (E1_4_1_4 * C05167 * C00001 * C00003))</v>
      </c>
      <c r="K662" s="54" t="str">
        <f t="shared" si="32"/>
        <v>r661: C05167 + C00001 + C00003 -&gt; C00161 + C00014 + C00004 + C00080 | (${Variables:E1_4_1_4_kcat} * E1_4_1_4 * C05167 * C00001 * C00003)/(${Variables:E1_4_1_4_km} + (E1_4_1_4 * C05167 * C00001 * C00003))</v>
      </c>
    </row>
    <row r="663" spans="1:11" ht="43.5">
      <c r="A663" s="11" t="s">
        <v>4737</v>
      </c>
      <c r="B663" s="11" t="s">
        <v>4738</v>
      </c>
      <c r="C663" s="11" t="s">
        <v>12658</v>
      </c>
      <c r="D663" s="60">
        <v>662</v>
      </c>
      <c r="E663" s="11" t="str">
        <f t="shared" si="30"/>
        <v>E1_4_1_4</v>
      </c>
      <c r="F663" s="11" t="s">
        <v>14928</v>
      </c>
      <c r="G663" s="11" t="s">
        <v>14929</v>
      </c>
      <c r="H663" s="11" t="s">
        <v>14930</v>
      </c>
      <c r="I663" s="11" t="s">
        <v>14931</v>
      </c>
      <c r="J663" s="61" t="str">
        <f t="shared" si="31"/>
        <v>(${Variables:E1_4_1_4_kcat} * E1_4_1_4 * C05167 * C00001 * C00006)/(${Variables:E1_4_1_4_km} + (E1_4_1_4 * C05167 * C00001 * C00006))</v>
      </c>
      <c r="K663" s="54" t="str">
        <f t="shared" si="32"/>
        <v>r662: C05167 + C00001 + C00006 -&gt; C00161 + C00014 + C00005 + C00080 | (${Variables:E1_4_1_4_kcat} * E1_4_1_4 * C05167 * C00001 * C00006)/(${Variables:E1_4_1_4_km} + (E1_4_1_4 * C05167 * C00001 * C00006))</v>
      </c>
    </row>
    <row r="664" spans="1:11" ht="29">
      <c r="A664" s="11" t="s">
        <v>4825</v>
      </c>
      <c r="B664" s="11" t="s">
        <v>4826</v>
      </c>
      <c r="C664" s="11" t="s">
        <v>12463</v>
      </c>
      <c r="D664" s="60">
        <v>663</v>
      </c>
      <c r="E664" s="11" t="str">
        <f t="shared" si="30"/>
        <v>E2_1_3_2</v>
      </c>
      <c r="F664" s="11" t="s">
        <v>14932</v>
      </c>
      <c r="G664" s="11" t="s">
        <v>14933</v>
      </c>
      <c r="H664" s="11" t="s">
        <v>14934</v>
      </c>
      <c r="I664" s="11" t="s">
        <v>14935</v>
      </c>
      <c r="J664" s="61" t="str">
        <f t="shared" si="31"/>
        <v>(${Variables:E2_1_3_2_kcat} * E2_1_3_2 * C00169 * C00049)/(${Variables:E2_1_3_2_km} + (E2_1_3_2 * C00169 * C00049))</v>
      </c>
      <c r="K664" s="54" t="str">
        <f t="shared" si="32"/>
        <v>r663: C00169 + C00049 -&gt; C00009 + C00438 | (${Variables:E2_1_3_2_kcat} * E2_1_3_2 * C00169 * C00049)/(${Variables:E2_1_3_2_km} + (E2_1_3_2 * C00169 * C00049))</v>
      </c>
    </row>
    <row r="665" spans="1:11" ht="43.5">
      <c r="A665" s="11" t="s">
        <v>4829</v>
      </c>
      <c r="B665" s="11" t="s">
        <v>4830</v>
      </c>
      <c r="C665" s="11" t="s">
        <v>12464</v>
      </c>
      <c r="D665" s="60">
        <v>664</v>
      </c>
      <c r="E665" s="11" t="str">
        <f t="shared" si="30"/>
        <v>E6_3_5_5</v>
      </c>
      <c r="F665" s="11" t="s">
        <v>14936</v>
      </c>
      <c r="G665" s="11" t="s">
        <v>14937</v>
      </c>
      <c r="H665" s="11" t="s">
        <v>14938</v>
      </c>
      <c r="I665" s="11" t="s">
        <v>14939</v>
      </c>
      <c r="J665" s="61" t="str">
        <f t="shared" si="31"/>
        <v>(${Variables:E6_3_5_5_kcat} * E6_3_5_5 * C00002 * C00064 * C00288 * C00001)/(${Variables:E6_3_5_5_km} + (E6_3_5_5 * C00002 * C00064 * C00288 * C00001))</v>
      </c>
      <c r="K665" s="54" t="str">
        <f t="shared" si="32"/>
        <v>r664: C00002 + C00064 + C00288 + C00001 -&gt; C00008 + C00009 + C00025 + C00169 | (${Variables:E6_3_5_5_kcat} * E6_3_5_5 * C00002 * C00064 * C00288 * C00001)/(${Variables:E6_3_5_5_km} + (E6_3_5_5 * C00002 * C00064 * C00288 * C00001))</v>
      </c>
    </row>
    <row r="666" spans="1:11" ht="29">
      <c r="A666" s="11" t="s">
        <v>4829</v>
      </c>
      <c r="B666" s="11" t="s">
        <v>4830</v>
      </c>
      <c r="C666" s="11" t="s">
        <v>12464</v>
      </c>
      <c r="D666" s="60">
        <v>665</v>
      </c>
      <c r="E666" s="11" t="str">
        <f t="shared" si="30"/>
        <v>E6_3_5_5</v>
      </c>
      <c r="F666" s="11" t="s">
        <v>14940</v>
      </c>
      <c r="G666" s="11" t="s">
        <v>14941</v>
      </c>
      <c r="H666" s="11" t="s">
        <v>14942</v>
      </c>
      <c r="I666" s="11" t="s">
        <v>14943</v>
      </c>
      <c r="J666" s="61" t="str">
        <f t="shared" si="31"/>
        <v>(${Variables:E6_3_5_5_kcat} * E6_3_5_5 * C00002 * C00288)/(${Variables:E6_3_5_5_km} + (E6_3_5_5 * C00002 * C00288))</v>
      </c>
      <c r="K666" s="54" t="str">
        <f t="shared" si="32"/>
        <v>r665: C00002 + C00288 -&gt; C00008 + C20969 | (${Variables:E6_3_5_5_kcat} * E6_3_5_5 * C00002 * C00288)/(${Variables:E6_3_5_5_km} + (E6_3_5_5 * C00002 * C00288))</v>
      </c>
    </row>
    <row r="667" spans="1:11" ht="29">
      <c r="A667" s="11" t="s">
        <v>4829</v>
      </c>
      <c r="B667" s="11" t="s">
        <v>4830</v>
      </c>
      <c r="C667" s="11" t="s">
        <v>12464</v>
      </c>
      <c r="D667" s="60">
        <v>666</v>
      </c>
      <c r="E667" s="11" t="str">
        <f t="shared" si="30"/>
        <v>E6_3_5_5</v>
      </c>
      <c r="F667" s="11" t="s">
        <v>14944</v>
      </c>
      <c r="G667" s="11" t="s">
        <v>14945</v>
      </c>
      <c r="H667" s="11" t="s">
        <v>14946</v>
      </c>
      <c r="I667" s="11" t="s">
        <v>14947</v>
      </c>
      <c r="J667" s="61" t="str">
        <f t="shared" si="31"/>
        <v>(${Variables:E6_3_5_5_kcat} * E6_3_5_5 * C00014 * C20969)/(${Variables:E6_3_5_5_km} + (E6_3_5_5 * C00014 * C20969))</v>
      </c>
      <c r="K667" s="54" t="str">
        <f t="shared" si="32"/>
        <v>r666: C00014 + C20969 -&gt; C01563 + C00009 | (${Variables:E6_3_5_5_kcat} * E6_3_5_5 * C00014 * C20969)/(${Variables:E6_3_5_5_km} + (E6_3_5_5 * C00014 * C20969))</v>
      </c>
    </row>
    <row r="668" spans="1:11" ht="43.5">
      <c r="A668" s="11" t="s">
        <v>4829</v>
      </c>
      <c r="B668" s="11" t="s">
        <v>4830</v>
      </c>
      <c r="C668" s="11" t="s">
        <v>12464</v>
      </c>
      <c r="D668" s="60">
        <v>667</v>
      </c>
      <c r="E668" s="11" t="str">
        <f t="shared" si="30"/>
        <v>E6_3_5_5</v>
      </c>
      <c r="F668" s="11" t="s">
        <v>14948</v>
      </c>
      <c r="G668" s="11" t="s">
        <v>14949</v>
      </c>
      <c r="H668" s="11" t="s">
        <v>14950</v>
      </c>
      <c r="I668" s="11" t="s">
        <v>14951</v>
      </c>
      <c r="J668" s="61" t="str">
        <f t="shared" si="31"/>
        <v>(${Variables:E6_3_5_5_kcat} * E6_3_5_5 * C00002 * C00288 * C00014)/(${Variables:E6_3_5_5_km} + (E6_3_5_5 * C00002 * C00288 * C00014))</v>
      </c>
      <c r="K668" s="54" t="str">
        <f t="shared" si="32"/>
        <v>r667: C00002 + C00288 + C00014 -&gt; C00008 + C00009 + C00169 | (${Variables:E6_3_5_5_kcat} * E6_3_5_5 * C00002 * C00288 * C00014)/(${Variables:E6_3_5_5_km} + (E6_3_5_5 * C00002 * C00288 * C00014))</v>
      </c>
    </row>
    <row r="669" spans="1:11" ht="29">
      <c r="A669" s="11" t="s">
        <v>4852</v>
      </c>
      <c r="B669" s="11" t="s">
        <v>4853</v>
      </c>
      <c r="C669" s="11" t="s">
        <v>12659</v>
      </c>
      <c r="D669" s="60">
        <v>668</v>
      </c>
      <c r="E669" s="11" t="str">
        <f t="shared" si="30"/>
        <v>E2_7_7_60</v>
      </c>
      <c r="F669" s="11" t="s">
        <v>14952</v>
      </c>
      <c r="G669" s="11" t="s">
        <v>14953</v>
      </c>
      <c r="H669" s="11" t="s">
        <v>14954</v>
      </c>
      <c r="I669" s="11" t="s">
        <v>14955</v>
      </c>
      <c r="J669" s="61" t="str">
        <f t="shared" si="31"/>
        <v>(${Variables:E2_7_7_60_kcat} * E2_7_7_60 * C11434 * C00063)/(${Variables:E2_7_7_60_km} + (E2_7_7_60 * C11434 * C00063))</v>
      </c>
      <c r="K669" s="54" t="str">
        <f t="shared" si="32"/>
        <v>r668: C11434 + C00063 -&gt; C11435 + C00013 | (${Variables:E2_7_7_60_kcat} * E2_7_7_60 * C11434 * C00063)/(${Variables:E2_7_7_60_km} + (E2_7_7_60 * C11434 * C00063))</v>
      </c>
    </row>
    <row r="670" spans="1:11" ht="43.5">
      <c r="A670" s="11" t="s">
        <v>4855</v>
      </c>
      <c r="B670" s="11" t="s">
        <v>4856</v>
      </c>
      <c r="C670" s="11" t="s">
        <v>12660</v>
      </c>
      <c r="D670" s="60">
        <v>669</v>
      </c>
      <c r="E670" s="11" t="str">
        <f t="shared" si="30"/>
        <v>E1_1_1_264</v>
      </c>
      <c r="F670" s="11" t="s">
        <v>14956</v>
      </c>
      <c r="G670" s="11" t="s">
        <v>14957</v>
      </c>
      <c r="H670" s="11" t="s">
        <v>13152</v>
      </c>
      <c r="I670" s="11" t="s">
        <v>13153</v>
      </c>
      <c r="J670" s="61" t="str">
        <f t="shared" si="31"/>
        <v>(${Variables:E1_1_1_264_kcat} * E1_1_1_264 * C00770 * C00003)/(${Variables:E1_1_1_264_km} + (E1_1_1_264 * C00770 * C00003))</v>
      </c>
      <c r="K670" s="54" t="str">
        <f t="shared" si="32"/>
        <v>r669: C00770 + C00003 -&gt; C01062 + C00004 + C00080 | (${Variables:E1_1_1_264_kcat} * E1_1_1_264 * C00770 * C00003)/(${Variables:E1_1_1_264_km} + (E1_1_1_264 * C00770 * C00003))</v>
      </c>
    </row>
    <row r="671" spans="1:11" ht="43.5">
      <c r="A671" s="11" t="s">
        <v>4855</v>
      </c>
      <c r="B671" s="11" t="s">
        <v>4856</v>
      </c>
      <c r="C671" s="11" t="s">
        <v>12660</v>
      </c>
      <c r="D671" s="60">
        <v>670</v>
      </c>
      <c r="E671" s="11" t="str">
        <f t="shared" si="30"/>
        <v>E1_1_1_264</v>
      </c>
      <c r="F671" s="11" t="s">
        <v>14958</v>
      </c>
      <c r="G671" s="11" t="s">
        <v>14959</v>
      </c>
      <c r="H671" s="11" t="s">
        <v>13156</v>
      </c>
      <c r="I671" s="11" t="s">
        <v>13157</v>
      </c>
      <c r="J671" s="61" t="str">
        <f t="shared" si="31"/>
        <v>(${Variables:E1_1_1_264_kcat} * E1_1_1_264 * C00770 * C00006)/(${Variables:E1_1_1_264_km} + (E1_1_1_264 * C00770 * C00006))</v>
      </c>
      <c r="K671" s="54" t="str">
        <f t="shared" si="32"/>
        <v>r670: C00770 + C00006 -&gt; C01062 + C00005 + C00080 | (${Variables:E1_1_1_264_kcat} * E1_1_1_264 * C00770 * C00006)/(${Variables:E1_1_1_264_km} + (E1_1_1_264 * C00770 * C00006))</v>
      </c>
    </row>
    <row r="672" spans="1:11" ht="29">
      <c r="A672" s="11" t="s">
        <v>4864</v>
      </c>
      <c r="B672" s="11" t="s">
        <v>4865</v>
      </c>
      <c r="C672" s="11" t="s">
        <v>12481</v>
      </c>
      <c r="D672" s="60">
        <v>671</v>
      </c>
      <c r="E672" s="11" t="str">
        <f t="shared" si="30"/>
        <v>E2_7_7_15</v>
      </c>
      <c r="F672" s="11" t="s">
        <v>14960</v>
      </c>
      <c r="G672" s="11" t="s">
        <v>14961</v>
      </c>
      <c r="H672" s="11" t="s">
        <v>14962</v>
      </c>
      <c r="I672" s="11" t="s">
        <v>14963</v>
      </c>
      <c r="J672" s="61" t="str">
        <f t="shared" si="31"/>
        <v>(${Variables:E2_7_7_15_kcat} * E2_7_7_15 * C00063 * C00588)/(${Variables:E2_7_7_15_km} + (E2_7_7_15 * C00063 * C00588))</v>
      </c>
      <c r="K672" s="54" t="str">
        <f t="shared" si="32"/>
        <v>r671: C00063 + C00588 -&gt; C00013 + C00307 | (${Variables:E2_7_7_15_kcat} * E2_7_7_15 * C00063 * C00588)/(${Variables:E2_7_7_15_km} + (E2_7_7_15 * C00063 * C00588))</v>
      </c>
    </row>
    <row r="673" spans="1:11" ht="29">
      <c r="A673" s="11" t="s">
        <v>4864</v>
      </c>
      <c r="B673" s="11" t="s">
        <v>4865</v>
      </c>
      <c r="C673" s="11" t="s">
        <v>12481</v>
      </c>
      <c r="D673" s="60">
        <v>672</v>
      </c>
      <c r="E673" s="11" t="str">
        <f t="shared" si="30"/>
        <v>E2_7_7_15</v>
      </c>
      <c r="F673" s="11" t="s">
        <v>14964</v>
      </c>
      <c r="G673" s="11" t="s">
        <v>14965</v>
      </c>
      <c r="H673" s="11" t="s">
        <v>14966</v>
      </c>
      <c r="I673" s="11" t="s">
        <v>14967</v>
      </c>
      <c r="J673" s="61" t="str">
        <f t="shared" si="31"/>
        <v>(${Variables:E2_7_7_15_kcat} * E2_7_7_15 * C00063 * C06459)/(${Variables:E2_7_7_15_km} + (E2_7_7_15 * C00063 * C06459))</v>
      </c>
      <c r="K673" s="54" t="str">
        <f t="shared" si="32"/>
        <v>r672: C00063 + C06459 -&gt; C00013 + C05674 | (${Variables:E2_7_7_15_kcat} * E2_7_7_15 * C00063 * C06459)/(${Variables:E2_7_7_15_km} + (E2_7_7_15 * C00063 * C06459))</v>
      </c>
    </row>
    <row r="674" spans="1:11" ht="29">
      <c r="A674" s="11" t="s">
        <v>4878</v>
      </c>
      <c r="B674" s="11" t="s">
        <v>4879</v>
      </c>
      <c r="C674" s="11" t="s">
        <v>12496</v>
      </c>
      <c r="D674" s="60">
        <v>673</v>
      </c>
      <c r="E674" s="11" t="str">
        <f t="shared" si="30"/>
        <v>E1_1_1_85</v>
      </c>
      <c r="F674" s="11" t="s">
        <v>14968</v>
      </c>
      <c r="G674" s="11" t="s">
        <v>14969</v>
      </c>
      <c r="H674" s="11" t="s">
        <v>9724</v>
      </c>
      <c r="I674" s="11" t="s">
        <v>9724</v>
      </c>
      <c r="J674" s="61" t="str">
        <f t="shared" si="31"/>
        <v>(${Variables:E1_1_1_85_kcat} * E1_1_1_85 * C00233 * C00011)/(${Variables:E1_1_1_85_km} + (E1_1_1_85 * C00233 * C00011))</v>
      </c>
      <c r="K674" s="54" t="str">
        <f t="shared" si="32"/>
        <v>r673: C00233 + C00011 -&gt; C04236 | (${Variables:E1_1_1_85_kcat} * E1_1_1_85 * C00233 * C00011)/(${Variables:E1_1_1_85_km} + (E1_1_1_85 * C00233 * C00011))</v>
      </c>
    </row>
    <row r="675" spans="1:11" ht="29">
      <c r="A675" s="11" t="s">
        <v>4878</v>
      </c>
      <c r="B675" s="11" t="s">
        <v>4879</v>
      </c>
      <c r="C675" s="11" t="s">
        <v>12496</v>
      </c>
      <c r="D675" s="60">
        <v>674</v>
      </c>
      <c r="E675" s="11" t="str">
        <f t="shared" si="30"/>
        <v>E1_1_1_85</v>
      </c>
      <c r="F675" s="11" t="s">
        <v>14970</v>
      </c>
      <c r="G675" s="11" t="s">
        <v>14971</v>
      </c>
      <c r="H675" s="11" t="s">
        <v>14972</v>
      </c>
      <c r="I675" s="11" t="s">
        <v>14973</v>
      </c>
      <c r="J675" s="61" t="str">
        <f t="shared" si="31"/>
        <v>(${Variables:E1_1_1_85_kcat} * E1_1_1_85 * C04411 * C00003)/(${Variables:E1_1_1_85_km} + (E1_1_1_85 * C04411 * C00003))</v>
      </c>
      <c r="K675" s="54" t="str">
        <f t="shared" si="32"/>
        <v>r674: C04411 + C00003 -&gt; C04236 + C00004 + C00080 | (${Variables:E1_1_1_85_kcat} * E1_1_1_85 * C04411 * C00003)/(${Variables:E1_1_1_85_km} + (E1_1_1_85 * C04411 * C00003))</v>
      </c>
    </row>
    <row r="676" spans="1:11" ht="29">
      <c r="A676" s="11" t="s">
        <v>4878</v>
      </c>
      <c r="B676" s="11" t="s">
        <v>4879</v>
      </c>
      <c r="C676" s="11" t="s">
        <v>12496</v>
      </c>
      <c r="D676" s="60">
        <v>675</v>
      </c>
      <c r="E676" s="11" t="str">
        <f t="shared" si="30"/>
        <v>E1_1_1_85</v>
      </c>
      <c r="F676" s="11" t="s">
        <v>14970</v>
      </c>
      <c r="G676" s="11" t="s">
        <v>14971</v>
      </c>
      <c r="H676" s="11" t="s">
        <v>14974</v>
      </c>
      <c r="I676" s="11" t="s">
        <v>14975</v>
      </c>
      <c r="J676" s="61" t="str">
        <f t="shared" si="31"/>
        <v>(${Variables:E1_1_1_85_kcat} * E1_1_1_85 * C04411 * C00003)/(${Variables:E1_1_1_85_km} + (E1_1_1_85 * C04411 * C00003))</v>
      </c>
      <c r="K676" s="54" t="str">
        <f t="shared" si="32"/>
        <v>r675: C04411 + C00003 -&gt; C00233 + C00011 + C00004 + C00080 | (${Variables:E1_1_1_85_kcat} * E1_1_1_85 * C04411 * C00003)/(${Variables:E1_1_1_85_km} + (E1_1_1_85 * C04411 * C00003))</v>
      </c>
    </row>
    <row r="677" spans="1:11" ht="43.5">
      <c r="A677" s="11" t="s">
        <v>4878</v>
      </c>
      <c r="B677" s="11" t="s">
        <v>4879</v>
      </c>
      <c r="C677" s="11" t="s">
        <v>12496</v>
      </c>
      <c r="D677" s="60">
        <v>676</v>
      </c>
      <c r="E677" s="11" t="str">
        <f t="shared" si="30"/>
        <v>E1_1_1_85</v>
      </c>
      <c r="F677" s="11" t="s">
        <v>14976</v>
      </c>
      <c r="G677" s="11" t="s">
        <v>14977</v>
      </c>
      <c r="H677" s="11" t="s">
        <v>14978</v>
      </c>
      <c r="I677" s="11" t="s">
        <v>14979</v>
      </c>
      <c r="J677" s="61" t="str">
        <f t="shared" si="31"/>
        <v>(${Variables:E1_1_1_85_kcat} * E1_1_1_85 * C00109 * C00011 * C00004 * C00080)/(${Variables:E1_1_1_85_km} + (E1_1_1_85 * C00109 * C00011 * C00004 * C00080))</v>
      </c>
      <c r="K677" s="54" t="str">
        <f t="shared" si="32"/>
        <v>r676: C00109 + C00011 + C00004 + C00080 -&gt; C06032 + C00003 | (${Variables:E1_1_1_85_kcat} * E1_1_1_85 * C00109 * C00011 * C00004 * C00080)/(${Variables:E1_1_1_85_km} + (E1_1_1_85 * C00109 * C00011 * C00004 * C00080))</v>
      </c>
    </row>
    <row r="678" spans="1:11" ht="29">
      <c r="A678" s="11" t="s">
        <v>4891</v>
      </c>
      <c r="B678" s="11" t="s">
        <v>4892</v>
      </c>
      <c r="C678" s="11" t="s">
        <v>12662</v>
      </c>
      <c r="D678" s="60">
        <v>677</v>
      </c>
      <c r="E678" s="11" t="str">
        <f t="shared" si="30"/>
        <v>E2_3_3_13</v>
      </c>
      <c r="F678" s="11" t="s">
        <v>14980</v>
      </c>
      <c r="G678" s="11" t="s">
        <v>14981</v>
      </c>
      <c r="H678" s="11" t="s">
        <v>14982</v>
      </c>
      <c r="I678" s="11" t="s">
        <v>14983</v>
      </c>
      <c r="J678" s="61" t="str">
        <f t="shared" si="31"/>
        <v>(${Variables:E2_3_3_13_kcat} * E2_3_3_13 * C02504 * C00010)/(${Variables:E2_3_3_13_km} + (E2_3_3_13 * C02504 * C00010))</v>
      </c>
      <c r="K678" s="54" t="str">
        <f t="shared" si="32"/>
        <v>r677: C02504 + C00010 -&gt; C00024 + C00141 + C00001 | (${Variables:E2_3_3_13_kcat} * E2_3_3_13 * C02504 * C00010)/(${Variables:E2_3_3_13_km} + (E2_3_3_13 * C02504 * C00010))</v>
      </c>
    </row>
    <row r="679" spans="1:11" ht="29">
      <c r="A679" s="11" t="s">
        <v>4903</v>
      </c>
      <c r="B679" s="11" t="s">
        <v>4904</v>
      </c>
      <c r="C679" s="11" t="s">
        <v>12492</v>
      </c>
      <c r="D679" s="60">
        <v>678</v>
      </c>
      <c r="E679" s="11" t="str">
        <f t="shared" si="30"/>
        <v>E4_2_1_33</v>
      </c>
      <c r="F679" s="11" t="s">
        <v>9741</v>
      </c>
      <c r="G679" s="11" t="s">
        <v>9741</v>
      </c>
      <c r="H679" s="11" t="s">
        <v>14984</v>
      </c>
      <c r="I679" s="11" t="s">
        <v>14985</v>
      </c>
      <c r="J679" s="61" t="str">
        <f t="shared" si="31"/>
        <v>(${Variables:E4_2_1_33_kcat} * E4_2_1_33 * C02504)/(${Variables:E4_2_1_33_km} + (E4_2_1_33 * C02504))</v>
      </c>
      <c r="K679" s="54" t="str">
        <f t="shared" si="32"/>
        <v>r678: C02504 -&gt; C02631 + C00001 | (${Variables:E4_2_1_33_kcat} * E4_2_1_33 * C02504)/(${Variables:E4_2_1_33_km} + (E4_2_1_33 * C02504))</v>
      </c>
    </row>
    <row r="680" spans="1:11" ht="29">
      <c r="A680" s="11" t="s">
        <v>4903</v>
      </c>
      <c r="B680" s="11" t="s">
        <v>4904</v>
      </c>
      <c r="C680" s="11" t="s">
        <v>12492</v>
      </c>
      <c r="D680" s="60">
        <v>679</v>
      </c>
      <c r="E680" s="11" t="str">
        <f t="shared" si="30"/>
        <v>E4_2_1_33</v>
      </c>
      <c r="F680" s="11" t="s">
        <v>9744</v>
      </c>
      <c r="G680" s="11" t="s">
        <v>9744</v>
      </c>
      <c r="H680" s="11" t="s">
        <v>14984</v>
      </c>
      <c r="I680" s="11" t="s">
        <v>14985</v>
      </c>
      <c r="J680" s="61" t="str">
        <f t="shared" si="31"/>
        <v>(${Variables:E4_2_1_33_kcat} * E4_2_1_33 * C04411)/(${Variables:E4_2_1_33_km} + (E4_2_1_33 * C04411))</v>
      </c>
      <c r="K680" s="54" t="str">
        <f t="shared" si="32"/>
        <v>r679: C04411 -&gt; C02631 + C00001 | (${Variables:E4_2_1_33_kcat} * E4_2_1_33 * C04411)/(${Variables:E4_2_1_33_km} + (E4_2_1_33 * C04411))</v>
      </c>
    </row>
    <row r="681" spans="1:11" ht="29">
      <c r="A681" s="11" t="s">
        <v>4903</v>
      </c>
      <c r="B681" s="11" t="s">
        <v>4904</v>
      </c>
      <c r="C681" s="11" t="s">
        <v>12492</v>
      </c>
      <c r="D681" s="60">
        <v>680</v>
      </c>
      <c r="E681" s="11" t="str">
        <f t="shared" si="30"/>
        <v>E4_2_1_33</v>
      </c>
      <c r="F681" s="11" t="s">
        <v>9744</v>
      </c>
      <c r="G681" s="11" t="s">
        <v>9744</v>
      </c>
      <c r="H681" s="11" t="s">
        <v>9741</v>
      </c>
      <c r="I681" s="11" t="s">
        <v>9741</v>
      </c>
      <c r="J681" s="61" t="str">
        <f t="shared" si="31"/>
        <v>(${Variables:E4_2_1_33_kcat} * E4_2_1_33 * C04411)/(${Variables:E4_2_1_33_km} + (E4_2_1_33 * C04411))</v>
      </c>
      <c r="K681" s="54" t="str">
        <f t="shared" si="32"/>
        <v>r680: C04411 -&gt; C02504 | (${Variables:E4_2_1_33_kcat} * E4_2_1_33 * C04411)/(${Variables:E4_2_1_33_km} + (E4_2_1_33 * C04411))</v>
      </c>
    </row>
    <row r="682" spans="1:11" ht="43.5">
      <c r="A682" s="11" t="s">
        <v>4917</v>
      </c>
      <c r="B682" s="11" t="s">
        <v>4918</v>
      </c>
      <c r="C682" s="11" t="s">
        <v>12493</v>
      </c>
      <c r="D682" s="60">
        <v>681</v>
      </c>
      <c r="E682" s="11" t="str">
        <f t="shared" si="30"/>
        <v>E1_7_1_7</v>
      </c>
      <c r="F682" s="11" t="s">
        <v>14986</v>
      </c>
      <c r="G682" s="11" t="s">
        <v>14987</v>
      </c>
      <c r="H682" s="11" t="s">
        <v>14988</v>
      </c>
      <c r="I682" s="11" t="s">
        <v>14989</v>
      </c>
      <c r="J682" s="61" t="str">
        <f t="shared" si="31"/>
        <v>(${Variables:E1_7_1_7_kcat} * E1_7_1_7 * C00130 * C00014 * C00006)/(${Variables:E1_7_1_7_km} + (E1_7_1_7 * C00130 * C00014 * C00006))</v>
      </c>
      <c r="K682" s="54" t="str">
        <f t="shared" si="32"/>
        <v>r681: C00130 + C00014 + C00006 -&gt; C00144 + C00005 + C00080 | (${Variables:E1_7_1_7_kcat} * E1_7_1_7 * C00130 * C00014 * C00006)/(${Variables:E1_7_1_7_km} + (E1_7_1_7 * C00130 * C00014 * C00006))</v>
      </c>
    </row>
    <row r="683" spans="1:11" ht="29">
      <c r="A683" s="11" t="s">
        <v>4940</v>
      </c>
      <c r="B683" s="11" t="s">
        <v>4941</v>
      </c>
      <c r="C683" s="11" t="s">
        <v>12495</v>
      </c>
      <c r="D683" s="60">
        <v>682</v>
      </c>
      <c r="E683" s="11" t="str">
        <f t="shared" si="30"/>
        <v>E1_1_1_49</v>
      </c>
      <c r="F683" s="11" t="s">
        <v>14990</v>
      </c>
      <c r="G683" s="11" t="s">
        <v>14991</v>
      </c>
      <c r="H683" s="11" t="s">
        <v>14992</v>
      </c>
      <c r="I683" s="11" t="s">
        <v>14993</v>
      </c>
      <c r="J683" s="61" t="str">
        <f t="shared" si="31"/>
        <v>(${Variables:E1_1_1_49_kcat} * E1_1_1_49 * C00092 * C00006)/(${Variables:E1_1_1_49_km} + (E1_1_1_49 * C00092 * C00006))</v>
      </c>
      <c r="K683" s="54" t="str">
        <f t="shared" si="32"/>
        <v>r682: C00092 + C00006 -&gt; C01236 + C00005 + C00080 | (${Variables:E1_1_1_49_kcat} * E1_1_1_49 * C00092 * C00006)/(${Variables:E1_1_1_49_km} + (E1_1_1_49 * C00092 * C00006))</v>
      </c>
    </row>
    <row r="684" spans="1:11" ht="29">
      <c r="A684" s="11" t="s">
        <v>4940</v>
      </c>
      <c r="B684" s="11" t="s">
        <v>4941</v>
      </c>
      <c r="C684" s="11" t="s">
        <v>12495</v>
      </c>
      <c r="D684" s="60">
        <v>683</v>
      </c>
      <c r="E684" s="11" t="str">
        <f t="shared" si="30"/>
        <v>E1_1_1_49</v>
      </c>
      <c r="F684" s="11" t="s">
        <v>14994</v>
      </c>
      <c r="G684" s="11" t="s">
        <v>14995</v>
      </c>
      <c r="H684" s="11" t="s">
        <v>14992</v>
      </c>
      <c r="I684" s="11" t="s">
        <v>14993</v>
      </c>
      <c r="J684" s="61" t="str">
        <f t="shared" si="31"/>
        <v>(${Variables:E1_1_1_49_kcat} * E1_1_1_49 * C01172 * C00006)/(${Variables:E1_1_1_49_km} + (E1_1_1_49 * C01172 * C00006))</v>
      </c>
      <c r="K684" s="54" t="str">
        <f t="shared" si="32"/>
        <v>r683: C01172 + C00006 -&gt; C01236 + C00005 + C00080 | (${Variables:E1_1_1_49_kcat} * E1_1_1_49 * C01172 * C00006)/(${Variables:E1_1_1_49_km} + (E1_1_1_49 * C01172 * C00006))</v>
      </c>
    </row>
    <row r="685" spans="1:11" ht="29">
      <c r="A685" s="11" t="s">
        <v>4965</v>
      </c>
      <c r="B685" s="11" t="s">
        <v>4966</v>
      </c>
      <c r="C685" s="11" t="s">
        <v>12663</v>
      </c>
      <c r="D685" s="60">
        <v>684</v>
      </c>
      <c r="E685" s="11" t="str">
        <f t="shared" si="30"/>
        <v>E3_6_1_55</v>
      </c>
      <c r="F685" s="11" t="s">
        <v>14996</v>
      </c>
      <c r="G685" s="11" t="s">
        <v>14997</v>
      </c>
      <c r="H685" s="11" t="s">
        <v>9765</v>
      </c>
      <c r="I685" s="11" t="s">
        <v>9765</v>
      </c>
      <c r="J685" s="61" t="str">
        <f t="shared" si="31"/>
        <v>(${Variables:E3_6_1_55_kcat} * E3_6_1_55 * C19967 * C00001)/(${Variables:E3_6_1_55_km} + (E3_6_1_55 * C19967 * C00001))</v>
      </c>
      <c r="K685" s="54" t="str">
        <f t="shared" si="32"/>
        <v>r684: C19967 + C00001 -&gt; C19968 | (${Variables:E3_6_1_55_kcat} * E3_6_1_55 * C19967 * C00001)/(${Variables:E3_6_1_55_km} + (E3_6_1_55 * C19967 * C00001))</v>
      </c>
    </row>
    <row r="686" spans="1:11" ht="43.5">
      <c r="A686" s="11" t="s">
        <v>4986</v>
      </c>
      <c r="B686" s="11" t="s">
        <v>4987</v>
      </c>
      <c r="C686" s="11" t="s">
        <v>12664</v>
      </c>
      <c r="D686" s="60">
        <v>685</v>
      </c>
      <c r="E686" s="11" t="str">
        <f t="shared" si="30"/>
        <v>E6_3_4_3</v>
      </c>
      <c r="F686" s="11" t="s">
        <v>14998</v>
      </c>
      <c r="G686" s="11" t="s">
        <v>14999</v>
      </c>
      <c r="H686" s="11" t="s">
        <v>15000</v>
      </c>
      <c r="I686" s="11" t="s">
        <v>15001</v>
      </c>
      <c r="J686" s="61" t="str">
        <f t="shared" si="31"/>
        <v>(${Variables:E6_3_4_3_kcat} * E6_3_4_3 * C00101 * C00058 * C00002)/(${Variables:E6_3_4_3_km} + (E6_3_4_3 * C00101 * C00058 * C00002))</v>
      </c>
      <c r="K686" s="54" t="str">
        <f t="shared" si="32"/>
        <v>r685: C00101 + C00058 + C00002 -&gt; C00008 + C00009 + C00234 | (${Variables:E6_3_4_3_kcat} * E6_3_4_3 * C00101 * C00058 * C00002)/(${Variables:E6_3_4_3_km} + (E6_3_4_3 * C00101 * C00058 * C00002))</v>
      </c>
    </row>
    <row r="687" spans="1:11" ht="29">
      <c r="A687" s="11" t="s">
        <v>5013</v>
      </c>
      <c r="B687" s="11" t="s">
        <v>5014</v>
      </c>
      <c r="C687" s="11" t="s">
        <v>12665</v>
      </c>
      <c r="D687" s="60">
        <v>686</v>
      </c>
      <c r="E687" s="11" t="str">
        <f t="shared" si="30"/>
        <v>E1_1_1_27</v>
      </c>
      <c r="F687" s="11" t="s">
        <v>15002</v>
      </c>
      <c r="G687" s="11" t="s">
        <v>15003</v>
      </c>
      <c r="H687" s="11" t="s">
        <v>15004</v>
      </c>
      <c r="I687" s="11" t="s">
        <v>15005</v>
      </c>
      <c r="J687" s="61" t="str">
        <f t="shared" si="31"/>
        <v>(${Variables:E1_1_1_27_kcat} * E1_1_1_27 * C00186 * C00003)/(${Variables:E1_1_1_27_km} + (E1_1_1_27 * C00186 * C00003))</v>
      </c>
      <c r="K687" s="54" t="str">
        <f t="shared" si="32"/>
        <v>r686: C00186 + C00003 -&gt; C00022 + C00004 + C00080 | (${Variables:E1_1_1_27_kcat} * E1_1_1_27 * C00186 * C00003)/(${Variables:E1_1_1_27_km} + (E1_1_1_27 * C00186 * C00003))</v>
      </c>
    </row>
    <row r="688" spans="1:11" ht="29">
      <c r="A688" s="11" t="s">
        <v>5013</v>
      </c>
      <c r="B688" s="11" t="s">
        <v>5014</v>
      </c>
      <c r="C688" s="11" t="s">
        <v>12665</v>
      </c>
      <c r="D688" s="60">
        <v>687</v>
      </c>
      <c r="E688" s="11" t="str">
        <f t="shared" si="30"/>
        <v>E1_1_1_27</v>
      </c>
      <c r="F688" s="11" t="s">
        <v>15006</v>
      </c>
      <c r="G688" s="11" t="s">
        <v>15007</v>
      </c>
      <c r="H688" s="11" t="s">
        <v>15008</v>
      </c>
      <c r="I688" s="11" t="s">
        <v>15009</v>
      </c>
      <c r="J688" s="61" t="str">
        <f t="shared" si="31"/>
        <v>(${Variables:E1_1_1_27_kcat} * E1_1_1_27 * C05984 * C00003)/(${Variables:E1_1_1_27_km} + (E1_1_1_27 * C05984 * C00003))</v>
      </c>
      <c r="K688" s="54" t="str">
        <f t="shared" si="32"/>
        <v>r687: C05984 + C00003 -&gt; C00109 + C00004 + C00080 | (${Variables:E1_1_1_27_kcat} * E1_1_1_27 * C05984 * C00003)/(${Variables:E1_1_1_27_km} + (E1_1_1_27 * C05984 * C00003))</v>
      </c>
    </row>
    <row r="689" spans="1:11" ht="29">
      <c r="A689" s="11" t="s">
        <v>5013</v>
      </c>
      <c r="B689" s="11" t="s">
        <v>5014</v>
      </c>
      <c r="C689" s="11" t="s">
        <v>12665</v>
      </c>
      <c r="D689" s="60">
        <v>688</v>
      </c>
      <c r="E689" s="11" t="str">
        <f t="shared" si="30"/>
        <v>E1_1_1_27</v>
      </c>
      <c r="F689" s="11" t="s">
        <v>15010</v>
      </c>
      <c r="G689" s="11" t="s">
        <v>15011</v>
      </c>
      <c r="H689" s="11" t="s">
        <v>15012</v>
      </c>
      <c r="I689" s="11" t="s">
        <v>15013</v>
      </c>
      <c r="J689" s="61" t="str">
        <f t="shared" si="31"/>
        <v>(${Variables:E1_1_1_27_kcat} * E1_1_1_27 * C05823 * C00003)/(${Variables:E1_1_1_27_km} + (E1_1_1_27 * C05823 * C00003))</v>
      </c>
      <c r="K689" s="54" t="str">
        <f t="shared" si="32"/>
        <v>r688: C05823 + C00003 -&gt; C00957 + C00004 + C00080 | (${Variables:E1_1_1_27_kcat} * E1_1_1_27 * C05823 * C00003)/(${Variables:E1_1_1_27_km} + (E1_1_1_27 * C05823 * C00003))</v>
      </c>
    </row>
    <row r="690" spans="1:11" ht="29">
      <c r="A690" s="11" t="s">
        <v>5030</v>
      </c>
      <c r="B690" s="11" t="s">
        <v>5031</v>
      </c>
      <c r="C690" s="11" t="s">
        <v>12667</v>
      </c>
      <c r="D690" s="60">
        <v>689</v>
      </c>
      <c r="E690" s="11" t="str">
        <f t="shared" si="30"/>
        <v>E2_5_1_49</v>
      </c>
      <c r="F690" s="11" t="s">
        <v>15014</v>
      </c>
      <c r="G690" s="11" t="s">
        <v>15015</v>
      </c>
      <c r="H690" s="11" t="s">
        <v>15016</v>
      </c>
      <c r="I690" s="11" t="s">
        <v>15017</v>
      </c>
      <c r="J690" s="61" t="str">
        <f t="shared" si="31"/>
        <v>(${Variables:E2_5_1_49_kcat} * E2_5_1_49 * C01077 * C00409)/(${Variables:E2_5_1_49_km} + (E2_5_1_49 * C01077 * C00409))</v>
      </c>
      <c r="K690" s="54" t="str">
        <f t="shared" si="32"/>
        <v>r689: C01077 + C00409 -&gt; C00073 + C00033 | (${Variables:E2_5_1_49_kcat} * E2_5_1_49 * C01077 * C00409)/(${Variables:E2_5_1_49_km} + (E2_5_1_49 * C01077 * C00409))</v>
      </c>
    </row>
    <row r="691" spans="1:11" ht="29">
      <c r="A691" s="11" t="s">
        <v>5030</v>
      </c>
      <c r="B691" s="11" t="s">
        <v>5031</v>
      </c>
      <c r="C691" s="11" t="s">
        <v>12667</v>
      </c>
      <c r="D691" s="60">
        <v>690</v>
      </c>
      <c r="E691" s="11" t="str">
        <f t="shared" si="30"/>
        <v>E2_5_1_49</v>
      </c>
      <c r="F691" s="11" t="s">
        <v>15018</v>
      </c>
      <c r="G691" s="11" t="s">
        <v>15019</v>
      </c>
      <c r="H691" s="11" t="s">
        <v>15020</v>
      </c>
      <c r="I691" s="11" t="s">
        <v>15021</v>
      </c>
      <c r="J691" s="61" t="str">
        <f t="shared" si="31"/>
        <v>(${Variables:E2_5_1_49_kcat} * E2_5_1_49 * C01077 * C00283)/(${Variables:E2_5_1_49_km} + (E2_5_1_49 * C01077 * C00283))</v>
      </c>
      <c r="K691" s="54" t="str">
        <f t="shared" si="32"/>
        <v>r690: C01077 + C00283 -&gt; C00155 + C00033 | (${Variables:E2_5_1_49_kcat} * E2_5_1_49 * C01077 * C00283)/(${Variables:E2_5_1_49_km} + (E2_5_1_49 * C01077 * C00283))</v>
      </c>
    </row>
    <row r="692" spans="1:11" ht="29">
      <c r="A692" s="11" t="s">
        <v>5030</v>
      </c>
      <c r="B692" s="11" t="s">
        <v>5031</v>
      </c>
      <c r="C692" s="11" t="s">
        <v>12520</v>
      </c>
      <c r="D692" s="60">
        <v>691</v>
      </c>
      <c r="E692" s="11" t="str">
        <f t="shared" si="30"/>
        <v>E4_4_1_11</v>
      </c>
      <c r="F692" s="11" t="s">
        <v>15022</v>
      </c>
      <c r="G692" s="11" t="s">
        <v>15023</v>
      </c>
      <c r="H692" s="11" t="s">
        <v>15024</v>
      </c>
      <c r="I692" s="11" t="s">
        <v>15025</v>
      </c>
      <c r="J692" s="61" t="str">
        <f t="shared" si="31"/>
        <v>(${Variables:E4_4_1_11_kcat} * E4_4_1_11 * C00073 * C00001)/(${Variables:E4_4_1_11_km} + (E4_4_1_11 * C00073 * C00001))</v>
      </c>
      <c r="K692" s="54" t="str">
        <f t="shared" si="32"/>
        <v>r691: C00073 + C00001 -&gt; C00409 + C00014 + C00109 | (${Variables:E4_4_1_11_kcat} * E4_4_1_11 * C00073 * C00001)/(${Variables:E4_4_1_11_km} + (E4_4_1_11 * C00073 * C00001))</v>
      </c>
    </row>
    <row r="693" spans="1:11" ht="29">
      <c r="A693" s="11" t="s">
        <v>5030</v>
      </c>
      <c r="B693" s="11" t="s">
        <v>5031</v>
      </c>
      <c r="C693" s="11" t="s">
        <v>12520</v>
      </c>
      <c r="D693" s="60">
        <v>692</v>
      </c>
      <c r="E693" s="11" t="str">
        <f t="shared" si="30"/>
        <v>E4_4_1_11</v>
      </c>
      <c r="F693" s="11" t="s">
        <v>9799</v>
      </c>
      <c r="G693" s="11" t="s">
        <v>9799</v>
      </c>
      <c r="H693" s="11" t="s">
        <v>15026</v>
      </c>
      <c r="I693" s="11" t="s">
        <v>15027</v>
      </c>
      <c r="J693" s="61" t="str">
        <f t="shared" si="31"/>
        <v>(${Variables:E4_4_1_11_kcat} * E4_4_1_11 * C00073)/(${Variables:E4_4_1_11_km} + (E4_4_1_11 * C00073))</v>
      </c>
      <c r="K693" s="54" t="str">
        <f t="shared" si="32"/>
        <v>r692: C00073 -&gt; C00409 + C17234 | (${Variables:E4_4_1_11_kcat} * E4_4_1_11 * C00073)/(${Variables:E4_4_1_11_km} + (E4_4_1_11 * C00073))</v>
      </c>
    </row>
    <row r="694" spans="1:11" ht="29">
      <c r="A694" s="11" t="s">
        <v>5030</v>
      </c>
      <c r="B694" s="11" t="s">
        <v>5031</v>
      </c>
      <c r="C694" s="11" t="s">
        <v>12520</v>
      </c>
      <c r="D694" s="60">
        <v>693</v>
      </c>
      <c r="E694" s="11" t="str">
        <f t="shared" si="30"/>
        <v>E4_4_1_11</v>
      </c>
      <c r="F694" s="11" t="s">
        <v>15028</v>
      </c>
      <c r="G694" s="11" t="s">
        <v>15029</v>
      </c>
      <c r="H694" s="11" t="s">
        <v>15030</v>
      </c>
      <c r="I694" s="11" t="s">
        <v>15031</v>
      </c>
      <c r="J694" s="61" t="str">
        <f t="shared" si="31"/>
        <v>(${Variables:E4_4_1_11_kcat} * E4_4_1_11 * C05335 * C00001)/(${Variables:E4_4_1_11_km} + (E4_4_1_11 * C05335 * C00001))</v>
      </c>
      <c r="K694" s="54" t="str">
        <f t="shared" si="32"/>
        <v>r693: C05335 + C00001 -&gt; C05703 + C00014 + C00109 | (${Variables:E4_4_1_11_kcat} * E4_4_1_11 * C05335 * C00001)/(${Variables:E4_4_1_11_km} + (E4_4_1_11 * C05335 * C00001))</v>
      </c>
    </row>
    <row r="695" spans="1:11" ht="29">
      <c r="A695" s="11" t="s">
        <v>5046</v>
      </c>
      <c r="B695" s="11" t="s">
        <v>5047</v>
      </c>
      <c r="C695" s="11" t="s">
        <v>12450</v>
      </c>
      <c r="D695" s="60">
        <v>694</v>
      </c>
      <c r="E695" s="11" t="str">
        <f t="shared" si="30"/>
        <v>E2_7_1_48</v>
      </c>
      <c r="F695" s="11" t="s">
        <v>15032</v>
      </c>
      <c r="G695" s="11" t="s">
        <v>15033</v>
      </c>
      <c r="H695" s="11" t="s">
        <v>15034</v>
      </c>
      <c r="I695" s="11" t="s">
        <v>15035</v>
      </c>
      <c r="J695" s="61" t="str">
        <f t="shared" si="31"/>
        <v>(${Variables:E2_7_1_48_kcat} * E2_7_1_48 * C00002 * C00475)/(${Variables:E2_7_1_48_km} + (E2_7_1_48 * C00002 * C00475))</v>
      </c>
      <c r="K695" s="54" t="str">
        <f t="shared" si="32"/>
        <v>r694: C00002 + C00475 -&gt; C00008 + C00055 | (${Variables:E2_7_1_48_kcat} * E2_7_1_48 * C00002 * C00475)/(${Variables:E2_7_1_48_km} + (E2_7_1_48 * C00002 * C00475))</v>
      </c>
    </row>
    <row r="696" spans="1:11" ht="29">
      <c r="A696" s="11" t="s">
        <v>5046</v>
      </c>
      <c r="B696" s="11" t="s">
        <v>5047</v>
      </c>
      <c r="C696" s="11" t="s">
        <v>12450</v>
      </c>
      <c r="D696" s="60">
        <v>695</v>
      </c>
      <c r="E696" s="11" t="str">
        <f t="shared" si="30"/>
        <v>E2_7_1_48</v>
      </c>
      <c r="F696" s="11" t="s">
        <v>15036</v>
      </c>
      <c r="G696" s="11" t="s">
        <v>15037</v>
      </c>
      <c r="H696" s="11" t="s">
        <v>15038</v>
      </c>
      <c r="I696" s="11" t="s">
        <v>15039</v>
      </c>
      <c r="J696" s="61" t="str">
        <f t="shared" si="31"/>
        <v>(${Variables:E2_7_1_48_kcat} * E2_7_1_48 * C00002 * C00299)/(${Variables:E2_7_1_48_km} + (E2_7_1_48 * C00002 * C00299))</v>
      </c>
      <c r="K696" s="54" t="str">
        <f t="shared" si="32"/>
        <v>r695: C00002 + C00299 -&gt; C00008 + C00105 | (${Variables:E2_7_1_48_kcat} * E2_7_1_48 * C00002 * C00299)/(${Variables:E2_7_1_48_km} + (E2_7_1_48 * C00002 * C00299))</v>
      </c>
    </row>
    <row r="697" spans="1:11" ht="29">
      <c r="A697" s="11" t="s">
        <v>5046</v>
      </c>
      <c r="B697" s="11" t="s">
        <v>5047</v>
      </c>
      <c r="C697" s="11" t="s">
        <v>12450</v>
      </c>
      <c r="D697" s="60">
        <v>696</v>
      </c>
      <c r="E697" s="11" t="str">
        <f t="shared" si="30"/>
        <v>E2_7_1_48</v>
      </c>
      <c r="F697" s="11" t="s">
        <v>15040</v>
      </c>
      <c r="G697" s="11" t="s">
        <v>15041</v>
      </c>
      <c r="H697" s="11" t="s">
        <v>15042</v>
      </c>
      <c r="I697" s="11" t="s">
        <v>15043</v>
      </c>
      <c r="J697" s="61" t="str">
        <f t="shared" si="31"/>
        <v>(${Variables:E2_7_1_48_kcat} * E2_7_1_48 * C00044 * C00475)/(${Variables:E2_7_1_48_km} + (E2_7_1_48 * C00044 * C00475))</v>
      </c>
      <c r="K697" s="54" t="str">
        <f t="shared" si="32"/>
        <v>r696: C00044 + C00475 -&gt; C00035 + C00055 | (${Variables:E2_7_1_48_kcat} * E2_7_1_48 * C00044 * C00475)/(${Variables:E2_7_1_48_km} + (E2_7_1_48 * C00044 * C00475))</v>
      </c>
    </row>
    <row r="698" spans="1:11" ht="29">
      <c r="A698" s="11" t="s">
        <v>5046</v>
      </c>
      <c r="B698" s="11" t="s">
        <v>5047</v>
      </c>
      <c r="C698" s="11" t="s">
        <v>12450</v>
      </c>
      <c r="D698" s="60">
        <v>697</v>
      </c>
      <c r="E698" s="11" t="str">
        <f t="shared" si="30"/>
        <v>E2_7_1_48</v>
      </c>
      <c r="F698" s="11" t="s">
        <v>15044</v>
      </c>
      <c r="G698" s="11" t="s">
        <v>15045</v>
      </c>
      <c r="H698" s="11" t="s">
        <v>15046</v>
      </c>
      <c r="I698" s="11" t="s">
        <v>15047</v>
      </c>
      <c r="J698" s="61" t="str">
        <f t="shared" si="31"/>
        <v>(${Variables:E2_7_1_48_kcat} * E2_7_1_48 * C00044 * C00299)/(${Variables:E2_7_1_48_km} + (E2_7_1_48 * C00044 * C00299))</v>
      </c>
      <c r="K698" s="54" t="str">
        <f t="shared" si="32"/>
        <v>r697: C00044 + C00299 -&gt; C00035 + C00105 | (${Variables:E2_7_1_48_kcat} * E2_7_1_48 * C00044 * C00299)/(${Variables:E2_7_1_48_km} + (E2_7_1_48 * C00044 * C00299))</v>
      </c>
    </row>
    <row r="699" spans="1:11" ht="29">
      <c r="A699" s="11" t="s">
        <v>5046</v>
      </c>
      <c r="B699" s="11" t="s">
        <v>5047</v>
      </c>
      <c r="C699" s="11" t="s">
        <v>12450</v>
      </c>
      <c r="D699" s="60">
        <v>698</v>
      </c>
      <c r="E699" s="11" t="str">
        <f t="shared" si="30"/>
        <v>E2_7_1_48</v>
      </c>
      <c r="F699" s="11" t="s">
        <v>15048</v>
      </c>
      <c r="G699" s="11" t="s">
        <v>15049</v>
      </c>
      <c r="H699" s="11" t="s">
        <v>15050</v>
      </c>
      <c r="I699" s="11" t="s">
        <v>15051</v>
      </c>
      <c r="J699" s="61" t="str">
        <f t="shared" si="31"/>
        <v>(${Variables:E2_7_1_48_kcat} * E2_7_1_48 * C16633 * C00002)/(${Variables:E2_7_1_48_km} + (E2_7_1_48 * C16633 * C00002))</v>
      </c>
      <c r="K699" s="54" t="str">
        <f t="shared" si="32"/>
        <v>r698: C16633 + C00002 -&gt; C16634 + C00008 | (${Variables:E2_7_1_48_kcat} * E2_7_1_48 * C16633 * C00002)/(${Variables:E2_7_1_48_km} + (E2_7_1_48 * C16633 * C00002))</v>
      </c>
    </row>
    <row r="700" spans="1:11" ht="29">
      <c r="A700" s="11" t="s">
        <v>5058</v>
      </c>
      <c r="B700" s="11" t="s">
        <v>5059</v>
      </c>
      <c r="C700" s="11" t="s">
        <v>12669</v>
      </c>
      <c r="D700" s="60">
        <v>699</v>
      </c>
      <c r="E700" s="11" t="str">
        <f t="shared" si="30"/>
        <v>E2_5_1_10</v>
      </c>
      <c r="F700" s="11" t="s">
        <v>15052</v>
      </c>
      <c r="G700" s="11" t="s">
        <v>15053</v>
      </c>
      <c r="H700" s="11" t="s">
        <v>15054</v>
      </c>
      <c r="I700" s="11" t="s">
        <v>15055</v>
      </c>
      <c r="J700" s="61" t="str">
        <f t="shared" si="31"/>
        <v>(${Variables:E2_5_1_10_kcat} * E2_5_1_10 * C00341 * C00129)/(${Variables:E2_5_1_10_km} + (E2_5_1_10 * C00341 * C00129))</v>
      </c>
      <c r="K700" s="54" t="str">
        <f t="shared" si="32"/>
        <v>r699: C00341 + C00129 -&gt; C00013 + C00448 | (${Variables:E2_5_1_10_kcat} * E2_5_1_10 * C00341 * C00129)/(${Variables:E2_5_1_10_km} + (E2_5_1_10 * C00341 * C00129))</v>
      </c>
    </row>
    <row r="701" spans="1:11" ht="29">
      <c r="A701" s="11" t="s">
        <v>5113</v>
      </c>
      <c r="B701" s="11" t="s">
        <v>5114</v>
      </c>
      <c r="C701" s="11" t="s">
        <v>12671</v>
      </c>
      <c r="D701" s="60">
        <v>700</v>
      </c>
      <c r="E701" s="11" t="str">
        <f t="shared" si="30"/>
        <v>E2_8_1_7</v>
      </c>
      <c r="F701" s="11" t="s">
        <v>15056</v>
      </c>
      <c r="G701" s="11" t="s">
        <v>15057</v>
      </c>
      <c r="H701" s="11" t="s">
        <v>15058</v>
      </c>
      <c r="I701" s="11" t="s">
        <v>15059</v>
      </c>
      <c r="J701" s="61" t="str">
        <f t="shared" si="31"/>
        <v>(${Variables:E2_8_1_7_kcat} * E2_8_1_7 * C15811 * C00097)/(${Variables:E2_8_1_7_km} + (E2_8_1_7 * C15811 * C00097))</v>
      </c>
      <c r="K701" s="54" t="str">
        <f t="shared" si="32"/>
        <v>r700: C15811 + C00097 -&gt; C15812 + C00041 | (${Variables:E2_8_1_7_kcat} * E2_8_1_7 * C15811 * C00097)/(${Variables:E2_8_1_7_km} + (E2_8_1_7 * C15811 * C00097))</v>
      </c>
    </row>
    <row r="702" spans="1:11" ht="29">
      <c r="A702" s="11" t="s">
        <v>5113</v>
      </c>
      <c r="B702" s="11" t="s">
        <v>5114</v>
      </c>
      <c r="C702" s="11" t="s">
        <v>12671</v>
      </c>
      <c r="D702" s="60">
        <v>701</v>
      </c>
      <c r="E702" s="11" t="str">
        <f t="shared" si="30"/>
        <v>E2_8_1_7</v>
      </c>
      <c r="F702" s="11" t="s">
        <v>15060</v>
      </c>
      <c r="G702" s="11" t="s">
        <v>15061</v>
      </c>
      <c r="H702" s="11" t="s">
        <v>15062</v>
      </c>
      <c r="I702" s="11" t="s">
        <v>15063</v>
      </c>
      <c r="J702" s="61" t="str">
        <f t="shared" si="31"/>
        <v>(${Variables:E2_8_1_7_kcat} * E2_8_1_7 * C00097 * C02743)/(${Variables:E2_8_1_7_km} + (E2_8_1_7 * C00097 * C02743))</v>
      </c>
      <c r="K702" s="54" t="str">
        <f t="shared" si="32"/>
        <v>r701: C00097 + C02743 -&gt; C00041 + C21440 | (${Variables:E2_8_1_7_kcat} * E2_8_1_7 * C00097 * C02743)/(${Variables:E2_8_1_7_km} + (E2_8_1_7 * C00097 * C02743))</v>
      </c>
    </row>
    <row r="703" spans="1:11" ht="29">
      <c r="A703" s="11" t="s">
        <v>5113</v>
      </c>
      <c r="B703" s="11" t="s">
        <v>5114</v>
      </c>
      <c r="C703" s="11" t="s">
        <v>12671</v>
      </c>
      <c r="D703" s="60">
        <v>702</v>
      </c>
      <c r="E703" s="11" t="str">
        <f t="shared" si="30"/>
        <v>E2_8_1_7</v>
      </c>
      <c r="F703" s="11" t="s">
        <v>15064</v>
      </c>
      <c r="G703" s="11" t="s">
        <v>15065</v>
      </c>
      <c r="H703" s="11" t="s">
        <v>15066</v>
      </c>
      <c r="I703" s="11" t="s">
        <v>15067</v>
      </c>
      <c r="J703" s="61" t="str">
        <f t="shared" si="31"/>
        <v>(${Variables:E2_8_1_7_kcat} * E2_8_1_7 * C15812 * C02743)/(${Variables:E2_8_1_7_km} + (E2_8_1_7 * C15812 * C02743))</v>
      </c>
      <c r="K703" s="54" t="str">
        <f t="shared" si="32"/>
        <v>r702: C15812 + C02743 -&gt; C15811 + C21440 | (${Variables:E2_8_1_7_kcat} * E2_8_1_7 * C15812 * C02743)/(${Variables:E2_8_1_7_km} + (E2_8_1_7 * C15812 * C02743))</v>
      </c>
    </row>
    <row r="704" spans="1:11" ht="29">
      <c r="A704" s="11" t="s">
        <v>5128</v>
      </c>
      <c r="B704" s="11" t="s">
        <v>5129</v>
      </c>
      <c r="C704" s="11" t="s">
        <v>12672</v>
      </c>
      <c r="D704" s="60">
        <v>703</v>
      </c>
      <c r="E704" s="11" t="str">
        <f t="shared" si="30"/>
        <v>E2_7_1_23</v>
      </c>
      <c r="F704" s="11" t="s">
        <v>15068</v>
      </c>
      <c r="G704" s="11" t="s">
        <v>15069</v>
      </c>
      <c r="H704" s="11" t="s">
        <v>15070</v>
      </c>
      <c r="I704" s="11" t="s">
        <v>15071</v>
      </c>
      <c r="J704" s="61" t="str">
        <f t="shared" si="31"/>
        <v>(${Variables:E2_7_1_23_kcat} * E2_7_1_23 * C00002 * C00003)/(${Variables:E2_7_1_23_km} + (E2_7_1_23 * C00002 * C00003))</v>
      </c>
      <c r="K704" s="54" t="str">
        <f t="shared" si="32"/>
        <v>r703: C00002 + C00003 -&gt; C00008 + C00006 | (${Variables:E2_7_1_23_kcat} * E2_7_1_23 * C00002 * C00003)/(${Variables:E2_7_1_23_km} + (E2_7_1_23 * C00002 * C00003))</v>
      </c>
    </row>
    <row r="705" spans="1:11" ht="29">
      <c r="A705" s="11" t="s">
        <v>5136</v>
      </c>
      <c r="B705" s="11" t="s">
        <v>5137</v>
      </c>
      <c r="C705" s="11" t="s">
        <v>12674</v>
      </c>
      <c r="D705" s="60">
        <v>704</v>
      </c>
      <c r="E705" s="11" t="str">
        <f t="shared" si="30"/>
        <v>E2_3_1_8</v>
      </c>
      <c r="F705" s="11" t="s">
        <v>15072</v>
      </c>
      <c r="G705" s="11" t="s">
        <v>15073</v>
      </c>
      <c r="H705" s="11" t="s">
        <v>15074</v>
      </c>
      <c r="I705" s="11" t="s">
        <v>15075</v>
      </c>
      <c r="J705" s="61" t="str">
        <f t="shared" si="31"/>
        <v>(${Variables:E2_3_1_8_kcat} * E2_3_1_8 * C00024 * C00009)/(${Variables:E2_3_1_8_km} + (E2_3_1_8 * C00024 * C00009))</v>
      </c>
      <c r="K705" s="54" t="str">
        <f t="shared" si="32"/>
        <v>r704: C00024 + C00009 -&gt; C00010 + C00227 | (${Variables:E2_3_1_8_kcat} * E2_3_1_8 * C00024 * C00009)/(${Variables:E2_3_1_8_km} + (E2_3_1_8 * C00024 * C00009))</v>
      </c>
    </row>
    <row r="706" spans="1:11" ht="29">
      <c r="A706" s="11" t="s">
        <v>5136</v>
      </c>
      <c r="B706" s="11" t="s">
        <v>5137</v>
      </c>
      <c r="C706" s="11" t="s">
        <v>12674</v>
      </c>
      <c r="D706" s="60">
        <v>705</v>
      </c>
      <c r="E706" s="11" t="str">
        <f t="shared" si="30"/>
        <v>E2_3_1_8</v>
      </c>
      <c r="F706" s="11" t="s">
        <v>15076</v>
      </c>
      <c r="G706" s="11" t="s">
        <v>15077</v>
      </c>
      <c r="H706" s="11" t="s">
        <v>15078</v>
      </c>
      <c r="I706" s="11" t="s">
        <v>15079</v>
      </c>
      <c r="J706" s="61" t="str">
        <f t="shared" si="31"/>
        <v>(${Variables:E2_3_1_8_kcat} * E2_3_1_8 * C00100 * C00009)/(${Variables:E2_3_1_8_km} + (E2_3_1_8 * C00100 * C00009))</v>
      </c>
      <c r="K706" s="54" t="str">
        <f t="shared" si="32"/>
        <v>r705: C00100 + C00009 -&gt; C02876 + C00010 | (${Variables:E2_3_1_8_kcat} * E2_3_1_8 * C00100 * C00009)/(${Variables:E2_3_1_8_km} + (E2_3_1_8 * C00100 * C00009))</v>
      </c>
    </row>
    <row r="707" spans="1:11" ht="29">
      <c r="A707" s="11" t="s">
        <v>5159</v>
      </c>
      <c r="B707" s="11" t="s">
        <v>5160</v>
      </c>
      <c r="C707" s="11" t="s">
        <v>12675</v>
      </c>
      <c r="D707" s="60">
        <v>706</v>
      </c>
      <c r="E707" s="11" t="str">
        <f t="shared" ref="E707:E770" si="33">CONCATENATE("E",C707)</f>
        <v>E2_7_7_2</v>
      </c>
      <c r="F707" s="62" t="s">
        <v>15080</v>
      </c>
      <c r="G707" s="62" t="s">
        <v>15081</v>
      </c>
      <c r="H707" s="11" t="s">
        <v>15082</v>
      </c>
      <c r="I707" s="11" t="s">
        <v>15083</v>
      </c>
      <c r="J707" s="61" t="str">
        <f t="shared" ref="J707:J770" si="34">CONCATENATE("(${Variables:",E707,"_kcat","} * ",E707," * ",G707,")","/(${Variables:",E707,"_km","} + (",E707," * ",G707,"))")</f>
        <v>(${Variables:E2_7_7_2_kcat} * E2_7_7_2 * C00002 * C00061)/(${Variables:E2_7_7_2_km} + (E2_7_7_2 * C00002 * C00061))</v>
      </c>
      <c r="K707" s="54" t="str">
        <f t="shared" ref="K707:K770" si="35">CONCATENATE("r",D707,": ",F707," -&gt; ",H707," | ",J707)</f>
        <v>r706: C00002 + C00061 -&gt; C00013 + C00016 | (${Variables:E2_7_7_2_kcat} * E2_7_7_2 * C00002 * C00061)/(${Variables:E2_7_7_2_km} + (E2_7_7_2 * C00002 * C00061))</v>
      </c>
    </row>
    <row r="708" spans="1:11" ht="43.5">
      <c r="A708" s="11" t="s">
        <v>5182</v>
      </c>
      <c r="B708" s="11" t="s">
        <v>5183</v>
      </c>
      <c r="C708" s="11" t="s">
        <v>12676</v>
      </c>
      <c r="D708" s="60">
        <v>707</v>
      </c>
      <c r="E708" s="11" t="str">
        <f t="shared" si="33"/>
        <v>E6_5_1_2</v>
      </c>
      <c r="F708" s="11" t="s">
        <v>15084</v>
      </c>
      <c r="G708" s="11" t="s">
        <v>15085</v>
      </c>
      <c r="H708" s="11" t="s">
        <v>15086</v>
      </c>
      <c r="I708" s="11" t="s">
        <v>15087</v>
      </c>
      <c r="J708" s="61" t="str">
        <f t="shared" si="34"/>
        <v>(${Variables:E6_5_1_2_kcat} * E6_5_1_2 * C00003 * C00039 * C02128)/(${Variables:E6_5_1_2_km} + (E6_5_1_2 * C00003 * C00039 * C02128))</v>
      </c>
      <c r="K708" s="54" t="str">
        <f t="shared" si="35"/>
        <v>r707: C00003 + C00039 + C02128 -&gt; C00020 + C00455 + C00039 | (${Variables:E6_5_1_2_kcat} * E6_5_1_2 * C00003 * C00039 * C02128)/(${Variables:E6_5_1_2_km} + (E6_5_1_2 * C00003 * C00039 * C02128))</v>
      </c>
    </row>
    <row r="709" spans="1:11" ht="43.5">
      <c r="A709" s="11" t="s">
        <v>5189</v>
      </c>
      <c r="B709" s="11" t="s">
        <v>5190</v>
      </c>
      <c r="C709" s="11" t="s">
        <v>12678</v>
      </c>
      <c r="D709" s="60">
        <v>708</v>
      </c>
      <c r="E709" s="11" t="str">
        <f t="shared" si="33"/>
        <v>E1_2_1_9</v>
      </c>
      <c r="F709" s="11" t="s">
        <v>15088</v>
      </c>
      <c r="G709" s="11" t="s">
        <v>15089</v>
      </c>
      <c r="H709" s="11" t="s">
        <v>15090</v>
      </c>
      <c r="I709" s="11" t="s">
        <v>15091</v>
      </c>
      <c r="J709" s="61" t="str">
        <f t="shared" si="34"/>
        <v>(${Variables:E1_2_1_9_kcat} * E1_2_1_9 * C00118 * C00006 * C00001)/(${Variables:E1_2_1_9_km} + (E1_2_1_9 * C00118 * C00006 * C00001))</v>
      </c>
      <c r="K709" s="54" t="str">
        <f t="shared" si="35"/>
        <v>r708: C00118 + C00006 + C00001 -&gt; C00197 + C00005 + C00080 | (${Variables:E1_2_1_9_kcat} * E1_2_1_9 * C00118 * C00006 * C00001)/(${Variables:E1_2_1_9_km} + (E1_2_1_9 * C00118 * C00006 * C00001))</v>
      </c>
    </row>
    <row r="710" spans="1:11" ht="29">
      <c r="A710" s="11" t="s">
        <v>5193</v>
      </c>
      <c r="B710" s="11" t="s">
        <v>5194</v>
      </c>
      <c r="C710" s="11" t="s">
        <v>12679</v>
      </c>
      <c r="D710" s="60">
        <v>709</v>
      </c>
      <c r="E710" s="11" t="str">
        <f t="shared" si="33"/>
        <v>E2_4_1_18</v>
      </c>
      <c r="F710" s="11" t="s">
        <v>9877</v>
      </c>
      <c r="G710" s="11" t="s">
        <v>9877</v>
      </c>
      <c r="H710" s="11" t="s">
        <v>9571</v>
      </c>
      <c r="I710" s="11" t="s">
        <v>9571</v>
      </c>
      <c r="J710" s="61" t="str">
        <f t="shared" si="34"/>
        <v>(${Variables:E2_4_1_18_kcat} * E2_4_1_18 * C00718)/(${Variables:E2_4_1_18_km} + (E2_4_1_18 * C00718))</v>
      </c>
      <c r="K710" s="54" t="str">
        <f t="shared" si="35"/>
        <v>r709: C00718 -&gt; C00369 | (${Variables:E2_4_1_18_kcat} * E2_4_1_18 * C00718)/(${Variables:E2_4_1_18_km} + (E2_4_1_18 * C00718))</v>
      </c>
    </row>
    <row r="711" spans="1:11" ht="29">
      <c r="A711" s="11" t="s">
        <v>5193</v>
      </c>
      <c r="B711" s="11" t="s">
        <v>5194</v>
      </c>
      <c r="C711" s="11" t="s">
        <v>12679</v>
      </c>
      <c r="D711" s="60">
        <v>710</v>
      </c>
      <c r="E711" s="11" t="str">
        <f t="shared" si="33"/>
        <v>E2_4_1_18</v>
      </c>
      <c r="F711" s="11" t="s">
        <v>9879</v>
      </c>
      <c r="G711" s="11" t="s">
        <v>9879</v>
      </c>
      <c r="H711" s="11" t="s">
        <v>9880</v>
      </c>
      <c r="I711" s="11" t="s">
        <v>9880</v>
      </c>
      <c r="J711" s="61" t="str">
        <f t="shared" si="34"/>
        <v>(${Variables:E2_4_1_18_kcat} * E2_4_1_18 * G10495)/(${Variables:E2_4_1_18_km} + (E2_4_1_18 * G10495))</v>
      </c>
      <c r="K711" s="54" t="str">
        <f t="shared" si="35"/>
        <v>r710: G10495 -&gt; G10545 | (${Variables:E2_4_1_18_kcat} * E2_4_1_18 * G10495)/(${Variables:E2_4_1_18_km} + (E2_4_1_18 * G10495))</v>
      </c>
    </row>
    <row r="712" spans="1:11" ht="29">
      <c r="A712" s="11" t="s">
        <v>5208</v>
      </c>
      <c r="B712" s="11" t="s">
        <v>5209</v>
      </c>
      <c r="C712" s="11" t="s">
        <v>12680</v>
      </c>
      <c r="D712" s="60">
        <v>711</v>
      </c>
      <c r="E712" s="11" t="str">
        <f t="shared" si="33"/>
        <v>E2_4_1_21</v>
      </c>
      <c r="F712" s="62" t="s">
        <v>15092</v>
      </c>
      <c r="G712" s="62" t="s">
        <v>15093</v>
      </c>
      <c r="H712" s="11" t="s">
        <v>15094</v>
      </c>
      <c r="I712" s="11" t="s">
        <v>15095</v>
      </c>
      <c r="J712" s="61" t="str">
        <f t="shared" si="34"/>
        <v>(${Variables:E2_4_1_21_kcat} * E2_4_1_21 * C00498 * C00718)/(${Variables:E2_4_1_21_km} + (E2_4_1_21 * C00498 * C00718))</v>
      </c>
      <c r="K712" s="54" t="str">
        <f t="shared" si="35"/>
        <v>r711: C00498 + C00718 -&gt; C00008 + C00718 | (${Variables:E2_4_1_21_kcat} * E2_4_1_21 * C00498 * C00718)/(${Variables:E2_4_1_21_km} + (E2_4_1_21 * C00498 * C00718))</v>
      </c>
    </row>
    <row r="713" spans="1:11" ht="29">
      <c r="A713" s="11" t="s">
        <v>5208</v>
      </c>
      <c r="B713" s="11" t="s">
        <v>5209</v>
      </c>
      <c r="C713" s="11" t="s">
        <v>12680</v>
      </c>
      <c r="D713" s="60">
        <v>712</v>
      </c>
      <c r="E713" s="11" t="str">
        <f t="shared" si="33"/>
        <v>E2_4_1_21</v>
      </c>
      <c r="F713" s="11" t="s">
        <v>15096</v>
      </c>
      <c r="G713" s="11" t="s">
        <v>15097</v>
      </c>
      <c r="H713" s="11" t="s">
        <v>15098</v>
      </c>
      <c r="I713" s="11" t="s">
        <v>15099</v>
      </c>
      <c r="J713" s="61" t="str">
        <f t="shared" si="34"/>
        <v>(${Variables:E2_4_1_21_kcat} * E2_4_1_21 * G10495 * G11109)/(${Variables:E2_4_1_21_km} + (E2_4_1_21 * G10495 * G11109))</v>
      </c>
      <c r="K713" s="54" t="str">
        <f t="shared" si="35"/>
        <v>r712: G10495 + G11109 -&gt; G10495 + G11113 | (${Variables:E2_4_1_21_kcat} * E2_4_1_21 * G10495 * G11109)/(${Variables:E2_4_1_21_km} + (E2_4_1_21 * G10495 * G11109))</v>
      </c>
    </row>
    <row r="714" spans="1:11" ht="29">
      <c r="A714" s="11" t="s">
        <v>5212</v>
      </c>
      <c r="B714" s="11" t="s">
        <v>5213</v>
      </c>
      <c r="C714" s="11" t="s">
        <v>12681</v>
      </c>
      <c r="D714" s="60">
        <v>713</v>
      </c>
      <c r="E714" s="11" t="str">
        <f t="shared" si="33"/>
        <v>E3_1_3_3</v>
      </c>
      <c r="F714" s="11" t="s">
        <v>15100</v>
      </c>
      <c r="G714" s="11" t="s">
        <v>15101</v>
      </c>
      <c r="H714" s="11" t="s">
        <v>15102</v>
      </c>
      <c r="I714" s="11" t="s">
        <v>15103</v>
      </c>
      <c r="J714" s="61" t="str">
        <f t="shared" si="34"/>
        <v>(${Variables:E3_1_3_3_kcat} * E3_1_3_3 * C01005 * C00001)/(${Variables:E3_1_3_3_km} + (E3_1_3_3 * C01005 * C00001))</v>
      </c>
      <c r="K714" s="54" t="str">
        <f t="shared" si="35"/>
        <v>r713: C01005 + C00001 -&gt; C00065 + C00009 | (${Variables:E3_1_3_3_kcat} * E3_1_3_3 * C01005 * C00001)/(${Variables:E3_1_3_3_km} + (E3_1_3_3 * C01005 * C00001))</v>
      </c>
    </row>
    <row r="715" spans="1:11" ht="29">
      <c r="A715" s="11" t="s">
        <v>5212</v>
      </c>
      <c r="B715" s="11" t="s">
        <v>5213</v>
      </c>
      <c r="C715" s="11" t="s">
        <v>12681</v>
      </c>
      <c r="D715" s="60">
        <v>714</v>
      </c>
      <c r="E715" s="11" t="str">
        <f t="shared" si="33"/>
        <v>E3_1_3_3</v>
      </c>
      <c r="F715" s="11" t="s">
        <v>15104</v>
      </c>
      <c r="G715" s="11" t="s">
        <v>15105</v>
      </c>
      <c r="H715" s="11" t="s">
        <v>15106</v>
      </c>
      <c r="I715" s="11" t="s">
        <v>15107</v>
      </c>
      <c r="J715" s="61" t="str">
        <f t="shared" si="34"/>
        <v>(${Variables:E3_1_3_3_kcat} * E3_1_3_3 * C02532 * C00001)/(${Variables:E3_1_3_3_km} + (E3_1_3_3 * C02532 * C00001))</v>
      </c>
      <c r="K715" s="54" t="str">
        <f t="shared" si="35"/>
        <v>r714: C02532 + C00001 -&gt; C00740 + C00009 | (${Variables:E3_1_3_3_kcat} * E3_1_3_3 * C02532 * C00001)/(${Variables:E3_1_3_3_km} + (E3_1_3_3 * C02532 * C00001))</v>
      </c>
    </row>
    <row r="716" spans="1:11" ht="29">
      <c r="A716" s="11" t="s">
        <v>5216</v>
      </c>
      <c r="B716" s="11" t="s">
        <v>5217</v>
      </c>
      <c r="C716" s="11" t="s">
        <v>12682</v>
      </c>
      <c r="D716" s="60">
        <v>715</v>
      </c>
      <c r="E716" s="11" t="str">
        <f t="shared" si="33"/>
        <v>E2_7_1_31</v>
      </c>
      <c r="F716" s="11" t="s">
        <v>15108</v>
      </c>
      <c r="G716" s="11" t="s">
        <v>15109</v>
      </c>
      <c r="H716" s="11" t="s">
        <v>15110</v>
      </c>
      <c r="I716" s="11" t="s">
        <v>15111</v>
      </c>
      <c r="J716" s="61" t="str">
        <f t="shared" si="34"/>
        <v>(${Variables:E2_7_1_31_kcat} * E2_7_1_31 * C00002 * C00258)/(${Variables:E2_7_1_31_km} + (E2_7_1_31 * C00002 * C00258))</v>
      </c>
      <c r="K716" s="54" t="str">
        <f t="shared" si="35"/>
        <v>r715: C00002 + C00258 -&gt; C00008 + C00197 | (${Variables:E2_7_1_31_kcat} * E2_7_1_31 * C00002 * C00258)/(${Variables:E2_7_1_31_km} + (E2_7_1_31 * C00002 * C00258))</v>
      </c>
    </row>
    <row r="717" spans="1:11" ht="29">
      <c r="A717" s="11" t="s">
        <v>5223</v>
      </c>
      <c r="B717" s="11" t="s">
        <v>5224</v>
      </c>
      <c r="C717" s="11" t="s">
        <v>12683</v>
      </c>
      <c r="D717" s="60">
        <v>716</v>
      </c>
      <c r="E717" s="11" t="str">
        <f t="shared" si="33"/>
        <v>E4_2_1_11</v>
      </c>
      <c r="F717" s="11" t="s">
        <v>9905</v>
      </c>
      <c r="G717" s="11" t="s">
        <v>9905</v>
      </c>
      <c r="H717" s="11" t="s">
        <v>15112</v>
      </c>
      <c r="I717" s="11" t="s">
        <v>15113</v>
      </c>
      <c r="J717" s="61" t="str">
        <f t="shared" si="34"/>
        <v>(${Variables:E4_2_1_11_kcat} * E4_2_1_11 * C00631)/(${Variables:E4_2_1_11_km} + (E4_2_1_11 * C00631))</v>
      </c>
      <c r="K717" s="54" t="str">
        <f t="shared" si="35"/>
        <v>r716: C00631 -&gt; C00074 + C00001 | (${Variables:E4_2_1_11_kcat} * E4_2_1_11 * C00631)/(${Variables:E4_2_1_11_km} + (E4_2_1_11 * C00631))</v>
      </c>
    </row>
    <row r="718" spans="1:11" ht="29">
      <c r="A718" s="11" t="s">
        <v>5223</v>
      </c>
      <c r="B718" s="11" t="s">
        <v>5224</v>
      </c>
      <c r="C718" s="11" t="s">
        <v>12683</v>
      </c>
      <c r="D718" s="60">
        <v>717</v>
      </c>
      <c r="E718" s="11" t="str">
        <f t="shared" si="33"/>
        <v>E4_2_1_11</v>
      </c>
      <c r="F718" s="11" t="s">
        <v>9908</v>
      </c>
      <c r="G718" s="11" t="s">
        <v>9908</v>
      </c>
      <c r="H718" s="11" t="s">
        <v>15114</v>
      </c>
      <c r="I718" s="11" t="s">
        <v>15115</v>
      </c>
      <c r="J718" s="61" t="str">
        <f t="shared" si="34"/>
        <v>(${Variables:E4_2_1_11_kcat} * E4_2_1_11 * C03356)/(${Variables:E4_2_1_11_km} + (E4_2_1_11 * C03356))</v>
      </c>
      <c r="K718" s="54" t="str">
        <f t="shared" si="35"/>
        <v>r717: C03356 -&gt; C04309 + C00001 | (${Variables:E4_2_1_11_kcat} * E4_2_1_11 * C03356)/(${Variables:E4_2_1_11_km} + (E4_2_1_11 * C03356))</v>
      </c>
    </row>
    <row r="719" spans="1:11" ht="29">
      <c r="A719" s="11" t="s">
        <v>5284</v>
      </c>
      <c r="B719" s="11" t="s">
        <v>5285</v>
      </c>
      <c r="C719" s="11" t="s">
        <v>12685</v>
      </c>
      <c r="D719" s="60">
        <v>718</v>
      </c>
      <c r="E719" s="11" t="str">
        <f t="shared" si="33"/>
        <v>E2_3_1_12</v>
      </c>
      <c r="F719" s="11" t="s">
        <v>15116</v>
      </c>
      <c r="G719" s="11" t="s">
        <v>15117</v>
      </c>
      <c r="H719" s="11" t="s">
        <v>15118</v>
      </c>
      <c r="I719" s="11" t="s">
        <v>15119</v>
      </c>
      <c r="J719" s="61" t="str">
        <f t="shared" si="34"/>
        <v>(${Variables:E2_3_1_12_kcat} * E2_3_1_12 * C00024 * C15973)/(${Variables:E2_3_1_12_km} + (E2_3_1_12 * C00024 * C15973))</v>
      </c>
      <c r="K719" s="54" t="str">
        <f t="shared" si="35"/>
        <v>r718: C00024 + C15973 -&gt; C00010 + C16255 | (${Variables:E2_3_1_12_kcat} * E2_3_1_12 * C00024 * C15973)/(${Variables:E2_3_1_12_km} + (E2_3_1_12 * C00024 * C15973))</v>
      </c>
    </row>
    <row r="720" spans="1:11" ht="29">
      <c r="A720" s="11" t="s">
        <v>5288</v>
      </c>
      <c r="B720" s="11" t="s">
        <v>5289</v>
      </c>
      <c r="C720" s="11" t="s">
        <v>12686</v>
      </c>
      <c r="D720" s="60">
        <v>719</v>
      </c>
      <c r="E720" s="11" t="str">
        <f t="shared" si="33"/>
        <v>E1_2_4_4</v>
      </c>
      <c r="F720" s="11" t="s">
        <v>15120</v>
      </c>
      <c r="G720" s="11" t="s">
        <v>15121</v>
      </c>
      <c r="H720" s="11" t="s">
        <v>15122</v>
      </c>
      <c r="I720" s="11" t="s">
        <v>15123</v>
      </c>
      <c r="J720" s="61" t="str">
        <f t="shared" si="34"/>
        <v>(${Variables:E1_2_4_4_kcat} * E1_2_4_4 * C00141 * C15972)/(${Variables:E1_2_4_4_km} + (E1_2_4_4 * C00141 * C15972))</v>
      </c>
      <c r="K720" s="54" t="str">
        <f t="shared" si="35"/>
        <v>r719: C00141 + C15972 -&gt; C15977 + C00011 | (${Variables:E1_2_4_4_kcat} * E1_2_4_4 * C00141 * C15972)/(${Variables:E1_2_4_4_km} + (E1_2_4_4 * C00141 * C15972))</v>
      </c>
    </row>
    <row r="721" spans="1:11" ht="29">
      <c r="A721" s="11" t="s">
        <v>5288</v>
      </c>
      <c r="B721" s="11" t="s">
        <v>5289</v>
      </c>
      <c r="C721" s="11" t="s">
        <v>12686</v>
      </c>
      <c r="D721" s="60">
        <v>720</v>
      </c>
      <c r="E721" s="11" t="str">
        <f t="shared" si="33"/>
        <v>E1_2_4_4</v>
      </c>
      <c r="F721" s="11" t="s">
        <v>15124</v>
      </c>
      <c r="G721" s="11" t="s">
        <v>15125</v>
      </c>
      <c r="H721" s="11" t="s">
        <v>15126</v>
      </c>
      <c r="I721" s="11" t="s">
        <v>15127</v>
      </c>
      <c r="J721" s="61" t="str">
        <f t="shared" si="34"/>
        <v>(${Variables:E1_2_4_4_kcat} * E1_2_4_4 * C00233 * C15972)/(${Variables:E1_2_4_4_km} + (E1_2_4_4 * C00233 * C15972))</v>
      </c>
      <c r="K721" s="54" t="str">
        <f t="shared" si="35"/>
        <v>r720: C00233 + C15972 -&gt; C15975 + C00011 | (${Variables:E1_2_4_4_kcat} * E1_2_4_4 * C00233 * C15972)/(${Variables:E1_2_4_4_km} + (E1_2_4_4 * C00233 * C15972))</v>
      </c>
    </row>
    <row r="722" spans="1:11" ht="29">
      <c r="A722" s="11" t="s">
        <v>5288</v>
      </c>
      <c r="B722" s="11" t="s">
        <v>5289</v>
      </c>
      <c r="C722" s="11" t="s">
        <v>12686</v>
      </c>
      <c r="D722" s="60">
        <v>721</v>
      </c>
      <c r="E722" s="11" t="str">
        <f t="shared" si="33"/>
        <v>E1_2_4_4</v>
      </c>
      <c r="F722" s="11" t="s">
        <v>15128</v>
      </c>
      <c r="G722" s="11" t="s">
        <v>15129</v>
      </c>
      <c r="H722" s="11" t="s">
        <v>15130</v>
      </c>
      <c r="I722" s="11" t="s">
        <v>15131</v>
      </c>
      <c r="J722" s="61" t="str">
        <f t="shared" si="34"/>
        <v>(${Variables:E1_2_4_4_kcat} * E1_2_4_4 * C00671 * C15972)/(${Variables:E1_2_4_4_km} + (E1_2_4_4 * C00671 * C15972))</v>
      </c>
      <c r="K722" s="54" t="str">
        <f t="shared" si="35"/>
        <v>r721: C00671 + C15972 -&gt; C15979 + C00011 | (${Variables:E1_2_4_4_kcat} * E1_2_4_4 * C00671 * C15972)/(${Variables:E1_2_4_4_km} + (E1_2_4_4 * C00671 * C15972))</v>
      </c>
    </row>
    <row r="723" spans="1:11" ht="29">
      <c r="A723" s="11" t="s">
        <v>5288</v>
      </c>
      <c r="B723" s="11" t="s">
        <v>5289</v>
      </c>
      <c r="C723" s="11" t="s">
        <v>12686</v>
      </c>
      <c r="D723" s="60">
        <v>722</v>
      </c>
      <c r="E723" s="11" t="str">
        <f t="shared" si="33"/>
        <v>E1_2_4_4</v>
      </c>
      <c r="F723" s="11" t="s">
        <v>15132</v>
      </c>
      <c r="G723" s="11" t="s">
        <v>15133</v>
      </c>
      <c r="H723" s="11" t="s">
        <v>15134</v>
      </c>
      <c r="I723" s="11" t="s">
        <v>15135</v>
      </c>
      <c r="J723" s="61" t="str">
        <f t="shared" si="34"/>
        <v>(${Variables:E1_2_4_4_kcat} * E1_2_4_4 * C00141 * C00068)/(${Variables:E1_2_4_4_km} + (E1_2_4_4 * C00141 * C00068))</v>
      </c>
      <c r="K723" s="54" t="str">
        <f t="shared" si="35"/>
        <v>r722: C00141 + C00068 -&gt; C15976 + C00011 | (${Variables:E1_2_4_4_kcat} * E1_2_4_4 * C00141 * C00068)/(${Variables:E1_2_4_4_km} + (E1_2_4_4 * C00141 * C00068))</v>
      </c>
    </row>
    <row r="724" spans="1:11" ht="29">
      <c r="A724" s="11" t="s">
        <v>5288</v>
      </c>
      <c r="B724" s="11" t="s">
        <v>5289</v>
      </c>
      <c r="C724" s="11" t="s">
        <v>12686</v>
      </c>
      <c r="D724" s="60">
        <v>723</v>
      </c>
      <c r="E724" s="11" t="str">
        <f t="shared" si="33"/>
        <v>E1_2_4_4</v>
      </c>
      <c r="F724" s="11" t="s">
        <v>15136</v>
      </c>
      <c r="G724" s="11" t="s">
        <v>15137</v>
      </c>
      <c r="H724" s="11" t="s">
        <v>15138</v>
      </c>
      <c r="I724" s="11" t="s">
        <v>15139</v>
      </c>
      <c r="J724" s="61" t="str">
        <f t="shared" si="34"/>
        <v>(${Variables:E1_2_4_4_kcat} * E1_2_4_4 * C15976 * C15972)/(${Variables:E1_2_4_4_km} + (E1_2_4_4 * C15976 * C15972))</v>
      </c>
      <c r="K724" s="54" t="str">
        <f t="shared" si="35"/>
        <v>r723: C15976 + C15972 -&gt; C15977 + C00068 | (${Variables:E1_2_4_4_kcat} * E1_2_4_4 * C15976 * C15972)/(${Variables:E1_2_4_4_km} + (E1_2_4_4 * C15976 * C15972))</v>
      </c>
    </row>
    <row r="725" spans="1:11" ht="29">
      <c r="A725" s="11" t="s">
        <v>5288</v>
      </c>
      <c r="B725" s="11" t="s">
        <v>5289</v>
      </c>
      <c r="C725" s="11" t="s">
        <v>12686</v>
      </c>
      <c r="D725" s="60">
        <v>724</v>
      </c>
      <c r="E725" s="11" t="str">
        <f t="shared" si="33"/>
        <v>E1_2_4_4</v>
      </c>
      <c r="F725" s="11" t="s">
        <v>15140</v>
      </c>
      <c r="G725" s="11" t="s">
        <v>15141</v>
      </c>
      <c r="H725" s="11" t="s">
        <v>15142</v>
      </c>
      <c r="I725" s="11" t="s">
        <v>15143</v>
      </c>
      <c r="J725" s="61" t="str">
        <f t="shared" si="34"/>
        <v>(${Variables:E1_2_4_4_kcat} * E1_2_4_4 * C00233 * C00068)/(${Variables:E1_2_4_4_km} + (E1_2_4_4 * C00233 * C00068))</v>
      </c>
      <c r="K725" s="54" t="str">
        <f t="shared" si="35"/>
        <v>r724: C00233 + C00068 -&gt; C15974 + C00011 | (${Variables:E1_2_4_4_kcat} * E1_2_4_4 * C00233 * C00068)/(${Variables:E1_2_4_4_km} + (E1_2_4_4 * C00233 * C00068))</v>
      </c>
    </row>
    <row r="726" spans="1:11" ht="29">
      <c r="A726" s="11" t="s">
        <v>5288</v>
      </c>
      <c r="B726" s="11" t="s">
        <v>5289</v>
      </c>
      <c r="C726" s="11" t="s">
        <v>12686</v>
      </c>
      <c r="D726" s="60">
        <v>725</v>
      </c>
      <c r="E726" s="11" t="str">
        <f t="shared" si="33"/>
        <v>E1_2_4_4</v>
      </c>
      <c r="F726" s="11" t="s">
        <v>15144</v>
      </c>
      <c r="G726" s="11" t="s">
        <v>15145</v>
      </c>
      <c r="H726" s="11" t="s">
        <v>15146</v>
      </c>
      <c r="I726" s="11" t="s">
        <v>15147</v>
      </c>
      <c r="J726" s="61" t="str">
        <f t="shared" si="34"/>
        <v>(${Variables:E1_2_4_4_kcat} * E1_2_4_4 * C15974 * C15972)/(${Variables:E1_2_4_4_km} + (E1_2_4_4 * C15974 * C15972))</v>
      </c>
      <c r="K726" s="54" t="str">
        <f t="shared" si="35"/>
        <v>r725: C15974 + C15972 -&gt; C15975 + C00068 | (${Variables:E1_2_4_4_kcat} * E1_2_4_4 * C15974 * C15972)/(${Variables:E1_2_4_4_km} + (E1_2_4_4 * C15974 * C15972))</v>
      </c>
    </row>
    <row r="727" spans="1:11" ht="29">
      <c r="A727" s="11" t="s">
        <v>5288</v>
      </c>
      <c r="B727" s="11" t="s">
        <v>5289</v>
      </c>
      <c r="C727" s="11" t="s">
        <v>12686</v>
      </c>
      <c r="D727" s="60">
        <v>726</v>
      </c>
      <c r="E727" s="11" t="str">
        <f t="shared" si="33"/>
        <v>E1_2_4_4</v>
      </c>
      <c r="F727" s="11" t="s">
        <v>15148</v>
      </c>
      <c r="G727" s="11" t="s">
        <v>15149</v>
      </c>
      <c r="H727" s="11" t="s">
        <v>15150</v>
      </c>
      <c r="I727" s="11" t="s">
        <v>15151</v>
      </c>
      <c r="J727" s="61" t="str">
        <f t="shared" si="34"/>
        <v>(${Variables:E1_2_4_4_kcat} * E1_2_4_4 * C00671 * C00068)/(${Variables:E1_2_4_4_km} + (E1_2_4_4 * C00671 * C00068))</v>
      </c>
      <c r="K727" s="54" t="str">
        <f t="shared" si="35"/>
        <v>r726: C00671 + C00068 -&gt; C15978 + C00011 | (${Variables:E1_2_4_4_kcat} * E1_2_4_4 * C00671 * C00068)/(${Variables:E1_2_4_4_km} + (E1_2_4_4 * C00671 * C00068))</v>
      </c>
    </row>
    <row r="728" spans="1:11" ht="29">
      <c r="A728" s="11" t="s">
        <v>5288</v>
      </c>
      <c r="B728" s="11" t="s">
        <v>5289</v>
      </c>
      <c r="C728" s="11" t="s">
        <v>12686</v>
      </c>
      <c r="D728" s="60">
        <v>727</v>
      </c>
      <c r="E728" s="11" t="str">
        <f t="shared" si="33"/>
        <v>E1_2_4_4</v>
      </c>
      <c r="F728" s="11" t="s">
        <v>15152</v>
      </c>
      <c r="G728" s="11" t="s">
        <v>15153</v>
      </c>
      <c r="H728" s="11" t="s">
        <v>15154</v>
      </c>
      <c r="I728" s="11" t="s">
        <v>15155</v>
      </c>
      <c r="J728" s="61" t="str">
        <f t="shared" si="34"/>
        <v>(${Variables:E1_2_4_4_kcat} * E1_2_4_4 * C15978 * C15972)/(${Variables:E1_2_4_4_km} + (E1_2_4_4 * C15978 * C15972))</v>
      </c>
      <c r="K728" s="54" t="str">
        <f t="shared" si="35"/>
        <v>r727: C15978 + C15972 -&gt; C15979 + C00068 | (${Variables:E1_2_4_4_kcat} * E1_2_4_4 * C15978 * C15972)/(${Variables:E1_2_4_4_km} + (E1_2_4_4 * C15978 * C15972))</v>
      </c>
    </row>
    <row r="729" spans="1:11" ht="29">
      <c r="A729" s="11" t="s">
        <v>5288</v>
      </c>
      <c r="B729" s="11" t="s">
        <v>5289</v>
      </c>
      <c r="C729" s="11" t="s">
        <v>12686</v>
      </c>
      <c r="D729" s="60">
        <v>728</v>
      </c>
      <c r="E729" s="11" t="str">
        <f t="shared" si="33"/>
        <v>E1_2_4_4</v>
      </c>
      <c r="F729" s="11" t="s">
        <v>15156</v>
      </c>
      <c r="G729" s="11" t="s">
        <v>15157</v>
      </c>
      <c r="H729" s="11" t="s">
        <v>15158</v>
      </c>
      <c r="I729" s="11" t="s">
        <v>15159</v>
      </c>
      <c r="J729" s="61" t="str">
        <f t="shared" si="34"/>
        <v>(${Variables:E1_2_4_4_kcat} * E1_2_4_4 * C00109 * C00068)/(${Variables:E1_2_4_4_km} + (E1_2_4_4 * C00109 * C00068))</v>
      </c>
      <c r="K729" s="54" t="str">
        <f t="shared" si="35"/>
        <v>r728: C00109 + C00068 -&gt; C21017 + C00011 | (${Variables:E1_2_4_4_kcat} * E1_2_4_4 * C00109 * C00068)/(${Variables:E1_2_4_4_km} + (E1_2_4_4 * C00109 * C00068))</v>
      </c>
    </row>
    <row r="730" spans="1:11" ht="29">
      <c r="A730" s="11" t="s">
        <v>5288</v>
      </c>
      <c r="B730" s="11" t="s">
        <v>5289</v>
      </c>
      <c r="C730" s="11" t="s">
        <v>12686</v>
      </c>
      <c r="D730" s="60">
        <v>729</v>
      </c>
      <c r="E730" s="11" t="str">
        <f t="shared" si="33"/>
        <v>E1_2_4_4</v>
      </c>
      <c r="F730" s="11" t="s">
        <v>15160</v>
      </c>
      <c r="G730" s="11" t="s">
        <v>15161</v>
      </c>
      <c r="H730" s="11" t="s">
        <v>15162</v>
      </c>
      <c r="I730" s="11" t="s">
        <v>15163</v>
      </c>
      <c r="J730" s="61" t="str">
        <f t="shared" si="34"/>
        <v>(${Variables:E1_2_4_4_kcat} * E1_2_4_4 * C21017 * C15972)/(${Variables:E1_2_4_4_km} + (E1_2_4_4 * C21017 * C15972))</v>
      </c>
      <c r="K730" s="54" t="str">
        <f t="shared" si="35"/>
        <v>r729: C21017 + C15972 -&gt; C21018 + C00068 | (${Variables:E1_2_4_4_kcat} * E1_2_4_4 * C21017 * C15972)/(${Variables:E1_2_4_4_km} + (E1_2_4_4 * C21017 * C15972))</v>
      </c>
    </row>
    <row r="731" spans="1:11" ht="29">
      <c r="A731" s="11" t="s">
        <v>5288</v>
      </c>
      <c r="B731" s="11" t="s">
        <v>5289</v>
      </c>
      <c r="C731" s="11" t="s">
        <v>12687</v>
      </c>
      <c r="D731" s="60">
        <v>730</v>
      </c>
      <c r="E731" s="11" t="str">
        <f t="shared" si="33"/>
        <v>E1_2_4_1</v>
      </c>
      <c r="F731" s="11" t="s">
        <v>15164</v>
      </c>
      <c r="G731" s="11" t="s">
        <v>15165</v>
      </c>
      <c r="H731" s="11" t="s">
        <v>15166</v>
      </c>
      <c r="I731" s="11" t="s">
        <v>15167</v>
      </c>
      <c r="J731" s="61" t="str">
        <f t="shared" si="34"/>
        <v>(${Variables:E1_2_4_1_kcat} * E1_2_4_1 * C00022 * C15972)/(${Variables:E1_2_4_1_km} + (E1_2_4_1 * C00022 * C15972))</v>
      </c>
      <c r="K731" s="54" t="str">
        <f t="shared" si="35"/>
        <v>r730: C00022 + C15972 -&gt; C16255 + C00011 | (${Variables:E1_2_4_1_kcat} * E1_2_4_1 * C00022 * C15972)/(${Variables:E1_2_4_1_km} + (E1_2_4_1 * C00022 * C15972))</v>
      </c>
    </row>
    <row r="732" spans="1:11" ht="29">
      <c r="A732" s="11" t="s">
        <v>5288</v>
      </c>
      <c r="B732" s="11" t="s">
        <v>5289</v>
      </c>
      <c r="C732" s="11" t="s">
        <v>12687</v>
      </c>
      <c r="D732" s="60">
        <v>731</v>
      </c>
      <c r="E732" s="11" t="str">
        <f t="shared" si="33"/>
        <v>E1_2_4_1</v>
      </c>
      <c r="F732" s="11" t="s">
        <v>15168</v>
      </c>
      <c r="G732" s="11" t="s">
        <v>15169</v>
      </c>
      <c r="H732" s="11" t="s">
        <v>15170</v>
      </c>
      <c r="I732" s="11" t="s">
        <v>15171</v>
      </c>
      <c r="J732" s="61" t="str">
        <f t="shared" si="34"/>
        <v>(${Variables:E1_2_4_1_kcat} * E1_2_4_1 * C05125 * C15972)/(${Variables:E1_2_4_1_km} + (E1_2_4_1 * C05125 * C15972))</v>
      </c>
      <c r="K732" s="54" t="str">
        <f t="shared" si="35"/>
        <v>r731: C05125 + C15972 -&gt; C16255 + C00068 | (${Variables:E1_2_4_1_kcat} * E1_2_4_1 * C05125 * C15972)/(${Variables:E1_2_4_1_km} + (E1_2_4_1 * C05125 * C15972))</v>
      </c>
    </row>
    <row r="733" spans="1:11" ht="29">
      <c r="A733" s="11" t="s">
        <v>5302</v>
      </c>
      <c r="B733" s="11" t="s">
        <v>5303</v>
      </c>
      <c r="C733" s="11" t="s">
        <v>12688</v>
      </c>
      <c r="D733" s="60">
        <v>732</v>
      </c>
      <c r="E733" s="11" t="str">
        <f t="shared" si="33"/>
        <v>E3_5_2_3</v>
      </c>
      <c r="F733" s="11" t="s">
        <v>15172</v>
      </c>
      <c r="G733" s="11" t="s">
        <v>15173</v>
      </c>
      <c r="H733" s="11" t="s">
        <v>9967</v>
      </c>
      <c r="I733" s="11" t="s">
        <v>9967</v>
      </c>
      <c r="J733" s="61" t="str">
        <f t="shared" si="34"/>
        <v>(${Variables:E3_5_2_3_kcat} * E3_5_2_3 * C00337 * C00001)/(${Variables:E3_5_2_3_km} + (E3_5_2_3 * C00337 * C00001))</v>
      </c>
      <c r="K733" s="54" t="str">
        <f t="shared" si="35"/>
        <v>r732: C00337 + C00001 -&gt; C00438 | (${Variables:E3_5_2_3_kcat} * E3_5_2_3 * C00337 * C00001)/(${Variables:E3_5_2_3_km} + (E3_5_2_3 * C00337 * C00001))</v>
      </c>
    </row>
    <row r="734" spans="1:11" ht="29">
      <c r="A734" s="11" t="s">
        <v>5306</v>
      </c>
      <c r="B734" s="11" t="s">
        <v>5307</v>
      </c>
      <c r="C734" s="11" t="s">
        <v>12663</v>
      </c>
      <c r="D734" s="60">
        <v>733</v>
      </c>
      <c r="E734" s="11" t="str">
        <f t="shared" si="33"/>
        <v>E3_6_1_55</v>
      </c>
      <c r="F734" s="11" t="s">
        <v>14996</v>
      </c>
      <c r="G734" s="11" t="s">
        <v>14997</v>
      </c>
      <c r="H734" s="11" t="s">
        <v>15174</v>
      </c>
      <c r="I734" s="11" t="s">
        <v>15175</v>
      </c>
      <c r="J734" s="61" t="str">
        <f t="shared" si="34"/>
        <v>(${Variables:E3_6_1_55_kcat} * E3_6_1_55 * C19967 * C00001)/(${Variables:E3_6_1_55_km} + (E3_6_1_55 * C19967 * C00001))</v>
      </c>
      <c r="K734" s="54" t="str">
        <f t="shared" si="35"/>
        <v>r733: C19967 + C00001 -&gt; C19968 + C00013 | (${Variables:E3_6_1_55_kcat} * E3_6_1_55 * C19967 * C00001)/(${Variables:E3_6_1_55_km} + (E3_6_1_55 * C19967 * C00001))</v>
      </c>
    </row>
    <row r="735" spans="1:11" ht="29">
      <c r="A735" s="11" t="s">
        <v>5335</v>
      </c>
      <c r="B735" s="11" t="s">
        <v>5336</v>
      </c>
      <c r="C735" s="11" t="s">
        <v>12507</v>
      </c>
      <c r="D735" s="60">
        <v>734</v>
      </c>
      <c r="E735" s="11" t="str">
        <f t="shared" si="33"/>
        <v>E2_7_3_9</v>
      </c>
      <c r="F735" s="11" t="s">
        <v>15176</v>
      </c>
      <c r="G735" s="11" t="s">
        <v>15177</v>
      </c>
      <c r="H735" s="11" t="s">
        <v>15178</v>
      </c>
      <c r="I735" s="11" t="s">
        <v>15179</v>
      </c>
      <c r="J735" s="61" t="str">
        <f t="shared" si="34"/>
        <v>(${Variables:E2_7_3_9_kcat} * E2_7_3_9 * C00074 * C00615)/(${Variables:E2_7_3_9_km} + (E2_7_3_9 * C00074 * C00615))</v>
      </c>
      <c r="K735" s="54" t="str">
        <f t="shared" si="35"/>
        <v>r734: C00074 + C00615 -&gt; C00022 + C04261 | (${Variables:E2_7_3_9_kcat} * E2_7_3_9 * C00074 * C00615)/(${Variables:E2_7_3_9_km} + (E2_7_3_9 * C00074 * C00615))</v>
      </c>
    </row>
    <row r="736" spans="1:11" ht="43.5">
      <c r="A736" s="11" t="s">
        <v>5347</v>
      </c>
      <c r="B736" s="11" t="s">
        <v>5348</v>
      </c>
      <c r="C736" s="11" t="s">
        <v>12690</v>
      </c>
      <c r="D736" s="60">
        <v>735</v>
      </c>
      <c r="E736" s="11" t="str">
        <f t="shared" si="33"/>
        <v>E1_17_4_1</v>
      </c>
      <c r="F736" s="11" t="s">
        <v>15180</v>
      </c>
      <c r="G736" s="11" t="s">
        <v>15181</v>
      </c>
      <c r="H736" s="11" t="s">
        <v>15182</v>
      </c>
      <c r="I736" s="11" t="s">
        <v>15183</v>
      </c>
      <c r="J736" s="61" t="str">
        <f t="shared" si="34"/>
        <v>(${Variables:E1_17_4_1_kcat} * E1_17_4_1 * C04232 * C00343 * C00001)/(${Variables:E1_17_4_1_km} + (E1_17_4_1 * C04232 * C00343 * C00001))</v>
      </c>
      <c r="K736" s="54" t="str">
        <f t="shared" si="35"/>
        <v>r735: C04232 + C00343 + C00001 -&gt; C03723 + C00342 | (${Variables:E1_17_4_1_kcat} * E1_17_4_1 * C04232 * C00343 * C00001)/(${Variables:E1_17_4_1_km} + (E1_17_4_1 * C04232 * C00343 * C00001))</v>
      </c>
    </row>
    <row r="737" spans="1:11" ht="43.5">
      <c r="A737" s="11" t="s">
        <v>5347</v>
      </c>
      <c r="B737" s="11" t="s">
        <v>5348</v>
      </c>
      <c r="C737" s="11" t="s">
        <v>12690</v>
      </c>
      <c r="D737" s="60">
        <v>736</v>
      </c>
      <c r="E737" s="11" t="str">
        <f t="shared" si="33"/>
        <v>E1_17_4_1</v>
      </c>
      <c r="F737" s="11" t="s">
        <v>15184</v>
      </c>
      <c r="G737" s="11" t="s">
        <v>15185</v>
      </c>
      <c r="H737" s="11" t="s">
        <v>15186</v>
      </c>
      <c r="I737" s="11" t="s">
        <v>15187</v>
      </c>
      <c r="J737" s="61" t="str">
        <f t="shared" si="34"/>
        <v>(${Variables:E1_17_4_1_kcat} * E1_17_4_1 * C00206 * C00343 * C00001)/(${Variables:E1_17_4_1_km} + (E1_17_4_1 * C00206 * C00343 * C00001))</v>
      </c>
      <c r="K737" s="54" t="str">
        <f t="shared" si="35"/>
        <v>r736: C00206 + C00343 + C00001 -&gt; C00342 + C00008 | (${Variables:E1_17_4_1_kcat} * E1_17_4_1 * C00206 * C00343 * C00001)/(${Variables:E1_17_4_1_km} + (E1_17_4_1 * C00206 * C00343 * C00001))</v>
      </c>
    </row>
    <row r="738" spans="1:11" ht="43.5">
      <c r="A738" s="11" t="s">
        <v>5347</v>
      </c>
      <c r="B738" s="11" t="s">
        <v>5348</v>
      </c>
      <c r="C738" s="11" t="s">
        <v>12690</v>
      </c>
      <c r="D738" s="60">
        <v>737</v>
      </c>
      <c r="E738" s="11" t="str">
        <f t="shared" si="33"/>
        <v>E1_17_4_1</v>
      </c>
      <c r="F738" s="11" t="s">
        <v>15188</v>
      </c>
      <c r="G738" s="11" t="s">
        <v>15189</v>
      </c>
      <c r="H738" s="11" t="s">
        <v>15190</v>
      </c>
      <c r="I738" s="11" t="s">
        <v>15191</v>
      </c>
      <c r="J738" s="61" t="str">
        <f t="shared" si="34"/>
        <v>(${Variables:E1_17_4_1_kcat} * E1_17_4_1 * C01346 * C00343 * C00001)/(${Variables:E1_17_4_1_km} + (E1_17_4_1 * C01346 * C00343 * C00001))</v>
      </c>
      <c r="K738" s="54" t="str">
        <f t="shared" si="35"/>
        <v>r737: C01346 + C00343 + C00001 -&gt; C00342 + C00015 | (${Variables:E1_17_4_1_kcat} * E1_17_4_1 * C01346 * C00343 * C00001)/(${Variables:E1_17_4_1_km} + (E1_17_4_1 * C01346 * C00343 * C00001))</v>
      </c>
    </row>
    <row r="739" spans="1:11" ht="43.5">
      <c r="A739" s="11" t="s">
        <v>5347</v>
      </c>
      <c r="B739" s="11" t="s">
        <v>5348</v>
      </c>
      <c r="C739" s="11" t="s">
        <v>12690</v>
      </c>
      <c r="D739" s="60">
        <v>738</v>
      </c>
      <c r="E739" s="11" t="str">
        <f t="shared" si="33"/>
        <v>E1_17_4_1</v>
      </c>
      <c r="F739" s="11" t="s">
        <v>15192</v>
      </c>
      <c r="G739" s="11" t="s">
        <v>15193</v>
      </c>
      <c r="H739" s="11" t="s">
        <v>15194</v>
      </c>
      <c r="I739" s="11" t="s">
        <v>15195</v>
      </c>
      <c r="J739" s="61" t="str">
        <f t="shared" si="34"/>
        <v>(${Variables:E1_17_4_1_kcat} * E1_17_4_1 * C00361 * C00343 * C00001)/(${Variables:E1_17_4_1_km} + (E1_17_4_1 * C00361 * C00343 * C00001))</v>
      </c>
      <c r="K739" s="54" t="str">
        <f t="shared" si="35"/>
        <v>r738: C00361 + C00343 + C00001 -&gt; C00035 + C00342 | (${Variables:E1_17_4_1_kcat} * E1_17_4_1 * C00361 * C00343 * C00001)/(${Variables:E1_17_4_1_km} + (E1_17_4_1 * C00361 * C00343 * C00001))</v>
      </c>
    </row>
    <row r="740" spans="1:11" ht="43.5">
      <c r="A740" s="11" t="s">
        <v>5347</v>
      </c>
      <c r="B740" s="11" t="s">
        <v>5348</v>
      </c>
      <c r="C740" s="11" t="s">
        <v>12690</v>
      </c>
      <c r="D740" s="60">
        <v>739</v>
      </c>
      <c r="E740" s="11" t="str">
        <f t="shared" si="33"/>
        <v>E1_17_4_1</v>
      </c>
      <c r="F740" s="11" t="s">
        <v>15196</v>
      </c>
      <c r="G740" s="11" t="s">
        <v>15197</v>
      </c>
      <c r="H740" s="11" t="s">
        <v>15198</v>
      </c>
      <c r="I740" s="11" t="s">
        <v>15199</v>
      </c>
      <c r="J740" s="61" t="str">
        <f t="shared" si="34"/>
        <v>(${Variables:E1_17_4_1_kcat} * E1_17_4_1 * C00705 * C00343 * C00001)/(${Variables:E1_17_4_1_km} + (E1_17_4_1 * C00705 * C00343 * C00001))</v>
      </c>
      <c r="K740" s="54" t="str">
        <f t="shared" si="35"/>
        <v>r739: C00705 + C00343 + C00001 -&gt; C00342 + C00112 | (${Variables:E1_17_4_1_kcat} * E1_17_4_1 * C00705 * C00343 * C00001)/(${Variables:E1_17_4_1_km} + (E1_17_4_1 * C00705 * C00343 * C00001))</v>
      </c>
    </row>
    <row r="741" spans="1:11" ht="43.5">
      <c r="A741" s="11" t="s">
        <v>5347</v>
      </c>
      <c r="B741" s="11" t="s">
        <v>5348</v>
      </c>
      <c r="C741" s="11" t="s">
        <v>12690</v>
      </c>
      <c r="D741" s="60">
        <v>740</v>
      </c>
      <c r="E741" s="11" t="str">
        <f t="shared" si="33"/>
        <v>E1_17_4_1</v>
      </c>
      <c r="F741" s="11" t="s">
        <v>15200</v>
      </c>
      <c r="G741" s="11" t="s">
        <v>15201</v>
      </c>
      <c r="H741" s="11" t="s">
        <v>15202</v>
      </c>
      <c r="I741" s="11" t="s">
        <v>15203</v>
      </c>
      <c r="J741" s="61" t="str">
        <f t="shared" si="34"/>
        <v>(${Variables:E1_17_4_1_kcat} * E1_17_4_1 * C04232 * C16664 * C00001)/(${Variables:E1_17_4_1_km} + (E1_17_4_1 * C04232 * C16664 * C00001))</v>
      </c>
      <c r="K741" s="54" t="str">
        <f t="shared" si="35"/>
        <v>r740: C04232 + C16664 + C00001 -&gt; C03723 + C16663 | (${Variables:E1_17_4_1_kcat} * E1_17_4_1 * C04232 * C16664 * C00001)/(${Variables:E1_17_4_1_km} + (E1_17_4_1 * C04232 * C16664 * C00001))</v>
      </c>
    </row>
    <row r="742" spans="1:11" ht="43.5">
      <c r="A742" s="11" t="s">
        <v>5347</v>
      </c>
      <c r="B742" s="11" t="s">
        <v>5348</v>
      </c>
      <c r="C742" s="11" t="s">
        <v>12690</v>
      </c>
      <c r="D742" s="60">
        <v>741</v>
      </c>
      <c r="E742" s="11" t="str">
        <f t="shared" si="33"/>
        <v>E1_17_4_1</v>
      </c>
      <c r="F742" s="11" t="s">
        <v>15204</v>
      </c>
      <c r="G742" s="11" t="s">
        <v>15205</v>
      </c>
      <c r="H742" s="11" t="s">
        <v>15206</v>
      </c>
      <c r="I742" s="11" t="s">
        <v>15207</v>
      </c>
      <c r="J742" s="61" t="str">
        <f t="shared" si="34"/>
        <v>(${Variables:E1_17_4_1_kcat} * E1_17_4_1 * C04232 * C03170 * C00001)/(${Variables:E1_17_4_1_km} + (E1_17_4_1 * C04232 * C03170 * C00001))</v>
      </c>
      <c r="K742" s="54" t="str">
        <f t="shared" si="35"/>
        <v>r741: C04232 + C03170 + C00001 -&gt; C03723 + C02090 | (${Variables:E1_17_4_1_kcat} * E1_17_4_1 * C04232 * C03170 * C00001)/(${Variables:E1_17_4_1_km} + (E1_17_4_1 * C04232 * C03170 * C00001))</v>
      </c>
    </row>
    <row r="743" spans="1:11" ht="43.5">
      <c r="A743" s="11" t="s">
        <v>5347</v>
      </c>
      <c r="B743" s="11" t="s">
        <v>5348</v>
      </c>
      <c r="C743" s="11" t="s">
        <v>12690</v>
      </c>
      <c r="D743" s="60">
        <v>742</v>
      </c>
      <c r="E743" s="11" t="str">
        <f t="shared" si="33"/>
        <v>E1_17_4_1</v>
      </c>
      <c r="F743" s="11" t="s">
        <v>15208</v>
      </c>
      <c r="G743" s="11" t="s">
        <v>15209</v>
      </c>
      <c r="H743" s="11" t="s">
        <v>15210</v>
      </c>
      <c r="I743" s="11" t="s">
        <v>15211</v>
      </c>
      <c r="J743" s="61" t="str">
        <f t="shared" si="34"/>
        <v>(${Variables:E1_17_4_1_kcat} * E1_17_4_1 * C21750 * C00343 * C00001)/(${Variables:E1_17_4_1_km} + (E1_17_4_1 * C21750 * C00343 * C00001))</v>
      </c>
      <c r="K743" s="54" t="str">
        <f t="shared" si="35"/>
        <v>r742: C21750 + C00343 + C00001 -&gt; C21748 + C00342 | (${Variables:E1_17_4_1_kcat} * E1_17_4_1 * C21750 * C00343 * C00001)/(${Variables:E1_17_4_1_km} + (E1_17_4_1 * C21750 * C00343 * C00001))</v>
      </c>
    </row>
    <row r="744" spans="1:11" ht="29">
      <c r="A744" s="11" t="s">
        <v>5376</v>
      </c>
      <c r="B744" s="11" t="s">
        <v>5377</v>
      </c>
      <c r="C744" s="11" t="s">
        <v>12691</v>
      </c>
      <c r="D744" s="60">
        <v>743</v>
      </c>
      <c r="E744" s="11" t="str">
        <f t="shared" si="33"/>
        <v>E4_1_2_40</v>
      </c>
      <c r="F744" s="11" t="s">
        <v>10005</v>
      </c>
      <c r="G744" s="11" t="s">
        <v>10005</v>
      </c>
      <c r="H744" s="11" t="s">
        <v>15212</v>
      </c>
      <c r="I744" s="11" t="s">
        <v>15213</v>
      </c>
      <c r="J744" s="61" t="str">
        <f t="shared" si="34"/>
        <v>(${Variables:E4_1_2_40_kcat} * E4_1_2_40 * C03785)/(${Variables:E4_1_2_40_km} + (E4_1_2_40 * C03785))</v>
      </c>
      <c r="K744" s="54" t="str">
        <f t="shared" si="35"/>
        <v>r743: C03785 -&gt; C00111 + C00118 | (${Variables:E4_1_2_40_kcat} * E4_1_2_40 * C03785)/(${Variables:E4_1_2_40_km} + (E4_1_2_40 * C03785))</v>
      </c>
    </row>
    <row r="745" spans="1:11" ht="29">
      <c r="A745" s="11" t="s">
        <v>5380</v>
      </c>
      <c r="B745" s="11" t="s">
        <v>5381</v>
      </c>
      <c r="C745" s="11" t="s">
        <v>12692</v>
      </c>
      <c r="D745" s="60">
        <v>744</v>
      </c>
      <c r="E745" s="11" t="str">
        <f t="shared" si="33"/>
        <v>E2_7_1_144</v>
      </c>
      <c r="F745" s="11" t="s">
        <v>15214</v>
      </c>
      <c r="G745" s="11" t="s">
        <v>15215</v>
      </c>
      <c r="H745" s="11" t="s">
        <v>15216</v>
      </c>
      <c r="I745" s="11" t="s">
        <v>15217</v>
      </c>
      <c r="J745" s="61" t="str">
        <f t="shared" si="34"/>
        <v>(${Variables:E2_7_1_144_kcat} * E2_7_1_144 * C01097 * C00002)/(${Variables:E2_7_1_144_km} + (E2_7_1_144 * C01097 * C00002))</v>
      </c>
      <c r="K745" s="54" t="str">
        <f t="shared" si="35"/>
        <v>r744: C01097 + C00002 -&gt; C03785 + C00008 | (${Variables:E2_7_1_144_kcat} * E2_7_1_144 * C01097 * C00002)/(${Variables:E2_7_1_144_km} + (E2_7_1_144 * C01097 * C00002))</v>
      </c>
    </row>
    <row r="746" spans="1:11" ht="29">
      <c r="A746" s="11" t="s">
        <v>5383</v>
      </c>
      <c r="B746" s="11" t="s">
        <v>5384</v>
      </c>
      <c r="C746" s="11" t="s">
        <v>12693</v>
      </c>
      <c r="D746" s="60">
        <v>745</v>
      </c>
      <c r="E746" s="11" t="str">
        <f t="shared" si="33"/>
        <v>E5_3_1_26</v>
      </c>
      <c r="F746" s="11" t="s">
        <v>10015</v>
      </c>
      <c r="G746" s="11" t="s">
        <v>10015</v>
      </c>
      <c r="H746" s="11" t="s">
        <v>10016</v>
      </c>
      <c r="I746" s="11" t="s">
        <v>10016</v>
      </c>
      <c r="J746" s="61" t="str">
        <f t="shared" si="34"/>
        <v>(${Variables:E5_3_1_26_kcat} * E5_3_1_26 * C01113)/(${Variables:E5_3_1_26_km} + (E5_3_1_26 * C01113))</v>
      </c>
      <c r="K746" s="54" t="str">
        <f t="shared" si="35"/>
        <v>r745: C01113 -&gt; C01097 | (${Variables:E5_3_1_26_kcat} * E5_3_1_26 * C01113)/(${Variables:E5_3_1_26_km} + (E5_3_1_26 * C01113))</v>
      </c>
    </row>
    <row r="747" spans="1:11" ht="29">
      <c r="A747" s="11" t="s">
        <v>5431</v>
      </c>
      <c r="B747" s="11" t="s">
        <v>5432</v>
      </c>
      <c r="C747" s="11" t="s">
        <v>12695</v>
      </c>
      <c r="D747" s="60">
        <v>746</v>
      </c>
      <c r="E747" s="11" t="str">
        <f t="shared" si="33"/>
        <v>E2_4_1_250</v>
      </c>
      <c r="F747" s="11" t="s">
        <v>15218</v>
      </c>
      <c r="G747" s="11" t="s">
        <v>15219</v>
      </c>
      <c r="H747" s="11" t="s">
        <v>15220</v>
      </c>
      <c r="I747" s="11" t="s">
        <v>15221</v>
      </c>
      <c r="J747" s="61" t="str">
        <f t="shared" si="34"/>
        <v>(${Variables:E2_4_1_250_kcat} * E2_4_1_250 * C00043 * C04006)/(${Variables:E2_4_1_250_km} + (E2_4_1_250 * C00043 * C04006))</v>
      </c>
      <c r="K747" s="54" t="str">
        <f t="shared" si="35"/>
        <v>r746: C00043 + C04006 -&gt; C19761 + C00015 | (${Variables:E2_4_1_250_kcat} * E2_4_1_250 * C00043 * C04006)/(${Variables:E2_4_1_250_km} + (E2_4_1_250 * C00043 * C04006))</v>
      </c>
    </row>
    <row r="748" spans="1:11" ht="29">
      <c r="A748" s="11" t="s">
        <v>5454</v>
      </c>
      <c r="B748" s="11" t="s">
        <v>5455</v>
      </c>
      <c r="C748" s="11" t="s">
        <v>12453</v>
      </c>
      <c r="D748" s="60">
        <v>747</v>
      </c>
      <c r="E748" s="11" t="str">
        <f t="shared" si="33"/>
        <v>E4_1_1_31</v>
      </c>
      <c r="F748" s="11" t="s">
        <v>15222</v>
      </c>
      <c r="G748" s="11" t="s">
        <v>15223</v>
      </c>
      <c r="H748" s="11" t="s">
        <v>15224</v>
      </c>
      <c r="I748" s="11" t="s">
        <v>15225</v>
      </c>
      <c r="J748" s="61" t="str">
        <f t="shared" si="34"/>
        <v>(${Variables:E4_1_1_31_kcat} * E4_1_1_31 * C00009 * C00036)/(${Variables:E4_1_1_31_km} + (E4_1_1_31 * C00009 * C00036))</v>
      </c>
      <c r="K748" s="54" t="str">
        <f t="shared" si="35"/>
        <v>r747: C00009 + C00036 -&gt; C00001 + C00074 + C00011 | (${Variables:E4_1_1_31_kcat} * E4_1_1_31 * C00009 * C00036)/(${Variables:E4_1_1_31_km} + (E4_1_1_31 * C00009 * C00036))</v>
      </c>
    </row>
    <row r="749" spans="1:11" ht="43.5">
      <c r="A749" s="11" t="s">
        <v>5581</v>
      </c>
      <c r="B749" s="11" t="s">
        <v>5582</v>
      </c>
      <c r="C749" s="11" t="s">
        <v>12696</v>
      </c>
      <c r="D749" s="60">
        <v>748</v>
      </c>
      <c r="E749" s="11" t="str">
        <f t="shared" si="33"/>
        <v>E2_1_2_1</v>
      </c>
      <c r="F749" s="11" t="s">
        <v>15226</v>
      </c>
      <c r="G749" s="11" t="s">
        <v>15227</v>
      </c>
      <c r="H749" s="11" t="s">
        <v>15228</v>
      </c>
      <c r="I749" s="11" t="s">
        <v>15229</v>
      </c>
      <c r="J749" s="61" t="str">
        <f t="shared" si="34"/>
        <v>(${Variables:E2_1_2_1_kcat} * E2_1_2_1 * C00143 * C00037 * C00001)/(${Variables:E2_1_2_1_km} + (E2_1_2_1 * C00143 * C00037 * C00001))</v>
      </c>
      <c r="K749" s="54" t="str">
        <f t="shared" si="35"/>
        <v>r748: C00143 + C00037 + C00001 -&gt; C00101 + C00065 | (${Variables:E2_1_2_1_kcat} * E2_1_2_1 * C00143 * C00037 * C00001)/(${Variables:E2_1_2_1_km} + (E2_1_2_1 * C00143 * C00037 * C00001))</v>
      </c>
    </row>
    <row r="750" spans="1:11" ht="29">
      <c r="A750" s="11" t="s">
        <v>5581</v>
      </c>
      <c r="B750" s="11" t="s">
        <v>5582</v>
      </c>
      <c r="C750" s="11" t="s">
        <v>12696</v>
      </c>
      <c r="D750" s="60">
        <v>749</v>
      </c>
      <c r="E750" s="11" t="str">
        <f t="shared" si="33"/>
        <v>E2_1_2_1</v>
      </c>
      <c r="F750" s="11" t="s">
        <v>15230</v>
      </c>
      <c r="G750" s="11" t="s">
        <v>15231</v>
      </c>
      <c r="H750" s="11" t="s">
        <v>15232</v>
      </c>
      <c r="I750" s="11" t="s">
        <v>15233</v>
      </c>
      <c r="J750" s="61" t="str">
        <f t="shared" si="34"/>
        <v>(${Variables:E2_1_2_1_kcat} * E2_1_2_1 * C00065 * C01217)/(${Variables:E2_1_2_1_km} + (E2_1_2_1 * C00065 * C01217))</v>
      </c>
      <c r="K750" s="54" t="str">
        <f t="shared" si="35"/>
        <v>r749: C00065 + C01217 -&gt; C04377 + C00037 + C00001 | (${Variables:E2_1_2_1_kcat} * E2_1_2_1 * C00065 * C01217)/(${Variables:E2_1_2_1_km} + (E2_1_2_1 * C00065 * C01217))</v>
      </c>
    </row>
    <row r="751" spans="1:11" ht="29">
      <c r="A751" s="11" t="s">
        <v>5601</v>
      </c>
      <c r="B751" s="11" t="s">
        <v>5602</v>
      </c>
      <c r="C751" s="11" t="s">
        <v>12697</v>
      </c>
      <c r="D751" s="60">
        <v>750</v>
      </c>
      <c r="E751" s="11" t="str">
        <f t="shared" si="33"/>
        <v>E2_7_1_21</v>
      </c>
      <c r="F751" s="11" t="s">
        <v>15234</v>
      </c>
      <c r="G751" s="11" t="s">
        <v>15235</v>
      </c>
      <c r="H751" s="11" t="s">
        <v>15236</v>
      </c>
      <c r="I751" s="11" t="s">
        <v>15237</v>
      </c>
      <c r="J751" s="61" t="str">
        <f t="shared" si="34"/>
        <v>(${Variables:E2_7_1_21_kcat} * E2_7_1_21 * C00002 * C00214)/(${Variables:E2_7_1_21_km} + (E2_7_1_21 * C00002 * C00214))</v>
      </c>
      <c r="K751" s="54" t="str">
        <f t="shared" si="35"/>
        <v>r750: C00002 + C00214 -&gt; C00008 + C00364 | (${Variables:E2_7_1_21_kcat} * E2_7_1_21 * C00002 * C00214)/(${Variables:E2_7_1_21_km} + (E2_7_1_21 * C00002 * C00214))</v>
      </c>
    </row>
    <row r="752" spans="1:11" ht="29">
      <c r="A752" s="11" t="s">
        <v>5601</v>
      </c>
      <c r="B752" s="11" t="s">
        <v>5602</v>
      </c>
      <c r="C752" s="11" t="s">
        <v>12697</v>
      </c>
      <c r="D752" s="60">
        <v>751</v>
      </c>
      <c r="E752" s="11" t="str">
        <f t="shared" si="33"/>
        <v>E2_7_1_21</v>
      </c>
      <c r="F752" s="11" t="s">
        <v>15238</v>
      </c>
      <c r="G752" s="11" t="s">
        <v>15239</v>
      </c>
      <c r="H752" s="11" t="s">
        <v>15240</v>
      </c>
      <c r="I752" s="11" t="s">
        <v>15241</v>
      </c>
      <c r="J752" s="61" t="str">
        <f t="shared" si="34"/>
        <v>(${Variables:E2_7_1_21_kcat} * E2_7_1_21 * C00002 * C00526)/(${Variables:E2_7_1_21_km} + (E2_7_1_21 * C00002 * C00526))</v>
      </c>
      <c r="K752" s="54" t="str">
        <f t="shared" si="35"/>
        <v>r751: C00002 + C00526 -&gt; C00008 + C00365 | (${Variables:E2_7_1_21_kcat} * E2_7_1_21 * C00002 * C00526)/(${Variables:E2_7_1_21_km} + (E2_7_1_21 * C00002 * C00526))</v>
      </c>
    </row>
    <row r="753" spans="1:11" ht="29">
      <c r="A753" s="11" t="s">
        <v>5601</v>
      </c>
      <c r="B753" s="11" t="s">
        <v>5602</v>
      </c>
      <c r="C753" s="11" t="s">
        <v>12697</v>
      </c>
      <c r="D753" s="60">
        <v>752</v>
      </c>
      <c r="E753" s="11" t="str">
        <f t="shared" si="33"/>
        <v>E2_7_1_21</v>
      </c>
      <c r="F753" s="11" t="s">
        <v>15242</v>
      </c>
      <c r="G753" s="11" t="s">
        <v>15243</v>
      </c>
      <c r="H753" s="11" t="s">
        <v>15244</v>
      </c>
      <c r="I753" s="11" t="s">
        <v>15245</v>
      </c>
      <c r="J753" s="61" t="str">
        <f t="shared" si="34"/>
        <v>(${Variables:E2_7_1_21_kcat} * E2_7_1_21 * C11736 * C00002)/(${Variables:E2_7_1_21_km} + (E2_7_1_21 * C11736 * C00002))</v>
      </c>
      <c r="K753" s="54" t="str">
        <f t="shared" si="35"/>
        <v>r752: C11736 + C00002 -&gt; C04242 + C00008 | (${Variables:E2_7_1_21_kcat} * E2_7_1_21 * C11736 * C00002)/(${Variables:E2_7_1_21_km} + (E2_7_1_21 * C11736 * C00002))</v>
      </c>
    </row>
    <row r="754" spans="1:11" ht="29">
      <c r="A754" s="11" t="s">
        <v>5613</v>
      </c>
      <c r="B754" s="11" t="s">
        <v>5614</v>
      </c>
      <c r="C754" s="11" t="s">
        <v>12454</v>
      </c>
      <c r="D754" s="60">
        <v>753</v>
      </c>
      <c r="E754" s="11" t="str">
        <f t="shared" si="33"/>
        <v>E4_3_3_7</v>
      </c>
      <c r="F754" s="11" t="s">
        <v>15246</v>
      </c>
      <c r="G754" s="11" t="s">
        <v>15247</v>
      </c>
      <c r="H754" s="11" t="s">
        <v>15248</v>
      </c>
      <c r="I754" s="11" t="s">
        <v>15249</v>
      </c>
      <c r="J754" s="61" t="str">
        <f t="shared" si="34"/>
        <v>(${Variables:E4_3_3_7_kcat} * E4_3_3_7 * C00441 * C00022)/(${Variables:E4_3_3_7_km} + (E4_3_3_7 * C00441 * C00022))</v>
      </c>
      <c r="K754" s="54" t="str">
        <f t="shared" si="35"/>
        <v>r753: C00441 + C00022 -&gt; C20258 + C00001 | (${Variables:E4_3_3_7_kcat} * E4_3_3_7 * C00441 * C00022)/(${Variables:E4_3_3_7_km} + (E4_3_3_7 * C00441 * C00022))</v>
      </c>
    </row>
    <row r="755" spans="1:11" ht="43.5">
      <c r="A755" s="11" t="s">
        <v>5617</v>
      </c>
      <c r="B755" s="11" t="s">
        <v>5618</v>
      </c>
      <c r="C755" s="11" t="s">
        <v>12455</v>
      </c>
      <c r="D755" s="60">
        <v>754</v>
      </c>
      <c r="E755" s="11" t="str">
        <f t="shared" si="33"/>
        <v>E1_2_1_11</v>
      </c>
      <c r="F755" s="11" t="s">
        <v>15250</v>
      </c>
      <c r="G755" s="11" t="s">
        <v>15251</v>
      </c>
      <c r="H755" s="11" t="s">
        <v>15252</v>
      </c>
      <c r="I755" s="11" t="s">
        <v>15253</v>
      </c>
      <c r="J755" s="61" t="str">
        <f t="shared" si="34"/>
        <v>(${Variables:E1_2_1_11_kcat} * E1_2_1_11 * C00441 * C00009 * C00006)/(${Variables:E1_2_1_11_km} + (E1_2_1_11 * C00441 * C00009 * C00006))</v>
      </c>
      <c r="K755" s="54" t="str">
        <f t="shared" si="35"/>
        <v>r754: C00441 + C00009 + C00006 -&gt; C03082 + C00005 + C00080 | (${Variables:E1_2_1_11_kcat} * E1_2_1_11 * C00441 * C00009 * C00006)/(${Variables:E1_2_1_11_km} + (E1_2_1_11 * C00441 * C00009 * C00006))</v>
      </c>
    </row>
    <row r="756" spans="1:11" ht="29">
      <c r="A756" s="11" t="s">
        <v>5662</v>
      </c>
      <c r="B756" s="11" t="s">
        <v>5663</v>
      </c>
      <c r="C756" s="11" t="s">
        <v>12458</v>
      </c>
      <c r="D756" s="60">
        <v>755</v>
      </c>
      <c r="E756" s="11" t="str">
        <f t="shared" si="33"/>
        <v>E1_8_1_8</v>
      </c>
      <c r="F756" s="11" t="s">
        <v>15254</v>
      </c>
      <c r="G756" s="11" t="s">
        <v>15255</v>
      </c>
      <c r="H756" s="11" t="s">
        <v>15256</v>
      </c>
      <c r="I756" s="11" t="s">
        <v>15257</v>
      </c>
      <c r="J756" s="61" t="str">
        <f t="shared" si="34"/>
        <v>(${Variables:E1_8_1_8_kcat} * E1_8_1_8 * C02315 * C00003)/(${Variables:E1_8_1_8_km} + (E1_8_1_8 * C02315 * C00003))</v>
      </c>
      <c r="K756" s="54" t="str">
        <f t="shared" si="35"/>
        <v>r755: C02315 + C00003 -&gt; C02582 + C00004 + C00080 | (${Variables:E1_8_1_8_kcat} * E1_8_1_8 * C02315 * C00003)/(${Variables:E1_8_1_8_km} + (E1_8_1_8 * C02315 * C00003))</v>
      </c>
    </row>
    <row r="757" spans="1:11" ht="29">
      <c r="A757" s="11" t="s">
        <v>5662</v>
      </c>
      <c r="B757" s="11" t="s">
        <v>5663</v>
      </c>
      <c r="C757" s="11" t="s">
        <v>12458</v>
      </c>
      <c r="D757" s="60">
        <v>756</v>
      </c>
      <c r="E757" s="11" t="str">
        <f t="shared" si="33"/>
        <v>E1_8_1_8</v>
      </c>
      <c r="F757" s="11" t="s">
        <v>15258</v>
      </c>
      <c r="G757" s="11" t="s">
        <v>15259</v>
      </c>
      <c r="H757" s="11" t="s">
        <v>15260</v>
      </c>
      <c r="I757" s="11" t="s">
        <v>15261</v>
      </c>
      <c r="J757" s="61" t="str">
        <f t="shared" si="34"/>
        <v>(${Variables:E1_8_1_8_kcat} * E1_8_1_8 * C02315 * C00006)/(${Variables:E1_8_1_8_km} + (E1_8_1_8 * C02315 * C00006))</v>
      </c>
      <c r="K757" s="54" t="str">
        <f t="shared" si="35"/>
        <v>r756: C02315 + C00006 -&gt; C02582 + C00005 + C00080 | (${Variables:E1_8_1_8_kcat} * E1_8_1_8 * C02315 * C00006)/(${Variables:E1_8_1_8_km} + (E1_8_1_8 * C02315 * C00006))</v>
      </c>
    </row>
    <row r="758" spans="1:11" ht="29">
      <c r="A758" s="11" t="s">
        <v>5670</v>
      </c>
      <c r="B758" s="11" t="s">
        <v>5671</v>
      </c>
      <c r="C758" s="11" t="s">
        <v>12459</v>
      </c>
      <c r="D758" s="60">
        <v>757</v>
      </c>
      <c r="E758" s="11" t="str">
        <f t="shared" si="33"/>
        <v>E3_1_4_46</v>
      </c>
      <c r="F758" s="11" t="s">
        <v>15262</v>
      </c>
      <c r="G758" s="11" t="s">
        <v>15263</v>
      </c>
      <c r="H758" s="11" t="s">
        <v>15264</v>
      </c>
      <c r="I758" s="11" t="s">
        <v>15265</v>
      </c>
      <c r="J758" s="61" t="str">
        <f t="shared" si="34"/>
        <v>(${Variables:E3_1_4_46_kcat} * E3_1_4_46 * C03120 * C00001)/(${Variables:E3_1_4_46_km} + (E3_1_4_46 * C03120 * C00001))</v>
      </c>
      <c r="K758" s="54" t="str">
        <f t="shared" si="35"/>
        <v>r757: C03120 + C00001 -&gt; C00069 + C00093 | (${Variables:E3_1_4_46_kcat} * E3_1_4_46 * C03120 * C00001)/(${Variables:E3_1_4_46_km} + (E3_1_4_46 * C03120 * C00001))</v>
      </c>
    </row>
    <row r="759" spans="1:11" ht="29">
      <c r="A759" s="11" t="s">
        <v>5670</v>
      </c>
      <c r="B759" s="11" t="s">
        <v>5671</v>
      </c>
      <c r="C759" s="11" t="s">
        <v>12459</v>
      </c>
      <c r="D759" s="60">
        <v>758</v>
      </c>
      <c r="E759" s="11" t="str">
        <f t="shared" si="33"/>
        <v>E3_1_4_46</v>
      </c>
      <c r="F759" s="11" t="s">
        <v>15266</v>
      </c>
      <c r="G759" s="11" t="s">
        <v>15267</v>
      </c>
      <c r="H759" s="11" t="s">
        <v>15268</v>
      </c>
      <c r="I759" s="11" t="s">
        <v>15269</v>
      </c>
      <c r="J759" s="61" t="str">
        <f t="shared" si="34"/>
        <v>(${Variables:E3_1_4_46_kcat} * E3_1_4_46 * C00670 * C00001)/(${Variables:E3_1_4_46_km} + (E3_1_4_46 * C00670 * C00001))</v>
      </c>
      <c r="K759" s="54" t="str">
        <f t="shared" si="35"/>
        <v>r758: C00670 + C00001 -&gt; C00114 + C00093 | (${Variables:E3_1_4_46_kcat} * E3_1_4_46 * C00670 * C00001)/(${Variables:E3_1_4_46_km} + (E3_1_4_46 * C00670 * C00001))</v>
      </c>
    </row>
    <row r="760" spans="1:11" ht="29">
      <c r="A760" s="11" t="s">
        <v>5670</v>
      </c>
      <c r="B760" s="11" t="s">
        <v>5671</v>
      </c>
      <c r="C760" s="11" t="s">
        <v>12459</v>
      </c>
      <c r="D760" s="60">
        <v>759</v>
      </c>
      <c r="E760" s="11" t="str">
        <f t="shared" si="33"/>
        <v>E3_1_4_46</v>
      </c>
      <c r="F760" s="11" t="s">
        <v>15270</v>
      </c>
      <c r="G760" s="11" t="s">
        <v>15271</v>
      </c>
      <c r="H760" s="11" t="s">
        <v>15272</v>
      </c>
      <c r="I760" s="11" t="s">
        <v>15273</v>
      </c>
      <c r="J760" s="61" t="str">
        <f t="shared" si="34"/>
        <v>(${Variables:E3_1_4_46_kcat} * E3_1_4_46 * C01233 * C00001)/(${Variables:E3_1_4_46_km} + (E3_1_4_46 * C01233 * C00001))</v>
      </c>
      <c r="K760" s="54" t="str">
        <f t="shared" si="35"/>
        <v>r759: C01233 + C00001 -&gt; C00189 + C00093 | (${Variables:E3_1_4_46_kcat} * E3_1_4_46 * C01233 * C00001)/(${Variables:E3_1_4_46_km} + (E3_1_4_46 * C01233 * C00001))</v>
      </c>
    </row>
    <row r="761" spans="1:11" ht="29">
      <c r="A761" s="11" t="s">
        <v>5680</v>
      </c>
      <c r="B761" s="11" t="s">
        <v>5681</v>
      </c>
      <c r="C761" s="11" t="s">
        <v>12460</v>
      </c>
      <c r="D761" s="60">
        <v>760</v>
      </c>
      <c r="E761" s="11" t="str">
        <f t="shared" si="33"/>
        <v>E3_2_2_16</v>
      </c>
      <c r="F761" s="11" t="s">
        <v>15274</v>
      </c>
      <c r="G761" s="11" t="s">
        <v>15275</v>
      </c>
      <c r="H761" s="11" t="s">
        <v>15276</v>
      </c>
      <c r="I761" s="11" t="s">
        <v>15277</v>
      </c>
      <c r="J761" s="61" t="str">
        <f t="shared" si="34"/>
        <v>(${Variables:E3_2_2_16_kcat} * E3_2_2_16 * C00170 * C00001)/(${Variables:E3_2_2_16_km} + (E3_2_2_16 * C00170 * C00001))</v>
      </c>
      <c r="K761" s="54" t="str">
        <f t="shared" si="35"/>
        <v>r760: C00170 + C00001 -&gt; C00147 + C03089 | (${Variables:E3_2_2_16_kcat} * E3_2_2_16 * C00170 * C00001)/(${Variables:E3_2_2_16_km} + (E3_2_2_16 * C00170 * C00001))</v>
      </c>
    </row>
    <row r="762" spans="1:11" ht="29">
      <c r="A762" s="11" t="s">
        <v>5680</v>
      </c>
      <c r="B762" s="11" t="s">
        <v>5681</v>
      </c>
      <c r="C762" s="11" t="s">
        <v>12461</v>
      </c>
      <c r="D762" s="60">
        <v>761</v>
      </c>
      <c r="E762" s="11" t="str">
        <f t="shared" si="33"/>
        <v>E3_2_2_9</v>
      </c>
      <c r="F762" s="11" t="s">
        <v>14906</v>
      </c>
      <c r="G762" s="11" t="s">
        <v>14907</v>
      </c>
      <c r="H762" s="11" t="s">
        <v>15278</v>
      </c>
      <c r="I762" s="11" t="s">
        <v>15279</v>
      </c>
      <c r="J762" s="61" t="str">
        <f t="shared" si="34"/>
        <v>(${Variables:E3_2_2_9_kcat} * E3_2_2_9 * C00021 * C00001)/(${Variables:E3_2_2_9_km} + (E3_2_2_9 * C00021 * C00001))</v>
      </c>
      <c r="K762" s="54" t="str">
        <f t="shared" si="35"/>
        <v>r761: C00021 + C00001 -&gt; C03539 + C00147 | (${Variables:E3_2_2_9_kcat} * E3_2_2_9 * C00021 * C00001)/(${Variables:E3_2_2_9_km} + (E3_2_2_9 * C00021 * C00001))</v>
      </c>
    </row>
    <row r="763" spans="1:11" ht="29">
      <c r="A763" s="11" t="s">
        <v>5680</v>
      </c>
      <c r="B763" s="11" t="s">
        <v>5681</v>
      </c>
      <c r="C763" s="11" t="s">
        <v>12461</v>
      </c>
      <c r="D763" s="60">
        <v>762</v>
      </c>
      <c r="E763" s="11" t="str">
        <f t="shared" si="33"/>
        <v>E3_2_2_9</v>
      </c>
      <c r="F763" s="11" t="s">
        <v>15280</v>
      </c>
      <c r="G763" s="11" t="s">
        <v>15281</v>
      </c>
      <c r="H763" s="11" t="s">
        <v>15282</v>
      </c>
      <c r="I763" s="11" t="s">
        <v>15283</v>
      </c>
      <c r="J763" s="61" t="str">
        <f t="shared" si="34"/>
        <v>(${Variables:E3_2_2_9_kcat} * E3_2_2_9 * C05198 * C00001)/(${Variables:E3_2_2_9_km} + (E3_2_2_9 * C05198 * C00001))</v>
      </c>
      <c r="K763" s="54" t="str">
        <f t="shared" si="35"/>
        <v>r762: C05198 + C00001 -&gt; C22288 + C00147 | (${Variables:E3_2_2_9_kcat} * E3_2_2_9 * C05198 * C00001)/(${Variables:E3_2_2_9_km} + (E3_2_2_9 * C05198 * C00001))</v>
      </c>
    </row>
    <row r="764" spans="1:11" ht="29">
      <c r="A764" s="11" t="s">
        <v>5686</v>
      </c>
      <c r="B764" s="11" t="s">
        <v>5687</v>
      </c>
      <c r="C764" s="11" t="s">
        <v>12698</v>
      </c>
      <c r="D764" s="60">
        <v>763</v>
      </c>
      <c r="E764" s="11" t="str">
        <f t="shared" si="33"/>
        <v>E3_6_1_13</v>
      </c>
      <c r="F764" s="11" t="s">
        <v>15284</v>
      </c>
      <c r="G764" s="11" t="s">
        <v>15285</v>
      </c>
      <c r="H764" s="11" t="s">
        <v>15286</v>
      </c>
      <c r="I764" s="11" t="s">
        <v>15287</v>
      </c>
      <c r="J764" s="61" t="str">
        <f t="shared" si="34"/>
        <v>(${Variables:E3_6_1_13_kcat} * E3_6_1_13 * C00301 * C00001)/(${Variables:E3_6_1_13_km} + (E3_6_1_13 * C00301 * C00001))</v>
      </c>
      <c r="K764" s="54" t="str">
        <f t="shared" si="35"/>
        <v>r763: C00301 + C00001 -&gt; C00020 + C00117 | (${Variables:E3_6_1_13_kcat} * E3_6_1_13 * C00301 * C00001)/(${Variables:E3_6_1_13_km} + (E3_6_1_13 * C00301 * C00001))</v>
      </c>
    </row>
    <row r="765" spans="1:11" ht="29">
      <c r="A765" s="11" t="s">
        <v>5743</v>
      </c>
      <c r="B765" s="11" t="s">
        <v>5744</v>
      </c>
      <c r="C765" s="11" t="s">
        <v>12700</v>
      </c>
      <c r="D765" s="60">
        <v>764</v>
      </c>
      <c r="E765" s="11" t="str">
        <f t="shared" si="33"/>
        <v>E2_7_1_24</v>
      </c>
      <c r="F765" s="11" t="s">
        <v>15288</v>
      </c>
      <c r="G765" s="11" t="s">
        <v>15289</v>
      </c>
      <c r="H765" s="11" t="s">
        <v>15290</v>
      </c>
      <c r="I765" s="11" t="s">
        <v>15291</v>
      </c>
      <c r="J765" s="61" t="str">
        <f t="shared" si="34"/>
        <v>(${Variables:E2_7_1_24_kcat} * E2_7_1_24 * C00002 * C00882)/(${Variables:E2_7_1_24_km} + (E2_7_1_24 * C00002 * C00882))</v>
      </c>
      <c r="K765" s="54" t="str">
        <f t="shared" si="35"/>
        <v>r764: C00002 + C00882 -&gt; C00008 + C00010 | (${Variables:E2_7_1_24_kcat} * E2_7_1_24 * C00002 * C00882)/(${Variables:E2_7_1_24_km} + (E2_7_1_24 * C00002 * C00882))</v>
      </c>
    </row>
    <row r="766" spans="1:11" ht="29">
      <c r="A766" s="11" t="s">
        <v>5755</v>
      </c>
      <c r="B766" s="11" t="s">
        <v>5756</v>
      </c>
      <c r="C766" s="11" t="s">
        <v>12702</v>
      </c>
      <c r="D766" s="60">
        <v>765</v>
      </c>
      <c r="E766" s="11" t="str">
        <f t="shared" si="33"/>
        <v>E2_7_1_66</v>
      </c>
      <c r="F766" s="11" t="s">
        <v>15292</v>
      </c>
      <c r="G766" s="11" t="s">
        <v>15293</v>
      </c>
      <c r="H766" s="11" t="s">
        <v>15294</v>
      </c>
      <c r="I766" s="11" t="s">
        <v>15295</v>
      </c>
      <c r="J766" s="61" t="str">
        <f t="shared" si="34"/>
        <v>(${Variables:E2_7_1_66_kcat} * E2_7_1_66 * C00002 * C17558)/(${Variables:E2_7_1_66_km} + (E2_7_1_66 * C00002 * C17558))</v>
      </c>
      <c r="K766" s="54" t="str">
        <f t="shared" si="35"/>
        <v>r765: C00002 + C17558 -&gt; C00008 + C17556 | (${Variables:E2_7_1_66_kcat} * E2_7_1_66 * C00002 * C17558)/(${Variables:E2_7_1_66_km} + (E2_7_1_66 * C00002 * C17558))</v>
      </c>
    </row>
    <row r="767" spans="1:11" ht="29">
      <c r="A767" s="11" t="s">
        <v>5755</v>
      </c>
      <c r="B767" s="11" t="s">
        <v>5756</v>
      </c>
      <c r="C767" s="11" t="s">
        <v>12703</v>
      </c>
      <c r="D767" s="60">
        <v>766</v>
      </c>
      <c r="E767" s="11" t="str">
        <f t="shared" si="33"/>
        <v>E2_7_1_107</v>
      </c>
      <c r="F767" s="11" t="s">
        <v>15296</v>
      </c>
      <c r="G767" s="11" t="s">
        <v>15297</v>
      </c>
      <c r="H767" s="11" t="s">
        <v>15298</v>
      </c>
      <c r="I767" s="11" t="s">
        <v>15299</v>
      </c>
      <c r="J767" s="61" t="str">
        <f t="shared" si="34"/>
        <v>(${Variables:E2_7_1_107_kcat} * E2_7_1_107 * C00002 * C00641)/(${Variables:E2_7_1_107_km} + (E2_7_1_107 * C00002 * C00641))</v>
      </c>
      <c r="K767" s="54" t="str">
        <f t="shared" si="35"/>
        <v>r766: C00002 + C00641 -&gt; C00008 + C00416 | (${Variables:E2_7_1_107_kcat} * E2_7_1_107 * C00002 * C00641)/(${Variables:E2_7_1_107_km} + (E2_7_1_107 * C00002 * C00641))</v>
      </c>
    </row>
    <row r="768" spans="1:11" ht="29">
      <c r="A768" s="11" t="s">
        <v>5769</v>
      </c>
      <c r="B768" s="11" t="s">
        <v>5770</v>
      </c>
      <c r="C768" s="11" t="s">
        <v>12704</v>
      </c>
      <c r="D768" s="60">
        <v>767</v>
      </c>
      <c r="E768" s="11" t="str">
        <f t="shared" si="33"/>
        <v>E1_3_1_14</v>
      </c>
      <c r="F768" s="11" t="s">
        <v>15300</v>
      </c>
      <c r="G768" s="11" t="s">
        <v>15301</v>
      </c>
      <c r="H768" s="11" t="s">
        <v>15302</v>
      </c>
      <c r="I768" s="11" t="s">
        <v>15303</v>
      </c>
      <c r="J768" s="61" t="str">
        <f t="shared" si="34"/>
        <v>(${Variables:E1_3_1_14_kcat} * E1_3_1_14 * C00337 * C00003)/(${Variables:E1_3_1_14_km} + (E1_3_1_14 * C00337 * C00003))</v>
      </c>
      <c r="K768" s="54" t="str">
        <f t="shared" si="35"/>
        <v>r767: C00337 + C00003 -&gt; C00295 + C00080 + C00004 | (${Variables:E1_3_1_14_kcat} * E1_3_1_14 * C00337 * C00003)/(${Variables:E1_3_1_14_km} + (E1_3_1_14 * C00337 * C00003))</v>
      </c>
    </row>
    <row r="769" spans="1:11" ht="43.5">
      <c r="A769" s="11" t="s">
        <v>5807</v>
      </c>
      <c r="B769" s="11" t="s">
        <v>5808</v>
      </c>
      <c r="C769" s="11" t="s">
        <v>12705</v>
      </c>
      <c r="D769" s="60">
        <v>768</v>
      </c>
      <c r="E769" s="11" t="str">
        <f t="shared" si="33"/>
        <v>E1_4_1_1</v>
      </c>
      <c r="F769" s="11" t="s">
        <v>15304</v>
      </c>
      <c r="G769" s="11" t="s">
        <v>15305</v>
      </c>
      <c r="H769" s="11" t="s">
        <v>15306</v>
      </c>
      <c r="I769" s="11" t="s">
        <v>15307</v>
      </c>
      <c r="J769" s="61" t="str">
        <f t="shared" si="34"/>
        <v>(${Variables:E1_4_1_1_kcat} * E1_4_1_1 * C00041 * C00003 * C00001)/(${Variables:E1_4_1_1_km} + (E1_4_1_1 * C00041 * C00003 * C00001))</v>
      </c>
      <c r="K769" s="54" t="str">
        <f t="shared" si="35"/>
        <v>r768: C00041 + C00003 + C00001 -&gt; C00022 + C00014 + C00004 + C00080 | (${Variables:E1_4_1_1_kcat} * E1_4_1_1 * C00041 * C00003 * C00001)/(${Variables:E1_4_1_1_km} + (E1_4_1_1 * C00041 * C00003 * C00001))</v>
      </c>
    </row>
    <row r="770" spans="1:11" ht="43.5">
      <c r="A770" s="11" t="s">
        <v>5807</v>
      </c>
      <c r="B770" s="11" t="s">
        <v>5808</v>
      </c>
      <c r="C770" s="11" t="s">
        <v>12705</v>
      </c>
      <c r="D770" s="60">
        <v>769</v>
      </c>
      <c r="E770" s="11" t="str">
        <f t="shared" si="33"/>
        <v>E1_4_1_1</v>
      </c>
      <c r="F770" s="11" t="s">
        <v>15308</v>
      </c>
      <c r="G770" s="11" t="s">
        <v>15309</v>
      </c>
      <c r="H770" s="11" t="s">
        <v>15310</v>
      </c>
      <c r="I770" s="11" t="s">
        <v>15311</v>
      </c>
      <c r="J770" s="61" t="str">
        <f t="shared" si="34"/>
        <v>(${Variables:E1_4_1_1_kcat} * E1_4_1_1 * C00037 * C00001 * C00003)/(${Variables:E1_4_1_1_km} + (E1_4_1_1 * C00037 * C00001 * C00003))</v>
      </c>
      <c r="K770" s="54" t="str">
        <f t="shared" si="35"/>
        <v>r769: C00037 + C00001 + C00003 -&gt; C00048 + C00014 + C00004 + C00080 | (${Variables:E1_4_1_1_kcat} * E1_4_1_1 * C00037 * C00001 * C00003)/(${Variables:E1_4_1_1_km} + (E1_4_1_1 * C00037 * C00001 * C00003))</v>
      </c>
    </row>
    <row r="771" spans="1:11" ht="43.5">
      <c r="A771" s="11" t="s">
        <v>5838</v>
      </c>
      <c r="B771" s="11" t="s">
        <v>5839</v>
      </c>
      <c r="C771" s="11" t="s">
        <v>12707</v>
      </c>
      <c r="D771" s="60">
        <v>770</v>
      </c>
      <c r="E771" s="11" t="str">
        <f t="shared" ref="E771:E834" si="36">CONCATENATE("E",C771)</f>
        <v>E2_1_1_74</v>
      </c>
      <c r="F771" s="11" t="s">
        <v>15312</v>
      </c>
      <c r="G771" s="11" t="s">
        <v>15313</v>
      </c>
      <c r="H771" s="11" t="s">
        <v>15314</v>
      </c>
      <c r="I771" s="11" t="s">
        <v>15315</v>
      </c>
      <c r="J771" s="61" t="str">
        <f t="shared" ref="J771:J834" si="37">CONCATENATE("(${Variables:",E771,"_kcat","} * ",E771," * ",G771,")","/(${Variables:",E771,"_km","} + (",E771," * ",G771,"))")</f>
        <v>(${Variables:E2_1_1_74_kcat} * E2_1_1_74 * C00143 * C01764 * C00004 * C00080)/(${Variables:E2_1_1_74_km} + (E2_1_1_74 * C00143 * C01764 * C00004 * C00080))</v>
      </c>
      <c r="K771" s="54" t="str">
        <f t="shared" ref="K771:K834" si="38">CONCATENATE("r",D771,": ",F771," -&gt; ",H771," | ",J771)</f>
        <v>r770: C00143 + C01764 + C00004 + C00080 -&gt; C00101 + C03446 + C00003 | (${Variables:E2_1_1_74_kcat} * E2_1_1_74 * C00143 * C01764 * C00004 * C00080)/(${Variables:E2_1_1_74_km} + (E2_1_1_74 * C00143 * C01764 * C00004 * C00080))</v>
      </c>
    </row>
    <row r="772" spans="1:11" ht="43.5">
      <c r="A772" s="11" t="s">
        <v>5838</v>
      </c>
      <c r="B772" s="11" t="s">
        <v>5839</v>
      </c>
      <c r="C772" s="11" t="s">
        <v>12707</v>
      </c>
      <c r="D772" s="60">
        <v>771</v>
      </c>
      <c r="E772" s="11" t="str">
        <f t="shared" si="36"/>
        <v>E2_1_1_74</v>
      </c>
      <c r="F772" s="11" t="s">
        <v>15316</v>
      </c>
      <c r="G772" s="11" t="s">
        <v>15317</v>
      </c>
      <c r="H772" s="11" t="s">
        <v>15318</v>
      </c>
      <c r="I772" s="11" t="s">
        <v>15319</v>
      </c>
      <c r="J772" s="61" t="str">
        <f t="shared" si="37"/>
        <v>(${Variables:E2_1_1_74_kcat} * E2_1_1_74 * C00143 * C01764 * C01352)/(${Variables:E2_1_1_74_km} + (E2_1_1_74 * C00143 * C01764 * C01352))</v>
      </c>
      <c r="K772" s="54" t="str">
        <f t="shared" si="38"/>
        <v>r771: C00143 + C01764 + C01352 -&gt; C00101 + C03446 + C00016 | (${Variables:E2_1_1_74_kcat} * E2_1_1_74 * C00143 * C01764 * C01352)/(${Variables:E2_1_1_74_km} + (E2_1_1_74 * C00143 * C01764 * C01352))</v>
      </c>
    </row>
    <row r="773" spans="1:11" ht="29">
      <c r="A773" s="11" t="s">
        <v>5862</v>
      </c>
      <c r="B773" s="11" t="s">
        <v>5863</v>
      </c>
      <c r="C773" s="11" t="s">
        <v>12709</v>
      </c>
      <c r="D773" s="60">
        <v>772</v>
      </c>
      <c r="E773" s="11" t="str">
        <f t="shared" si="36"/>
        <v>E2_7_4_9</v>
      </c>
      <c r="F773" s="11" t="s">
        <v>15320</v>
      </c>
      <c r="G773" s="11" t="s">
        <v>15321</v>
      </c>
      <c r="H773" s="11" t="s">
        <v>15322</v>
      </c>
      <c r="I773" s="11" t="s">
        <v>15323</v>
      </c>
      <c r="J773" s="61" t="str">
        <f t="shared" si="37"/>
        <v>(${Variables:E2_7_4_9_kcat} * E2_7_4_9 * C00002 * C00364)/(${Variables:E2_7_4_9_km} + (E2_7_4_9 * C00002 * C00364))</v>
      </c>
      <c r="K773" s="54" t="str">
        <f t="shared" si="38"/>
        <v>r772: C00002 + C00364 -&gt; C00008 + C00363 | (${Variables:E2_7_4_9_kcat} * E2_7_4_9 * C00002 * C00364)/(${Variables:E2_7_4_9_km} + (E2_7_4_9 * C00002 * C00364))</v>
      </c>
    </row>
    <row r="774" spans="1:11" ht="29">
      <c r="A774" s="11" t="s">
        <v>5862</v>
      </c>
      <c r="B774" s="11" t="s">
        <v>5863</v>
      </c>
      <c r="C774" s="11" t="s">
        <v>12709</v>
      </c>
      <c r="D774" s="60">
        <v>773</v>
      </c>
      <c r="E774" s="11" t="str">
        <f t="shared" si="36"/>
        <v>E2_7_4_9</v>
      </c>
      <c r="F774" s="11" t="s">
        <v>15324</v>
      </c>
      <c r="G774" s="11" t="s">
        <v>15325</v>
      </c>
      <c r="H774" s="11" t="s">
        <v>15326</v>
      </c>
      <c r="I774" s="11" t="s">
        <v>15327</v>
      </c>
      <c r="J774" s="61" t="str">
        <f t="shared" si="37"/>
        <v>(${Variables:E2_7_4_9_kcat} * E2_7_4_9 * C00002 * C00365)/(${Variables:E2_7_4_9_km} + (E2_7_4_9 * C00002 * C00365))</v>
      </c>
      <c r="K774" s="54" t="str">
        <f t="shared" si="38"/>
        <v>r773: C00002 + C00365 -&gt; C00008 + C01346 | (${Variables:E2_7_4_9_kcat} * E2_7_4_9 * C00002 * C00365)/(${Variables:E2_7_4_9_km} + (E2_7_4_9 * C00002 * C00365))</v>
      </c>
    </row>
    <row r="775" spans="1:11" ht="29">
      <c r="A775" s="11" t="s">
        <v>5866</v>
      </c>
      <c r="B775" s="11" t="s">
        <v>5867</v>
      </c>
      <c r="C775" s="11" t="s">
        <v>12710</v>
      </c>
      <c r="D775" s="60">
        <v>774</v>
      </c>
      <c r="E775" s="11" t="str">
        <f t="shared" si="36"/>
        <v>E1_5_1_2</v>
      </c>
      <c r="F775" s="11" t="s">
        <v>15328</v>
      </c>
      <c r="G775" s="11" t="s">
        <v>15329</v>
      </c>
      <c r="H775" s="11" t="s">
        <v>15330</v>
      </c>
      <c r="I775" s="11" t="s">
        <v>15331</v>
      </c>
      <c r="J775" s="61" t="str">
        <f t="shared" si="37"/>
        <v>(${Variables:E1_5_1_2_kcat} * E1_5_1_2 * C00148 * C00003)/(${Variables:E1_5_1_2_km} + (E1_5_1_2 * C00148 * C00003))</v>
      </c>
      <c r="K775" s="54" t="str">
        <f t="shared" si="38"/>
        <v>r774: C00148 + C00003 -&gt; C03912 + C00004 + C00080 | (${Variables:E1_5_1_2_kcat} * E1_5_1_2 * C00148 * C00003)/(${Variables:E1_5_1_2_km} + (E1_5_1_2 * C00148 * C00003))</v>
      </c>
    </row>
    <row r="776" spans="1:11" ht="29">
      <c r="A776" s="11" t="s">
        <v>5866</v>
      </c>
      <c r="B776" s="11" t="s">
        <v>5867</v>
      </c>
      <c r="C776" s="11" t="s">
        <v>12710</v>
      </c>
      <c r="D776" s="60">
        <v>775</v>
      </c>
      <c r="E776" s="11" t="str">
        <f t="shared" si="36"/>
        <v>E1_5_1_2</v>
      </c>
      <c r="F776" s="11" t="s">
        <v>15332</v>
      </c>
      <c r="G776" s="11" t="s">
        <v>15333</v>
      </c>
      <c r="H776" s="11" t="s">
        <v>15334</v>
      </c>
      <c r="I776" s="11" t="s">
        <v>15335</v>
      </c>
      <c r="J776" s="61" t="str">
        <f t="shared" si="37"/>
        <v>(${Variables:E1_5_1_2_kcat} * E1_5_1_2 * C00148 * C00006)/(${Variables:E1_5_1_2_km} + (E1_5_1_2 * C00148 * C00006))</v>
      </c>
      <c r="K776" s="54" t="str">
        <f t="shared" si="38"/>
        <v>r775: C00148 + C00006 -&gt; C03912 + C00005 + C00080 | (${Variables:E1_5_1_2_kcat} * E1_5_1_2 * C00148 * C00006)/(${Variables:E1_5_1_2_km} + (E1_5_1_2 * C00148 * C00006))</v>
      </c>
    </row>
    <row r="777" spans="1:11" ht="29">
      <c r="A777" s="11" t="s">
        <v>5866</v>
      </c>
      <c r="B777" s="11" t="s">
        <v>5867</v>
      </c>
      <c r="C777" s="11" t="s">
        <v>12710</v>
      </c>
      <c r="D777" s="60">
        <v>776</v>
      </c>
      <c r="E777" s="11" t="str">
        <f t="shared" si="36"/>
        <v>E1_5_1_2</v>
      </c>
      <c r="F777" s="11" t="s">
        <v>15336</v>
      </c>
      <c r="G777" s="11" t="s">
        <v>15337</v>
      </c>
      <c r="H777" s="11" t="s">
        <v>15338</v>
      </c>
      <c r="I777" s="11" t="s">
        <v>15339</v>
      </c>
      <c r="J777" s="61" t="str">
        <f t="shared" si="37"/>
        <v>(${Variables:E1_5_1_2_kcat} * E1_5_1_2 * C01157 * C00003)/(${Variables:E1_5_1_2_km} + (E1_5_1_2 * C01157 * C00003))</v>
      </c>
      <c r="K777" s="54" t="str">
        <f t="shared" si="38"/>
        <v>r776: C01157 + C00003 -&gt; C04281 + C00004 + C00080 | (${Variables:E1_5_1_2_kcat} * E1_5_1_2 * C01157 * C00003)/(${Variables:E1_5_1_2_km} + (E1_5_1_2 * C01157 * C00003))</v>
      </c>
    </row>
    <row r="778" spans="1:11" ht="29">
      <c r="A778" s="11" t="s">
        <v>5866</v>
      </c>
      <c r="B778" s="11" t="s">
        <v>5867</v>
      </c>
      <c r="C778" s="11" t="s">
        <v>12710</v>
      </c>
      <c r="D778" s="60">
        <v>777</v>
      </c>
      <c r="E778" s="11" t="str">
        <f t="shared" si="36"/>
        <v>E1_5_1_2</v>
      </c>
      <c r="F778" s="11" t="s">
        <v>15340</v>
      </c>
      <c r="G778" s="11" t="s">
        <v>15341</v>
      </c>
      <c r="H778" s="11" t="s">
        <v>15342</v>
      </c>
      <c r="I778" s="11" t="s">
        <v>15343</v>
      </c>
      <c r="J778" s="61" t="str">
        <f t="shared" si="37"/>
        <v>(${Variables:E1_5_1_2_kcat} * E1_5_1_2 * C01157 * C00006)/(${Variables:E1_5_1_2_km} + (E1_5_1_2 * C01157 * C00006))</v>
      </c>
      <c r="K778" s="54" t="str">
        <f t="shared" si="38"/>
        <v>r777: C01157 + C00006 -&gt; C04281 + C00005 + C00080 | (${Variables:E1_5_1_2_kcat} * E1_5_1_2 * C01157 * C00006)/(${Variables:E1_5_1_2_km} + (E1_5_1_2 * C01157 * C00006))</v>
      </c>
    </row>
    <row r="779" spans="1:11" ht="43.5">
      <c r="A779" s="11" t="s">
        <v>5870</v>
      </c>
      <c r="B779" s="11" t="s">
        <v>5871</v>
      </c>
      <c r="C779" s="11" t="s">
        <v>12711</v>
      </c>
      <c r="D779" s="60">
        <v>778</v>
      </c>
      <c r="E779" s="11" t="str">
        <f t="shared" si="36"/>
        <v>E1_2_1_41</v>
      </c>
      <c r="F779" s="11" t="s">
        <v>15344</v>
      </c>
      <c r="G779" s="11" t="s">
        <v>15345</v>
      </c>
      <c r="H779" s="11" t="s">
        <v>15346</v>
      </c>
      <c r="I779" s="11" t="s">
        <v>15347</v>
      </c>
      <c r="J779" s="61" t="str">
        <f t="shared" si="37"/>
        <v>(${Variables:E1_2_1_41_kcat} * E1_2_1_41 * C01165 * C00009 * C00006)/(${Variables:E1_2_1_41_km} + (E1_2_1_41 * C01165 * C00009 * C00006))</v>
      </c>
      <c r="K779" s="54" t="str">
        <f t="shared" si="38"/>
        <v>r778: C01165 + C00009 + C00006 -&gt; C03287 + C00005 + C00080 | (${Variables:E1_2_1_41_kcat} * E1_2_1_41 * C01165 * C00009 * C00006)/(${Variables:E1_2_1_41_km} + (E1_2_1_41 * C01165 * C00009 * C00006))</v>
      </c>
    </row>
    <row r="780" spans="1:11" ht="29">
      <c r="A780" s="11" t="s">
        <v>5874</v>
      </c>
      <c r="B780" s="11" t="s">
        <v>5875</v>
      </c>
      <c r="C780" s="11" t="s">
        <v>12712</v>
      </c>
      <c r="D780" s="60">
        <v>779</v>
      </c>
      <c r="E780" s="11" t="str">
        <f t="shared" si="36"/>
        <v>E2_7_2_11</v>
      </c>
      <c r="F780" s="11" t="s">
        <v>15348</v>
      </c>
      <c r="G780" s="11" t="s">
        <v>15349</v>
      </c>
      <c r="H780" s="11" t="s">
        <v>15350</v>
      </c>
      <c r="I780" s="11" t="s">
        <v>15351</v>
      </c>
      <c r="J780" s="61" t="str">
        <f t="shared" si="37"/>
        <v>(${Variables:E2_7_2_11_kcat} * E2_7_2_11 * C00002 * C00025)/(${Variables:E2_7_2_11_km} + (E2_7_2_11 * C00002 * C00025))</v>
      </c>
      <c r="K780" s="54" t="str">
        <f t="shared" si="38"/>
        <v>r779: C00002 + C00025 -&gt; C00008 + C03287 | (${Variables:E2_7_2_11_kcat} * E2_7_2_11 * C00002 * C00025)/(${Variables:E2_7_2_11_km} + (E2_7_2_11 * C00002 * C00025))</v>
      </c>
    </row>
    <row r="781" spans="1:11" ht="29">
      <c r="A781" s="11" t="s">
        <v>5900</v>
      </c>
      <c r="B781" s="11" t="s">
        <v>5901</v>
      </c>
      <c r="C781" s="11" t="s">
        <v>12713</v>
      </c>
      <c r="D781" s="60">
        <v>780</v>
      </c>
      <c r="E781" s="11" t="str">
        <f t="shared" si="36"/>
        <v>E3_5_1_77</v>
      </c>
      <c r="F781" s="11" t="s">
        <v>15352</v>
      </c>
      <c r="G781" s="11" t="s">
        <v>15353</v>
      </c>
      <c r="H781" s="11" t="s">
        <v>15354</v>
      </c>
      <c r="I781" s="11" t="s">
        <v>15355</v>
      </c>
      <c r="J781" s="61" t="str">
        <f t="shared" si="37"/>
        <v>(${Variables:E3_5_1_77_kcat} * E3_5_1_77 * C05226 * C00001)/(${Variables:E3_5_1_77_km} + (E3_5_1_77 * C05226 * C00001))</v>
      </c>
      <c r="K781" s="54" t="str">
        <f t="shared" si="38"/>
        <v>r780: C05226 + C00001 -&gt; C00405 + C00014 + C00011 | (${Variables:E3_5_1_77_kcat} * E3_5_1_77 * C05226 * C00001)/(${Variables:E3_5_1_77_km} + (E3_5_1_77 * C05226 * C00001))</v>
      </c>
    </row>
    <row r="782" spans="1:11" ht="29">
      <c r="A782" s="11" t="s">
        <v>5904</v>
      </c>
      <c r="B782" s="11" t="s">
        <v>5905</v>
      </c>
      <c r="C782" s="11" t="s">
        <v>12714</v>
      </c>
      <c r="D782" s="60">
        <v>781</v>
      </c>
      <c r="E782" s="11" t="str">
        <f t="shared" si="36"/>
        <v>E3_5_3_12</v>
      </c>
      <c r="F782" s="11" t="s">
        <v>15356</v>
      </c>
      <c r="G782" s="11" t="s">
        <v>15357</v>
      </c>
      <c r="H782" s="11" t="s">
        <v>15358</v>
      </c>
      <c r="I782" s="11" t="s">
        <v>15359</v>
      </c>
      <c r="J782" s="61" t="str">
        <f t="shared" si="37"/>
        <v>(${Variables:E3_5_3_12_kcat} * E3_5_3_12 * C00179 * C00001)/(${Variables:E3_5_3_12_km} + (E3_5_3_12 * C00179 * C00001))</v>
      </c>
      <c r="K782" s="54" t="str">
        <f t="shared" si="38"/>
        <v>r781: C00179 + C00001 -&gt; C00436 + C00014 | (${Variables:E3_5_3_12_kcat} * E3_5_3_12 * C00179 * C00001)/(${Variables:E3_5_3_12_km} + (E3_5_3_12 * C00179 * C00001))</v>
      </c>
    </row>
    <row r="783" spans="1:11" ht="29">
      <c r="A783" s="11" t="s">
        <v>5915</v>
      </c>
      <c r="B783" s="11" t="s">
        <v>5916</v>
      </c>
      <c r="C783" s="11" t="s">
        <v>12715</v>
      </c>
      <c r="D783" s="60">
        <v>782</v>
      </c>
      <c r="E783" s="11" t="str">
        <f t="shared" si="36"/>
        <v>E2_5_1_16</v>
      </c>
      <c r="F783" s="11" t="s">
        <v>15360</v>
      </c>
      <c r="G783" s="11" t="s">
        <v>15361</v>
      </c>
      <c r="H783" s="11" t="s">
        <v>15362</v>
      </c>
      <c r="I783" s="11" t="s">
        <v>15363</v>
      </c>
      <c r="J783" s="61" t="str">
        <f t="shared" si="37"/>
        <v>(${Variables:E2_5_1_16_kcat} * E2_5_1_16 * C01137 * C00134)/(${Variables:E2_5_1_16_km} + (E2_5_1_16 * C01137 * C00134))</v>
      </c>
      <c r="K783" s="54" t="str">
        <f t="shared" si="38"/>
        <v>r782: C01137 + C00134 -&gt; C00170 + C00315 | (${Variables:E2_5_1_16_kcat} * E2_5_1_16 * C01137 * C00134)/(${Variables:E2_5_1_16_km} + (E2_5_1_16 * C01137 * C00134))</v>
      </c>
    </row>
    <row r="784" spans="1:11" ht="29">
      <c r="A784" s="11" t="s">
        <v>5915</v>
      </c>
      <c r="B784" s="11" t="s">
        <v>5916</v>
      </c>
      <c r="C784" s="11" t="s">
        <v>12715</v>
      </c>
      <c r="D784" s="60">
        <v>783</v>
      </c>
      <c r="E784" s="11" t="str">
        <f t="shared" si="36"/>
        <v>E2_5_1_16</v>
      </c>
      <c r="F784" s="11" t="s">
        <v>15364</v>
      </c>
      <c r="G784" s="11" t="s">
        <v>15365</v>
      </c>
      <c r="H784" s="11" t="s">
        <v>15366</v>
      </c>
      <c r="I784" s="11" t="s">
        <v>15367</v>
      </c>
      <c r="J784" s="61" t="str">
        <f t="shared" si="37"/>
        <v>(${Variables:E2_5_1_16_kcat} * E2_5_1_16 * C01137 * C01672)/(${Variables:E2_5_1_16_km} + (E2_5_1_16 * C01137 * C01672))</v>
      </c>
      <c r="K784" s="54" t="str">
        <f t="shared" si="38"/>
        <v>r783: C01137 + C01672 -&gt; C00170 + C16565 | (${Variables:E2_5_1_16_kcat} * E2_5_1_16 * C01137 * C01672)/(${Variables:E2_5_1_16_km} + (E2_5_1_16 * C01137 * C01672))</v>
      </c>
    </row>
    <row r="785" spans="1:11" ht="29">
      <c r="A785" s="11" t="s">
        <v>5921</v>
      </c>
      <c r="B785" s="11" t="s">
        <v>5922</v>
      </c>
      <c r="C785" s="11" t="s">
        <v>12716</v>
      </c>
      <c r="D785" s="60">
        <v>784</v>
      </c>
      <c r="E785" s="11" t="str">
        <f t="shared" si="36"/>
        <v>E4_1_1_19</v>
      </c>
      <c r="F785" s="11" t="s">
        <v>10199</v>
      </c>
      <c r="G785" s="11" t="s">
        <v>10199</v>
      </c>
      <c r="H785" s="11" t="s">
        <v>15368</v>
      </c>
      <c r="I785" s="11" t="s">
        <v>15369</v>
      </c>
      <c r="J785" s="61" t="str">
        <f t="shared" si="37"/>
        <v>(${Variables:E4_1_1_19_kcat} * E4_1_1_19 * C00062)/(${Variables:E4_1_1_19_km} + (E4_1_1_19 * C00062))</v>
      </c>
      <c r="K785" s="54" t="str">
        <f t="shared" si="38"/>
        <v>r784: C00062 -&gt; C00179 + C00011 | (${Variables:E4_1_1_19_kcat} * E4_1_1_19 * C00062)/(${Variables:E4_1_1_19_km} + (E4_1_1_19 * C00062))</v>
      </c>
    </row>
    <row r="786" spans="1:11" ht="29">
      <c r="A786" s="11" t="s">
        <v>5966</v>
      </c>
      <c r="B786" s="11" t="s">
        <v>5967</v>
      </c>
      <c r="C786" s="11" t="s">
        <v>12525</v>
      </c>
      <c r="D786" s="60">
        <v>785</v>
      </c>
      <c r="E786" s="11" t="str">
        <f t="shared" si="36"/>
        <v>E2_7_1_40</v>
      </c>
      <c r="F786" s="11" t="s">
        <v>15370</v>
      </c>
      <c r="G786" s="11" t="s">
        <v>15371</v>
      </c>
      <c r="H786" s="11" t="s">
        <v>15372</v>
      </c>
      <c r="I786" s="11" t="s">
        <v>15373</v>
      </c>
      <c r="J786" s="61" t="str">
        <f t="shared" si="37"/>
        <v>(${Variables:E2_7_1_40_kcat} * E2_7_1_40 * C00002 * C00022)/(${Variables:E2_7_1_40_km} + (E2_7_1_40 * C00002 * C00022))</v>
      </c>
      <c r="K786" s="54" t="str">
        <f t="shared" si="38"/>
        <v>r785: C00002 + C00022 -&gt; C00008 + C00074 | (${Variables:E2_7_1_40_kcat} * E2_7_1_40 * C00002 * C00022)/(${Variables:E2_7_1_40_km} + (E2_7_1_40 * C00002 * C00022))</v>
      </c>
    </row>
    <row r="787" spans="1:11" ht="29">
      <c r="A787" s="11" t="s">
        <v>5966</v>
      </c>
      <c r="B787" s="11" t="s">
        <v>5967</v>
      </c>
      <c r="C787" s="11" t="s">
        <v>12525</v>
      </c>
      <c r="D787" s="60">
        <v>786</v>
      </c>
      <c r="E787" s="11" t="str">
        <f t="shared" si="36"/>
        <v>E2_7_1_40</v>
      </c>
      <c r="F787" s="11" t="s">
        <v>15374</v>
      </c>
      <c r="G787" s="11" t="s">
        <v>15375</v>
      </c>
      <c r="H787" s="11" t="s">
        <v>15376</v>
      </c>
      <c r="I787" s="11" t="s">
        <v>15377</v>
      </c>
      <c r="J787" s="61" t="str">
        <f t="shared" si="37"/>
        <v>(${Variables:E2_7_1_40_kcat} * E2_7_1_40 * C00044 * C00022)/(${Variables:E2_7_1_40_km} + (E2_7_1_40 * C00044 * C00022))</v>
      </c>
      <c r="K787" s="54" t="str">
        <f t="shared" si="38"/>
        <v>r786: C00044 + C00022 -&gt; C00035 + C00074 | (${Variables:E2_7_1_40_kcat} * E2_7_1_40 * C00044 * C00022)/(${Variables:E2_7_1_40_km} + (E2_7_1_40 * C00044 * C00022))</v>
      </c>
    </row>
    <row r="788" spans="1:11" ht="29">
      <c r="A788" s="11" t="s">
        <v>5966</v>
      </c>
      <c r="B788" s="11" t="s">
        <v>5967</v>
      </c>
      <c r="C788" s="11" t="s">
        <v>12525</v>
      </c>
      <c r="D788" s="60">
        <v>787</v>
      </c>
      <c r="E788" s="11" t="str">
        <f t="shared" si="36"/>
        <v>E2_7_1_40</v>
      </c>
      <c r="F788" s="11" t="s">
        <v>15378</v>
      </c>
      <c r="G788" s="11" t="s">
        <v>15379</v>
      </c>
      <c r="H788" s="11" t="s">
        <v>15380</v>
      </c>
      <c r="I788" s="11" t="s">
        <v>15381</v>
      </c>
      <c r="J788" s="61" t="str">
        <f t="shared" si="37"/>
        <v>(${Variables:E2_7_1_40_kcat} * E2_7_1_40 * C00063 * C00022)/(${Variables:E2_7_1_40_km} + (E2_7_1_40 * C00063 * C00022))</v>
      </c>
      <c r="K788" s="54" t="str">
        <f t="shared" si="38"/>
        <v>r787: C00063 + C00022 -&gt; C00112 + C00074 | (${Variables:E2_7_1_40_kcat} * E2_7_1_40 * C00063 * C00022)/(${Variables:E2_7_1_40_km} + (E2_7_1_40 * C00063 * C00022))</v>
      </c>
    </row>
    <row r="789" spans="1:11" ht="29">
      <c r="A789" s="11" t="s">
        <v>5966</v>
      </c>
      <c r="B789" s="11" t="s">
        <v>5967</v>
      </c>
      <c r="C789" s="11" t="s">
        <v>12525</v>
      </c>
      <c r="D789" s="60">
        <v>788</v>
      </c>
      <c r="E789" s="11" t="str">
        <f t="shared" si="36"/>
        <v>E2_7_1_40</v>
      </c>
      <c r="F789" s="11" t="s">
        <v>15382</v>
      </c>
      <c r="G789" s="11" t="s">
        <v>15383</v>
      </c>
      <c r="H789" s="11" t="s">
        <v>15384</v>
      </c>
      <c r="I789" s="11" t="s">
        <v>15385</v>
      </c>
      <c r="J789" s="61" t="str">
        <f t="shared" si="37"/>
        <v>(${Variables:E2_7_1_40_kcat} * E2_7_1_40 * C00075 * C00022)/(${Variables:E2_7_1_40_km} + (E2_7_1_40 * C00075 * C00022))</v>
      </c>
      <c r="K789" s="54" t="str">
        <f t="shared" si="38"/>
        <v>r788: C00075 + C00022 -&gt; C00015 + C00074 | (${Variables:E2_7_1_40_kcat} * E2_7_1_40 * C00075 * C00022)/(${Variables:E2_7_1_40_km} + (E2_7_1_40 * C00075 * C00022))</v>
      </c>
    </row>
    <row r="790" spans="1:11" ht="29">
      <c r="A790" s="11" t="s">
        <v>5966</v>
      </c>
      <c r="B790" s="11" t="s">
        <v>5967</v>
      </c>
      <c r="C790" s="11" t="s">
        <v>12525</v>
      </c>
      <c r="D790" s="60">
        <v>789</v>
      </c>
      <c r="E790" s="11" t="str">
        <f t="shared" si="36"/>
        <v>E2_7_1_40</v>
      </c>
      <c r="F790" s="11" t="s">
        <v>15386</v>
      </c>
      <c r="G790" s="11" t="s">
        <v>15387</v>
      </c>
      <c r="H790" s="11" t="s">
        <v>15388</v>
      </c>
      <c r="I790" s="11" t="s">
        <v>15389</v>
      </c>
      <c r="J790" s="61" t="str">
        <f t="shared" si="37"/>
        <v>(${Variables:E2_7_1_40_kcat} * E2_7_1_40 * C00081 * C00022)/(${Variables:E2_7_1_40_km} + (E2_7_1_40 * C00081 * C00022))</v>
      </c>
      <c r="K790" s="54" t="str">
        <f t="shared" si="38"/>
        <v>r789: C00081 + C00022 -&gt; C00104 + C00074 | (${Variables:E2_7_1_40_kcat} * E2_7_1_40 * C00081 * C00022)/(${Variables:E2_7_1_40_km} + (E2_7_1_40 * C00081 * C00022))</v>
      </c>
    </row>
    <row r="791" spans="1:11" ht="29">
      <c r="A791" s="11" t="s">
        <v>5966</v>
      </c>
      <c r="B791" s="11" t="s">
        <v>5967</v>
      </c>
      <c r="C791" s="11" t="s">
        <v>12525</v>
      </c>
      <c r="D791" s="60">
        <v>790</v>
      </c>
      <c r="E791" s="11" t="str">
        <f t="shared" si="36"/>
        <v>E2_7_1_40</v>
      </c>
      <c r="F791" s="11" t="s">
        <v>15390</v>
      </c>
      <c r="G791" s="11" t="s">
        <v>15391</v>
      </c>
      <c r="H791" s="11" t="s">
        <v>15392</v>
      </c>
      <c r="I791" s="11" t="s">
        <v>15393</v>
      </c>
      <c r="J791" s="61" t="str">
        <f t="shared" si="37"/>
        <v>(${Variables:E2_7_1_40_kcat} * E2_7_1_40 * C00131 * C00022)/(${Variables:E2_7_1_40_km} + (E2_7_1_40 * C00131 * C00022))</v>
      </c>
      <c r="K791" s="54" t="str">
        <f t="shared" si="38"/>
        <v>r790: C00131 + C00022 -&gt; C00206 + C00074 | (${Variables:E2_7_1_40_kcat} * E2_7_1_40 * C00131 * C00022)/(${Variables:E2_7_1_40_km} + (E2_7_1_40 * C00131 * C00022))</v>
      </c>
    </row>
    <row r="792" spans="1:11" ht="29">
      <c r="A792" s="11" t="s">
        <v>5966</v>
      </c>
      <c r="B792" s="11" t="s">
        <v>5967</v>
      </c>
      <c r="C792" s="11" t="s">
        <v>12525</v>
      </c>
      <c r="D792" s="60">
        <v>791</v>
      </c>
      <c r="E792" s="11" t="str">
        <f t="shared" si="36"/>
        <v>E2_7_1_40</v>
      </c>
      <c r="F792" s="11" t="s">
        <v>15394</v>
      </c>
      <c r="G792" s="11" t="s">
        <v>15395</v>
      </c>
      <c r="H792" s="11" t="s">
        <v>15396</v>
      </c>
      <c r="I792" s="11" t="s">
        <v>15397</v>
      </c>
      <c r="J792" s="61" t="str">
        <f t="shared" si="37"/>
        <v>(${Variables:E2_7_1_40_kcat} * E2_7_1_40 * C00286 * C00022)/(${Variables:E2_7_1_40_km} + (E2_7_1_40 * C00286 * C00022))</v>
      </c>
      <c r="K792" s="54" t="str">
        <f t="shared" si="38"/>
        <v>r791: C00286 + C00022 -&gt; C00361 + C00074 | (${Variables:E2_7_1_40_kcat} * E2_7_1_40 * C00286 * C00022)/(${Variables:E2_7_1_40_km} + (E2_7_1_40 * C00286 * C00022))</v>
      </c>
    </row>
    <row r="793" spans="1:11" ht="29">
      <c r="A793" s="11" t="s">
        <v>5966</v>
      </c>
      <c r="B793" s="11" t="s">
        <v>5967</v>
      </c>
      <c r="C793" s="11" t="s">
        <v>12525</v>
      </c>
      <c r="D793" s="60">
        <v>792</v>
      </c>
      <c r="E793" s="11" t="str">
        <f t="shared" si="36"/>
        <v>E2_7_1_40</v>
      </c>
      <c r="F793" s="11" t="s">
        <v>15398</v>
      </c>
      <c r="G793" s="11" t="s">
        <v>15399</v>
      </c>
      <c r="H793" s="11" t="s">
        <v>15400</v>
      </c>
      <c r="I793" s="11" t="s">
        <v>15401</v>
      </c>
      <c r="J793" s="61" t="str">
        <f t="shared" si="37"/>
        <v>(${Variables:E2_7_1_40_kcat} * E2_7_1_40 * C00201 * C00022)/(${Variables:E2_7_1_40_km} + (E2_7_1_40 * C00201 * C00022))</v>
      </c>
      <c r="K793" s="54" t="str">
        <f t="shared" si="38"/>
        <v>r792: C00201 + C00022 -&gt; C00454 + C00074 | (${Variables:E2_7_1_40_kcat} * E2_7_1_40 * C00201 * C00022)/(${Variables:E2_7_1_40_km} + (E2_7_1_40 * C00201 * C00022))</v>
      </c>
    </row>
    <row r="794" spans="1:11" ht="29">
      <c r="A794" s="11" t="s">
        <v>5970</v>
      </c>
      <c r="B794" s="11" t="s">
        <v>5971</v>
      </c>
      <c r="C794" s="11" t="s">
        <v>12526</v>
      </c>
      <c r="D794" s="60">
        <v>793</v>
      </c>
      <c r="E794" s="11" t="str">
        <f t="shared" si="36"/>
        <v>E2_7_1_11</v>
      </c>
      <c r="F794" s="11" t="s">
        <v>15402</v>
      </c>
      <c r="G794" s="11" t="s">
        <v>15403</v>
      </c>
      <c r="H794" s="11" t="s">
        <v>15404</v>
      </c>
      <c r="I794" s="11" t="s">
        <v>15405</v>
      </c>
      <c r="J794" s="61" t="str">
        <f t="shared" si="37"/>
        <v>(${Variables:E2_7_1_11_kcat} * E2_7_1_11 * C00002 * C05345)/(${Variables:E2_7_1_11_km} + (E2_7_1_11 * C00002 * C05345))</v>
      </c>
      <c r="K794" s="54" t="str">
        <f t="shared" si="38"/>
        <v>r793: C00002 + C05345 -&gt; C00008 + C05378 | (${Variables:E2_7_1_11_kcat} * E2_7_1_11 * C00002 * C05345)/(${Variables:E2_7_1_11_km} + (E2_7_1_11 * C00002 * C05345))</v>
      </c>
    </row>
    <row r="795" spans="1:11" ht="29">
      <c r="A795" s="11" t="s">
        <v>5970</v>
      </c>
      <c r="B795" s="11" t="s">
        <v>5971</v>
      </c>
      <c r="C795" s="11" t="s">
        <v>12526</v>
      </c>
      <c r="D795" s="60">
        <v>794</v>
      </c>
      <c r="E795" s="11" t="str">
        <f t="shared" si="36"/>
        <v>E2_7_1_11</v>
      </c>
      <c r="F795" s="11" t="s">
        <v>15406</v>
      </c>
      <c r="G795" s="11" t="s">
        <v>15407</v>
      </c>
      <c r="H795" s="11" t="s">
        <v>15408</v>
      </c>
      <c r="I795" s="11" t="s">
        <v>15409</v>
      </c>
      <c r="J795" s="61" t="str">
        <f t="shared" si="37"/>
        <v>(${Variables:E2_7_1_11_kcat} * E2_7_1_11 * C00002 * C00085)/(${Variables:E2_7_1_11_km} + (E2_7_1_11 * C00002 * C00085))</v>
      </c>
      <c r="K795" s="54" t="str">
        <f t="shared" si="38"/>
        <v>r794: C00002 + C00085 -&gt; C00008 + C00354 | (${Variables:E2_7_1_11_kcat} * E2_7_1_11 * C00002 * C00085)/(${Variables:E2_7_1_11_km} + (E2_7_1_11 * C00002 * C00085))</v>
      </c>
    </row>
    <row r="796" spans="1:11" ht="29">
      <c r="A796" s="11" t="s">
        <v>5970</v>
      </c>
      <c r="B796" s="11" t="s">
        <v>5971</v>
      </c>
      <c r="C796" s="11" t="s">
        <v>12526</v>
      </c>
      <c r="D796" s="60">
        <v>795</v>
      </c>
      <c r="E796" s="11" t="str">
        <f t="shared" si="36"/>
        <v>E2_7_1_11</v>
      </c>
      <c r="F796" s="11" t="s">
        <v>15410</v>
      </c>
      <c r="G796" s="11" t="s">
        <v>15411</v>
      </c>
      <c r="H796" s="11" t="s">
        <v>15412</v>
      </c>
      <c r="I796" s="11" t="s">
        <v>15413</v>
      </c>
      <c r="J796" s="61" t="str">
        <f t="shared" si="37"/>
        <v>(${Variables:E2_7_1_11_kcat} * E2_7_1_11 * C00063 * C00085)/(${Variables:E2_7_1_11_km} + (E2_7_1_11 * C00063 * C00085))</v>
      </c>
      <c r="K796" s="54" t="str">
        <f t="shared" si="38"/>
        <v>r795: C00063 + C00085 -&gt; C00112 + C00354 | (${Variables:E2_7_1_11_kcat} * E2_7_1_11 * C00063 * C00085)/(${Variables:E2_7_1_11_km} + (E2_7_1_11 * C00063 * C00085))</v>
      </c>
    </row>
    <row r="797" spans="1:11" ht="29">
      <c r="A797" s="11" t="s">
        <v>5970</v>
      </c>
      <c r="B797" s="11" t="s">
        <v>5971</v>
      </c>
      <c r="C797" s="11" t="s">
        <v>12526</v>
      </c>
      <c r="D797" s="60">
        <v>796</v>
      </c>
      <c r="E797" s="11" t="str">
        <f t="shared" si="36"/>
        <v>E2_7_1_11</v>
      </c>
      <c r="F797" s="11" t="s">
        <v>15414</v>
      </c>
      <c r="G797" s="11" t="s">
        <v>15415</v>
      </c>
      <c r="H797" s="11" t="s">
        <v>15416</v>
      </c>
      <c r="I797" s="11" t="s">
        <v>15417</v>
      </c>
      <c r="J797" s="61" t="str">
        <f t="shared" si="37"/>
        <v>(${Variables:E2_7_1_11_kcat} * E2_7_1_11 * C00075 * C00085)/(${Variables:E2_7_1_11_km} + (E2_7_1_11 * C00075 * C00085))</v>
      </c>
      <c r="K797" s="54" t="str">
        <f t="shared" si="38"/>
        <v>r796: C00075 + C00085 -&gt; C00015 + C00354 | (${Variables:E2_7_1_11_kcat} * E2_7_1_11 * C00075 * C00085)/(${Variables:E2_7_1_11_km} + (E2_7_1_11 * C00075 * C00085))</v>
      </c>
    </row>
    <row r="798" spans="1:11" ht="29">
      <c r="A798" s="11" t="s">
        <v>5970</v>
      </c>
      <c r="B798" s="11" t="s">
        <v>5971</v>
      </c>
      <c r="C798" s="11" t="s">
        <v>12526</v>
      </c>
      <c r="D798" s="60">
        <v>797</v>
      </c>
      <c r="E798" s="11" t="str">
        <f t="shared" si="36"/>
        <v>E2_7_1_11</v>
      </c>
      <c r="F798" s="11" t="s">
        <v>15418</v>
      </c>
      <c r="G798" s="11" t="s">
        <v>15419</v>
      </c>
      <c r="H798" s="11" t="s">
        <v>15420</v>
      </c>
      <c r="I798" s="11" t="s">
        <v>15421</v>
      </c>
      <c r="J798" s="61" t="str">
        <f t="shared" si="37"/>
        <v>(${Variables:E2_7_1_11_kcat} * E2_7_1_11 * C00081 * C00085)/(${Variables:E2_7_1_11_km} + (E2_7_1_11 * C00081 * C00085))</v>
      </c>
      <c r="K798" s="54" t="str">
        <f t="shared" si="38"/>
        <v>r797: C00081 + C00085 -&gt; C00104 + C00354 | (${Variables:E2_7_1_11_kcat} * E2_7_1_11 * C00081 * C00085)/(${Variables:E2_7_1_11_km} + (E2_7_1_11 * C00081 * C00085))</v>
      </c>
    </row>
    <row r="799" spans="1:11" ht="29">
      <c r="A799" s="11" t="s">
        <v>5970</v>
      </c>
      <c r="B799" s="11" t="s">
        <v>5971</v>
      </c>
      <c r="C799" s="11" t="s">
        <v>12526</v>
      </c>
      <c r="D799" s="60">
        <v>798</v>
      </c>
      <c r="E799" s="11" t="str">
        <f t="shared" si="36"/>
        <v>E2_7_1_11</v>
      </c>
      <c r="F799" s="11" t="s">
        <v>15422</v>
      </c>
      <c r="G799" s="11" t="s">
        <v>15423</v>
      </c>
      <c r="H799" s="11" t="s">
        <v>15424</v>
      </c>
      <c r="I799" s="11" t="s">
        <v>15425</v>
      </c>
      <c r="J799" s="61" t="str">
        <f t="shared" si="37"/>
        <v>(${Variables:E2_7_1_11_kcat} * E2_7_1_11 * C00002 * C05382)/(${Variables:E2_7_1_11_km} + (E2_7_1_11 * C00002 * C05382))</v>
      </c>
      <c r="K799" s="54" t="str">
        <f t="shared" si="38"/>
        <v>r798: C00002 + C05382 -&gt; C00008 + C00447 | (${Variables:E2_7_1_11_kcat} * E2_7_1_11 * C00002 * C05382)/(${Variables:E2_7_1_11_km} + (E2_7_1_11 * C00002 * C05382))</v>
      </c>
    </row>
    <row r="800" spans="1:11" ht="29">
      <c r="A800" s="11" t="s">
        <v>5970</v>
      </c>
      <c r="B800" s="11" t="s">
        <v>5971</v>
      </c>
      <c r="C800" s="11" t="s">
        <v>12526</v>
      </c>
      <c r="D800" s="60">
        <v>799</v>
      </c>
      <c r="E800" s="11" t="str">
        <f t="shared" si="36"/>
        <v>E2_7_1_11</v>
      </c>
      <c r="F800" s="11" t="s">
        <v>15426</v>
      </c>
      <c r="G800" s="11" t="s">
        <v>15427</v>
      </c>
      <c r="H800" s="11" t="s">
        <v>15428</v>
      </c>
      <c r="I800" s="11" t="s">
        <v>15429</v>
      </c>
      <c r="J800" s="61" t="str">
        <f t="shared" si="37"/>
        <v>(${Variables:E2_7_1_11_kcat} * E2_7_1_11 * C00063 * C01097)/(${Variables:E2_7_1_11_km} + (E2_7_1_11 * C00063 * C01097))</v>
      </c>
      <c r="K800" s="54" t="str">
        <f t="shared" si="38"/>
        <v>r799: C00063 + C01097 -&gt; C00112 + C03785 | (${Variables:E2_7_1_11_kcat} * E2_7_1_11 * C00063 * C01097)/(${Variables:E2_7_1_11_km} + (E2_7_1_11 * C00063 * C01097))</v>
      </c>
    </row>
    <row r="801" spans="1:11" ht="29">
      <c r="A801" s="11" t="s">
        <v>5970</v>
      </c>
      <c r="B801" s="11" t="s">
        <v>5971</v>
      </c>
      <c r="C801" s="11" t="s">
        <v>12526</v>
      </c>
      <c r="D801" s="60">
        <v>800</v>
      </c>
      <c r="E801" s="11" t="str">
        <f t="shared" si="36"/>
        <v>E2_7_1_11</v>
      </c>
      <c r="F801" s="11" t="s">
        <v>15430</v>
      </c>
      <c r="G801" s="11" t="s">
        <v>15431</v>
      </c>
      <c r="H801" s="11" t="s">
        <v>15432</v>
      </c>
      <c r="I801" s="11" t="s">
        <v>15433</v>
      </c>
      <c r="J801" s="61" t="str">
        <f t="shared" si="37"/>
        <v>(${Variables:E2_7_1_11_kcat} * E2_7_1_11 * C00075 * C01097)/(${Variables:E2_7_1_11_km} + (E2_7_1_11 * C00075 * C01097))</v>
      </c>
      <c r="K801" s="54" t="str">
        <f t="shared" si="38"/>
        <v>r800: C00075 + C01097 -&gt; C00015 + C03785 | (${Variables:E2_7_1_11_kcat} * E2_7_1_11 * C00075 * C01097)/(${Variables:E2_7_1_11_km} + (E2_7_1_11 * C00075 * C01097))</v>
      </c>
    </row>
    <row r="802" spans="1:11" ht="29">
      <c r="A802" s="11" t="s">
        <v>5970</v>
      </c>
      <c r="B802" s="11" t="s">
        <v>5971</v>
      </c>
      <c r="C802" s="11" t="s">
        <v>12526</v>
      </c>
      <c r="D802" s="60">
        <v>801</v>
      </c>
      <c r="E802" s="11" t="str">
        <f t="shared" si="36"/>
        <v>E2_7_1_11</v>
      </c>
      <c r="F802" s="11" t="s">
        <v>15434</v>
      </c>
      <c r="G802" s="11" t="s">
        <v>15435</v>
      </c>
      <c r="H802" s="11" t="s">
        <v>15436</v>
      </c>
      <c r="I802" s="11" t="s">
        <v>15437</v>
      </c>
      <c r="J802" s="61" t="str">
        <f t="shared" si="37"/>
        <v>(${Variables:E2_7_1_11_kcat} * E2_7_1_11 * C00081 * C01097)/(${Variables:E2_7_1_11_km} + (E2_7_1_11 * C00081 * C01097))</v>
      </c>
      <c r="K802" s="54" t="str">
        <f t="shared" si="38"/>
        <v>r801: C00081 + C01097 -&gt; C00104 + C03785 | (${Variables:E2_7_1_11_kcat} * E2_7_1_11 * C00081 * C01097)/(${Variables:E2_7_1_11_km} + (E2_7_1_11 * C00081 * C01097))</v>
      </c>
    </row>
    <row r="803" spans="1:11" ht="29">
      <c r="A803" s="11" t="s">
        <v>6010</v>
      </c>
      <c r="B803" s="11" t="s">
        <v>6011</v>
      </c>
      <c r="C803" s="11" t="s">
        <v>12719</v>
      </c>
      <c r="D803" s="60">
        <v>802</v>
      </c>
      <c r="E803" s="11" t="str">
        <f t="shared" si="36"/>
        <v>E2_8_1_4</v>
      </c>
      <c r="F803" s="11" t="s">
        <v>15438</v>
      </c>
      <c r="G803" s="11" t="s">
        <v>15439</v>
      </c>
      <c r="H803" s="11" t="s">
        <v>15440</v>
      </c>
      <c r="I803" s="11" t="s">
        <v>15441</v>
      </c>
      <c r="J803" s="61" t="str">
        <f t="shared" si="37"/>
        <v>(${Variables:E2_8_1_4_kcat} * E2_8_1_4 * C00097 * C02342)/(${Variables:E2_8_1_4_km} + (E2_8_1_4 * C00097 * C02342))</v>
      </c>
      <c r="K803" s="54" t="str">
        <f t="shared" si="38"/>
        <v>r802: C00097 + C02342 -&gt; C00065 + C04161 | (${Variables:E2_8_1_4_kcat} * E2_8_1_4 * C00097 * C02342)/(${Variables:E2_8_1_4_km} + (E2_8_1_4 * C00097 * C02342))</v>
      </c>
    </row>
    <row r="804" spans="1:11" ht="43.5">
      <c r="A804" s="11" t="s">
        <v>6010</v>
      </c>
      <c r="B804" s="11" t="s">
        <v>6011</v>
      </c>
      <c r="C804" s="11" t="s">
        <v>12719</v>
      </c>
      <c r="D804" s="60">
        <v>803</v>
      </c>
      <c r="E804" s="11" t="str">
        <f t="shared" si="36"/>
        <v>E2_8_1_4</v>
      </c>
      <c r="F804" s="11" t="s">
        <v>15442</v>
      </c>
      <c r="G804" s="11" t="s">
        <v>15443</v>
      </c>
      <c r="H804" s="11" t="s">
        <v>15444</v>
      </c>
      <c r="I804" s="11" t="s">
        <v>15445</v>
      </c>
      <c r="J804" s="61" t="str">
        <f t="shared" si="37"/>
        <v>(${Variables:E2_8_1_4_kcat} * E2_8_1_4 * C15812 * C15813 * C00030)/(${Variables:E2_8_1_4_km} + (E2_8_1_4 * C15812 * C15813 * C00030))</v>
      </c>
      <c r="K804" s="54" t="str">
        <f t="shared" si="38"/>
        <v>r803: C15812 + C15813 + C00030 -&gt; C00020 + C15814 + C15811 + C00028 | (${Variables:E2_8_1_4_kcat} * E2_8_1_4 * C15812 * C15813 * C00030)/(${Variables:E2_8_1_4_km} + (E2_8_1_4 * C15812 * C15813 * C00030))</v>
      </c>
    </row>
    <row r="805" spans="1:11" ht="29">
      <c r="A805" s="11" t="s">
        <v>6028</v>
      </c>
      <c r="B805" s="11" t="s">
        <v>6029</v>
      </c>
      <c r="C805" s="11" t="s">
        <v>12720</v>
      </c>
      <c r="D805" s="60">
        <v>804</v>
      </c>
      <c r="E805" s="11" t="str">
        <f t="shared" si="36"/>
        <v>E2_7_1_56</v>
      </c>
      <c r="F805" s="11" t="s">
        <v>15446</v>
      </c>
      <c r="G805" s="11" t="s">
        <v>15447</v>
      </c>
      <c r="H805" s="11" t="s">
        <v>15408</v>
      </c>
      <c r="I805" s="11" t="s">
        <v>15409</v>
      </c>
      <c r="J805" s="61" t="str">
        <f t="shared" si="37"/>
        <v>(${Variables:E2_7_1_56_kcat} * E2_7_1_56 * C00002 * C01094)/(${Variables:E2_7_1_56_km} + (E2_7_1_56 * C00002 * C01094))</v>
      </c>
      <c r="K805" s="54" t="str">
        <f t="shared" si="38"/>
        <v>r804: C00002 + C01094 -&gt; C00008 + C00354 | (${Variables:E2_7_1_56_kcat} * E2_7_1_56 * C00002 * C01094)/(${Variables:E2_7_1_56_km} + (E2_7_1_56 * C00002 * C01094))</v>
      </c>
    </row>
    <row r="806" spans="1:11" ht="29">
      <c r="A806" s="11" t="s">
        <v>6028</v>
      </c>
      <c r="B806" s="11" t="s">
        <v>6029</v>
      </c>
      <c r="C806" s="11" t="s">
        <v>12720</v>
      </c>
      <c r="D806" s="60">
        <v>805</v>
      </c>
      <c r="E806" s="11" t="str">
        <f t="shared" si="36"/>
        <v>E2_7_1_56</v>
      </c>
      <c r="F806" s="11" t="s">
        <v>15446</v>
      </c>
      <c r="G806" s="11" t="s">
        <v>15447</v>
      </c>
      <c r="H806" s="11" t="s">
        <v>15404</v>
      </c>
      <c r="I806" s="11" t="s">
        <v>15405</v>
      </c>
      <c r="J806" s="61" t="str">
        <f t="shared" si="37"/>
        <v>(${Variables:E2_7_1_56_kcat} * E2_7_1_56 * C00002 * C01094)/(${Variables:E2_7_1_56_km} + (E2_7_1_56 * C00002 * C01094))</v>
      </c>
      <c r="K806" s="54" t="str">
        <f t="shared" si="38"/>
        <v>r805: C00002 + C01094 -&gt; C00008 + C05378 | (${Variables:E2_7_1_56_kcat} * E2_7_1_56 * C00002 * C01094)/(${Variables:E2_7_1_56_km} + (E2_7_1_56 * C00002 * C01094))</v>
      </c>
    </row>
    <row r="807" spans="1:11" ht="43.5">
      <c r="A807" s="11" t="s">
        <v>6076</v>
      </c>
      <c r="B807" s="11" t="s">
        <v>6077</v>
      </c>
      <c r="C807" s="11" t="s">
        <v>12528</v>
      </c>
      <c r="D807" s="60">
        <v>806</v>
      </c>
      <c r="E807" s="11" t="str">
        <f t="shared" si="36"/>
        <v>E1_8_4_14</v>
      </c>
      <c r="F807" s="11" t="s">
        <v>15448</v>
      </c>
      <c r="G807" s="11" t="s">
        <v>15449</v>
      </c>
      <c r="H807" s="11" t="s">
        <v>15450</v>
      </c>
      <c r="I807" s="11" t="s">
        <v>15451</v>
      </c>
      <c r="J807" s="61" t="str">
        <f t="shared" si="37"/>
        <v>(${Variables:E1_8_4_14_kcat} * E1_8_4_14 * C00073 * C00343 * C00001)/(${Variables:E1_8_4_14_km} + (E1_8_4_14 * C00073 * C00343 * C00001))</v>
      </c>
      <c r="K807" s="54" t="str">
        <f t="shared" si="38"/>
        <v>r806: C00073 + C00343 + C00001 -&gt; C15998 + C00342 | (${Variables:E1_8_4_14_kcat} * E1_8_4_14 * C00073 * C00343 * C00001)/(${Variables:E1_8_4_14_km} + (E1_8_4_14 * C00073 * C00343 * C00001))</v>
      </c>
    </row>
    <row r="808" spans="1:11" ht="43.5">
      <c r="A808" s="11" t="s">
        <v>6076</v>
      </c>
      <c r="B808" s="11" t="s">
        <v>6077</v>
      </c>
      <c r="C808" s="11" t="s">
        <v>12528</v>
      </c>
      <c r="D808" s="60">
        <v>807</v>
      </c>
      <c r="E808" s="11" t="str">
        <f t="shared" si="36"/>
        <v>E1_8_4_14</v>
      </c>
      <c r="F808" s="11" t="s">
        <v>15448</v>
      </c>
      <c r="G808" s="11" t="s">
        <v>15449</v>
      </c>
      <c r="H808" s="11" t="s">
        <v>15452</v>
      </c>
      <c r="I808" s="11" t="s">
        <v>15453</v>
      </c>
      <c r="J808" s="61" t="str">
        <f t="shared" si="37"/>
        <v>(${Variables:E1_8_4_14_kcat} * E1_8_4_14 * C00073 * C00343 * C00001)/(${Variables:E1_8_4_14_km} + (E1_8_4_14 * C00073 * C00343 * C00001))</v>
      </c>
      <c r="K808" s="54" t="str">
        <f t="shared" si="38"/>
        <v>r807: C00073 + C00343 + C00001 -&gt; C02989 + C00342 | (${Variables:E1_8_4_14_kcat} * E1_8_4_14 * C00073 * C00343 * C00001)/(${Variables:E1_8_4_14_km} + (E1_8_4_14 * C00073 * C00343 * C00001))</v>
      </c>
    </row>
    <row r="809" spans="1:11" ht="29">
      <c r="A809" s="11" t="s">
        <v>6100</v>
      </c>
      <c r="B809" s="11" t="s">
        <v>6101</v>
      </c>
      <c r="C809" s="11" t="s">
        <v>12501</v>
      </c>
      <c r="D809" s="60">
        <v>808</v>
      </c>
      <c r="E809" s="11" t="str">
        <f t="shared" si="36"/>
        <v>E2_6_1_42</v>
      </c>
      <c r="F809" s="11" t="s">
        <v>15454</v>
      </c>
      <c r="G809" s="11" t="s">
        <v>15455</v>
      </c>
      <c r="H809" s="11" t="s">
        <v>15456</v>
      </c>
      <c r="I809" s="11" t="s">
        <v>15457</v>
      </c>
      <c r="J809" s="61" t="str">
        <f t="shared" si="37"/>
        <v>(${Variables:E2_6_1_42_kcat} * E2_6_1_42 * C00123 * C00026)/(${Variables:E2_6_1_42_km} + (E2_6_1_42 * C00123 * C00026))</v>
      </c>
      <c r="K809" s="54" t="str">
        <f t="shared" si="38"/>
        <v>r808: C00123 + C00026 -&gt; C00233 + C00025 | (${Variables:E2_6_1_42_kcat} * E2_6_1_42 * C00123 * C00026)/(${Variables:E2_6_1_42_km} + (E2_6_1_42 * C00123 * C00026))</v>
      </c>
    </row>
    <row r="810" spans="1:11" ht="29">
      <c r="A810" s="11" t="s">
        <v>6100</v>
      </c>
      <c r="B810" s="11" t="s">
        <v>6101</v>
      </c>
      <c r="C810" s="11" t="s">
        <v>12501</v>
      </c>
      <c r="D810" s="60">
        <v>809</v>
      </c>
      <c r="E810" s="11" t="str">
        <f t="shared" si="36"/>
        <v>E2_6_1_42</v>
      </c>
      <c r="F810" s="11" t="s">
        <v>15458</v>
      </c>
      <c r="G810" s="11" t="s">
        <v>15459</v>
      </c>
      <c r="H810" s="11" t="s">
        <v>15460</v>
      </c>
      <c r="I810" s="11" t="s">
        <v>15461</v>
      </c>
      <c r="J810" s="61" t="str">
        <f t="shared" si="37"/>
        <v>(${Variables:E2_6_1_42_kcat} * E2_6_1_42 * C00183 * C00026)/(${Variables:E2_6_1_42_km} + (E2_6_1_42 * C00183 * C00026))</v>
      </c>
      <c r="K810" s="54" t="str">
        <f t="shared" si="38"/>
        <v>r809: C00183 + C00026 -&gt; C00141 + C00025 | (${Variables:E2_6_1_42_kcat} * E2_6_1_42 * C00183 * C00026)/(${Variables:E2_6_1_42_km} + (E2_6_1_42 * C00183 * C00026))</v>
      </c>
    </row>
    <row r="811" spans="1:11" ht="29">
      <c r="A811" s="11" t="s">
        <v>6100</v>
      </c>
      <c r="B811" s="11" t="s">
        <v>6101</v>
      </c>
      <c r="C811" s="11" t="s">
        <v>12501</v>
      </c>
      <c r="D811" s="60">
        <v>810</v>
      </c>
      <c r="E811" s="11" t="str">
        <f t="shared" si="36"/>
        <v>E2_6_1_42</v>
      </c>
      <c r="F811" s="11" t="s">
        <v>15462</v>
      </c>
      <c r="G811" s="11" t="s">
        <v>15463</v>
      </c>
      <c r="H811" s="11" t="s">
        <v>15464</v>
      </c>
      <c r="I811" s="11" t="s">
        <v>15465</v>
      </c>
      <c r="J811" s="61" t="str">
        <f t="shared" si="37"/>
        <v>(${Variables:E2_6_1_42_kcat} * E2_6_1_42 * C00407 * C00026)/(${Variables:E2_6_1_42_km} + (E2_6_1_42 * C00407 * C00026))</v>
      </c>
      <c r="K811" s="54" t="str">
        <f t="shared" si="38"/>
        <v>r810: C00407 + C00026 -&gt; C00671 + C00025 | (${Variables:E2_6_1_42_kcat} * E2_6_1_42 * C00407 * C00026)/(${Variables:E2_6_1_42_km} + (E2_6_1_42 * C00407 * C00026))</v>
      </c>
    </row>
    <row r="812" spans="1:11" ht="29">
      <c r="A812" s="11" t="s">
        <v>6100</v>
      </c>
      <c r="B812" s="11" t="s">
        <v>6101</v>
      </c>
      <c r="C812" s="11" t="s">
        <v>12501</v>
      </c>
      <c r="D812" s="60">
        <v>811</v>
      </c>
      <c r="E812" s="11" t="str">
        <f t="shared" si="36"/>
        <v>E2_6_1_42</v>
      </c>
      <c r="F812" s="11" t="s">
        <v>15466</v>
      </c>
      <c r="G812" s="11" t="s">
        <v>15467</v>
      </c>
      <c r="H812" s="11" t="s">
        <v>15468</v>
      </c>
      <c r="I812" s="11" t="s">
        <v>15469</v>
      </c>
      <c r="J812" s="61" t="str">
        <f t="shared" si="37"/>
        <v>(${Variables:E2_6_1_42_kcat} * E2_6_1_42 * C02356 * C00026)/(${Variables:E2_6_1_42_km} + (E2_6_1_42 * C02356 * C00026))</v>
      </c>
      <c r="K812" s="54" t="str">
        <f t="shared" si="38"/>
        <v>r811: C02356 + C00026 -&gt; C00109 + C00025 | (${Variables:E2_6_1_42_kcat} * E2_6_1_42 * C02356 * C00026)/(${Variables:E2_6_1_42_km} + (E2_6_1_42 * C02356 * C00026))</v>
      </c>
    </row>
    <row r="813" spans="1:11" ht="29">
      <c r="A813" s="11" t="s">
        <v>6144</v>
      </c>
      <c r="B813" s="11" t="s">
        <v>6145</v>
      </c>
      <c r="C813" s="11" t="s">
        <v>12721</v>
      </c>
      <c r="D813" s="60">
        <v>812</v>
      </c>
      <c r="E813" s="11" t="str">
        <f t="shared" si="36"/>
        <v>E4_1_2_4</v>
      </c>
      <c r="F813" s="11" t="s">
        <v>10302</v>
      </c>
      <c r="G813" s="11" t="s">
        <v>10302</v>
      </c>
      <c r="H813" s="11" t="s">
        <v>15470</v>
      </c>
      <c r="I813" s="11" t="s">
        <v>15471</v>
      </c>
      <c r="J813" s="61" t="str">
        <f t="shared" si="37"/>
        <v>(${Variables:E4_1_2_4_kcat} * E4_1_2_4 * C00673)/(${Variables:E4_1_2_4_km} + (E4_1_2_4 * C00673))</v>
      </c>
      <c r="K813" s="54" t="str">
        <f t="shared" si="38"/>
        <v>r812: C00673 -&gt; C00118 + C00084 | (${Variables:E4_1_2_4_kcat} * E4_1_2_4 * C00673)/(${Variables:E4_1_2_4_km} + (E4_1_2_4 * C00673))</v>
      </c>
    </row>
    <row r="814" spans="1:11" ht="29">
      <c r="A814" s="11" t="s">
        <v>6148</v>
      </c>
      <c r="B814" s="11" t="s">
        <v>6149</v>
      </c>
      <c r="C814" s="11" t="s">
        <v>12722</v>
      </c>
      <c r="D814" s="60">
        <v>813</v>
      </c>
      <c r="E814" s="11" t="str">
        <f t="shared" si="36"/>
        <v>E2_4_2_2</v>
      </c>
      <c r="F814" s="11" t="s">
        <v>13512</v>
      </c>
      <c r="G814" s="11" t="s">
        <v>13513</v>
      </c>
      <c r="H814" s="11" t="s">
        <v>15472</v>
      </c>
      <c r="I814" s="11" t="s">
        <v>15473</v>
      </c>
      <c r="J814" s="61" t="str">
        <f t="shared" si="37"/>
        <v>(${Variables:E2_4_2_2_kcat} * E2_4_2_2 * C00214 * C00009)/(${Variables:E2_4_2_2_km} + (E2_4_2_2 * C00214 * C00009))</v>
      </c>
      <c r="K814" s="54" t="str">
        <f t="shared" si="38"/>
        <v>r813: C00214 + C00009 -&gt; C00178 + C00672 | (${Variables:E2_4_2_2_kcat} * E2_4_2_2 * C00214 * C00009)/(${Variables:E2_4_2_2_km} + (E2_4_2_2 * C00214 * C00009))</v>
      </c>
    </row>
    <row r="815" spans="1:11" ht="29">
      <c r="A815" s="11" t="s">
        <v>6148</v>
      </c>
      <c r="B815" s="11" t="s">
        <v>6149</v>
      </c>
      <c r="C815" s="11" t="s">
        <v>12722</v>
      </c>
      <c r="D815" s="60">
        <v>814</v>
      </c>
      <c r="E815" s="11" t="str">
        <f t="shared" si="36"/>
        <v>E2_4_2_2</v>
      </c>
      <c r="F815" s="11" t="s">
        <v>15474</v>
      </c>
      <c r="G815" s="11" t="s">
        <v>15475</v>
      </c>
      <c r="H815" s="11" t="s">
        <v>15476</v>
      </c>
      <c r="I815" s="11" t="s">
        <v>15477</v>
      </c>
      <c r="J815" s="61" t="str">
        <f t="shared" si="37"/>
        <v>(${Variables:E2_4_2_2_kcat} * E2_4_2_2 * C00299 * C00009)/(${Variables:E2_4_2_2_km} + (E2_4_2_2 * C00299 * C00009))</v>
      </c>
      <c r="K815" s="54" t="str">
        <f t="shared" si="38"/>
        <v>r814: C00299 + C00009 -&gt; C00106 + C00620 | (${Variables:E2_4_2_2_kcat} * E2_4_2_2 * C00299 * C00009)/(${Variables:E2_4_2_2_km} + (E2_4_2_2 * C00299 * C00009))</v>
      </c>
    </row>
    <row r="816" spans="1:11" ht="29">
      <c r="A816" s="11" t="s">
        <v>6148</v>
      </c>
      <c r="B816" s="11" t="s">
        <v>6149</v>
      </c>
      <c r="C816" s="11" t="s">
        <v>12722</v>
      </c>
      <c r="D816" s="60">
        <v>815</v>
      </c>
      <c r="E816" s="11" t="str">
        <f t="shared" si="36"/>
        <v>E2_4_2_2</v>
      </c>
      <c r="F816" s="11" t="s">
        <v>13488</v>
      </c>
      <c r="G816" s="11" t="s">
        <v>13489</v>
      </c>
      <c r="H816" s="11" t="s">
        <v>15478</v>
      </c>
      <c r="I816" s="11" t="s">
        <v>15479</v>
      </c>
      <c r="J816" s="61" t="str">
        <f t="shared" si="37"/>
        <v>(${Variables:E2_4_2_2_kcat} * E2_4_2_2 * C00475 * C00009)/(${Variables:E2_4_2_2_km} + (E2_4_2_2 * C00475 * C00009))</v>
      </c>
      <c r="K816" s="54" t="str">
        <f t="shared" si="38"/>
        <v>r815: C00475 + C00009 -&gt; C00380 + C00620 | (${Variables:E2_4_2_2_kcat} * E2_4_2_2 * C00475 * C00009)/(${Variables:E2_4_2_2_km} + (E2_4_2_2 * C00475 * C00009))</v>
      </c>
    </row>
    <row r="817" spans="1:11" ht="29">
      <c r="A817" s="11" t="s">
        <v>6148</v>
      </c>
      <c r="B817" s="11" t="s">
        <v>6149</v>
      </c>
      <c r="C817" s="11" t="s">
        <v>12722</v>
      </c>
      <c r="D817" s="60">
        <v>816</v>
      </c>
      <c r="E817" s="11" t="str">
        <f t="shared" si="36"/>
        <v>E2_4_2_2</v>
      </c>
      <c r="F817" s="11" t="s">
        <v>13528</v>
      </c>
      <c r="G817" s="11" t="s">
        <v>13529</v>
      </c>
      <c r="H817" s="11" t="s">
        <v>15480</v>
      </c>
      <c r="I817" s="11" t="s">
        <v>15481</v>
      </c>
      <c r="J817" s="61" t="str">
        <f t="shared" si="37"/>
        <v>(${Variables:E2_4_2_2_kcat} * E2_4_2_2 * C00526 * C00009)/(${Variables:E2_4_2_2_km} + (E2_4_2_2 * C00526 * C00009))</v>
      </c>
      <c r="K817" s="54" t="str">
        <f t="shared" si="38"/>
        <v>r816: C00526 + C00009 -&gt; C00106 + C00672 | (${Variables:E2_4_2_2_kcat} * E2_4_2_2 * C00526 * C00009)/(${Variables:E2_4_2_2_km} + (E2_4_2_2 * C00526 * C00009))</v>
      </c>
    </row>
    <row r="818" spans="1:11" ht="29">
      <c r="A818" s="11" t="s">
        <v>6148</v>
      </c>
      <c r="B818" s="11" t="s">
        <v>6149</v>
      </c>
      <c r="C818" s="11" t="s">
        <v>12722</v>
      </c>
      <c r="D818" s="60">
        <v>817</v>
      </c>
      <c r="E818" s="11" t="str">
        <f t="shared" si="36"/>
        <v>E2_4_2_2</v>
      </c>
      <c r="F818" s="11" t="s">
        <v>15482</v>
      </c>
      <c r="G818" s="11" t="s">
        <v>15483</v>
      </c>
      <c r="H818" s="11" t="s">
        <v>15484</v>
      </c>
      <c r="I818" s="11" t="s">
        <v>15485</v>
      </c>
      <c r="J818" s="61" t="str">
        <f t="shared" si="37"/>
        <v>(${Variables:E2_4_2_2_kcat} * E2_4_2_2 * C03169 * C00009)/(${Variables:E2_4_2_2_km} + (E2_4_2_2 * C03169 * C00009))</v>
      </c>
      <c r="K818" s="54" t="str">
        <f t="shared" si="38"/>
        <v>r817: C03169 + C00009 -&gt; C00396 + C00620 + C00080 | (${Variables:E2_4_2_2_kcat} * E2_4_2_2 * C03169 * C00009)/(${Variables:E2_4_2_2_km} + (E2_4_2_2 * C03169 * C00009))</v>
      </c>
    </row>
    <row r="819" spans="1:11" ht="29">
      <c r="A819" s="11" t="s">
        <v>6159</v>
      </c>
      <c r="B819" s="11" t="s">
        <v>6160</v>
      </c>
      <c r="C819" s="11" t="s">
        <v>12517</v>
      </c>
      <c r="D819" s="60">
        <v>818</v>
      </c>
      <c r="E819" s="11" t="str">
        <f t="shared" si="36"/>
        <v>E2_7_1_33</v>
      </c>
      <c r="F819" s="11" t="s">
        <v>15486</v>
      </c>
      <c r="G819" s="11" t="s">
        <v>15487</v>
      </c>
      <c r="H819" s="11" t="s">
        <v>15488</v>
      </c>
      <c r="I819" s="11" t="s">
        <v>15489</v>
      </c>
      <c r="J819" s="61" t="str">
        <f t="shared" si="37"/>
        <v>(${Variables:E2_7_1_33_kcat} * E2_7_1_33 * C00002 * C00864)/(${Variables:E2_7_1_33_km} + (E2_7_1_33 * C00002 * C00864))</v>
      </c>
      <c r="K819" s="54" t="str">
        <f t="shared" si="38"/>
        <v>r818: C00002 + C00864 -&gt; C00008 + C03492 | (${Variables:E2_7_1_33_kcat} * E2_7_1_33 * C00002 * C00864)/(${Variables:E2_7_1_33_km} + (E2_7_1_33 * C00002 * C00864))</v>
      </c>
    </row>
    <row r="820" spans="1:11" ht="29">
      <c r="A820" s="11" t="s">
        <v>6159</v>
      </c>
      <c r="B820" s="11" t="s">
        <v>6160</v>
      </c>
      <c r="C820" s="11" t="s">
        <v>12517</v>
      </c>
      <c r="D820" s="60">
        <v>819</v>
      </c>
      <c r="E820" s="11" t="str">
        <f t="shared" si="36"/>
        <v>E2_7_1_33</v>
      </c>
      <c r="F820" s="11" t="s">
        <v>15490</v>
      </c>
      <c r="G820" s="11" t="s">
        <v>15491</v>
      </c>
      <c r="H820" s="11" t="s">
        <v>15492</v>
      </c>
      <c r="I820" s="11" t="s">
        <v>15493</v>
      </c>
      <c r="J820" s="61" t="str">
        <f t="shared" si="37"/>
        <v>(${Variables:E2_7_1_33_kcat} * E2_7_1_33 * C00002 * C00831)/(${Variables:E2_7_1_33_km} + (E2_7_1_33 * C00002 * C00831))</v>
      </c>
      <c r="K820" s="54" t="str">
        <f t="shared" si="38"/>
        <v>r819: C00002 + C00831 -&gt; C00008 + C01134 | (${Variables:E2_7_1_33_kcat} * E2_7_1_33 * C00002 * C00831)/(${Variables:E2_7_1_33_km} + (E2_7_1_33 * C00002 * C00831))</v>
      </c>
    </row>
    <row r="821" spans="1:11" ht="29">
      <c r="A821" s="11" t="s">
        <v>6159</v>
      </c>
      <c r="B821" s="11" t="s">
        <v>6160</v>
      </c>
      <c r="C821" s="11" t="s">
        <v>12517</v>
      </c>
      <c r="D821" s="60">
        <v>820</v>
      </c>
      <c r="E821" s="11" t="str">
        <f t="shared" si="36"/>
        <v>E2_7_1_33</v>
      </c>
      <c r="F821" s="11" t="s">
        <v>15494</v>
      </c>
      <c r="G821" s="11" t="s">
        <v>15495</v>
      </c>
      <c r="H821" s="11" t="s">
        <v>15496</v>
      </c>
      <c r="I821" s="11" t="s">
        <v>15497</v>
      </c>
      <c r="J821" s="61" t="str">
        <f t="shared" si="37"/>
        <v>(${Variables:E2_7_1_33_kcat} * E2_7_1_33 * C00002 * C04079)/(${Variables:E2_7_1_33_km} + (E2_7_1_33 * C00002 * C04079))</v>
      </c>
      <c r="K821" s="54" t="str">
        <f t="shared" si="38"/>
        <v>r820: C00002 + C04079 -&gt; C00008 + C04352 | (${Variables:E2_7_1_33_kcat} * E2_7_1_33 * C00002 * C04079)/(${Variables:E2_7_1_33_km} + (E2_7_1_33 * C00002 * C04079))</v>
      </c>
    </row>
    <row r="822" spans="1:11" ht="29">
      <c r="A822" s="11" t="s">
        <v>6185</v>
      </c>
      <c r="B822" s="11" t="s">
        <v>6186</v>
      </c>
      <c r="C822" s="11" t="s">
        <v>12723</v>
      </c>
      <c r="D822" s="60">
        <v>821</v>
      </c>
      <c r="E822" s="11" t="str">
        <f t="shared" si="36"/>
        <v>E5_4_2_7</v>
      </c>
      <c r="F822" s="11" t="s">
        <v>10333</v>
      </c>
      <c r="G822" s="11" t="s">
        <v>10333</v>
      </c>
      <c r="H822" s="11" t="s">
        <v>10302</v>
      </c>
      <c r="I822" s="11" t="s">
        <v>10302</v>
      </c>
      <c r="J822" s="61" t="str">
        <f t="shared" si="37"/>
        <v>(${Variables:E5_4_2_7_kcat} * E5_4_2_7 * C00672)/(${Variables:E5_4_2_7_km} + (E5_4_2_7 * C00672))</v>
      </c>
      <c r="K822" s="54" t="str">
        <f t="shared" si="38"/>
        <v>r821: C00672 -&gt; C00673 | (${Variables:E5_4_2_7_kcat} * E5_4_2_7 * C00672)/(${Variables:E5_4_2_7_km} + (E5_4_2_7 * C00672))</v>
      </c>
    </row>
    <row r="823" spans="1:11" ht="29">
      <c r="A823" s="11" t="s">
        <v>6192</v>
      </c>
      <c r="B823" s="11" t="s">
        <v>6193</v>
      </c>
      <c r="C823" s="11" t="s">
        <v>12724</v>
      </c>
      <c r="D823" s="60">
        <v>822</v>
      </c>
      <c r="E823" s="11" t="str">
        <f t="shared" si="36"/>
        <v>E5_3_1_6</v>
      </c>
      <c r="F823" s="11" t="s">
        <v>9437</v>
      </c>
      <c r="G823" s="11" t="s">
        <v>9437</v>
      </c>
      <c r="H823" s="11" t="s">
        <v>8688</v>
      </c>
      <c r="I823" s="11" t="s">
        <v>8688</v>
      </c>
      <c r="J823" s="61" t="str">
        <f t="shared" si="37"/>
        <v>(${Variables:E5_3_1_6_kcat} * E5_3_1_6 * C00117)/(${Variables:E5_3_1_6_km} + (E5_3_1_6 * C00117))</v>
      </c>
      <c r="K823" s="54" t="str">
        <f t="shared" si="38"/>
        <v>r822: C00117 -&gt; C00199 | (${Variables:E5_3_1_6_kcat} * E5_3_1_6 * C00117)/(${Variables:E5_3_1_6_km} + (E5_3_1_6 * C00117))</v>
      </c>
    </row>
    <row r="824" spans="1:11" ht="29">
      <c r="A824" s="11" t="s">
        <v>6192</v>
      </c>
      <c r="B824" s="11" t="s">
        <v>6193</v>
      </c>
      <c r="C824" s="11" t="s">
        <v>12724</v>
      </c>
      <c r="D824" s="60">
        <v>823</v>
      </c>
      <c r="E824" s="11" t="str">
        <f t="shared" si="36"/>
        <v>E5_3_1_6</v>
      </c>
      <c r="F824" s="11" t="s">
        <v>10338</v>
      </c>
      <c r="G824" s="11" t="s">
        <v>10338</v>
      </c>
      <c r="H824" s="11" t="s">
        <v>10339</v>
      </c>
      <c r="I824" s="11" t="s">
        <v>10339</v>
      </c>
      <c r="J824" s="61" t="str">
        <f t="shared" si="37"/>
        <v>(${Variables:E5_3_1_6_kcat} * E5_3_1_6 * C02962)/(${Variables:E5_3_1_6_km} + (E5_3_1_6 * C02962))</v>
      </c>
      <c r="K824" s="54" t="str">
        <f t="shared" si="38"/>
        <v>r823: C02962 -&gt; C18096 | (${Variables:E5_3_1_6_kcat} * E5_3_1_6 * C02962)/(${Variables:E5_3_1_6_km} + (E5_3_1_6 * C02962))</v>
      </c>
    </row>
    <row r="825" spans="1:11" ht="29">
      <c r="A825" s="11" t="s">
        <v>6200</v>
      </c>
      <c r="B825" s="11" t="s">
        <v>6201</v>
      </c>
      <c r="C825" s="11" t="s">
        <v>12725</v>
      </c>
      <c r="D825" s="60">
        <v>824</v>
      </c>
      <c r="E825" s="11" t="str">
        <f t="shared" si="36"/>
        <v>E1_5_1_5</v>
      </c>
      <c r="F825" s="11" t="s">
        <v>15498</v>
      </c>
      <c r="G825" s="11" t="s">
        <v>15499</v>
      </c>
      <c r="H825" s="11" t="s">
        <v>15500</v>
      </c>
      <c r="I825" s="11" t="s">
        <v>15501</v>
      </c>
      <c r="J825" s="61" t="str">
        <f t="shared" si="37"/>
        <v>(${Variables:E1_5_1_5_kcat} * E1_5_1_5 * C00143 * C00006)/(${Variables:E1_5_1_5_km} + (E1_5_1_5 * C00143 * C00006))</v>
      </c>
      <c r="K825" s="54" t="str">
        <f t="shared" si="38"/>
        <v>r824: C00143 + C00006 -&gt; C00445 + C00005 | (${Variables:E1_5_1_5_kcat} * E1_5_1_5 * C00143 * C00006)/(${Variables:E1_5_1_5_km} + (E1_5_1_5 * C00143 * C00006))</v>
      </c>
    </row>
    <row r="826" spans="1:11" ht="29">
      <c r="A826" s="11" t="s">
        <v>6249</v>
      </c>
      <c r="B826" s="11" t="s">
        <v>6250</v>
      </c>
      <c r="C826" s="11" t="s">
        <v>12726</v>
      </c>
      <c r="D826" s="60">
        <v>825</v>
      </c>
      <c r="E826" s="11" t="str">
        <f t="shared" si="36"/>
        <v>E3_1_3_18</v>
      </c>
      <c r="F826" s="11" t="s">
        <v>15502</v>
      </c>
      <c r="G826" s="11" t="s">
        <v>15503</v>
      </c>
      <c r="H826" s="11" t="s">
        <v>15504</v>
      </c>
      <c r="I826" s="11" t="s">
        <v>15505</v>
      </c>
      <c r="J826" s="61" t="str">
        <f t="shared" si="37"/>
        <v>(${Variables:E3_1_3_18_kcat} * E3_1_3_18 * C00988 * C00001)/(${Variables:E3_1_3_18_km} + (E3_1_3_18 * C00988 * C00001))</v>
      </c>
      <c r="K826" s="54" t="str">
        <f t="shared" si="38"/>
        <v>r825: C00988 + C00001 -&gt; C00160 + C00009 | (${Variables:E3_1_3_18_kcat} * E3_1_3_18 * C00988 * C00001)/(${Variables:E3_1_3_18_km} + (E3_1_3_18 * C00988 * C00001))</v>
      </c>
    </row>
    <row r="827" spans="1:11" ht="29">
      <c r="A827" s="11" t="s">
        <v>6277</v>
      </c>
      <c r="B827" s="11" t="s">
        <v>6278</v>
      </c>
      <c r="C827" s="11" t="s">
        <v>12727</v>
      </c>
      <c r="D827" s="60">
        <v>826</v>
      </c>
      <c r="E827" s="11" t="str">
        <f t="shared" si="36"/>
        <v>E3_4_11_2</v>
      </c>
      <c r="F827" s="11" t="s">
        <v>15506</v>
      </c>
      <c r="G827" s="11" t="s">
        <v>15507</v>
      </c>
      <c r="H827" s="11" t="s">
        <v>15508</v>
      </c>
      <c r="I827" s="11" t="s">
        <v>15509</v>
      </c>
      <c r="J827" s="61" t="str">
        <f t="shared" si="37"/>
        <v>(${Variables:E3_4_11_2_kcat} * E3_4_11_2 * C01419 * C00001)/(${Variables:E3_4_11_2_km} + (E3_4_11_2 * C01419 * C00001))</v>
      </c>
      <c r="K827" s="54" t="str">
        <f t="shared" si="38"/>
        <v>r826: C01419 + C00001 -&gt; C00097 + C00037 | (${Variables:E3_4_11_2_kcat} * E3_4_11_2 * C01419 * C00001)/(${Variables:E3_4_11_2_km} + (E3_4_11_2 * C01419 * C00001))</v>
      </c>
    </row>
    <row r="828" spans="1:11" ht="29">
      <c r="A828" s="11" t="s">
        <v>6277</v>
      </c>
      <c r="B828" s="11" t="s">
        <v>6278</v>
      </c>
      <c r="C828" s="11" t="s">
        <v>12727</v>
      </c>
      <c r="D828" s="60">
        <v>827</v>
      </c>
      <c r="E828" s="11" t="str">
        <f t="shared" si="36"/>
        <v>E3_4_11_2</v>
      </c>
      <c r="F828" s="11" t="s">
        <v>15510</v>
      </c>
      <c r="G828" s="11" t="s">
        <v>15511</v>
      </c>
      <c r="H828" s="11" t="s">
        <v>15512</v>
      </c>
      <c r="I828" s="11" t="s">
        <v>15513</v>
      </c>
      <c r="J828" s="61" t="str">
        <f t="shared" si="37"/>
        <v>(${Variables:E3_4_11_2_kcat} * E3_4_11_2 * C05729 * C00001)/(${Variables:E3_4_11_2_km} + (E3_4_11_2 * C05729 * C00001))</v>
      </c>
      <c r="K828" s="54" t="str">
        <f t="shared" si="38"/>
        <v>r827: C05729 + C00001 -&gt; C05726 + C00037 | (${Variables:E3_4_11_2_kcat} * E3_4_11_2 * C05729 * C00001)/(${Variables:E3_4_11_2_km} + (E3_4_11_2 * C05729 * C00001))</v>
      </c>
    </row>
    <row r="829" spans="1:11" ht="43.5">
      <c r="A829" s="11" t="s">
        <v>6289</v>
      </c>
      <c r="B829" s="11" t="s">
        <v>6290</v>
      </c>
      <c r="C829" s="11" t="s">
        <v>12508</v>
      </c>
      <c r="D829" s="60">
        <v>828</v>
      </c>
      <c r="E829" s="11" t="str">
        <f t="shared" si="36"/>
        <v>E1_1_1_163</v>
      </c>
      <c r="F829" s="11" t="s">
        <v>15514</v>
      </c>
      <c r="G829" s="11" t="s">
        <v>15515</v>
      </c>
      <c r="H829" s="11" t="s">
        <v>15516</v>
      </c>
      <c r="I829" s="11" t="s">
        <v>15517</v>
      </c>
      <c r="J829" s="61" t="str">
        <f t="shared" si="37"/>
        <v>(${Variables:E1_1_1_163_kcat} * E1_1_1_163 * C02020 * C00003)/(${Variables:E1_1_1_163_km} + (E1_1_1_163 * C02020 * C00003))</v>
      </c>
      <c r="K829" s="54" t="str">
        <f t="shared" si="38"/>
        <v>r828: C02020 + C00003 -&gt; C00557 + C00004 + C00080 | (${Variables:E1_1_1_163_kcat} * E1_1_1_163 * C02020 * C00003)/(${Variables:E1_1_1_163_km} + (E1_1_1_163 * C02020 * C00003))</v>
      </c>
    </row>
    <row r="830" spans="1:11" ht="43.5">
      <c r="A830" s="11" t="s">
        <v>6289</v>
      </c>
      <c r="B830" s="11" t="s">
        <v>6290</v>
      </c>
      <c r="C830" s="11" t="s">
        <v>12508</v>
      </c>
      <c r="D830" s="60">
        <v>829</v>
      </c>
      <c r="E830" s="11" t="str">
        <f t="shared" si="36"/>
        <v>E1_1_1_163</v>
      </c>
      <c r="F830" s="11" t="s">
        <v>15518</v>
      </c>
      <c r="G830" s="11" t="s">
        <v>15519</v>
      </c>
      <c r="H830" s="11" t="s">
        <v>15520</v>
      </c>
      <c r="I830" s="11" t="s">
        <v>15521</v>
      </c>
      <c r="J830" s="61" t="str">
        <f t="shared" si="37"/>
        <v>(${Variables:E1_1_1_163_kcat} * E1_1_1_163 * C00414 * C00004 * C00080)/(${Variables:E1_1_1_163_km} + (E1_1_1_163 * C00414 * C00004 * C00080))</v>
      </c>
      <c r="K830" s="54" t="str">
        <f t="shared" si="38"/>
        <v>r829: C00414 + C00004 + C00080 -&gt; C00854 + C00003 | (${Variables:E1_1_1_163_kcat} * E1_1_1_163 * C00414 * C00004 * C00080)/(${Variables:E1_1_1_163_km} + (E1_1_1_163 * C00414 * C00004 * C00080))</v>
      </c>
    </row>
    <row r="831" spans="1:11" ht="43.5">
      <c r="A831" s="11" t="s">
        <v>6293</v>
      </c>
      <c r="B831" s="11" t="s">
        <v>6294</v>
      </c>
      <c r="C831" s="11" t="s">
        <v>12509</v>
      </c>
      <c r="D831" s="60">
        <v>830</v>
      </c>
      <c r="E831" s="11" t="str">
        <f t="shared" si="36"/>
        <v>E6_1_1_10</v>
      </c>
      <c r="F831" s="11" t="s">
        <v>15522</v>
      </c>
      <c r="G831" s="11" t="s">
        <v>15523</v>
      </c>
      <c r="H831" s="11" t="s">
        <v>15524</v>
      </c>
      <c r="I831" s="11" t="s">
        <v>15525</v>
      </c>
      <c r="J831" s="61" t="str">
        <f t="shared" si="37"/>
        <v>(${Variables:E6_1_1_10_kcat} * E6_1_1_10 * C00002 * C00073 * C01647)/(${Variables:E6_1_1_10_km} + (E6_1_1_10 * C00002 * C00073 * C01647))</v>
      </c>
      <c r="K831" s="54" t="str">
        <f t="shared" si="38"/>
        <v>r830: C00002 + C00073 + C01647 -&gt; C00020 + C00013 + C02430 | (${Variables:E6_1_1_10_kcat} * E6_1_1_10 * C00002 * C00073 * C01647)/(${Variables:E6_1_1_10_km} + (E6_1_1_10 * C00002 * C00073 * C01647))</v>
      </c>
    </row>
    <row r="832" spans="1:11" ht="43.5">
      <c r="A832" s="11" t="s">
        <v>6293</v>
      </c>
      <c r="B832" s="11" t="s">
        <v>6294</v>
      </c>
      <c r="C832" s="11" t="s">
        <v>12509</v>
      </c>
      <c r="D832" s="60">
        <v>831</v>
      </c>
      <c r="E832" s="11" t="str">
        <f t="shared" si="36"/>
        <v>E6_1_1_10</v>
      </c>
      <c r="F832" s="11" t="s">
        <v>15526</v>
      </c>
      <c r="G832" s="11" t="s">
        <v>15527</v>
      </c>
      <c r="H832" s="11" t="s">
        <v>15528</v>
      </c>
      <c r="I832" s="11" t="s">
        <v>15529</v>
      </c>
      <c r="J832" s="61" t="str">
        <f t="shared" si="37"/>
        <v>(${Variables:E6_1_1_10_kcat} * E6_1_1_10 * C00002 * C05335 * C01647)/(${Variables:E6_1_1_10_km} + (E6_1_1_10 * C00002 * C05335 * C01647))</v>
      </c>
      <c r="K832" s="54" t="str">
        <f t="shared" si="38"/>
        <v>r831: C00002 + C05335 + C01647 -&gt; C00020 + C00013 + C05336 | (${Variables:E6_1_1_10_kcat} * E6_1_1_10 * C00002 * C05335 * C01647)/(${Variables:E6_1_1_10_km} + (E6_1_1_10 * C00002 * C05335 * C01647))</v>
      </c>
    </row>
    <row r="833" spans="1:11" ht="29">
      <c r="A833" s="11" t="s">
        <v>6319</v>
      </c>
      <c r="B833" s="11" t="s">
        <v>6320</v>
      </c>
      <c r="C833" s="11" t="s">
        <v>12510</v>
      </c>
      <c r="D833" s="60">
        <v>832</v>
      </c>
      <c r="E833" s="11" t="str">
        <f t="shared" si="36"/>
        <v>E1_8_1_7</v>
      </c>
      <c r="F833" s="11" t="s">
        <v>15530</v>
      </c>
      <c r="G833" s="11" t="s">
        <v>15531</v>
      </c>
      <c r="H833" s="11" t="s">
        <v>15532</v>
      </c>
      <c r="I833" s="11" t="s">
        <v>15533</v>
      </c>
      <c r="J833" s="61" t="str">
        <f t="shared" si="37"/>
        <v>(${Variables:E1_8_1_7_kcat} * E1_8_1_7 * C00051 * C00006)/(${Variables:E1_8_1_7_km} + (E1_8_1_7 * C00051 * C00006))</v>
      </c>
      <c r="K833" s="54" t="str">
        <f t="shared" si="38"/>
        <v>r832: C00051 + C00006 -&gt; C00127 + C00005 + C00080 | (${Variables:E1_8_1_7_kcat} * E1_8_1_7 * C00051 * C00006)/(${Variables:E1_8_1_7_km} + (E1_8_1_7 * C00051 * C00006))</v>
      </c>
    </row>
    <row r="834" spans="1:11" ht="29">
      <c r="A834" s="11" t="s">
        <v>6319</v>
      </c>
      <c r="B834" s="11" t="s">
        <v>6320</v>
      </c>
      <c r="C834" s="11" t="s">
        <v>12510</v>
      </c>
      <c r="D834" s="60">
        <v>833</v>
      </c>
      <c r="E834" s="11" t="str">
        <f t="shared" si="36"/>
        <v>E1_8_1_7</v>
      </c>
      <c r="F834" s="11" t="s">
        <v>15534</v>
      </c>
      <c r="G834" s="11" t="s">
        <v>15535</v>
      </c>
      <c r="H834" s="11" t="s">
        <v>15536</v>
      </c>
      <c r="I834" s="11" t="s">
        <v>15537</v>
      </c>
      <c r="J834" s="61" t="str">
        <f t="shared" si="37"/>
        <v>(${Variables:E1_8_1_7_kcat} * E1_8_1_7 * C00051 * C00003)/(${Variables:E1_8_1_7_km} + (E1_8_1_7 * C00051 * C00003))</v>
      </c>
      <c r="K834" s="54" t="str">
        <f t="shared" si="38"/>
        <v>r833: C00051 + C00003 -&gt; C00127 + C00004 + C00080 | (${Variables:E1_8_1_7_kcat} * E1_8_1_7 * C00051 * C00003)/(${Variables:E1_8_1_7_km} + (E1_8_1_7 * C00051 * C00003))</v>
      </c>
    </row>
    <row r="835" spans="1:11" ht="29">
      <c r="A835" s="11" t="s">
        <v>6336</v>
      </c>
      <c r="B835" s="11" t="s">
        <v>6337</v>
      </c>
      <c r="C835" s="11" t="s">
        <v>12511</v>
      </c>
      <c r="D835" s="60">
        <v>834</v>
      </c>
      <c r="E835" s="11" t="str">
        <f>CONCATENATE("E",C835)</f>
        <v>E2_1_1_228</v>
      </c>
      <c r="F835" s="11" t="s">
        <v>15538</v>
      </c>
      <c r="G835" s="11" t="s">
        <v>15539</v>
      </c>
      <c r="H835" s="11" t="s">
        <v>15540</v>
      </c>
      <c r="I835" s="11" t="s">
        <v>15541</v>
      </c>
      <c r="J835" s="61" t="str">
        <f>CONCATENATE("(${Variables:",E835,"_kcat","} * ",E835," * ",G835,")","/(${Variables:",E835,"_km","} + (",E835," * ",G835,"))")</f>
        <v>(${Variables:E2_1_1_228_kcat} * E2_1_1_228 * C00019 * C01977)/(${Variables:E2_1_1_228_km} + (E2_1_1_228 * C00019 * C01977))</v>
      </c>
      <c r="K835" s="54" t="str">
        <f>CONCATENATE("r",D835,": ",F835," -&gt; ",H835," | ",J835)</f>
        <v>r834: C00019 + C01977 -&gt; C00021 + C04157 | (${Variables:E2_1_1_228_kcat} * E2_1_1_228 * C00019 * C01977)/(${Variables:E2_1_1_228_km} + (E2_1_1_228 * C00019 * C01977))</v>
      </c>
    </row>
    <row r="836" spans="1:11" ht="29">
      <c r="A836" s="11" t="s">
        <v>6370</v>
      </c>
      <c r="B836" s="11" t="s">
        <v>6371</v>
      </c>
      <c r="C836" s="11" t="s">
        <v>12512</v>
      </c>
      <c r="D836" s="60">
        <v>835</v>
      </c>
      <c r="E836" s="11" t="str">
        <f>CONCATENATE("E",C836)</f>
        <v>E1_15_1_1</v>
      </c>
      <c r="F836" s="11" t="s">
        <v>15542</v>
      </c>
      <c r="G836" s="11" t="s">
        <v>15543</v>
      </c>
      <c r="H836" s="11" t="s">
        <v>15544</v>
      </c>
      <c r="I836" s="11" t="s">
        <v>15545</v>
      </c>
      <c r="J836" s="61" t="str">
        <f>CONCATENATE("(${Variables:",E836,"_kcat","} * ",E836," * ",G836,")","/(${Variables:",E836,"_km","} + (",E836," * ",G836,"))")</f>
        <v>(${Variables:E1_15_1_1_kcat} * E1_15_1_1 * C00704 * C00080)/(${Variables:E1_15_1_1_km} + (E1_15_1_1 * C00704 * C00080))</v>
      </c>
      <c r="K836" s="54" t="str">
        <f>CONCATENATE("r",D836,": ",F836," -&gt; ",H836," | ",J836)</f>
        <v>r835: C00704 + C00080 -&gt; C00027 + C00007 | (${Variables:E1_15_1_1_kcat} * E1_15_1_1 * C00704 * C00080)/(${Variables:E1_15_1_1_km} + (E1_15_1_1 * C00704 * C00080))</v>
      </c>
    </row>
    <row r="837" spans="1:11" ht="29">
      <c r="A837" s="11" t="s">
        <v>6378</v>
      </c>
      <c r="B837" s="11" t="s">
        <v>6379</v>
      </c>
      <c r="C837" s="11" t="s">
        <v>12513</v>
      </c>
      <c r="D837" s="60">
        <v>836</v>
      </c>
      <c r="E837" s="11" t="str">
        <f>CONCATENATE("E",C837)</f>
        <v>E1_3_98_1</v>
      </c>
      <c r="F837" s="11" t="s">
        <v>15546</v>
      </c>
      <c r="G837" s="11" t="s">
        <v>15547</v>
      </c>
      <c r="H837" s="11" t="s">
        <v>15548</v>
      </c>
      <c r="I837" s="11" t="s">
        <v>15549</v>
      </c>
      <c r="J837" s="61" t="str">
        <f>CONCATENATE("(${Variables:",E837,"_kcat","} * ",E837," * ",G837,")","/(${Variables:",E837,"_km","} + (",E837," * ",G837,"))")</f>
        <v>(${Variables:E1_3_98_1_kcat} * E1_3_98_1 * C00337 * C00122)/(${Variables:E1_3_98_1_km} + (E1_3_98_1 * C00337 * C00122))</v>
      </c>
      <c r="K837" s="54" t="str">
        <f>CONCATENATE("r",D837,": ",F837," -&gt; ",H837," | ",J837)</f>
        <v>r836: C00337 + C00122 -&gt; C00295 + C00042 | (${Variables:E1_3_98_1_kcat} * E1_3_98_1 * C00337 * C00122)/(${Variables:E1_3_98_1_km} + (E1_3_98_1 * C00337 * C00122))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 L</cp:lastModifiedBy>
  <dcterms:created xsi:type="dcterms:W3CDTF">2025-05-16T10:37:00Z</dcterms:created>
  <dcterms:modified xsi:type="dcterms:W3CDTF">2025-11-04T13:54:10Z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A635171021604733948DD96EDDF331B0_13</vt:lpwstr>
  </property>
  <property fmtid="{D5CDD505-2E9C-101B-9397-08002B2CF9AE}" pid="3" name="KSOProductBuildVer">
    <vt:lpwstr>1033-12.2.0.23131</vt:lpwstr>
  </property>
</Properties>
</file>